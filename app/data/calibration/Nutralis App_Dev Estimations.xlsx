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Customer App - Dev" state="visible" r:id="rId5"/>
    <sheet sheetId="3" name="Third Party - Dev" state="visible" r:id="rId6"/>
    <sheet sheetId="4" name="Customer App - Summary" state="visible" r:id="rId7"/>
    <sheet sheetId="5" name="Third Party - Summary" state="visible" r:id="rId8"/>
    <sheet sheetId="6" name="Points-Table" state="visible" r:id="rId9"/>
  </sheets>
  <calcPr calcId="171027"/>
</workbook>
</file>

<file path=xl/sharedStrings.xml><?xml version="1.0" encoding="utf-8"?>
<sst xmlns="http://schemas.openxmlformats.org/spreadsheetml/2006/main" count="1104" uniqueCount="293">
  <si>
    <t>Name</t>
  </si>
  <si>
    <t>Total Hours</t>
  </si>
  <si>
    <t>Visual Design</t>
  </si>
  <si>
    <t>Backend</t>
  </si>
  <si>
    <t>Web Mobile</t>
  </si>
  <si>
    <t>Wireframe</t>
  </si>
  <si>
    <t>Sheet Name</t>
  </si>
  <si>
    <t>Project  Management</t>
  </si>
  <si>
    <t>Team</t>
  </si>
  <si>
    <t>Overall</t>
  </si>
  <si>
    <t>UI/UX Lead</t>
  </si>
  <si>
    <t>UI/UX Review</t>
  </si>
  <si>
    <t>Design Hours (Wireframe + Visual Design)</t>
  </si>
  <si>
    <t>UI/UX BA</t>
  </si>
  <si>
    <t>UI/UX UAT</t>
  </si>
  <si>
    <t>UI/UX Documentation</t>
  </si>
  <si>
    <t>Development Hours (Web/Mobile + Backend)</t>
  </si>
  <si>
    <t>BA</t>
  </si>
  <si>
    <t>QA</t>
  </si>
  <si>
    <t>UAT</t>
  </si>
  <si>
    <t>Lead</t>
  </si>
  <si>
    <t>Documentation</t>
  </si>
  <si>
    <t>Deployment</t>
  </si>
  <si>
    <t>Team  Size</t>
  </si>
  <si>
    <t>Role</t>
  </si>
  <si>
    <t>Count</t>
  </si>
  <si>
    <t>Fe</t>
  </si>
  <si>
    <t>SSE</t>
  </si>
  <si>
    <t>SE</t>
  </si>
  <si>
    <t>Be</t>
  </si>
  <si>
    <t>Ux</t>
  </si>
  <si>
    <t>UIUX_DESIGNER</t>
  </si>
  <si>
    <t>Team  Hours</t>
  </si>
  <si>
    <t>Hr / Day</t>
  </si>
  <si>
    <t>ba</t>
  </si>
  <si>
    <t>lead</t>
  </si>
  <si>
    <t>qa</t>
  </si>
  <si>
    <t>uiux_ba</t>
  </si>
  <si>
    <t>uiux_lead</t>
  </si>
  <si>
    <t>Project  Development  Time  Line</t>
  </si>
  <si>
    <t>App Name</t>
  </si>
  <si>
    <t>FE Min</t>
  </si>
  <si>
    <t>FE Max</t>
  </si>
  <si>
    <t>BE Min</t>
  </si>
  <si>
    <t>BE Max</t>
  </si>
  <si>
    <t>Design Min</t>
  </si>
  <si>
    <t>Design Max</t>
  </si>
  <si>
    <t>Over All</t>
  </si>
  <si>
    <t>App  Wise  Phase  Estimation</t>
  </si>
  <si>
    <t>Web/Mobile</t>
  </si>
  <si>
    <t>Wireframes</t>
  </si>
  <si>
    <t>Customer App</t>
  </si>
  <si>
    <t>Customer App - Summary</t>
  </si>
  <si>
    <t>Third Party</t>
  </si>
  <si>
    <t>Third Party - Summary</t>
  </si>
  <si>
    <t>Sub Total</t>
  </si>
  <si>
    <t/>
  </si>
  <si>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</si>
  <si>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</si>
  <si>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</si>
  <si>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</si>
  <si>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</si>
  <si>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</si>
  <si>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</si>
  <si>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</si>
  <si>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</si>
  <si>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</si>
  <si>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</si>
  <si>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</si>
  <si>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</si>
  <si>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</si>
  <si>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</si>
  <si>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</si>
  <si>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</si>
  <si>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</si>
  <si>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</si>
  <si>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</si>
  <si>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</si>
  <si>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</si>
  <si>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</si>
  <si>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</si>
  <si>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</si>
  <si>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Project Setup</t>
  </si>
  <si>
    <t xml:space="preserve">FE:
• React Native setup
• Redux setup
• Navigation library add
• Prettier &amp; ESLint setup
• Folder structure finalize
• Axios wrapper add
• Themeing setup
• Font setup
• Coding pattern finalize
BE:
• Nest.js setup
• DB setup
• EsLint &amp; Prettier setup
• Folder structure finalize etc
• Coding pattern finalize
• Generic error handling</t>
  </si>
  <si>
    <t>Simple</t>
  </si>
  <si>
    <t>Must Have</t>
  </si>
  <si>
    <t>Bottom tab navigtaion setup</t>
  </si>
  <si>
    <t xml:space="preserve">• We will be creating basic app layout
• Will create common UI components as per design system. eg.: Button, accordion, card, snackbar, loader, input, heading text etc.</t>
  </si>
  <si>
    <t>Registration &amp; Login</t>
  </si>
  <si>
    <t>New User - Register</t>
  </si>
  <si>
    <t>Email password based registration</t>
  </si>
  <si>
    <t xml:space="preserve">BE needs to setup the user management service for this. 
Query: 
Don't we need to collect user's phone number?</t>
  </si>
  <si>
    <t>For authentication we are considering firebase authentication.</t>
  </si>
  <si>
    <t>Terms and Conditions &amp; Privacy link</t>
  </si>
  <si>
    <t>This will be configured in CMS instead of admin dashboard</t>
  </si>
  <si>
    <t>Profile data update after login eg: First name, last name, country, language &amp; profile picture</t>
  </si>
  <si>
    <t>User will be created in system post that.</t>
  </si>
  <si>
    <t>Login</t>
  </si>
  <si>
    <t>Login with email id &amp; password</t>
  </si>
  <si>
    <t>Forgot / reset password</t>
  </si>
  <si>
    <t>This will be handled through firebase auth</t>
  </si>
  <si>
    <t>Social Media Login (Google, Apple)</t>
  </si>
  <si>
    <t>Auth handle after registration/login</t>
  </si>
  <si>
    <t xml:space="preserve">• Based on auth state, redirection will happen. On successful authentication, we will fetch user details from BE.
• Auth middleware creation in BE</t>
  </si>
  <si>
    <t>Splash Screen &amp; App icon</t>
  </si>
  <si>
    <t>Questionnaire</t>
  </si>
  <si>
    <t>View Questionnaire form</t>
  </si>
  <si>
    <t>View questions with possible options</t>
  </si>
  <si>
    <t>These will be fetched from CMS</t>
  </si>
  <si>
    <t>Add answers</t>
  </si>
  <si>
    <t>Edit answers</t>
  </si>
  <si>
    <t>Delete answers</t>
  </si>
  <si>
    <t xml:space="preserve">Submit form </t>
  </si>
  <si>
    <t>Based on user input, BE will recommend product to users</t>
  </si>
  <si>
    <t>Home page</t>
  </si>
  <si>
    <t>Search products</t>
  </si>
  <si>
    <t>Product indexing setup also has to be done. Multilingual search support will be there</t>
  </si>
  <si>
    <t>Filter &amp; Sorting</t>
  </si>
  <si>
    <t>Multilingual search support</t>
  </si>
  <si>
    <t>Hero Banner + 1 Banner</t>
  </si>
  <si>
    <t>Categories</t>
  </si>
  <si>
    <t>Learn about</t>
  </si>
  <si>
    <t>Popular Scans/Recommeded products</t>
  </si>
  <si>
    <t>Switch user</t>
  </si>
  <si>
    <t>Profile User (Name and picture)</t>
  </si>
  <si>
    <t>List of users to Switch (Dropdown)</t>
  </si>
  <si>
    <t>On changing profile, we have to change user configs through BE.</t>
  </si>
  <si>
    <t>Scan Product</t>
  </si>
  <si>
    <t>Upload image of product/capture image</t>
  </si>
  <si>
    <t xml:space="preserve">Select image from gallery </t>
  </si>
  <si>
    <t>Approach for this will be same as scanning label using device's camera. Instead of taking photo, we will share the image from gallery for scanning.</t>
  </si>
  <si>
    <t>Scan product label using app's camera</t>
  </si>
  <si>
    <t>We will check if there is any product exists with the scanned result. If any product exists for the scanned label then we will add this scanned label information under user account.</t>
  </si>
  <si>
    <t>View result/ result of products</t>
  </si>
  <si>
    <t>Show matched product details</t>
  </si>
  <si>
    <t xml:space="preserve">If there is any match then we will take user to product details view.
If there is no successful match then show the error message
</t>
  </si>
  <si>
    <t>Product Catalogue</t>
  </si>
  <si>
    <t>Products List</t>
  </si>
  <si>
    <t>Search</t>
  </si>
  <si>
    <t>Filter</t>
  </si>
  <si>
    <t>Sort</t>
  </si>
  <si>
    <t>Product details</t>
  </si>
  <si>
    <t>Basic details</t>
  </si>
  <si>
    <t>Certification tooltip</t>
  </si>
  <si>
    <t>Mark as used</t>
  </si>
  <si>
    <t>Sponsored product tag, if applicable.</t>
  </si>
  <si>
    <t>Mark as Favourite</t>
  </si>
  <si>
    <t xml:space="preserve">Share Product via email, whatsapp, facebook, insta etc. </t>
  </si>
  <si>
    <t>Ratings &amp; Reviews</t>
  </si>
  <si>
    <t>Average rating &amp; number of reviews</t>
  </si>
  <si>
    <t>Add review</t>
  </si>
  <si>
    <t>List of reviews</t>
  </si>
  <si>
    <t>Like/ dislike review</t>
  </si>
  <si>
    <t>Report Review</t>
  </si>
  <si>
    <t>Recommend</t>
  </si>
  <si>
    <t>FAQs</t>
  </si>
  <si>
    <t>List of FAQs</t>
  </si>
  <si>
    <t>Q&amp;A</t>
  </si>
  <si>
    <t xml:space="preserve">List of questions &amp; answers </t>
  </si>
  <si>
    <t>Add question</t>
  </si>
  <si>
    <t>Add answer</t>
  </si>
  <si>
    <t>Edit/ delete questions added by you</t>
  </si>
  <si>
    <t>Edit/ delete answers added by you</t>
  </si>
  <si>
    <t>Like/ dislike answers</t>
  </si>
  <si>
    <t>Mark as me too questions</t>
  </si>
  <si>
    <t>Report answers</t>
  </si>
  <si>
    <t>Report a question</t>
  </si>
  <si>
    <t>Similar products</t>
  </si>
  <si>
    <t>Compare product</t>
  </si>
  <si>
    <t>search for products to compare</t>
  </si>
  <si>
    <t>Comparison view</t>
  </si>
  <si>
    <t>Draggable list</t>
  </si>
  <si>
    <t>Remove product from list</t>
  </si>
  <si>
    <t>Seller details</t>
  </si>
  <si>
    <t>Language - English &amp; Arabic</t>
  </si>
  <si>
    <t>Translate content to other language using google translate API</t>
  </si>
  <si>
    <t>Dosage Reminder</t>
  </si>
  <si>
    <t>Search Medicine</t>
  </si>
  <si>
    <t xml:space="preserve">Add Medicine </t>
  </si>
  <si>
    <t>Set Dosage Reminder</t>
  </si>
  <si>
    <t>Select medicine type</t>
  </si>
  <si>
    <t>Specify dosage frequency</t>
  </si>
  <si>
    <t>Dosage refill reminder</t>
  </si>
  <si>
    <t>Set reminder</t>
  </si>
  <si>
    <t>Reminders List</t>
  </si>
  <si>
    <t>Calendar view with list</t>
  </si>
  <si>
    <t>Status of reminder</t>
  </si>
  <si>
    <t>Active Medicine</t>
  </si>
  <si>
    <t>List</t>
  </si>
  <si>
    <t>Pause Medication</t>
  </si>
  <si>
    <t>Edit Medication</t>
  </si>
  <si>
    <t>Delete Medication</t>
  </si>
  <si>
    <t xml:space="preserve">My profile </t>
  </si>
  <si>
    <t xml:space="preserve">Basic Profile details </t>
  </si>
  <si>
    <t>View/edit profile details</t>
  </si>
  <si>
    <t>Reset password</t>
  </si>
  <si>
    <t>Products Used</t>
  </si>
  <si>
    <t>Product List</t>
  </si>
  <si>
    <t>Mark / Unmark Favorite</t>
  </si>
  <si>
    <t xml:space="preserve">My favourite </t>
  </si>
  <si>
    <t>List of products</t>
  </si>
  <si>
    <t>Mark as Favorite / Unfavorite</t>
  </si>
  <si>
    <t>Ratings and reviews</t>
  </si>
  <si>
    <t>List of ratings and reviews</t>
  </si>
  <si>
    <t>Add /edit my reviews</t>
  </si>
  <si>
    <t>Delete reviews</t>
  </si>
  <si>
    <t>Scanned Labels</t>
  </si>
  <si>
    <t xml:space="preserve">List of previously scanned products </t>
  </si>
  <si>
    <t>Family Members</t>
  </si>
  <si>
    <t>Add Family Member</t>
  </si>
  <si>
    <t>Edit Details</t>
  </si>
  <si>
    <t xml:space="preserve">Delete </t>
  </si>
  <si>
    <t>Notification Settings</t>
  </si>
  <si>
    <t>Nutralis Support</t>
  </si>
  <si>
    <t>UX Process</t>
  </si>
  <si>
    <t>Brainstorming &amp; Research</t>
  </si>
  <si>
    <t>Requirement Gathering</t>
  </si>
  <si>
    <t>User Flow</t>
  </si>
  <si>
    <t>Competitive Analysis</t>
  </si>
  <si>
    <t>Notification</t>
  </si>
  <si>
    <t>Setup</t>
  </si>
  <si>
    <t>We will use react native firebase notification</t>
  </si>
  <si>
    <t>Style Guide</t>
  </si>
  <si>
    <t>Logo &amp; Branding</t>
  </si>
  <si>
    <t>Logout</t>
  </si>
  <si>
    <t>Manual logout</t>
  </si>
  <si>
    <t>Prototype</t>
  </si>
  <si>
    <t>Chat bot support</t>
  </si>
  <si>
    <t>Chatsupport functionality with UI</t>
  </si>
  <si>
    <t>Speech to text conversion</t>
  </si>
  <si>
    <t>Blogs</t>
  </si>
  <si>
    <t>Blog List</t>
  </si>
  <si>
    <t>Blog Details</t>
  </si>
  <si>
    <t>Quick Categories</t>
  </si>
  <si>
    <t>CMS for static contents in multi language</t>
  </si>
  <si>
    <t>Schema setup for static app contents</t>
  </si>
  <si>
    <t>Questionnaire add/update schema add</t>
  </si>
  <si>
    <t>We can add questionnaire in CMS instead of admin dashboard</t>
  </si>
  <si>
    <t>Ghost platform</t>
  </si>
  <si>
    <t>Frontend</t>
  </si>
  <si>
    <t>General Assumption</t>
  </si>
  <si>
    <t>Fe Max</t>
  </si>
  <si>
    <t>Fe Min</t>
  </si>
  <si>
    <t>Development  Sheet</t>
  </si>
  <si>
    <t>Customer App - Dev</t>
  </si>
  <si>
    <t>App  Summary</t>
  </si>
  <si>
    <t>Could Have</t>
  </si>
  <si>
    <t>Should Have</t>
  </si>
  <si>
    <t>Will not Have</t>
  </si>
  <si>
    <t>UX/UI WireFrame</t>
  </si>
  <si>
    <t>UX/UI Visual Design</t>
  </si>
  <si>
    <t>UX/UI Lead</t>
  </si>
  <si>
    <t>UX/UI Review</t>
  </si>
  <si>
    <t>Web / Mobile</t>
  </si>
  <si>
    <t>Qa</t>
  </si>
  <si>
    <t>Ba</t>
  </si>
  <si>
    <t>Total</t>
  </si>
  <si>
    <t>Development  Timeline ( Weeks)</t>
  </si>
  <si>
    <t>Will Not Have</t>
  </si>
  <si>
    <t>Development  Timeline ( Months)</t>
  </si>
  <si>
    <t>Tech  Details</t>
  </si>
  <si>
    <t>Not added yet</t>
  </si>
  <si>
    <t>Third Party - Dev</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</si>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</sst>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name val="Calibri"/>
    </font>
    <font>
      <b/>
      <color rgb="000000"/>
      <name val="Calibri"/>
    </font>
    <font>
      <name val="Calibri"/>
    </font>
    <font>
      <b/>
    </font>
  </fonts>
  <fills count="9">
    <fill>
      <patternFill patternType="none"/>
    </fill>
    <fill>
      <patternFill patternType="gray125"/>
    </fill>
    <fill>
      <patternFill patternType="solid">
        <fgColor rgb="222222"/>
        <bgColor rgb="222222"/>
      </patternFill>
    </fill>
    <fill>
      <patternFill patternType="solid">
        <fgColor rgb="ead1dc"/>
        <bgColor rgb="ead1dc"/>
      </patternFill>
    </fill>
    <fill>
      <patternFill patternType="solid">
        <fgColor rgb="ffe599"/>
        <bgColor rgb="ffe599"/>
      </patternFill>
    </fill>
    <fill>
      <patternFill patternType="solid">
        <fgColor rgb="d7e8fc"/>
        <bgColor rgb="d7e8fc"/>
      </patternFill>
    </fill>
    <fill>
      <patternFill patternType="solid">
        <fgColor rgb="c9daf8"/>
        <bgColor rgb="c9daf8"/>
      </patternFill>
    </fill>
    <fill>
      <patternFill patternType="solid">
        <fgColor rgb="d9ead3"/>
        <bgColor rgb="d9ead3"/>
      </patternFill>
    </fill>
    <fill>
      <patternFill patternType="solid">
        <fgColor rgb="#f3cccb"/>
        <bgColor rgb="#f3cccb"/>
      </patternFill>
    </fill>
  </fills>
  <borders count="2">
    <border>
      <left/>
      <right/>
      <top/>
      <bottom/>
      <diagonal/>
    </border>
    <border>
      <left style="double"/>
      <right style="double"/>
      <top style="double"/>
      <bottom style="double"/>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1" width="40" customWidth="1"/>
    <col min="2" max="7" width="20" customWidth="1"/>
  </cols>
  <sheetData>
    <row r="1" hidden="1" spans="1:7" x14ac:dyDescent="0.25">
      <c r="A1" t="s">
        <v>0</v>
      </c>
      <c r="B1" t="s">
        <v>1</v>
      </c>
      <c r="C1" t="s">
        <v>2</v>
      </c>
      <c r="D1" t="s">
        <v>3</v>
      </c>
      <c r="E1" t="s">
        <v>4</v>
      </c>
      <c r="F1" t="s">
        <v>5</v>
      </c>
      <c r="G1" t="s">
        <v>6</v>
      </c>
    </row>
    <row r="2" spans="1:2" s="1" customFormat="1" x14ac:dyDescent="0.25">
      <c r="A2" s="2" t="s">
        <v>7</v>
      </c>
      <c r="B2" s="2"/>
    </row>
    <row r="3" spans="1:2" s="3" customFormat="1" x14ac:dyDescent="0.25">
      <c r="A3" s="4" t="s">
        <v>8</v>
      </c>
      <c r="B3" s="4" t="s">
        <v>9</v>
      </c>
    </row>
    <row r="4" spans="1:2" s="5" customFormat="1" x14ac:dyDescent="0.25">
      <c r="A4" s="6" t="s">
        <v>10</v>
      </c>
      <c r="B4" s="6">
        <f>ROUND((min(F46, G46) * (B$39 / 8)) * 40)</f>
      </c>
    </row>
    <row r="5" spans="1:2" s="5" customFormat="1" x14ac:dyDescent="0.25">
      <c r="A5" s="6" t="s">
        <v>11</v>
      </c>
      <c r="B5" s="6">
        <f>ROUND(B6 * 10%)</f>
      </c>
    </row>
    <row r="6" spans="1:2" s="5" customFormat="1" x14ac:dyDescent="0.25">
      <c r="A6" s="6" t="s">
        <v>12</v>
      </c>
      <c r="B6" s="6">
        <f>ROUND(SUM(E55,F55))</f>
      </c>
    </row>
    <row r="7" spans="1:2" s="5" customFormat="1" x14ac:dyDescent="0.25">
      <c r="A7" s="6" t="s">
        <v>13</v>
      </c>
      <c r="B7" s="6">
        <f>ROUND((min(F46, G46) * (B$38 / 8)) * 40)</f>
      </c>
    </row>
    <row r="8" spans="1:2" s="5" customFormat="1" x14ac:dyDescent="0.25">
      <c r="A8" s="6" t="s">
        <v>14</v>
      </c>
      <c r="B8" s="6">
        <f>(((min(F46, G46) / 2 ) / 2) * 40)</f>
      </c>
    </row>
    <row r="9" spans="1:2" s="5" customFormat="1" x14ac:dyDescent="0.25">
      <c r="A9" s="6" t="s">
        <v>15</v>
      </c>
      <c r="B9" s="6">
        <v>0</v>
      </c>
    </row>
    <row r="10" spans="1:2" s="5" customFormat="1" x14ac:dyDescent="0.25">
      <c r="A10" s="6" t="s">
        <v>16</v>
      </c>
      <c r="B10" s="6">
        <f>ROUND(SUM(C55,D55))</f>
      </c>
    </row>
    <row r="11" spans="1:2" s="5" customFormat="1" x14ac:dyDescent="0.25">
      <c r="A11" s="6" t="s">
        <v>17</v>
      </c>
      <c r="B11" s="6">
        <f>ROUND((max(min(B46, C46), min(D46, E46)) * (B$35 / 8)) * 40)</f>
      </c>
    </row>
    <row r="12" spans="1:2" s="5" customFormat="1" x14ac:dyDescent="0.25">
      <c r="A12" s="6" t="s">
        <v>18</v>
      </c>
      <c r="B12" s="6">
        <f>ROUND((max(min(B46, C46), min(D46, E46)) * (B$37 / 8)) * 40)</f>
      </c>
    </row>
    <row r="13" spans="1:2" s="5" customFormat="1" x14ac:dyDescent="0.25">
      <c r="A13" s="6" t="s">
        <v>19</v>
      </c>
      <c r="B13" s="6">
        <f>(((max(min(B46, C46), min(D46, E46)) / 2 ) / 2) * 40)</f>
      </c>
    </row>
    <row r="14" spans="1:2" s="5" customFormat="1" x14ac:dyDescent="0.25">
      <c r="A14" s="6" t="s">
        <v>20</v>
      </c>
      <c r="B14" s="6">
        <f>ROUND((max(min(B46, C46), min(D46, E46)) * (B$36 / 8)) * 40)</f>
      </c>
    </row>
    <row r="15" spans="1:2" s="5" customFormat="1" x14ac:dyDescent="0.25">
      <c r="A15" s="6" t="s">
        <v>21</v>
      </c>
      <c r="B15" s="6">
        <v>20</v>
      </c>
    </row>
    <row r="16" spans="1:2" s="5" customFormat="1" x14ac:dyDescent="0.25">
      <c r="A16" s="6" t="s">
        <v>22</v>
      </c>
      <c r="B16" s="6">
        <v>70</v>
      </c>
    </row>
    <row r="17" spans="1:2" s="5" customFormat="1" x14ac:dyDescent="0.25">
      <c r="A17" s="6" t="s">
        <v>9</v>
      </c>
      <c r="B17" s="6">
        <f>SUM(B4:B16)</f>
      </c>
    </row>
    <row r="22" spans="1:3" s="1" customFormat="1" x14ac:dyDescent="0.25">
      <c r="A22" s="2" t="s">
        <v>23</v>
      </c>
      <c r="B22" s="2"/>
      <c r="C22" s="2"/>
    </row>
    <row r="23" spans="1:3" s="3" customFormat="1" x14ac:dyDescent="0.25">
      <c r="A23" s="4" t="s">
        <v>0</v>
      </c>
      <c r="B23" s="4" t="s">
        <v>24</v>
      </c>
      <c r="C23" s="4" t="s">
        <v>25</v>
      </c>
    </row>
    <row r="24" spans="1:3" s="5" customFormat="1" x14ac:dyDescent="0.25">
      <c r="A24" s="7" t="s">
        <v>26</v>
      </c>
      <c r="B24" s="6" t="s">
        <v>27</v>
      </c>
      <c r="C24" s="6">
        <v>1</v>
      </c>
    </row>
    <row r="25" spans="1:3" s="5" customFormat="1" x14ac:dyDescent="0.25">
      <c r="A25" s="7" t="s">
        <v>26</v>
      </c>
      <c r="B25" s="6" t="s">
        <v>28</v>
      </c>
      <c r="C25" s="6">
        <v>2</v>
      </c>
    </row>
    <row r="26" spans="1:3" s="5" customFormat="1" x14ac:dyDescent="0.25">
      <c r="A26" s="7" t="s">
        <v>29</v>
      </c>
      <c r="B26" s="6" t="s">
        <v>28</v>
      </c>
      <c r="C26" s="6">
        <v>0</v>
      </c>
    </row>
    <row r="27" spans="1:3" s="5" customFormat="1" x14ac:dyDescent="0.25">
      <c r="A27" s="7" t="s">
        <v>29</v>
      </c>
      <c r="B27" s="6" t="s">
        <v>27</v>
      </c>
      <c r="C27" s="6">
        <v>0</v>
      </c>
    </row>
    <row r="28" spans="1:3" s="5" customFormat="1" x14ac:dyDescent="0.25">
      <c r="A28" s="7" t="s">
        <v>30</v>
      </c>
      <c r="B28" s="6" t="s">
        <v>31</v>
      </c>
      <c r="C28" s="6">
        <v>0</v>
      </c>
    </row>
    <row r="33" spans="1:2" s="1" customFormat="1" x14ac:dyDescent="0.25">
      <c r="A33" s="2" t="s">
        <v>32</v>
      </c>
      <c r="B33" s="2"/>
    </row>
    <row r="34" spans="1:2" s="3" customFormat="1" x14ac:dyDescent="0.25">
      <c r="A34" s="4" t="s">
        <v>8</v>
      </c>
      <c r="B34" s="4" t="s">
        <v>33</v>
      </c>
    </row>
    <row r="35" spans="1:2" s="5" customFormat="1" x14ac:dyDescent="0.25">
      <c r="A35" s="7" t="s">
        <v>34</v>
      </c>
      <c r="B35" s="6">
        <v>4</v>
      </c>
    </row>
    <row r="36" spans="1:2" s="5" customFormat="1" x14ac:dyDescent="0.25">
      <c r="A36" s="7" t="s">
        <v>35</v>
      </c>
      <c r="B36" s="6">
        <v>4</v>
      </c>
    </row>
    <row r="37" spans="1:2" s="5" customFormat="1" x14ac:dyDescent="0.25">
      <c r="A37" s="7" t="s">
        <v>36</v>
      </c>
      <c r="B37" s="6">
        <v>6</v>
      </c>
    </row>
    <row r="38" spans="1:2" s="5" customFormat="1" x14ac:dyDescent="0.25">
      <c r="A38" s="7" t="s">
        <v>37</v>
      </c>
      <c r="B38" s="6">
        <v>2</v>
      </c>
    </row>
    <row r="39" spans="1:2" s="5" customFormat="1" x14ac:dyDescent="0.25">
      <c r="A39" s="7" t="s">
        <v>38</v>
      </c>
      <c r="B39" s="6">
        <v>2</v>
      </c>
    </row>
    <row r="44" spans="1:7" s="1" customFormat="1" x14ac:dyDescent="0.25">
      <c r="A44" s="2" t="s">
        <v>39</v>
      </c>
      <c r="B44" s="2"/>
      <c r="C44" s="2"/>
      <c r="D44" s="2"/>
      <c r="E44" s="2"/>
      <c r="F44" s="2"/>
      <c r="G44" s="2"/>
    </row>
    <row r="45" spans="1:7" s="3" customFormat="1" x14ac:dyDescent="0.25">
      <c r="A45" s="4" t="s">
        <v>40</v>
      </c>
      <c r="B45" s="4" t="s">
        <v>41</v>
      </c>
      <c r="C45" s="4" t="s">
        <v>42</v>
      </c>
      <c r="D45" s="4" t="s">
        <v>43</v>
      </c>
      <c r="E45" s="4" t="s">
        <v>44</v>
      </c>
      <c r="F45" s="4" t="s">
        <v>45</v>
      </c>
      <c r="G45" s="4" t="s">
        <v>46</v>
      </c>
    </row>
    <row r="46" spans="1:7" s="5" customFormat="1" x14ac:dyDescent="0.25">
      <c r="A46" s="7" t="s">
        <v>47</v>
      </c>
      <c r="B46" s="6">
        <f>Round(IFERROR((SUM(C55)/ (SUM(C$24:C25) * 40))), 0)</f>
      </c>
      <c r="C46" s="6">
        <f>Round(IFERROR((SUM(C55)/ (SUM(C$24:C25) * 35))), 0)</f>
      </c>
      <c r="D46" s="6">
        <f>Round(IFERROR((SUM(D55)/ (SUM(C26:C27) * 40))), 0)</f>
      </c>
      <c r="E46" s="6">
        <f>Round(IFERROR((SUM(D55)/ (SUM(C26:C27) * 35))), 0)</f>
      </c>
      <c r="F46" s="6">
        <f>Round(IFERROR((SUM(E55:F55)/ (SUM(C28) * 40))), 0)</f>
      </c>
      <c r="G46" s="6">
        <f>Round(IFERROR((SUM(E55:F55)/ (SUM(C28) * 35))), 0)</f>
      </c>
    </row>
    <row r="51" spans="1:7" s="1" customFormat="1" x14ac:dyDescent="0.25">
      <c r="A51" s="2" t="s">
        <v>48</v>
      </c>
      <c r="B51" s="2"/>
      <c r="C51" s="2"/>
      <c r="D51" s="2"/>
      <c r="E51" s="2"/>
      <c r="F51" s="2"/>
      <c r="G51" s="2"/>
    </row>
    <row r="52" spans="1:7" s="3" customFormat="1" x14ac:dyDescent="0.25">
      <c r="A52" s="4" t="s">
        <v>0</v>
      </c>
      <c r="B52" s="4" t="s">
        <v>6</v>
      </c>
      <c r="C52" s="4" t="s">
        <v>49</v>
      </c>
      <c r="D52" s="4" t="s">
        <v>3</v>
      </c>
      <c r="E52" s="4" t="s">
        <v>2</v>
      </c>
      <c r="F52" s="4" t="s">
        <v>50</v>
      </c>
      <c r="G52" s="4" t="s">
        <v>1</v>
      </c>
    </row>
    <row r="53" spans="1:7" s="5" customFormat="1" x14ac:dyDescent="0.25">
      <c r="A53" s="7" t="s">
        <v>51</v>
      </c>
      <c r="B53" s="6" t="s">
        <v>52</v>
      </c>
      <c r="C53" s="6">
        <f>INDIRECT("'"&amp;B53&amp;"'!F18")</f>
      </c>
      <c r="D53" s="6">
        <f>INDIRECT("'"&amp;B53&amp;"'!F19")</f>
      </c>
      <c r="E53" s="6">
        <f>INDIRECT("'"&amp;B53&amp;"'!F12")</f>
      </c>
      <c r="F53" s="6">
        <f>INDIRECT("'"&amp;B53&amp;"'!F11")</f>
      </c>
      <c r="G53" s="6">
        <f>sum(C53:F53)</f>
      </c>
    </row>
    <row r="54" spans="1:7" s="5" customFormat="1" x14ac:dyDescent="0.25">
      <c r="A54" s="7" t="s">
        <v>53</v>
      </c>
      <c r="B54" s="6" t="s">
        <v>54</v>
      </c>
      <c r="C54" s="6">
        <f>INDIRECT("'"&amp;B54&amp;"'!F18")</f>
      </c>
      <c r="D54" s="6">
        <f>INDIRECT("'"&amp;B54&amp;"'!F19")</f>
      </c>
      <c r="E54" s="6">
        <f>INDIRECT("'"&amp;B54&amp;"'!F12")</f>
      </c>
      <c r="F54" s="6">
        <f>INDIRECT("'"&amp;B54&amp;"'!F11")</f>
      </c>
      <c r="G54" s="6">
        <f>sum(C54:F54)</f>
      </c>
    </row>
    <row r="55" spans="1:7" s="5" customFormat="1" x14ac:dyDescent="0.25">
      <c r="A55" s="8" t="s">
        <v>55</v>
      </c>
      <c r="B55" s="9" t="s">
        <v>56</v>
      </c>
      <c r="C55" s="9">
        <f>SUM(C48:C54)</f>
      </c>
      <c r="D55" s="9">
        <f>SUM(D48:D54)</f>
      </c>
      <c r="E55" s="9">
        <f>SUM(E48:E54)</f>
      </c>
      <c r="F55" s="9">
        <f>SUM(F48:F54)</f>
      </c>
      <c r="G55" s="9">
        <f>sum(C55:F55)</f>
      </c>
    </row>
  </sheetData>
  <mergeCells count="5">
    <mergeCell ref="A2:B2"/>
    <mergeCell ref="A22:C22"/>
    <mergeCell ref="A33:B33"/>
    <mergeCell ref="A44:G44"/>
    <mergeCell ref="A51:G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06"/>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6" customFormat="1" x14ac:dyDescent="0.25">
      <c r="A2" s="6" t="s">
        <v>82</v>
      </c>
      <c r="D2" s="6" t="s">
        <v>83</v>
      </c>
      <c r="E2" s="6"/>
      <c r="F2" s="6"/>
      <c r="G2" s="6"/>
      <c r="H2" s="6"/>
      <c r="I2" s="6"/>
      <c r="J2" s="6"/>
      <c r="K2" s="6" t="s">
        <v>84</v>
      </c>
      <c r="L2" s="6" t="s">
        <v>85</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v>0</v>
      </c>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21</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0</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0</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56</v>
      </c>
      <c r="AD2" s="6" t="s">
        <v>56</v>
      </c>
      <c r="AE2" s="6" t="s">
        <v>56</v>
      </c>
    </row>
    <row r="3" spans="1:31" s="6" customFormat="1" x14ac:dyDescent="0.25">
      <c r="A3" s="6" t="s">
        <v>86</v>
      </c>
      <c r="D3" s="6" t="s">
        <v>87</v>
      </c>
      <c r="E3" s="6"/>
      <c r="F3" s="6"/>
      <c r="G3" s="6"/>
      <c r="H3" s="6"/>
      <c r="I3" s="6"/>
      <c r="J3" s="6"/>
      <c r="K3" s="6" t="s">
        <v>84</v>
      </c>
      <c r="L3" s="6" t="s">
        <v>85</v>
      </c>
      <c r="M3" s="6"/>
      <c r="N3" s="6"/>
      <c r="O3" s="6"/>
      <c r="P3" s="6"/>
      <c r="Q3" s="11">
        <v>0</v>
      </c>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v>0</v>
      </c>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5</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0</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0</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56</v>
      </c>
      <c r="AD3" s="6" t="s">
        <v>56</v>
      </c>
      <c r="AE3" s="6" t="s">
        <v>56</v>
      </c>
    </row>
    <row r="4" spans="1:31" s="6" customFormat="1" x14ac:dyDescent="0.25">
      <c r="A4" s="6" t="s">
        <v>88</v>
      </c>
      <c r="B4" s="6" t="s">
        <v>89</v>
      </c>
      <c r="C4" s="6" t="s">
        <v>90</v>
      </c>
      <c r="D4" s="6" t="s">
        <v>91</v>
      </c>
      <c r="E4" s="6"/>
      <c r="F4" s="6" t="s">
        <v>92</v>
      </c>
      <c r="G4" s="6"/>
      <c r="H4" s="6"/>
      <c r="I4" s="6"/>
      <c r="J4" s="6"/>
      <c r="K4" s="6" t="s">
        <v>84</v>
      </c>
      <c r="L4" s="6" t="s">
        <v>85</v>
      </c>
      <c r="M4" s="6"/>
      <c r="N4" s="6"/>
      <c r="O4" s="6"/>
      <c r="P4" s="6"/>
      <c r="Q4" s="11">
        <v>0</v>
      </c>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v>0</v>
      </c>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5</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3</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0</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56</v>
      </c>
      <c r="AD4" s="6" t="s">
        <v>56</v>
      </c>
      <c r="AE4" s="6" t="s">
        <v>56</v>
      </c>
    </row>
    <row r="5" spans="1:31" s="6" customFormat="1" x14ac:dyDescent="0.25">
      <c r="A5" s="6" t="s">
        <v>88</v>
      </c>
      <c r="B5" s="6" t="s">
        <v>89</v>
      </c>
      <c r="C5" s="6" t="s">
        <v>93</v>
      </c>
      <c r="D5" s="6" t="s">
        <v>94</v>
      </c>
      <c r="E5" s="6"/>
      <c r="F5" s="6"/>
      <c r="G5" s="6"/>
      <c r="H5" s="6"/>
      <c r="I5" s="6"/>
      <c r="J5" s="6"/>
      <c r="K5" s="6" t="s">
        <v>84</v>
      </c>
      <c r="L5" s="6" t="s">
        <v>85</v>
      </c>
      <c r="M5" s="6"/>
      <c r="N5" s="6"/>
      <c r="O5" s="6"/>
      <c r="P5" s="6"/>
      <c r="Q5" s="11">
        <v>0</v>
      </c>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v>0</v>
      </c>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3</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0</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0</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56</v>
      </c>
      <c r="AD5" s="6" t="s">
        <v>56</v>
      </c>
      <c r="AE5" s="6" t="s">
        <v>56</v>
      </c>
    </row>
    <row r="6" spans="1:31" s="6" customFormat="1" x14ac:dyDescent="0.25">
      <c r="A6" s="6" t="s">
        <v>88</v>
      </c>
      <c r="B6" s="6" t="s">
        <v>89</v>
      </c>
      <c r="C6" s="6" t="s">
        <v>95</v>
      </c>
      <c r="D6" s="6" t="s">
        <v>96</v>
      </c>
      <c r="E6" s="6"/>
      <c r="F6" s="6"/>
      <c r="G6" s="6"/>
      <c r="H6" s="6"/>
      <c r="I6" s="6"/>
      <c r="J6" s="6"/>
      <c r="K6" s="6" t="s">
        <v>84</v>
      </c>
      <c r="L6" s="6" t="s">
        <v>85</v>
      </c>
      <c r="M6" s="6"/>
      <c r="N6" s="6"/>
      <c r="O6" s="6"/>
      <c r="P6" s="6"/>
      <c r="Q6" s="11">
        <v>0</v>
      </c>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v>0</v>
      </c>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5</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3</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0</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56</v>
      </c>
      <c r="AD6" s="6" t="s">
        <v>56</v>
      </c>
      <c r="AE6" s="6" t="s">
        <v>56</v>
      </c>
    </row>
    <row r="7" spans="1:31" s="6" customFormat="1" x14ac:dyDescent="0.25">
      <c r="A7" s="6" t="s">
        <v>88</v>
      </c>
      <c r="B7" s="6" t="s">
        <v>97</v>
      </c>
      <c r="C7" s="6" t="s">
        <v>98</v>
      </c>
      <c r="D7" s="6"/>
      <c r="E7" s="6"/>
      <c r="F7" s="6"/>
      <c r="G7" s="6"/>
      <c r="H7" s="6"/>
      <c r="I7" s="6"/>
      <c r="J7" s="6"/>
      <c r="K7" s="6" t="s">
        <v>84</v>
      </c>
      <c r="L7" s="6" t="s">
        <v>85</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2</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3</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0</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56</v>
      </c>
      <c r="AD7" s="6" t="s">
        <v>56</v>
      </c>
      <c r="AE7" s="6" t="s">
        <v>56</v>
      </c>
    </row>
    <row r="8" spans="1:31" s="6" customFormat="1" x14ac:dyDescent="0.25">
      <c r="A8" s="6" t="s">
        <v>88</v>
      </c>
      <c r="B8" s="6" t="s">
        <v>97</v>
      </c>
      <c r="C8" s="6" t="s">
        <v>99</v>
      </c>
      <c r="D8" s="6" t="s">
        <v>56</v>
      </c>
      <c r="E8" s="6"/>
      <c r="F8" s="6" t="s">
        <v>100</v>
      </c>
      <c r="G8" s="6"/>
      <c r="H8" s="6"/>
      <c r="I8" s="6"/>
      <c r="J8" s="6"/>
      <c r="K8" s="6" t="s">
        <v>84</v>
      </c>
      <c r="L8" s="6" t="s">
        <v>85</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2</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5</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0</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56</v>
      </c>
      <c r="AD8" s="6" t="s">
        <v>56</v>
      </c>
      <c r="AE8" s="6" t="s">
        <v>56</v>
      </c>
    </row>
    <row r="9" spans="1:31" s="6" customFormat="1" x14ac:dyDescent="0.25">
      <c r="A9" s="6" t="s">
        <v>88</v>
      </c>
      <c r="B9" s="6" t="s">
        <v>97</v>
      </c>
      <c r="C9" s="6" t="s">
        <v>101</v>
      </c>
      <c r="D9" s="6"/>
      <c r="E9" s="6"/>
      <c r="F9" s="6"/>
      <c r="G9" s="6"/>
      <c r="H9" s="6"/>
      <c r="I9" s="6"/>
      <c r="J9" s="6"/>
      <c r="K9" s="6" t="s">
        <v>84</v>
      </c>
      <c r="L9" s="6" t="s">
        <v>85</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2</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21</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56</v>
      </c>
      <c r="AD9" s="6" t="s">
        <v>56</v>
      </c>
      <c r="AE9" s="6" t="s">
        <v>56</v>
      </c>
    </row>
    <row r="10" spans="1:31" s="6" customFormat="1" x14ac:dyDescent="0.25">
      <c r="A10" s="6" t="s">
        <v>88</v>
      </c>
      <c r="B10" s="6" t="s">
        <v>102</v>
      </c>
      <c r="D10" s="6" t="s">
        <v>103</v>
      </c>
      <c r="E10" s="6"/>
      <c r="F10" s="6"/>
      <c r="G10" s="6"/>
      <c r="H10" s="6"/>
      <c r="I10" s="6"/>
      <c r="J10" s="6"/>
      <c r="K10" s="6" t="s">
        <v>84</v>
      </c>
      <c r="L10" s="6" t="s">
        <v>85</v>
      </c>
      <c r="M10" s="6"/>
      <c r="N10" s="6"/>
      <c r="O10" s="6"/>
      <c r="P10" s="6"/>
      <c r="Q10" s="11">
        <v>0</v>
      </c>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v>0</v>
      </c>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0</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5</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0</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56</v>
      </c>
      <c r="AD10" s="6" t="s">
        <v>56</v>
      </c>
      <c r="AE10" s="6" t="s">
        <v>56</v>
      </c>
    </row>
    <row r="11" spans="1:31" s="6" customFormat="1" x14ac:dyDescent="0.25">
      <c r="A11" s="6" t="s">
        <v>104</v>
      </c>
      <c r="D11" s="6"/>
      <c r="E11" s="6"/>
      <c r="F11" s="6"/>
      <c r="G11" s="6"/>
      <c r="H11" s="6"/>
      <c r="I11" s="6"/>
      <c r="J11" s="6"/>
      <c r="K11" s="6" t="s">
        <v>84</v>
      </c>
      <c r="L11" s="6" t="s">
        <v>85</v>
      </c>
      <c r="M11" s="6"/>
      <c r="N11" s="6"/>
      <c r="O11" s="6"/>
      <c r="P11" s="6"/>
      <c r="Q11" s="11">
        <v>0</v>
      </c>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v>0</v>
      </c>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8</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0</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0</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56</v>
      </c>
      <c r="AD11" s="6" t="s">
        <v>56</v>
      </c>
      <c r="AE11" s="6" t="s">
        <v>56</v>
      </c>
    </row>
    <row r="12" spans="1:31" s="6" customFormat="1" x14ac:dyDescent="0.25">
      <c r="A12" s="6" t="s">
        <v>105</v>
      </c>
      <c r="B12" s="6" t="s">
        <v>106</v>
      </c>
      <c r="C12" s="6" t="s">
        <v>107</v>
      </c>
      <c r="D12" s="6"/>
      <c r="E12" s="6"/>
      <c r="F12" s="6" t="s">
        <v>108</v>
      </c>
      <c r="G12" s="6"/>
      <c r="H12" s="6"/>
      <c r="I12" s="6"/>
      <c r="J12" s="6"/>
      <c r="K12" s="6" t="s">
        <v>84</v>
      </c>
      <c r="L12" s="6" t="s">
        <v>85</v>
      </c>
      <c r="M12" s="6"/>
      <c r="N12" s="6"/>
      <c r="O12" s="6"/>
      <c r="P12" s="6"/>
      <c r="Q12" s="11">
        <v>0</v>
      </c>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v>0</v>
      </c>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21</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3</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0</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56</v>
      </c>
      <c r="AD12" s="6" t="s">
        <v>56</v>
      </c>
      <c r="AE12" s="6" t="s">
        <v>56</v>
      </c>
    </row>
    <row r="13" spans="1:31" s="6" customFormat="1" x14ac:dyDescent="0.25">
      <c r="A13" s="6" t="s">
        <v>105</v>
      </c>
      <c r="B13" s="6" t="s">
        <v>106</v>
      </c>
      <c r="C13" s="6" t="s">
        <v>109</v>
      </c>
      <c r="D13" s="6"/>
      <c r="E13" s="6"/>
      <c r="F13" s="6"/>
      <c r="G13" s="6"/>
      <c r="H13" s="6"/>
      <c r="I13" s="6"/>
      <c r="J13" s="6"/>
      <c r="K13" s="6" t="s">
        <v>84</v>
      </c>
      <c r="L13" s="6" t="s">
        <v>85</v>
      </c>
      <c r="M13" s="6"/>
      <c r="N13" s="6"/>
      <c r="O13" s="6"/>
      <c r="P13" s="6"/>
      <c r="Q13" s="11">
        <v>0</v>
      </c>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v>0</v>
      </c>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2</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0</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0</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56</v>
      </c>
      <c r="AD13" s="6" t="s">
        <v>56</v>
      </c>
      <c r="AE13" s="6" t="s">
        <v>56</v>
      </c>
    </row>
    <row r="14" spans="1:31" s="6" customFormat="1" x14ac:dyDescent="0.25">
      <c r="A14" s="6" t="s">
        <v>105</v>
      </c>
      <c r="B14" s="6" t="s">
        <v>106</v>
      </c>
      <c r="C14" s="6" t="s">
        <v>110</v>
      </c>
      <c r="D14" s="6"/>
      <c r="E14" s="6"/>
      <c r="F14" s="6"/>
      <c r="G14" s="6"/>
      <c r="H14" s="6"/>
      <c r="I14" s="6"/>
      <c r="J14" s="6"/>
      <c r="K14" s="6" t="s">
        <v>84</v>
      </c>
      <c r="L14" s="6" t="s">
        <v>85</v>
      </c>
      <c r="M14" s="6"/>
      <c r="N14" s="6"/>
      <c r="O14" s="6"/>
      <c r="P14" s="6"/>
      <c r="Q14" s="11">
        <v>0</v>
      </c>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v>0</v>
      </c>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2</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0</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0</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56</v>
      </c>
      <c r="AD14" s="6" t="s">
        <v>56</v>
      </c>
      <c r="AE14" s="6" t="s">
        <v>56</v>
      </c>
    </row>
    <row r="15" spans="1:31" s="6" customFormat="1" x14ac:dyDescent="0.25">
      <c r="A15" s="6" t="s">
        <v>105</v>
      </c>
      <c r="B15" s="6" t="s">
        <v>106</v>
      </c>
      <c r="C15" s="6" t="s">
        <v>111</v>
      </c>
      <c r="D15" s="6"/>
      <c r="E15" s="6"/>
      <c r="F15" s="6"/>
      <c r="G15" s="6"/>
      <c r="H15" s="6"/>
      <c r="I15" s="6"/>
      <c r="J15" s="6"/>
      <c r="K15" s="6" t="s">
        <v>84</v>
      </c>
      <c r="L15" s="6" t="s">
        <v>85</v>
      </c>
      <c r="M15" s="6"/>
      <c r="N15" s="6"/>
      <c r="O15" s="6"/>
      <c r="P15" s="6"/>
      <c r="Q15" s="11">
        <v>0</v>
      </c>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v>0</v>
      </c>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2</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0</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0</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56</v>
      </c>
      <c r="AD15" s="6" t="s">
        <v>56</v>
      </c>
      <c r="AE15" s="6" t="s">
        <v>56</v>
      </c>
    </row>
    <row r="16" spans="1:31" s="6" customFormat="1" x14ac:dyDescent="0.25">
      <c r="A16" s="6" t="s">
        <v>105</v>
      </c>
      <c r="B16" s="6" t="s">
        <v>112</v>
      </c>
      <c r="D16" s="6" t="s">
        <v>113</v>
      </c>
      <c r="E16" s="6"/>
      <c r="F16" s="6"/>
      <c r="G16" s="6"/>
      <c r="H16" s="6"/>
      <c r="I16" s="6"/>
      <c r="J16" s="6"/>
      <c r="K16" s="6" t="s">
        <v>84</v>
      </c>
      <c r="L16" s="6" t="s">
        <v>85</v>
      </c>
      <c r="M16" s="6"/>
      <c r="N16" s="6"/>
      <c r="O16" s="6"/>
      <c r="P16" s="6"/>
      <c r="Q16" s="11">
        <v>0</v>
      </c>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v>0</v>
      </c>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2</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3</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0</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56</v>
      </c>
      <c r="AD16" s="6" t="s">
        <v>56</v>
      </c>
      <c r="AE16" s="6" t="s">
        <v>56</v>
      </c>
    </row>
    <row r="17" spans="1:31" s="6" customFormat="1" x14ac:dyDescent="0.25">
      <c r="A17" s="6" t="s">
        <v>114</v>
      </c>
      <c r="B17" s="6" t="s">
        <v>115</v>
      </c>
      <c r="D17" s="6" t="s">
        <v>116</v>
      </c>
      <c r="E17" s="6"/>
      <c r="F17" s="6"/>
      <c r="G17" s="6"/>
      <c r="H17" s="6"/>
      <c r="I17" s="6"/>
      <c r="J17" s="6"/>
      <c r="K17" s="6" t="s">
        <v>84</v>
      </c>
      <c r="L17" s="6" t="s">
        <v>85</v>
      </c>
      <c r="M17" s="6"/>
      <c r="N17" s="6"/>
      <c r="O17" s="6"/>
      <c r="P17" s="6"/>
      <c r="Q17" s="11">
        <v>0</v>
      </c>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v>0</v>
      </c>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2</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0</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0</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56</v>
      </c>
      <c r="AD17" s="6" t="s">
        <v>56</v>
      </c>
      <c r="AE17" s="6" t="s">
        <v>56</v>
      </c>
    </row>
    <row r="18" spans="1:31" s="13" customFormat="1" x14ac:dyDescent="0.25">
      <c r="A18" s="13" t="s">
        <v>114</v>
      </c>
      <c r="B18" s="13" t="s">
        <v>117</v>
      </c>
      <c r="D18" s="13"/>
      <c r="E18" s="13"/>
      <c r="F18" s="13"/>
      <c r="G18" s="13"/>
      <c r="H18" s="13"/>
      <c r="I18" s="13"/>
      <c r="J18" s="13"/>
      <c r="K18" s="13" t="s">
        <v>84</v>
      </c>
      <c r="L18" s="13" t="s">
        <v>85</v>
      </c>
      <c r="M18" s="13"/>
      <c r="N18" s="13"/>
      <c r="O18" s="13"/>
      <c r="P18" s="13"/>
      <c r="Q18" s="13">
        <v>1</v>
      </c>
      <c r="R18" s="13">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3">
        <v>1</v>
      </c>
      <c r="T18" s="13">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3">
        <v>13</v>
      </c>
      <c r="V18" s="13">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3">
        <v>3</v>
      </c>
      <c r="X18" s="13">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3">
        <v>5</v>
      </c>
      <c r="Z18" s="13">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13">
        <f>SUM(V18,X18,Z18)</f>
      </c>
      <c r="AB18" s="13">
        <f>
      Ifs( 
        ISBETWEEN(AA18, 0, 'Points-Table'!C$20, TRUE, False), 'Points-Table'!A$20,
        ISBETWEEN(AA18, 'Points-Table'!C$20, 'Points-Table'!C$21, TRUE, False), 'Points-Table'!A$21,
        ISBETWEEN(AA18, 'Points-Table'!C$22, 10000, TRUE, TRUE), 'Points-Table'!A$22,
        true, 
        0)
      </f>
      </c>
      <c r="AC18" s="13" t="s">
        <v>56</v>
      </c>
      <c r="AD18" s="13" t="s">
        <v>56</v>
      </c>
      <c r="AE18" s="13" t="s">
        <v>56</v>
      </c>
    </row>
    <row r="19" spans="1:31" s="13" customFormat="1" x14ac:dyDescent="0.25">
      <c r="A19" s="13" t="s">
        <v>114</v>
      </c>
      <c r="B19" s="13" t="s">
        <v>118</v>
      </c>
      <c r="D19" s="13"/>
      <c r="E19" s="13"/>
      <c r="F19" s="13"/>
      <c r="G19" s="13"/>
      <c r="H19" s="13"/>
      <c r="I19" s="13"/>
      <c r="J19" s="13"/>
      <c r="K19" s="13" t="s">
        <v>84</v>
      </c>
      <c r="L19" s="13" t="s">
        <v>85</v>
      </c>
      <c r="M19" s="13"/>
      <c r="N19" s="13"/>
      <c r="O19" s="13"/>
      <c r="P19" s="13"/>
      <c r="Q19" s="13">
        <v>2</v>
      </c>
      <c r="R19" s="13">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3">
        <v>3</v>
      </c>
      <c r="T19" s="13">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3">
        <v>0</v>
      </c>
      <c r="V19" s="13">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3">
        <v>0</v>
      </c>
      <c r="X19" s="13">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3">
        <v>0</v>
      </c>
      <c r="Z19" s="13">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13">
        <f>SUM(V19,X19,Z19)</f>
      </c>
      <c r="AB19" s="13">
        <f>
      Ifs( 
        ISBETWEEN(AA19, 0, 'Points-Table'!C$20, TRUE, False), 'Points-Table'!A$20,
        ISBETWEEN(AA19, 'Points-Table'!C$20, 'Points-Table'!C$21, TRUE, False), 'Points-Table'!A$21,
        ISBETWEEN(AA19, 'Points-Table'!C$22, 10000, TRUE, TRUE), 'Points-Table'!A$22,
        true, 
        0)
      </f>
      </c>
      <c r="AC19" s="13" t="s">
        <v>56</v>
      </c>
      <c r="AD19" s="13" t="s">
        <v>56</v>
      </c>
      <c r="AE19" s="13" t="s">
        <v>56</v>
      </c>
    </row>
    <row r="20" spans="1:31" s="6" customFormat="1" x14ac:dyDescent="0.25">
      <c r="A20" s="6" t="s">
        <v>114</v>
      </c>
      <c r="B20" s="6" t="s">
        <v>119</v>
      </c>
      <c r="D20" s="6"/>
      <c r="E20" s="6"/>
      <c r="F20" s="6"/>
      <c r="G20" s="6"/>
      <c r="H20" s="6"/>
      <c r="I20" s="6"/>
      <c r="J20" s="6"/>
      <c r="K20" s="6" t="s">
        <v>84</v>
      </c>
      <c r="L20" s="6" t="s">
        <v>85</v>
      </c>
      <c r="M20" s="6"/>
      <c r="N20" s="6"/>
      <c r="O20" s="6"/>
      <c r="P20" s="6"/>
      <c r="Q20" s="11">
        <v>0</v>
      </c>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v>0</v>
      </c>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5</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3</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0</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56</v>
      </c>
      <c r="AD20" s="6" t="s">
        <v>56</v>
      </c>
      <c r="AE20" s="6" t="s">
        <v>56</v>
      </c>
    </row>
    <row r="21" spans="1:31" s="6" customFormat="1" x14ac:dyDescent="0.25">
      <c r="A21" s="6" t="s">
        <v>114</v>
      </c>
      <c r="B21" s="6" t="s">
        <v>120</v>
      </c>
      <c r="D21" s="6"/>
      <c r="E21" s="6"/>
      <c r="F21" s="6"/>
      <c r="G21" s="6"/>
      <c r="H21" s="6"/>
      <c r="I21" s="6"/>
      <c r="J21" s="6"/>
      <c r="K21" s="6"/>
      <c r="L21" s="6" t="s">
        <v>85</v>
      </c>
      <c r="M21" s="6"/>
      <c r="N21" s="6"/>
      <c r="O21" s="6"/>
      <c r="P21" s="6"/>
      <c r="Q21" s="11"/>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3</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2</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0</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56</v>
      </c>
      <c r="AD21" s="6" t="s">
        <v>56</v>
      </c>
      <c r="AE21" s="6" t="s">
        <v>56</v>
      </c>
    </row>
    <row r="22" spans="1:31" s="6" customFormat="1" x14ac:dyDescent="0.25">
      <c r="A22" s="6" t="s">
        <v>114</v>
      </c>
      <c r="B22" s="6" t="s">
        <v>121</v>
      </c>
      <c r="D22" s="6"/>
      <c r="E22" s="6"/>
      <c r="F22" s="6"/>
      <c r="G22" s="6"/>
      <c r="H22" s="6"/>
      <c r="I22" s="6"/>
      <c r="J22" s="6"/>
      <c r="K22" s="6"/>
      <c r="L22" s="6" t="s">
        <v>85</v>
      </c>
      <c r="M22" s="6"/>
      <c r="N22" s="6"/>
      <c r="O22" s="6"/>
      <c r="P22" s="6"/>
      <c r="Q22" s="11"/>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3</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2</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0</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56</v>
      </c>
      <c r="AD22" s="6" t="s">
        <v>56</v>
      </c>
      <c r="AE22" s="6" t="s">
        <v>56</v>
      </c>
    </row>
    <row r="23" spans="1:31" s="6" customFormat="1" x14ac:dyDescent="0.25">
      <c r="A23" s="6" t="s">
        <v>114</v>
      </c>
      <c r="B23" s="6" t="s">
        <v>122</v>
      </c>
      <c r="D23" s="6"/>
      <c r="E23" s="6"/>
      <c r="F23" s="6"/>
      <c r="G23" s="6"/>
      <c r="H23" s="6"/>
      <c r="I23" s="6"/>
      <c r="J23" s="6"/>
      <c r="K23" s="6"/>
      <c r="L23" s="6" t="s">
        <v>85</v>
      </c>
      <c r="M23" s="6"/>
      <c r="N23" s="6"/>
      <c r="O23" s="6"/>
      <c r="P23" s="6"/>
      <c r="Q23" s="11"/>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3</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2</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0</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56</v>
      </c>
      <c r="AD23" s="6" t="s">
        <v>56</v>
      </c>
      <c r="AE23" s="6" t="s">
        <v>56</v>
      </c>
    </row>
    <row r="24" spans="1:31" s="6" customFormat="1" x14ac:dyDescent="0.25">
      <c r="A24" s="6" t="s">
        <v>114</v>
      </c>
      <c r="B24" s="6" t="s">
        <v>123</v>
      </c>
      <c r="C24" s="6" t="s">
        <v>124</v>
      </c>
      <c r="D24" s="6"/>
      <c r="E24" s="6"/>
      <c r="F24" s="6"/>
      <c r="G24" s="6"/>
      <c r="H24" s="6"/>
      <c r="I24" s="6"/>
      <c r="J24" s="6"/>
      <c r="K24" s="6" t="s">
        <v>84</v>
      </c>
      <c r="L24" s="6" t="s">
        <v>85</v>
      </c>
      <c r="M24" s="6"/>
      <c r="N24" s="6"/>
      <c r="O24" s="6"/>
      <c r="P24" s="6"/>
      <c r="Q24" s="11">
        <v>0</v>
      </c>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v>0</v>
      </c>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2</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2</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56</v>
      </c>
      <c r="AD24" s="6" t="s">
        <v>56</v>
      </c>
      <c r="AE24" s="6" t="s">
        <v>56</v>
      </c>
    </row>
    <row r="25" spans="1:31" s="6" customFormat="1" x14ac:dyDescent="0.25">
      <c r="A25" s="6" t="s">
        <v>114</v>
      </c>
      <c r="B25" s="6" t="s">
        <v>123</v>
      </c>
      <c r="C25" s="6" t="s">
        <v>125</v>
      </c>
      <c r="D25" s="6"/>
      <c r="E25" s="6"/>
      <c r="F25" s="6" t="s">
        <v>126</v>
      </c>
      <c r="G25" s="6"/>
      <c r="H25" s="6"/>
      <c r="I25" s="6"/>
      <c r="J25" s="6"/>
      <c r="K25" s="6" t="s">
        <v>84</v>
      </c>
      <c r="L25" s="6" t="s">
        <v>85</v>
      </c>
      <c r="M25" s="6"/>
      <c r="N25" s="6"/>
      <c r="O25" s="6"/>
      <c r="P25" s="6"/>
      <c r="Q25" s="11">
        <v>0</v>
      </c>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v>0</v>
      </c>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3</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3</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56</v>
      </c>
      <c r="AD25" s="6" t="s">
        <v>56</v>
      </c>
      <c r="AE25" s="6" t="s">
        <v>56</v>
      </c>
    </row>
    <row r="26" spans="1:31" s="6" customFormat="1" x14ac:dyDescent="0.25">
      <c r="A26" s="6" t="s">
        <v>127</v>
      </c>
      <c r="B26" s="6" t="s">
        <v>128</v>
      </c>
      <c r="C26" s="6" t="s">
        <v>129</v>
      </c>
      <c r="D26" s="6" t="s">
        <v>130</v>
      </c>
      <c r="E26" s="6"/>
      <c r="F26" s="6"/>
      <c r="G26" s="6"/>
      <c r="H26" s="6"/>
      <c r="I26" s="6"/>
      <c r="J26" s="6"/>
      <c r="K26" s="6" t="s">
        <v>84</v>
      </c>
      <c r="L26" s="6" t="s">
        <v>85</v>
      </c>
      <c r="M26" s="6"/>
      <c r="N26" s="6"/>
      <c r="O26" s="6"/>
      <c r="P26" s="6"/>
      <c r="Q26" s="11">
        <v>0</v>
      </c>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v>0</v>
      </c>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8</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0</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0</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56</v>
      </c>
      <c r="AD26" s="6" t="s">
        <v>56</v>
      </c>
      <c r="AE26" s="6" t="s">
        <v>56</v>
      </c>
    </row>
    <row r="27" spans="1:31" s="6" customFormat="1" x14ac:dyDescent="0.25">
      <c r="A27" s="6" t="s">
        <v>127</v>
      </c>
      <c r="B27" s="6" t="s">
        <v>131</v>
      </c>
      <c r="D27" s="6" t="s">
        <v>132</v>
      </c>
      <c r="E27" s="6"/>
      <c r="F27" s="6"/>
      <c r="G27" s="6"/>
      <c r="H27" s="6"/>
      <c r="I27" s="6"/>
      <c r="J27" s="6"/>
      <c r="K27" s="6" t="s">
        <v>84</v>
      </c>
      <c r="L27" s="6" t="s">
        <v>85</v>
      </c>
      <c r="M27" s="6"/>
      <c r="N27" s="6"/>
      <c r="O27" s="6"/>
      <c r="P27" s="6"/>
      <c r="Q27" s="11">
        <v>0</v>
      </c>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v>0</v>
      </c>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21</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3</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0</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56</v>
      </c>
      <c r="AD27" s="6" t="s">
        <v>56</v>
      </c>
      <c r="AE27" s="6" t="s">
        <v>56</v>
      </c>
    </row>
    <row r="28" spans="1:31" s="6" customFormat="1" x14ac:dyDescent="0.25">
      <c r="A28" s="6" t="s">
        <v>127</v>
      </c>
      <c r="B28" s="6" t="s">
        <v>133</v>
      </c>
      <c r="C28" s="6" t="s">
        <v>134</v>
      </c>
      <c r="D28" s="6" t="s">
        <v>135</v>
      </c>
      <c r="E28" s="6"/>
      <c r="F28" s="6"/>
      <c r="G28" s="6"/>
      <c r="H28" s="6"/>
      <c r="I28" s="6"/>
      <c r="J28" s="6"/>
      <c r="K28" s="6" t="s">
        <v>84</v>
      </c>
      <c r="L28" s="6" t="s">
        <v>85</v>
      </c>
      <c r="M28" s="6"/>
      <c r="N28" s="6"/>
      <c r="O28" s="6"/>
      <c r="P28" s="6"/>
      <c r="Q28" s="11">
        <v>0</v>
      </c>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v>0</v>
      </c>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5</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3</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0</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56</v>
      </c>
      <c r="AD28" s="6" t="s">
        <v>56</v>
      </c>
      <c r="AE28" s="6" t="s">
        <v>56</v>
      </c>
    </row>
    <row r="29" spans="1:31" s="6" customFormat="1" x14ac:dyDescent="0.25">
      <c r="A29" s="6" t="s">
        <v>136</v>
      </c>
      <c r="B29" s="6" t="s">
        <v>137</v>
      </c>
      <c r="D29" s="6"/>
      <c r="E29" s="6"/>
      <c r="F29" s="6"/>
      <c r="G29" s="6"/>
      <c r="H29" s="6"/>
      <c r="I29" s="6"/>
      <c r="J29" s="6"/>
      <c r="K29" s="6" t="s">
        <v>84</v>
      </c>
      <c r="L29" s="6" t="s">
        <v>85</v>
      </c>
      <c r="M29" s="6"/>
      <c r="N29" s="6"/>
      <c r="O29" s="6"/>
      <c r="P29" s="6"/>
      <c r="Q29" s="11"/>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8</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3</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0</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56</v>
      </c>
      <c r="AD29" s="6" t="s">
        <v>56</v>
      </c>
      <c r="AE29" s="6" t="s">
        <v>56</v>
      </c>
    </row>
    <row r="30" spans="1:31" s="6" customFormat="1" x14ac:dyDescent="0.25">
      <c r="A30" s="6" t="s">
        <v>136</v>
      </c>
      <c r="B30" s="6" t="s">
        <v>138</v>
      </c>
      <c r="D30" s="6"/>
      <c r="E30" s="6"/>
      <c r="F30" s="6"/>
      <c r="G30" s="6"/>
      <c r="H30" s="6"/>
      <c r="I30" s="6"/>
      <c r="J30" s="6"/>
      <c r="K30" s="6" t="s">
        <v>84</v>
      </c>
      <c r="L30" s="6" t="s">
        <v>85</v>
      </c>
      <c r="M30" s="6"/>
      <c r="N30" s="6"/>
      <c r="O30" s="6"/>
      <c r="P30" s="6"/>
      <c r="Q30" s="11"/>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3</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2</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0</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56</v>
      </c>
      <c r="AD30" s="6" t="s">
        <v>56</v>
      </c>
      <c r="AE30" s="6" t="s">
        <v>56</v>
      </c>
    </row>
    <row r="31" spans="1:31" s="6" customFormat="1" x14ac:dyDescent="0.25">
      <c r="A31" s="6" t="s">
        <v>136</v>
      </c>
      <c r="B31" s="6" t="s">
        <v>139</v>
      </c>
      <c r="D31" s="6"/>
      <c r="E31" s="6"/>
      <c r="F31" s="6"/>
      <c r="G31" s="6"/>
      <c r="H31" s="6"/>
      <c r="I31" s="6"/>
      <c r="J31" s="6"/>
      <c r="K31" s="6" t="s">
        <v>84</v>
      </c>
      <c r="L31" s="6" t="s">
        <v>85</v>
      </c>
      <c r="M31" s="6"/>
      <c r="N31" s="6"/>
      <c r="O31" s="6"/>
      <c r="P31" s="6"/>
      <c r="Q31" s="11"/>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3</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2</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0</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56</v>
      </c>
      <c r="AD31" s="6" t="s">
        <v>56</v>
      </c>
      <c r="AE31" s="6" t="s">
        <v>56</v>
      </c>
    </row>
    <row r="32" spans="1:31" s="6" customFormat="1" x14ac:dyDescent="0.25">
      <c r="A32" s="6" t="s">
        <v>136</v>
      </c>
      <c r="B32" s="6" t="s">
        <v>140</v>
      </c>
      <c r="D32" s="6"/>
      <c r="E32" s="6"/>
      <c r="F32" s="6"/>
      <c r="G32" s="6"/>
      <c r="H32" s="6"/>
      <c r="I32" s="6"/>
      <c r="J32" s="6"/>
      <c r="K32" s="6" t="s">
        <v>84</v>
      </c>
      <c r="L32" s="6" t="s">
        <v>85</v>
      </c>
      <c r="M32" s="6"/>
      <c r="N32" s="6"/>
      <c r="O32" s="6"/>
      <c r="P32" s="6"/>
      <c r="Q32" s="11"/>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3</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2</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0</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56</v>
      </c>
      <c r="AD32" s="6" t="s">
        <v>56</v>
      </c>
      <c r="AE32" s="6" t="s">
        <v>56</v>
      </c>
    </row>
    <row r="33" spans="1:31" s="6" customFormat="1" x14ac:dyDescent="0.25">
      <c r="A33" s="6" t="s">
        <v>141</v>
      </c>
      <c r="B33" s="6" t="s">
        <v>142</v>
      </c>
      <c r="D33" s="6"/>
      <c r="E33" s="6"/>
      <c r="F33" s="6"/>
      <c r="G33" s="6"/>
      <c r="H33" s="6"/>
      <c r="I33" s="6"/>
      <c r="J33" s="6"/>
      <c r="K33" s="6" t="s">
        <v>84</v>
      </c>
      <c r="L33" s="6" t="s">
        <v>85</v>
      </c>
      <c r="M33" s="6"/>
      <c r="N33" s="6"/>
      <c r="O33" s="6"/>
      <c r="P33" s="6"/>
      <c r="Q33" s="11"/>
      <c r="R33" s="12">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1"/>
      <c r="T33" s="12">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1">
        <v>5</v>
      </c>
      <c r="V33" s="12">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1">
        <v>3</v>
      </c>
      <c r="X33" s="12">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1"/>
      <c r="Z33" s="12">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6">
        <f>SUM(V33,X33,Z33)</f>
      </c>
      <c r="AB33" s="6">
        <f>
      Ifs( 
        ISBETWEEN(AA33, 0, 'Points-Table'!C$20, TRUE, False), 'Points-Table'!A$20,
        ISBETWEEN(AA33, 'Points-Table'!C$20, 'Points-Table'!C$21, TRUE, False), 'Points-Table'!A$21,
        ISBETWEEN(AA33, 'Points-Table'!C$22, 10000, TRUE, TRUE), 'Points-Table'!A$22,
        true, 
        0)
      </f>
      </c>
      <c r="AC33" s="6" t="s">
        <v>56</v>
      </c>
      <c r="AD33" s="6" t="s">
        <v>56</v>
      </c>
      <c r="AE33" s="6" t="s">
        <v>56</v>
      </c>
    </row>
    <row r="34" spans="1:31" s="6" customFormat="1" x14ac:dyDescent="0.25">
      <c r="A34" s="6" t="s">
        <v>141</v>
      </c>
      <c r="B34" s="6" t="s">
        <v>143</v>
      </c>
      <c r="D34" s="6"/>
      <c r="E34" s="6"/>
      <c r="F34" s="6"/>
      <c r="G34" s="6"/>
      <c r="H34" s="6"/>
      <c r="I34" s="6"/>
      <c r="J34" s="6"/>
      <c r="K34" s="6" t="s">
        <v>84</v>
      </c>
      <c r="L34" s="6" t="s">
        <v>85</v>
      </c>
      <c r="M34" s="6"/>
      <c r="N34" s="6"/>
      <c r="O34" s="6"/>
      <c r="P34" s="6"/>
      <c r="Q34" s="11"/>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5</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0</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56</v>
      </c>
      <c r="AD34" s="6" t="s">
        <v>56</v>
      </c>
      <c r="AE34" s="6" t="s">
        <v>56</v>
      </c>
    </row>
    <row r="35" spans="1:31" s="6" customFormat="1" x14ac:dyDescent="0.25">
      <c r="A35" s="6" t="s">
        <v>141</v>
      </c>
      <c r="B35" s="6" t="s">
        <v>144</v>
      </c>
      <c r="D35" s="6"/>
      <c r="E35" s="6"/>
      <c r="F35" s="6"/>
      <c r="G35" s="6"/>
      <c r="H35" s="6"/>
      <c r="I35" s="6"/>
      <c r="J35" s="6"/>
      <c r="K35" s="6" t="s">
        <v>84</v>
      </c>
      <c r="L35" s="6" t="s">
        <v>85</v>
      </c>
      <c r="M35" s="6"/>
      <c r="N35" s="6"/>
      <c r="O35" s="6"/>
      <c r="P35" s="6"/>
      <c r="Q35" s="11"/>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1</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2</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56</v>
      </c>
      <c r="AD35" s="6" t="s">
        <v>56</v>
      </c>
      <c r="AE35" s="6" t="s">
        <v>56</v>
      </c>
    </row>
    <row r="36" spans="1:31" s="6" customFormat="1" x14ac:dyDescent="0.25">
      <c r="A36" s="6" t="s">
        <v>141</v>
      </c>
      <c r="B36" s="6" t="s">
        <v>145</v>
      </c>
      <c r="D36" s="6"/>
      <c r="E36" s="6"/>
      <c r="F36" s="6"/>
      <c r="G36" s="6"/>
      <c r="H36" s="6"/>
      <c r="I36" s="6"/>
      <c r="J36" s="6"/>
      <c r="K36" s="6" t="s">
        <v>84</v>
      </c>
      <c r="L36" s="6" t="s">
        <v>85</v>
      </c>
      <c r="M36" s="6"/>
      <c r="N36" s="6"/>
      <c r="O36" s="6"/>
      <c r="P36" s="6"/>
      <c r="Q36" s="11"/>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1</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0</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56</v>
      </c>
      <c r="AD36" s="6" t="s">
        <v>56</v>
      </c>
      <c r="AE36" s="6" t="s">
        <v>56</v>
      </c>
    </row>
    <row r="37" spans="1:31" s="6" customFormat="1" x14ac:dyDescent="0.25">
      <c r="A37" s="6" t="s">
        <v>141</v>
      </c>
      <c r="B37" s="6" t="s">
        <v>146</v>
      </c>
      <c r="D37" s="6"/>
      <c r="E37" s="6"/>
      <c r="F37" s="6"/>
      <c r="G37" s="6"/>
      <c r="H37" s="6"/>
      <c r="I37" s="6"/>
      <c r="J37" s="6"/>
      <c r="K37" s="6" t="s">
        <v>84</v>
      </c>
      <c r="L37" s="6" t="s">
        <v>85</v>
      </c>
      <c r="M37" s="6"/>
      <c r="N37" s="6"/>
      <c r="O37" s="6"/>
      <c r="P37" s="6"/>
      <c r="Q37" s="11"/>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1</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2</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56</v>
      </c>
      <c r="AD37" s="6" t="s">
        <v>56</v>
      </c>
      <c r="AE37" s="6" t="s">
        <v>56</v>
      </c>
    </row>
    <row r="38" spans="1:31" s="6" customFormat="1" x14ac:dyDescent="0.25">
      <c r="A38" s="6" t="s">
        <v>141</v>
      </c>
      <c r="B38" s="6" t="s">
        <v>147</v>
      </c>
      <c r="D38" s="6"/>
      <c r="E38" s="6"/>
      <c r="F38" s="6"/>
      <c r="G38" s="6"/>
      <c r="H38" s="6"/>
      <c r="I38" s="6"/>
      <c r="J38" s="6"/>
      <c r="K38" s="6" t="s">
        <v>84</v>
      </c>
      <c r="L38" s="6" t="s">
        <v>85</v>
      </c>
      <c r="M38" s="6"/>
      <c r="N38" s="6"/>
      <c r="O38" s="6"/>
      <c r="P38" s="6"/>
      <c r="Q38" s="11"/>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1</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3</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56</v>
      </c>
      <c r="AD38" s="6" t="s">
        <v>56</v>
      </c>
      <c r="AE38" s="6" t="s">
        <v>56</v>
      </c>
    </row>
    <row r="39" spans="1:31" s="6" customFormat="1" x14ac:dyDescent="0.25">
      <c r="A39" s="6" t="s">
        <v>141</v>
      </c>
      <c r="B39" s="6" t="s">
        <v>148</v>
      </c>
      <c r="C39" s="6" t="s">
        <v>149</v>
      </c>
      <c r="D39" s="6"/>
      <c r="E39" s="6"/>
      <c r="F39" s="6"/>
      <c r="G39" s="6"/>
      <c r="H39" s="6"/>
      <c r="I39" s="6"/>
      <c r="J39" s="6"/>
      <c r="K39" s="6" t="s">
        <v>84</v>
      </c>
      <c r="L39" s="6" t="s">
        <v>85</v>
      </c>
      <c r="M39" s="6"/>
      <c r="N39" s="6"/>
      <c r="O39" s="6"/>
      <c r="P39" s="6"/>
      <c r="Q39" s="11"/>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8</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2</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56</v>
      </c>
      <c r="AD39" s="6" t="s">
        <v>56</v>
      </c>
      <c r="AE39" s="6" t="s">
        <v>56</v>
      </c>
    </row>
    <row r="40" spans="1:31" s="6" customFormat="1" x14ac:dyDescent="0.25">
      <c r="A40" s="6" t="s">
        <v>141</v>
      </c>
      <c r="B40" s="6" t="s">
        <v>148</v>
      </c>
      <c r="C40" s="6" t="s">
        <v>150</v>
      </c>
      <c r="D40" s="6"/>
      <c r="E40" s="6"/>
      <c r="F40" s="6"/>
      <c r="G40" s="6"/>
      <c r="H40" s="6"/>
      <c r="I40" s="6"/>
      <c r="J40" s="6"/>
      <c r="K40" s="6" t="s">
        <v>84</v>
      </c>
      <c r="L40" s="6" t="s">
        <v>85</v>
      </c>
      <c r="M40" s="6"/>
      <c r="N40" s="6"/>
      <c r="O40" s="6"/>
      <c r="P40" s="6"/>
      <c r="Q40" s="11"/>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8</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2</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56</v>
      </c>
      <c r="AD40" s="6" t="s">
        <v>56</v>
      </c>
      <c r="AE40" s="6" t="s">
        <v>56</v>
      </c>
    </row>
    <row r="41" spans="1:31" s="6" customFormat="1" x14ac:dyDescent="0.25">
      <c r="A41" s="6" t="s">
        <v>141</v>
      </c>
      <c r="B41" s="6" t="s">
        <v>148</v>
      </c>
      <c r="C41" s="6" t="s">
        <v>151</v>
      </c>
      <c r="D41" s="6"/>
      <c r="E41" s="6"/>
      <c r="F41" s="6"/>
      <c r="G41" s="6"/>
      <c r="H41" s="6"/>
      <c r="I41" s="6"/>
      <c r="J41" s="6"/>
      <c r="K41" s="6" t="s">
        <v>84</v>
      </c>
      <c r="L41" s="6" t="s">
        <v>85</v>
      </c>
      <c r="M41" s="6"/>
      <c r="N41" s="6"/>
      <c r="O41" s="6"/>
      <c r="P41" s="6"/>
      <c r="Q41" s="11"/>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5</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2</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56</v>
      </c>
      <c r="AD41" s="6" t="s">
        <v>56</v>
      </c>
      <c r="AE41" s="6" t="s">
        <v>56</v>
      </c>
    </row>
    <row r="42" spans="1:31" s="6" customFormat="1" x14ac:dyDescent="0.25">
      <c r="A42" s="6" t="s">
        <v>141</v>
      </c>
      <c r="B42" s="6" t="s">
        <v>148</v>
      </c>
      <c r="C42" s="6" t="s">
        <v>152</v>
      </c>
      <c r="D42" s="6"/>
      <c r="E42" s="6"/>
      <c r="F42" s="6"/>
      <c r="G42" s="6"/>
      <c r="H42" s="6"/>
      <c r="I42" s="6"/>
      <c r="J42" s="6"/>
      <c r="K42" s="6" t="s">
        <v>84</v>
      </c>
      <c r="L42" s="6" t="s">
        <v>85</v>
      </c>
      <c r="M42" s="6"/>
      <c r="N42" s="6"/>
      <c r="O42" s="6"/>
      <c r="P42" s="6"/>
      <c r="Q42" s="11"/>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1</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2</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56</v>
      </c>
      <c r="AD42" s="6" t="s">
        <v>56</v>
      </c>
      <c r="AE42" s="6" t="s">
        <v>56</v>
      </c>
    </row>
    <row r="43" spans="1:31" s="6" customFormat="1" x14ac:dyDescent="0.25">
      <c r="A43" s="6" t="s">
        <v>141</v>
      </c>
      <c r="B43" s="6" t="s">
        <v>148</v>
      </c>
      <c r="C43" s="6" t="s">
        <v>153</v>
      </c>
      <c r="D43" s="6"/>
      <c r="E43" s="6"/>
      <c r="F43" s="6"/>
      <c r="G43" s="6"/>
      <c r="H43" s="6"/>
      <c r="I43" s="6"/>
      <c r="J43" s="6"/>
      <c r="K43" s="6" t="s">
        <v>84</v>
      </c>
      <c r="L43" s="6" t="s">
        <v>85</v>
      </c>
      <c r="M43" s="6"/>
      <c r="N43" s="6"/>
      <c r="O43" s="6"/>
      <c r="P43" s="6"/>
      <c r="Q43" s="11"/>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1</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2</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56</v>
      </c>
      <c r="AD43" s="6" t="s">
        <v>56</v>
      </c>
      <c r="AE43" s="6" t="s">
        <v>56</v>
      </c>
    </row>
    <row r="44" spans="1:31" s="6" customFormat="1" x14ac:dyDescent="0.25">
      <c r="A44" s="6" t="s">
        <v>141</v>
      </c>
      <c r="B44" s="6" t="s">
        <v>148</v>
      </c>
      <c r="C44" s="6" t="s">
        <v>154</v>
      </c>
      <c r="D44" s="6"/>
      <c r="E44" s="6"/>
      <c r="F44" s="6"/>
      <c r="G44" s="6"/>
      <c r="H44" s="6"/>
      <c r="I44" s="6"/>
      <c r="J44" s="6"/>
      <c r="K44" s="6" t="s">
        <v>84</v>
      </c>
      <c r="L44" s="6" t="s">
        <v>85</v>
      </c>
      <c r="M44" s="6"/>
      <c r="N44" s="6"/>
      <c r="O44" s="6"/>
      <c r="P44" s="6"/>
      <c r="Q44" s="11"/>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0</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2</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56</v>
      </c>
      <c r="AD44" s="6" t="s">
        <v>56</v>
      </c>
      <c r="AE44" s="6" t="s">
        <v>56</v>
      </c>
    </row>
    <row r="45" spans="1:31" s="6" customFormat="1" x14ac:dyDescent="0.25">
      <c r="A45" s="6" t="s">
        <v>141</v>
      </c>
      <c r="B45" s="6" t="s">
        <v>155</v>
      </c>
      <c r="C45" s="6" t="s">
        <v>156</v>
      </c>
      <c r="D45" s="6"/>
      <c r="E45" s="6"/>
      <c r="F45" s="6"/>
      <c r="G45" s="6"/>
      <c r="H45" s="6"/>
      <c r="I45" s="6"/>
      <c r="J45" s="6"/>
      <c r="K45" s="6" t="s">
        <v>84</v>
      </c>
      <c r="L45" s="6" t="s">
        <v>85</v>
      </c>
      <c r="M45" s="6"/>
      <c r="N45" s="6"/>
      <c r="O45" s="6"/>
      <c r="P45" s="6"/>
      <c r="Q45" s="11">
        <v>0</v>
      </c>
      <c r="R45" s="12">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1">
        <v>0</v>
      </c>
      <c r="T45" s="12">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1">
        <v>3</v>
      </c>
      <c r="V45" s="12">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1">
        <v>2</v>
      </c>
      <c r="X45" s="12">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1"/>
      <c r="Z45" s="12">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6">
        <f>SUM(V45,X45,Z45)</f>
      </c>
      <c r="AB45" s="6">
        <f>
      Ifs( 
        ISBETWEEN(AA45, 0, 'Points-Table'!C$20, TRUE, False), 'Points-Table'!A$20,
        ISBETWEEN(AA45, 'Points-Table'!C$20, 'Points-Table'!C$21, TRUE, False), 'Points-Table'!A$21,
        ISBETWEEN(AA45, 'Points-Table'!C$22, 10000, TRUE, TRUE), 'Points-Table'!A$22,
        true, 
        0)
      </f>
      </c>
      <c r="AC45" s="6" t="s">
        <v>56</v>
      </c>
      <c r="AD45" s="6" t="s">
        <v>56</v>
      </c>
      <c r="AE45" s="6" t="s">
        <v>56</v>
      </c>
    </row>
    <row r="46" spans="1:31" s="6" customFormat="1" x14ac:dyDescent="0.25">
      <c r="A46" s="6" t="s">
        <v>141</v>
      </c>
      <c r="B46" s="6" t="s">
        <v>157</v>
      </c>
      <c r="C46" s="6" t="s">
        <v>158</v>
      </c>
      <c r="D46" s="6"/>
      <c r="E46" s="6"/>
      <c r="F46" s="6"/>
      <c r="G46" s="6"/>
      <c r="H46" s="6"/>
      <c r="I46" s="6"/>
      <c r="J46" s="6"/>
      <c r="K46" s="6" t="s">
        <v>84</v>
      </c>
      <c r="L46" s="6" t="s">
        <v>85</v>
      </c>
      <c r="M46" s="6"/>
      <c r="N46" s="6"/>
      <c r="O46" s="6"/>
      <c r="P46" s="6"/>
      <c r="Q46" s="11"/>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13</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3</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56</v>
      </c>
      <c r="AD46" s="6" t="s">
        <v>56</v>
      </c>
      <c r="AE46" s="6" t="s">
        <v>56</v>
      </c>
    </row>
    <row r="47" spans="1:31" s="6" customFormat="1" x14ac:dyDescent="0.25">
      <c r="A47" s="6" t="s">
        <v>141</v>
      </c>
      <c r="B47" s="6" t="s">
        <v>157</v>
      </c>
      <c r="C47" s="6" t="s">
        <v>159</v>
      </c>
      <c r="D47" s="6"/>
      <c r="E47" s="6"/>
      <c r="F47" s="6"/>
      <c r="G47" s="6"/>
      <c r="H47" s="6"/>
      <c r="I47" s="6"/>
      <c r="J47" s="6"/>
      <c r="K47" s="6" t="s">
        <v>84</v>
      </c>
      <c r="L47" s="6" t="s">
        <v>85</v>
      </c>
      <c r="M47" s="6"/>
      <c r="N47" s="6"/>
      <c r="O47" s="6"/>
      <c r="P47" s="6"/>
      <c r="Q47" s="11"/>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3</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2</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56</v>
      </c>
      <c r="AD47" s="6" t="s">
        <v>56</v>
      </c>
      <c r="AE47" s="6" t="s">
        <v>56</v>
      </c>
    </row>
    <row r="48" spans="1:31" s="6" customFormat="1" x14ac:dyDescent="0.25">
      <c r="A48" s="6" t="s">
        <v>141</v>
      </c>
      <c r="B48" s="6" t="s">
        <v>157</v>
      </c>
      <c r="C48" s="6" t="s">
        <v>160</v>
      </c>
      <c r="D48" s="6"/>
      <c r="E48" s="6"/>
      <c r="F48" s="6"/>
      <c r="G48" s="6"/>
      <c r="H48" s="6"/>
      <c r="I48" s="6"/>
      <c r="J48" s="6"/>
      <c r="K48" s="6" t="s">
        <v>84</v>
      </c>
      <c r="L48" s="6" t="s">
        <v>85</v>
      </c>
      <c r="M48" s="6"/>
      <c r="N48" s="6"/>
      <c r="O48" s="6"/>
      <c r="P48" s="6"/>
      <c r="Q48" s="11"/>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3</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2</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56</v>
      </c>
      <c r="AD48" s="6" t="s">
        <v>56</v>
      </c>
      <c r="AE48" s="6" t="s">
        <v>56</v>
      </c>
    </row>
    <row r="49" spans="1:31" s="6" customFormat="1" x14ac:dyDescent="0.25">
      <c r="A49" s="6" t="s">
        <v>141</v>
      </c>
      <c r="B49" s="6" t="s">
        <v>157</v>
      </c>
      <c r="C49" s="6" t="s">
        <v>161</v>
      </c>
      <c r="D49" s="6"/>
      <c r="E49" s="6"/>
      <c r="F49" s="6"/>
      <c r="G49" s="6"/>
      <c r="H49" s="6"/>
      <c r="I49" s="6"/>
      <c r="J49" s="6"/>
      <c r="K49" s="6" t="s">
        <v>84</v>
      </c>
      <c r="L49" s="6" t="s">
        <v>85</v>
      </c>
      <c r="M49" s="6"/>
      <c r="N49" s="6"/>
      <c r="O49" s="6"/>
      <c r="P49" s="6"/>
      <c r="Q49" s="11"/>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v>3</v>
      </c>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v>3</v>
      </c>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56</v>
      </c>
      <c r="AD49" s="6" t="s">
        <v>56</v>
      </c>
      <c r="AE49" s="6" t="s">
        <v>56</v>
      </c>
    </row>
    <row r="50" spans="1:31" s="6" customFormat="1" x14ac:dyDescent="0.25">
      <c r="A50" s="6" t="s">
        <v>141</v>
      </c>
      <c r="B50" s="6" t="s">
        <v>157</v>
      </c>
      <c r="C50" s="6" t="s">
        <v>162</v>
      </c>
      <c r="D50" s="6"/>
      <c r="E50" s="6"/>
      <c r="F50" s="6"/>
      <c r="G50" s="6"/>
      <c r="H50" s="6"/>
      <c r="I50" s="6"/>
      <c r="J50" s="6"/>
      <c r="K50" s="6" t="s">
        <v>84</v>
      </c>
      <c r="L50" s="6" t="s">
        <v>85</v>
      </c>
      <c r="M50" s="6"/>
      <c r="N50" s="6"/>
      <c r="O50" s="6"/>
      <c r="P50" s="6"/>
      <c r="Q50" s="11"/>
      <c r="R50" s="12">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1"/>
      <c r="T50" s="12">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1">
        <v>3</v>
      </c>
      <c r="V50" s="12">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1">
        <v>3</v>
      </c>
      <c r="X50" s="12">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1"/>
      <c r="Z50" s="12">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6">
        <f>SUM(V50,X50,Z50)</f>
      </c>
      <c r="AB50" s="6">
        <f>
      Ifs( 
        ISBETWEEN(AA50, 0, 'Points-Table'!C$20, TRUE, False), 'Points-Table'!A$20,
        ISBETWEEN(AA50, 'Points-Table'!C$20, 'Points-Table'!C$21, TRUE, False), 'Points-Table'!A$21,
        ISBETWEEN(AA50, 'Points-Table'!C$22, 10000, TRUE, TRUE), 'Points-Table'!A$22,
        true, 
        0)
      </f>
      </c>
      <c r="AC50" s="6" t="s">
        <v>56</v>
      </c>
      <c r="AD50" s="6" t="s">
        <v>56</v>
      </c>
      <c r="AE50" s="6" t="s">
        <v>56</v>
      </c>
    </row>
    <row r="51" spans="1:31" s="6" customFormat="1" x14ac:dyDescent="0.25">
      <c r="A51" s="6" t="s">
        <v>141</v>
      </c>
      <c r="B51" s="6" t="s">
        <v>157</v>
      </c>
      <c r="C51" s="6" t="s">
        <v>163</v>
      </c>
      <c r="D51" s="6"/>
      <c r="E51" s="6"/>
      <c r="F51" s="6"/>
      <c r="G51" s="6"/>
      <c r="H51" s="6"/>
      <c r="I51" s="6"/>
      <c r="J51" s="6"/>
      <c r="K51" s="6" t="s">
        <v>84</v>
      </c>
      <c r="L51" s="6" t="s">
        <v>85</v>
      </c>
      <c r="M51" s="6"/>
      <c r="N51" s="6"/>
      <c r="O51" s="6"/>
      <c r="P51" s="6"/>
      <c r="Q51" s="11"/>
      <c r="R51" s="12">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1"/>
      <c r="T51" s="12">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1">
        <v>1</v>
      </c>
      <c r="V51" s="12">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1">
        <v>2</v>
      </c>
      <c r="X51" s="12">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1"/>
      <c r="Z51" s="12">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6">
        <f>SUM(V51,X51,Z51)</f>
      </c>
      <c r="AB51" s="6">
        <f>
      Ifs( 
        ISBETWEEN(AA51, 0, 'Points-Table'!C$20, TRUE, False), 'Points-Table'!A$20,
        ISBETWEEN(AA51, 'Points-Table'!C$20, 'Points-Table'!C$21, TRUE, False), 'Points-Table'!A$21,
        ISBETWEEN(AA51, 'Points-Table'!C$22, 10000, TRUE, TRUE), 'Points-Table'!A$22,
        true, 
        0)
      </f>
      </c>
      <c r="AC51" s="6" t="s">
        <v>56</v>
      </c>
      <c r="AD51" s="6" t="s">
        <v>56</v>
      </c>
      <c r="AE51" s="6" t="s">
        <v>56</v>
      </c>
    </row>
    <row r="52" spans="1:31" s="6" customFormat="1" x14ac:dyDescent="0.25">
      <c r="A52" s="6" t="s">
        <v>141</v>
      </c>
      <c r="B52" s="6" t="s">
        <v>157</v>
      </c>
      <c r="C52" s="6" t="s">
        <v>164</v>
      </c>
      <c r="D52" s="6"/>
      <c r="E52" s="6"/>
      <c r="F52" s="6"/>
      <c r="G52" s="6"/>
      <c r="H52" s="6"/>
      <c r="I52" s="6"/>
      <c r="J52" s="6"/>
      <c r="K52" s="6" t="s">
        <v>84</v>
      </c>
      <c r="L52" s="6" t="s">
        <v>85</v>
      </c>
      <c r="M52" s="6"/>
      <c r="N52" s="6"/>
      <c r="O52" s="6"/>
      <c r="P52" s="6"/>
      <c r="Q52" s="11"/>
      <c r="R52" s="12">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1"/>
      <c r="T52" s="12">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1">
        <v>1</v>
      </c>
      <c r="V52" s="12">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1">
        <v>2</v>
      </c>
      <c r="X52" s="12">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1"/>
      <c r="Z52" s="12">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6">
        <f>SUM(V52,X52,Z52)</f>
      </c>
      <c r="AB52" s="6">
        <f>
      Ifs( 
        ISBETWEEN(AA52, 0, 'Points-Table'!C$20, TRUE, False), 'Points-Table'!A$20,
        ISBETWEEN(AA52, 'Points-Table'!C$20, 'Points-Table'!C$21, TRUE, False), 'Points-Table'!A$21,
        ISBETWEEN(AA52, 'Points-Table'!C$22, 10000, TRUE, TRUE), 'Points-Table'!A$22,
        true, 
        0)
      </f>
      </c>
      <c r="AC52" s="6" t="s">
        <v>56</v>
      </c>
      <c r="AD52" s="6" t="s">
        <v>56</v>
      </c>
      <c r="AE52" s="6" t="s">
        <v>56</v>
      </c>
    </row>
    <row r="53" spans="1:31" s="6" customFormat="1" x14ac:dyDescent="0.25">
      <c r="A53" s="6" t="s">
        <v>141</v>
      </c>
      <c r="B53" s="6" t="s">
        <v>157</v>
      </c>
      <c r="C53" s="6" t="s">
        <v>165</v>
      </c>
      <c r="D53" s="6"/>
      <c r="E53" s="6"/>
      <c r="F53" s="6"/>
      <c r="G53" s="6"/>
      <c r="H53" s="6"/>
      <c r="I53" s="6"/>
      <c r="J53" s="6"/>
      <c r="K53" s="6" t="s">
        <v>84</v>
      </c>
      <c r="L53" s="6" t="s">
        <v>85</v>
      </c>
      <c r="M53" s="6"/>
      <c r="N53" s="6"/>
      <c r="O53" s="6"/>
      <c r="P53" s="6"/>
      <c r="Q53" s="11"/>
      <c r="R53" s="12">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1"/>
      <c r="T53" s="12">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1">
        <v>1</v>
      </c>
      <c r="V53" s="12">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1">
        <v>2</v>
      </c>
      <c r="X53" s="12">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1"/>
      <c r="Z53" s="12">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6">
        <f>SUM(V53,X53,Z53)</f>
      </c>
      <c r="AB53" s="6">
        <f>
      Ifs( 
        ISBETWEEN(AA53, 0, 'Points-Table'!C$20, TRUE, False), 'Points-Table'!A$20,
        ISBETWEEN(AA53, 'Points-Table'!C$20, 'Points-Table'!C$21, TRUE, False), 'Points-Table'!A$21,
        ISBETWEEN(AA53, 'Points-Table'!C$22, 10000, TRUE, TRUE), 'Points-Table'!A$22,
        true, 
        0)
      </f>
      </c>
      <c r="AC53" s="6" t="s">
        <v>56</v>
      </c>
      <c r="AD53" s="6" t="s">
        <v>56</v>
      </c>
      <c r="AE53" s="6" t="s">
        <v>56</v>
      </c>
    </row>
    <row r="54" spans="1:31" s="6" customFormat="1" x14ac:dyDescent="0.25">
      <c r="A54" s="6" t="s">
        <v>141</v>
      </c>
      <c r="B54" s="6" t="s">
        <v>157</v>
      </c>
      <c r="C54" s="6" t="s">
        <v>166</v>
      </c>
      <c r="D54" s="6"/>
      <c r="E54" s="6"/>
      <c r="F54" s="6"/>
      <c r="G54" s="6"/>
      <c r="H54" s="6"/>
      <c r="I54" s="6"/>
      <c r="J54" s="6"/>
      <c r="K54" s="6" t="s">
        <v>84</v>
      </c>
      <c r="L54" s="6" t="s">
        <v>85</v>
      </c>
      <c r="M54" s="6"/>
      <c r="N54" s="6"/>
      <c r="O54" s="6"/>
      <c r="P54" s="6"/>
      <c r="Q54" s="11"/>
      <c r="R54" s="12">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1"/>
      <c r="T54" s="12">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1">
        <v>1</v>
      </c>
      <c r="V54" s="12">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1">
        <v>2</v>
      </c>
      <c r="X54" s="12">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1"/>
      <c r="Z54" s="12">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6">
        <f>SUM(V54,X54,Z54)</f>
      </c>
      <c r="AB54" s="6">
        <f>
      Ifs( 
        ISBETWEEN(AA54, 0, 'Points-Table'!C$20, TRUE, False), 'Points-Table'!A$20,
        ISBETWEEN(AA54, 'Points-Table'!C$20, 'Points-Table'!C$21, TRUE, False), 'Points-Table'!A$21,
        ISBETWEEN(AA54, 'Points-Table'!C$22, 10000, TRUE, TRUE), 'Points-Table'!A$22,
        true, 
        0)
      </f>
      </c>
      <c r="AC54" s="6" t="s">
        <v>56</v>
      </c>
      <c r="AD54" s="6" t="s">
        <v>56</v>
      </c>
      <c r="AE54" s="6" t="s">
        <v>56</v>
      </c>
    </row>
    <row r="55" spans="1:31" s="6" customFormat="1" x14ac:dyDescent="0.25">
      <c r="A55" s="6" t="s">
        <v>141</v>
      </c>
      <c r="B55" s="6" t="s">
        <v>167</v>
      </c>
      <c r="D55" s="6"/>
      <c r="E55" s="6"/>
      <c r="F55" s="6"/>
      <c r="G55" s="6"/>
      <c r="H55" s="6"/>
      <c r="I55" s="6"/>
      <c r="J55" s="6"/>
      <c r="K55" s="6" t="s">
        <v>84</v>
      </c>
      <c r="L55" s="6" t="s">
        <v>85</v>
      </c>
      <c r="M55" s="6"/>
      <c r="N55" s="6"/>
      <c r="O55" s="6"/>
      <c r="P55" s="6"/>
      <c r="Q55" s="11">
        <v>0</v>
      </c>
      <c r="R55" s="12">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1">
        <v>0</v>
      </c>
      <c r="T55" s="12">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1">
        <v>3</v>
      </c>
      <c r="V55" s="12">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1">
        <v>3</v>
      </c>
      <c r="X55" s="12">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1"/>
      <c r="Z55" s="12">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6">
        <f>SUM(V55,X55,Z55)</f>
      </c>
      <c r="AB55" s="6">
        <f>
      Ifs( 
        ISBETWEEN(AA55, 0, 'Points-Table'!C$20, TRUE, False), 'Points-Table'!A$20,
        ISBETWEEN(AA55, 'Points-Table'!C$20, 'Points-Table'!C$21, TRUE, False), 'Points-Table'!A$21,
        ISBETWEEN(AA55, 'Points-Table'!C$22, 10000, TRUE, TRUE), 'Points-Table'!A$22,
        true, 
        0)
      </f>
      </c>
      <c r="AC55" s="6" t="s">
        <v>56</v>
      </c>
      <c r="AD55" s="6" t="s">
        <v>56</v>
      </c>
      <c r="AE55" s="6" t="s">
        <v>56</v>
      </c>
    </row>
    <row r="56" spans="1:31" s="6" customFormat="1" x14ac:dyDescent="0.25">
      <c r="A56" s="6" t="s">
        <v>141</v>
      </c>
      <c r="B56" s="6" t="s">
        <v>168</v>
      </c>
      <c r="C56" s="6" t="s">
        <v>169</v>
      </c>
      <c r="D56" s="6"/>
      <c r="E56" s="6"/>
      <c r="F56" s="6"/>
      <c r="G56" s="6"/>
      <c r="H56" s="6"/>
      <c r="I56" s="6"/>
      <c r="J56" s="6"/>
      <c r="K56" s="6" t="s">
        <v>84</v>
      </c>
      <c r="L56" s="6" t="s">
        <v>85</v>
      </c>
      <c r="M56" s="6"/>
      <c r="N56" s="6"/>
      <c r="O56" s="6"/>
      <c r="P56" s="6"/>
      <c r="Q56" s="11"/>
      <c r="R56" s="12">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1"/>
      <c r="T56" s="12">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1">
        <v>8</v>
      </c>
      <c r="V56" s="12">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1">
        <v>5</v>
      </c>
      <c r="X56" s="12">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1"/>
      <c r="Z56" s="12">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6">
        <f>SUM(V56,X56,Z56)</f>
      </c>
      <c r="AB56" s="6">
        <f>
      Ifs( 
        ISBETWEEN(AA56, 0, 'Points-Table'!C$20, TRUE, False), 'Points-Table'!A$20,
        ISBETWEEN(AA56, 'Points-Table'!C$20, 'Points-Table'!C$21, TRUE, False), 'Points-Table'!A$21,
        ISBETWEEN(AA56, 'Points-Table'!C$22, 10000, TRUE, TRUE), 'Points-Table'!A$22,
        true, 
        0)
      </f>
      </c>
      <c r="AC56" s="6" t="s">
        <v>56</v>
      </c>
      <c r="AD56" s="6" t="s">
        <v>56</v>
      </c>
      <c r="AE56" s="6" t="s">
        <v>56</v>
      </c>
    </row>
    <row r="57" spans="1:31" s="6" customFormat="1" x14ac:dyDescent="0.25">
      <c r="A57" s="6" t="s">
        <v>141</v>
      </c>
      <c r="B57" s="6" t="s">
        <v>168</v>
      </c>
      <c r="C57" s="6" t="s">
        <v>170</v>
      </c>
      <c r="D57" s="6"/>
      <c r="E57" s="6"/>
      <c r="F57" s="6"/>
      <c r="G57" s="6"/>
      <c r="H57" s="6"/>
      <c r="I57" s="6"/>
      <c r="J57" s="6"/>
      <c r="K57" s="6" t="s">
        <v>84</v>
      </c>
      <c r="L57" s="6" t="s">
        <v>85</v>
      </c>
      <c r="M57" s="6"/>
      <c r="N57" s="6"/>
      <c r="O57" s="6"/>
      <c r="P57" s="6"/>
      <c r="Q57" s="11"/>
      <c r="R57" s="12">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1"/>
      <c r="T57" s="12">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1">
        <v>21</v>
      </c>
      <c r="V57" s="12">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1">
        <v>0</v>
      </c>
      <c r="X57" s="12">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1"/>
      <c r="Z57" s="12">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6">
        <f>SUM(V57,X57,Z57)</f>
      </c>
      <c r="AB57" s="6">
        <f>
      Ifs( 
        ISBETWEEN(AA57, 0, 'Points-Table'!C$20, TRUE, False), 'Points-Table'!A$20,
        ISBETWEEN(AA57, 'Points-Table'!C$20, 'Points-Table'!C$21, TRUE, False), 'Points-Table'!A$21,
        ISBETWEEN(AA57, 'Points-Table'!C$22, 10000, TRUE, TRUE), 'Points-Table'!A$22,
        true, 
        0)
      </f>
      </c>
      <c r="AC57" s="6" t="s">
        <v>56</v>
      </c>
      <c r="AD57" s="6" t="s">
        <v>56</v>
      </c>
      <c r="AE57" s="6" t="s">
        <v>56</v>
      </c>
    </row>
    <row r="58" spans="1:31" s="6" customFormat="1" x14ac:dyDescent="0.25">
      <c r="A58" s="6" t="s">
        <v>141</v>
      </c>
      <c r="B58" s="6" t="s">
        <v>168</v>
      </c>
      <c r="C58" s="6" t="s">
        <v>171</v>
      </c>
      <c r="D58" s="6"/>
      <c r="E58" s="6"/>
      <c r="F58" s="6"/>
      <c r="G58" s="6"/>
      <c r="H58" s="6"/>
      <c r="I58" s="6"/>
      <c r="J58" s="6"/>
      <c r="K58" s="6" t="s">
        <v>84</v>
      </c>
      <c r="L58" s="6" t="s">
        <v>85</v>
      </c>
      <c r="M58" s="6"/>
      <c r="N58" s="6"/>
      <c r="O58" s="6"/>
      <c r="P58" s="6"/>
      <c r="Q58" s="11"/>
      <c r="R58" s="12">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1"/>
      <c r="T58" s="12">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1">
        <v>5</v>
      </c>
      <c r="V58" s="12">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1">
        <v>0</v>
      </c>
      <c r="X58" s="12">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1"/>
      <c r="Z58" s="12">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6">
        <f>SUM(V58,X58,Z58)</f>
      </c>
      <c r="AB58" s="6">
        <f>
      Ifs( 
        ISBETWEEN(AA58, 0, 'Points-Table'!C$20, TRUE, False), 'Points-Table'!A$20,
        ISBETWEEN(AA58, 'Points-Table'!C$20, 'Points-Table'!C$21, TRUE, False), 'Points-Table'!A$21,
        ISBETWEEN(AA58, 'Points-Table'!C$22, 10000, TRUE, TRUE), 'Points-Table'!A$22,
        true, 
        0)
      </f>
      </c>
      <c r="AC58" s="6" t="s">
        <v>56</v>
      </c>
      <c r="AD58" s="6" t="s">
        <v>56</v>
      </c>
      <c r="AE58" s="6" t="s">
        <v>56</v>
      </c>
    </row>
    <row r="59" spans="1:31" s="6" customFormat="1" x14ac:dyDescent="0.25">
      <c r="A59" s="6" t="s">
        <v>141</v>
      </c>
      <c r="B59" s="6" t="s">
        <v>168</v>
      </c>
      <c r="C59" s="6" t="s">
        <v>172</v>
      </c>
      <c r="D59" s="6"/>
      <c r="E59" s="6"/>
      <c r="F59" s="6"/>
      <c r="G59" s="6"/>
      <c r="H59" s="6"/>
      <c r="I59" s="6"/>
      <c r="J59" s="6"/>
      <c r="K59" s="6" t="s">
        <v>84</v>
      </c>
      <c r="L59" s="6" t="s">
        <v>85</v>
      </c>
      <c r="M59" s="6"/>
      <c r="N59" s="6"/>
      <c r="O59" s="6"/>
      <c r="P59" s="6"/>
      <c r="Q59" s="11"/>
      <c r="R59" s="12">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1"/>
      <c r="T59" s="12">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1">
        <v>2</v>
      </c>
      <c r="V59" s="12">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1">
        <v>0</v>
      </c>
      <c r="X59" s="12">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1"/>
      <c r="Z59" s="12">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6">
        <f>SUM(V59,X59,Z59)</f>
      </c>
      <c r="AB59" s="6">
        <f>
      Ifs( 
        ISBETWEEN(AA59, 0, 'Points-Table'!C$20, TRUE, False), 'Points-Table'!A$20,
        ISBETWEEN(AA59, 'Points-Table'!C$20, 'Points-Table'!C$21, TRUE, False), 'Points-Table'!A$21,
        ISBETWEEN(AA59, 'Points-Table'!C$22, 10000, TRUE, TRUE), 'Points-Table'!A$22,
        true, 
        0)
      </f>
      </c>
      <c r="AC59" s="6" t="s">
        <v>56</v>
      </c>
      <c r="AD59" s="6" t="s">
        <v>56</v>
      </c>
      <c r="AE59" s="6" t="s">
        <v>56</v>
      </c>
    </row>
    <row r="60" spans="1:31" s="6" customFormat="1" x14ac:dyDescent="0.25">
      <c r="A60" s="6" t="s">
        <v>141</v>
      </c>
      <c r="B60" s="6" t="s">
        <v>173</v>
      </c>
      <c r="D60" s="6"/>
      <c r="E60" s="6"/>
      <c r="F60" s="6"/>
      <c r="G60" s="6"/>
      <c r="H60" s="6"/>
      <c r="I60" s="6"/>
      <c r="J60" s="6"/>
      <c r="K60" s="6" t="s">
        <v>84</v>
      </c>
      <c r="L60" s="6" t="s">
        <v>85</v>
      </c>
      <c r="M60" s="6"/>
      <c r="N60" s="6"/>
      <c r="O60" s="6"/>
      <c r="P60" s="6"/>
      <c r="Q60" s="11">
        <v>0</v>
      </c>
      <c r="R60" s="12">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1">
        <v>0</v>
      </c>
      <c r="T60" s="12">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1">
        <v>2</v>
      </c>
      <c r="V60" s="12">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1">
        <v>2</v>
      </c>
      <c r="X60" s="12">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1"/>
      <c r="Z60" s="12">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6">
        <f>SUM(V60,X60,Z60)</f>
      </c>
      <c r="AB60" s="6">
        <f>
      Ifs( 
        ISBETWEEN(AA60, 0, 'Points-Table'!C$20, TRUE, False), 'Points-Table'!A$20,
        ISBETWEEN(AA60, 'Points-Table'!C$20, 'Points-Table'!C$21, TRUE, False), 'Points-Table'!A$21,
        ISBETWEEN(AA60, 'Points-Table'!C$22, 10000, TRUE, TRUE), 'Points-Table'!A$22,
        true, 
        0)
      </f>
      </c>
      <c r="AC60" s="6" t="s">
        <v>56</v>
      </c>
      <c r="AD60" s="6" t="s">
        <v>56</v>
      </c>
      <c r="AE60" s="6" t="s">
        <v>56</v>
      </c>
    </row>
    <row r="61" spans="1:31" s="6" customFormat="1" x14ac:dyDescent="0.25">
      <c r="A61" s="6" t="s">
        <v>174</v>
      </c>
      <c r="D61" s="6"/>
      <c r="E61" s="6"/>
      <c r="F61" s="6" t="s">
        <v>175</v>
      </c>
      <c r="G61" s="6"/>
      <c r="H61" s="6"/>
      <c r="I61" s="6"/>
      <c r="J61" s="6"/>
      <c r="K61" s="6" t="s">
        <v>84</v>
      </c>
      <c r="L61" s="6" t="s">
        <v>85</v>
      </c>
      <c r="M61" s="6"/>
      <c r="N61" s="6"/>
      <c r="O61" s="6"/>
      <c r="P61" s="6"/>
      <c r="Q61" s="11">
        <v>0</v>
      </c>
      <c r="R61" s="12">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1">
        <v>0</v>
      </c>
      <c r="T61" s="12">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1">
        <v>3</v>
      </c>
      <c r="V61" s="12">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1">
        <v>2</v>
      </c>
      <c r="X61" s="12">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1">
        <v>0</v>
      </c>
      <c r="Z61" s="12">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6">
        <f>SUM(V61,X61,Z61)</f>
      </c>
      <c r="AB61" s="6">
        <f>
      Ifs( 
        ISBETWEEN(AA61, 0, 'Points-Table'!C$20, TRUE, False), 'Points-Table'!A$20,
        ISBETWEEN(AA61, 'Points-Table'!C$20, 'Points-Table'!C$21, TRUE, False), 'Points-Table'!A$21,
        ISBETWEEN(AA61, 'Points-Table'!C$22, 10000, TRUE, TRUE), 'Points-Table'!A$22,
        true, 
        0)
      </f>
      </c>
      <c r="AC61" s="6" t="s">
        <v>56</v>
      </c>
      <c r="AD61" s="6" t="s">
        <v>56</v>
      </c>
      <c r="AE61" s="6" t="s">
        <v>56</v>
      </c>
    </row>
    <row r="62" spans="1:31" s="6" customFormat="1" x14ac:dyDescent="0.25">
      <c r="A62" s="6" t="s">
        <v>176</v>
      </c>
      <c r="B62" s="6" t="s">
        <v>177</v>
      </c>
      <c r="D62" s="6"/>
      <c r="E62" s="6"/>
      <c r="F62" s="6"/>
      <c r="G62" s="6"/>
      <c r="H62" s="6"/>
      <c r="I62" s="6"/>
      <c r="J62" s="6"/>
      <c r="K62" s="6" t="s">
        <v>84</v>
      </c>
      <c r="L62" s="6" t="s">
        <v>85</v>
      </c>
      <c r="M62" s="6"/>
      <c r="N62" s="6"/>
      <c r="O62" s="6"/>
      <c r="P62" s="6"/>
      <c r="Q62" s="11">
        <v>0</v>
      </c>
      <c r="R62" s="12">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1">
        <v>0</v>
      </c>
      <c r="T62" s="12">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1">
        <v>8</v>
      </c>
      <c r="V62" s="12">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1">
        <v>3</v>
      </c>
      <c r="X62" s="12">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1"/>
      <c r="Z62" s="12">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6">
        <f>SUM(V62,X62,Z62)</f>
      </c>
      <c r="AB62" s="6">
        <f>
      Ifs( 
        ISBETWEEN(AA62, 0, 'Points-Table'!C$20, TRUE, False), 'Points-Table'!A$20,
        ISBETWEEN(AA62, 'Points-Table'!C$20, 'Points-Table'!C$21, TRUE, False), 'Points-Table'!A$21,
        ISBETWEEN(AA62, 'Points-Table'!C$22, 10000, TRUE, TRUE), 'Points-Table'!A$22,
        true, 
        0)
      </f>
      </c>
      <c r="AC62" s="6" t="s">
        <v>56</v>
      </c>
      <c r="AD62" s="6" t="s">
        <v>56</v>
      </c>
      <c r="AE62" s="6" t="s">
        <v>56</v>
      </c>
    </row>
    <row r="63" spans="1:31" s="6" customFormat="1" x14ac:dyDescent="0.25">
      <c r="A63" s="6" t="s">
        <v>176</v>
      </c>
      <c r="B63" s="6" t="s">
        <v>178</v>
      </c>
      <c r="D63" s="6"/>
      <c r="E63" s="6"/>
      <c r="F63" s="6"/>
      <c r="G63" s="6"/>
      <c r="H63" s="6"/>
      <c r="I63" s="6"/>
      <c r="J63" s="6"/>
      <c r="K63" s="6" t="s">
        <v>84</v>
      </c>
      <c r="L63" s="6" t="s">
        <v>85</v>
      </c>
      <c r="M63" s="6"/>
      <c r="N63" s="6"/>
      <c r="O63" s="6"/>
      <c r="P63" s="6"/>
      <c r="Q63" s="11">
        <v>0</v>
      </c>
      <c r="R63" s="12">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1">
        <v>0</v>
      </c>
      <c r="T63" s="12">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1">
        <v>3</v>
      </c>
      <c r="V63" s="12">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1">
        <v>0</v>
      </c>
      <c r="X63" s="12">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1"/>
      <c r="Z63" s="12">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6">
        <f>SUM(V63,X63,Z63)</f>
      </c>
      <c r="AB63" s="6">
        <f>
      Ifs( 
        ISBETWEEN(AA63, 0, 'Points-Table'!C$20, TRUE, False), 'Points-Table'!A$20,
        ISBETWEEN(AA63, 'Points-Table'!C$20, 'Points-Table'!C$21, TRUE, False), 'Points-Table'!A$21,
        ISBETWEEN(AA63, 'Points-Table'!C$22, 10000, TRUE, TRUE), 'Points-Table'!A$22,
        true, 
        0)
      </f>
      </c>
      <c r="AC63" s="6" t="s">
        <v>56</v>
      </c>
      <c r="AD63" s="6" t="s">
        <v>56</v>
      </c>
      <c r="AE63" s="6" t="s">
        <v>56</v>
      </c>
    </row>
    <row r="64" spans="1:31" s="6" customFormat="1" x14ac:dyDescent="0.25">
      <c r="A64" s="6" t="s">
        <v>176</v>
      </c>
      <c r="B64" s="6" t="s">
        <v>179</v>
      </c>
      <c r="C64" s="6" t="s">
        <v>180</v>
      </c>
      <c r="D64" s="6"/>
      <c r="E64" s="6"/>
      <c r="F64" s="6"/>
      <c r="G64" s="6"/>
      <c r="H64" s="6"/>
      <c r="I64" s="6"/>
      <c r="J64" s="6"/>
      <c r="K64" s="6" t="s">
        <v>84</v>
      </c>
      <c r="L64" s="6" t="s">
        <v>85</v>
      </c>
      <c r="M64" s="6"/>
      <c r="N64" s="6"/>
      <c r="O64" s="6"/>
      <c r="P64" s="6"/>
      <c r="Q64" s="11">
        <v>0</v>
      </c>
      <c r="R64" s="12">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1">
        <v>0</v>
      </c>
      <c r="T64" s="12">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1">
        <v>3</v>
      </c>
      <c r="V64" s="12">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1">
        <v>0</v>
      </c>
      <c r="X64" s="12">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1"/>
      <c r="Z64" s="12">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6">
        <f>SUM(V64,X64,Z64)</f>
      </c>
      <c r="AB64" s="6">
        <f>
      Ifs( 
        ISBETWEEN(AA64, 0, 'Points-Table'!C$20, TRUE, False), 'Points-Table'!A$20,
        ISBETWEEN(AA64, 'Points-Table'!C$20, 'Points-Table'!C$21, TRUE, False), 'Points-Table'!A$21,
        ISBETWEEN(AA64, 'Points-Table'!C$22, 10000, TRUE, TRUE), 'Points-Table'!A$22,
        true, 
        0)
      </f>
      </c>
      <c r="AC64" s="6" t="s">
        <v>56</v>
      </c>
      <c r="AD64" s="6" t="s">
        <v>56</v>
      </c>
      <c r="AE64" s="6" t="s">
        <v>56</v>
      </c>
    </row>
    <row r="65" spans="1:31" s="6" customFormat="1" x14ac:dyDescent="0.25">
      <c r="A65" s="6" t="s">
        <v>176</v>
      </c>
      <c r="B65" s="6" t="s">
        <v>179</v>
      </c>
      <c r="C65" s="6" t="s">
        <v>181</v>
      </c>
      <c r="D65" s="6"/>
      <c r="E65" s="6"/>
      <c r="F65" s="6"/>
      <c r="G65" s="6"/>
      <c r="H65" s="6"/>
      <c r="I65" s="6"/>
      <c r="J65" s="6"/>
      <c r="K65" s="6" t="s">
        <v>84</v>
      </c>
      <c r="L65" s="6" t="s">
        <v>85</v>
      </c>
      <c r="M65" s="6"/>
      <c r="N65" s="6"/>
      <c r="O65" s="6"/>
      <c r="P65" s="6"/>
      <c r="Q65" s="11">
        <v>0</v>
      </c>
      <c r="R65" s="12">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1">
        <v>0</v>
      </c>
      <c r="T65" s="12">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1">
        <v>8</v>
      </c>
      <c r="V65" s="12">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1">
        <v>0</v>
      </c>
      <c r="X65" s="12">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1"/>
      <c r="Z65" s="12">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6">
        <f>SUM(V65,X65,Z65)</f>
      </c>
      <c r="AB65" s="6">
        <f>
      Ifs( 
        ISBETWEEN(AA65, 0, 'Points-Table'!C$20, TRUE, False), 'Points-Table'!A$20,
        ISBETWEEN(AA65, 'Points-Table'!C$20, 'Points-Table'!C$21, TRUE, False), 'Points-Table'!A$21,
        ISBETWEEN(AA65, 'Points-Table'!C$22, 10000, TRUE, TRUE), 'Points-Table'!A$22,
        true, 
        0)
      </f>
      </c>
      <c r="AC65" s="6" t="s">
        <v>56</v>
      </c>
      <c r="AD65" s="6" t="s">
        <v>56</v>
      </c>
      <c r="AE65" s="6" t="s">
        <v>56</v>
      </c>
    </row>
    <row r="66" spans="1:31" s="6" customFormat="1" x14ac:dyDescent="0.25">
      <c r="A66" s="6" t="s">
        <v>176</v>
      </c>
      <c r="B66" s="6" t="s">
        <v>179</v>
      </c>
      <c r="C66" s="6" t="s">
        <v>182</v>
      </c>
      <c r="D66" s="6"/>
      <c r="E66" s="6"/>
      <c r="F66" s="6"/>
      <c r="G66" s="6"/>
      <c r="H66" s="6"/>
      <c r="I66" s="6"/>
      <c r="J66" s="6"/>
      <c r="K66" s="6" t="s">
        <v>84</v>
      </c>
      <c r="L66" s="6" t="s">
        <v>85</v>
      </c>
      <c r="M66" s="6"/>
      <c r="N66" s="6"/>
      <c r="O66" s="6"/>
      <c r="P66" s="6"/>
      <c r="Q66" s="11">
        <v>0</v>
      </c>
      <c r="R66" s="12">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c>
      <c r="S66" s="11">
        <v>0</v>
      </c>
      <c r="T66" s="12">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c>
      <c r="U66" s="11">
        <v>5</v>
      </c>
      <c r="V66" s="12">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c>
      <c r="W66" s="11">
        <v>0</v>
      </c>
      <c r="X66" s="12">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c>
      <c r="Y66" s="11"/>
      <c r="Z66" s="12">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c>
      <c r="AA66" s="6">
        <f>SUM(V66,X66,Z66)</f>
      </c>
      <c r="AB66" s="6">
        <f>
      Ifs( 
        ISBETWEEN(AA66, 0, 'Points-Table'!C$20, TRUE, False), 'Points-Table'!A$20,
        ISBETWEEN(AA66, 'Points-Table'!C$20, 'Points-Table'!C$21, TRUE, False), 'Points-Table'!A$21,
        ISBETWEEN(AA66, 'Points-Table'!C$22, 10000, TRUE, TRUE), 'Points-Table'!A$22,
        true, 
        0)
      </f>
      </c>
      <c r="AC66" s="6" t="s">
        <v>56</v>
      </c>
      <c r="AD66" s="6" t="s">
        <v>56</v>
      </c>
      <c r="AE66" s="6" t="s">
        <v>56</v>
      </c>
    </row>
    <row r="67" spans="1:31" s="6" customFormat="1" x14ac:dyDescent="0.25">
      <c r="A67" s="6" t="s">
        <v>176</v>
      </c>
      <c r="B67" s="6" t="s">
        <v>179</v>
      </c>
      <c r="C67" s="6" t="s">
        <v>183</v>
      </c>
      <c r="D67" s="6"/>
      <c r="E67" s="6"/>
      <c r="F67" s="6"/>
      <c r="G67" s="6"/>
      <c r="H67" s="6"/>
      <c r="I67" s="6"/>
      <c r="J67" s="6"/>
      <c r="K67" s="6" t="s">
        <v>84</v>
      </c>
      <c r="L67" s="6" t="s">
        <v>85</v>
      </c>
      <c r="M67" s="6"/>
      <c r="N67" s="6"/>
      <c r="O67" s="6"/>
      <c r="P67" s="6"/>
      <c r="Q67" s="11">
        <v>0</v>
      </c>
      <c r="R67" s="12">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c>
      <c r="S67" s="11">
        <v>0</v>
      </c>
      <c r="T67" s="12">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c>
      <c r="U67" s="11">
        <v>0</v>
      </c>
      <c r="V67" s="12">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c>
      <c r="W67" s="11">
        <v>3</v>
      </c>
      <c r="X67" s="12">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c>
      <c r="Y67" s="11"/>
      <c r="Z67" s="12">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c>
      <c r="AA67" s="6">
        <f>SUM(V67,X67,Z67)</f>
      </c>
      <c r="AB67" s="6">
        <f>
      Ifs( 
        ISBETWEEN(AA67, 0, 'Points-Table'!C$20, TRUE, False), 'Points-Table'!A$20,
        ISBETWEEN(AA67, 'Points-Table'!C$20, 'Points-Table'!C$21, TRUE, False), 'Points-Table'!A$21,
        ISBETWEEN(AA67, 'Points-Table'!C$22, 10000, TRUE, TRUE), 'Points-Table'!A$22,
        true, 
        0)
      </f>
      </c>
      <c r="AC67" s="6" t="s">
        <v>56</v>
      </c>
      <c r="AD67" s="6" t="s">
        <v>56</v>
      </c>
      <c r="AE67" s="6" t="s">
        <v>56</v>
      </c>
    </row>
    <row r="68" spans="1:31" s="6" customFormat="1" x14ac:dyDescent="0.25">
      <c r="A68" s="6" t="s">
        <v>176</v>
      </c>
      <c r="B68" s="6" t="s">
        <v>184</v>
      </c>
      <c r="C68" s="6" t="s">
        <v>185</v>
      </c>
      <c r="D68" s="6"/>
      <c r="E68" s="6"/>
      <c r="F68" s="6"/>
      <c r="G68" s="6"/>
      <c r="H68" s="6"/>
      <c r="I68" s="6"/>
      <c r="J68" s="6"/>
      <c r="K68" s="6" t="s">
        <v>84</v>
      </c>
      <c r="L68" s="6" t="s">
        <v>85</v>
      </c>
      <c r="M68" s="6"/>
      <c r="N68" s="6"/>
      <c r="O68" s="6"/>
      <c r="P68" s="6"/>
      <c r="Q68" s="11">
        <v>0</v>
      </c>
      <c r="R68" s="12">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c>
      <c r="S68" s="11">
        <v>0</v>
      </c>
      <c r="T68" s="12">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c>
      <c r="U68" s="11">
        <v>13</v>
      </c>
      <c r="V68" s="12">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c>
      <c r="W68" s="11">
        <v>3</v>
      </c>
      <c r="X68" s="12">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c>
      <c r="Y68" s="11">
        <v>0</v>
      </c>
      <c r="Z68" s="12">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c>
      <c r="AA68" s="6">
        <f>SUM(V68,X68,Z68)</f>
      </c>
      <c r="AB68" s="6">
        <f>
      Ifs( 
        ISBETWEEN(AA68, 0, 'Points-Table'!C$20, TRUE, False), 'Points-Table'!A$20,
        ISBETWEEN(AA68, 'Points-Table'!C$20, 'Points-Table'!C$21, TRUE, False), 'Points-Table'!A$21,
        ISBETWEEN(AA68, 'Points-Table'!C$22, 10000, TRUE, TRUE), 'Points-Table'!A$22,
        true, 
        0)
      </f>
      </c>
      <c r="AC68" s="6" t="s">
        <v>56</v>
      </c>
      <c r="AD68" s="6" t="s">
        <v>56</v>
      </c>
      <c r="AE68" s="6" t="s">
        <v>56</v>
      </c>
    </row>
    <row r="69" spans="1:31" s="6" customFormat="1" x14ac:dyDescent="0.25">
      <c r="A69" s="6" t="s">
        <v>176</v>
      </c>
      <c r="B69" s="6" t="s">
        <v>184</v>
      </c>
      <c r="C69" s="6" t="s">
        <v>186</v>
      </c>
      <c r="D69" s="6"/>
      <c r="E69" s="6"/>
      <c r="F69" s="6"/>
      <c r="G69" s="6"/>
      <c r="H69" s="6"/>
      <c r="I69" s="6"/>
      <c r="J69" s="6"/>
      <c r="K69" s="6" t="s">
        <v>84</v>
      </c>
      <c r="L69" s="6" t="s">
        <v>85</v>
      </c>
      <c r="M69" s="6"/>
      <c r="N69" s="6"/>
      <c r="O69" s="6"/>
      <c r="P69" s="6"/>
      <c r="Q69" s="11">
        <v>0</v>
      </c>
      <c r="R69" s="12">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c>
      <c r="S69" s="11">
        <v>0</v>
      </c>
      <c r="T69" s="12">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c>
      <c r="U69" s="11">
        <v>3</v>
      </c>
      <c r="V69" s="12">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c>
      <c r="W69" s="11">
        <v>3</v>
      </c>
      <c r="X69" s="12">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c>
      <c r="Y69" s="11">
        <v>0</v>
      </c>
      <c r="Z69" s="12">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c>
      <c r="AA69" s="6">
        <f>SUM(V69,X69,Z69)</f>
      </c>
      <c r="AB69" s="6">
        <f>
      Ifs( 
        ISBETWEEN(AA69, 0, 'Points-Table'!C$20, TRUE, False), 'Points-Table'!A$20,
        ISBETWEEN(AA69, 'Points-Table'!C$20, 'Points-Table'!C$21, TRUE, False), 'Points-Table'!A$21,
        ISBETWEEN(AA69, 'Points-Table'!C$22, 10000, TRUE, TRUE), 'Points-Table'!A$22,
        true, 
        0)
      </f>
      </c>
      <c r="AC69" s="6" t="s">
        <v>56</v>
      </c>
      <c r="AD69" s="6" t="s">
        <v>56</v>
      </c>
      <c r="AE69" s="6" t="s">
        <v>56</v>
      </c>
    </row>
    <row r="70" spans="1:31" s="6" customFormat="1" x14ac:dyDescent="0.25">
      <c r="A70" s="6" t="s">
        <v>176</v>
      </c>
      <c r="B70" s="6" t="s">
        <v>187</v>
      </c>
      <c r="C70" s="6" t="s">
        <v>188</v>
      </c>
      <c r="D70" s="6"/>
      <c r="E70" s="6"/>
      <c r="F70" s="6"/>
      <c r="G70" s="6"/>
      <c r="H70" s="6"/>
      <c r="I70" s="6"/>
      <c r="J70" s="6"/>
      <c r="K70" s="6" t="s">
        <v>84</v>
      </c>
      <c r="L70" s="6" t="s">
        <v>85</v>
      </c>
      <c r="M70" s="6"/>
      <c r="N70" s="6"/>
      <c r="O70" s="6"/>
      <c r="P70" s="6"/>
      <c r="Q70" s="11">
        <v>0</v>
      </c>
      <c r="R70" s="12">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c>
      <c r="S70" s="11">
        <v>0</v>
      </c>
      <c r="T70" s="12">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c>
      <c r="U70" s="11">
        <v>5</v>
      </c>
      <c r="V70" s="12">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c>
      <c r="W70" s="11">
        <v>2</v>
      </c>
      <c r="X70" s="12">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c>
      <c r="Y70" s="11">
        <v>0</v>
      </c>
      <c r="Z70" s="12">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c>
      <c r="AA70" s="6">
        <f>SUM(V70,X70,Z70)</f>
      </c>
      <c r="AB70" s="6">
        <f>
      Ifs( 
        ISBETWEEN(AA70, 0, 'Points-Table'!C$20, TRUE, False), 'Points-Table'!A$20,
        ISBETWEEN(AA70, 'Points-Table'!C$20, 'Points-Table'!C$21, TRUE, False), 'Points-Table'!A$21,
        ISBETWEEN(AA70, 'Points-Table'!C$22, 10000, TRUE, TRUE), 'Points-Table'!A$22,
        true, 
        0)
      </f>
      </c>
      <c r="AC70" s="6" t="s">
        <v>56</v>
      </c>
      <c r="AD70" s="6" t="s">
        <v>56</v>
      </c>
      <c r="AE70" s="6" t="s">
        <v>56</v>
      </c>
    </row>
    <row r="71" spans="1:31" s="6" customFormat="1" x14ac:dyDescent="0.25">
      <c r="A71" s="6" t="s">
        <v>176</v>
      </c>
      <c r="B71" s="6" t="s">
        <v>187</v>
      </c>
      <c r="C71" s="6" t="s">
        <v>189</v>
      </c>
      <c r="D71" s="6"/>
      <c r="E71" s="6"/>
      <c r="F71" s="6"/>
      <c r="G71" s="6"/>
      <c r="H71" s="6"/>
      <c r="I71" s="6"/>
      <c r="J71" s="6"/>
      <c r="K71" s="6" t="s">
        <v>84</v>
      </c>
      <c r="L71" s="6" t="s">
        <v>85</v>
      </c>
      <c r="M71" s="6"/>
      <c r="N71" s="6"/>
      <c r="O71" s="6"/>
      <c r="P71" s="6"/>
      <c r="Q71" s="11">
        <v>0</v>
      </c>
      <c r="R71" s="12">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c>
      <c r="S71" s="11">
        <v>0</v>
      </c>
      <c r="T71" s="12">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c>
      <c r="U71" s="11">
        <v>1</v>
      </c>
      <c r="V71" s="12">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c>
      <c r="W71" s="11">
        <v>1</v>
      </c>
      <c r="X71" s="12">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c>
      <c r="Y71" s="11">
        <v>0</v>
      </c>
      <c r="Z71" s="12">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c>
      <c r="AA71" s="6">
        <f>SUM(V71,X71,Z71)</f>
      </c>
      <c r="AB71" s="6">
        <f>
      Ifs( 
        ISBETWEEN(AA71, 0, 'Points-Table'!C$20, TRUE, False), 'Points-Table'!A$20,
        ISBETWEEN(AA71, 'Points-Table'!C$20, 'Points-Table'!C$21, TRUE, False), 'Points-Table'!A$21,
        ISBETWEEN(AA71, 'Points-Table'!C$22, 10000, TRUE, TRUE), 'Points-Table'!A$22,
        true, 
        0)
      </f>
      </c>
      <c r="AC71" s="6" t="s">
        <v>56</v>
      </c>
      <c r="AD71" s="6" t="s">
        <v>56</v>
      </c>
      <c r="AE71" s="6" t="s">
        <v>56</v>
      </c>
    </row>
    <row r="72" spans="1:31" s="6" customFormat="1" x14ac:dyDescent="0.25">
      <c r="A72" s="6" t="s">
        <v>176</v>
      </c>
      <c r="B72" s="6" t="s">
        <v>187</v>
      </c>
      <c r="C72" s="6" t="s">
        <v>190</v>
      </c>
      <c r="D72" s="6"/>
      <c r="E72" s="6"/>
      <c r="F72" s="6"/>
      <c r="G72" s="6"/>
      <c r="H72" s="6"/>
      <c r="I72" s="6"/>
      <c r="J72" s="6"/>
      <c r="K72" s="6" t="s">
        <v>84</v>
      </c>
      <c r="L72" s="6" t="s">
        <v>85</v>
      </c>
      <c r="M72" s="6"/>
      <c r="N72" s="6"/>
      <c r="O72" s="6"/>
      <c r="P72" s="6"/>
      <c r="Q72" s="11">
        <v>0</v>
      </c>
      <c r="R72" s="12">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c>
      <c r="S72" s="11">
        <v>0</v>
      </c>
      <c r="T72" s="12">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c>
      <c r="U72" s="11">
        <v>5</v>
      </c>
      <c r="V72" s="12">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c>
      <c r="W72" s="11">
        <v>2</v>
      </c>
      <c r="X72" s="12">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c>
      <c r="Y72" s="11">
        <v>0</v>
      </c>
      <c r="Z72" s="12">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c>
      <c r="AA72" s="6">
        <f>SUM(V72,X72,Z72)</f>
      </c>
      <c r="AB72" s="6">
        <f>
      Ifs( 
        ISBETWEEN(AA72, 0, 'Points-Table'!C$20, TRUE, False), 'Points-Table'!A$20,
        ISBETWEEN(AA72, 'Points-Table'!C$20, 'Points-Table'!C$21, TRUE, False), 'Points-Table'!A$21,
        ISBETWEEN(AA72, 'Points-Table'!C$22, 10000, TRUE, TRUE), 'Points-Table'!A$22,
        true, 
        0)
      </f>
      </c>
      <c r="AC72" s="6" t="s">
        <v>56</v>
      </c>
      <c r="AD72" s="6" t="s">
        <v>56</v>
      </c>
      <c r="AE72" s="6" t="s">
        <v>56</v>
      </c>
    </row>
    <row r="73" spans="1:31" s="6" customFormat="1" x14ac:dyDescent="0.25">
      <c r="A73" s="6" t="s">
        <v>176</v>
      </c>
      <c r="B73" s="6" t="s">
        <v>187</v>
      </c>
      <c r="C73" s="6" t="s">
        <v>191</v>
      </c>
      <c r="D73" s="6"/>
      <c r="E73" s="6"/>
      <c r="F73" s="6"/>
      <c r="G73" s="6"/>
      <c r="H73" s="6"/>
      <c r="I73" s="6"/>
      <c r="J73" s="6"/>
      <c r="K73" s="6" t="s">
        <v>84</v>
      </c>
      <c r="L73" s="6" t="s">
        <v>85</v>
      </c>
      <c r="M73" s="6"/>
      <c r="N73" s="6"/>
      <c r="O73" s="6"/>
      <c r="P73" s="6"/>
      <c r="Q73" s="11">
        <v>0</v>
      </c>
      <c r="R73" s="12">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c>
      <c r="S73" s="11">
        <v>0</v>
      </c>
      <c r="T73" s="12">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c>
      <c r="U73" s="11">
        <v>1</v>
      </c>
      <c r="V73" s="12">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c>
      <c r="W73" s="11">
        <v>1</v>
      </c>
      <c r="X73" s="12">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c>
      <c r="Y73" s="11">
        <v>0</v>
      </c>
      <c r="Z73" s="12">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c>
      <c r="AA73" s="6">
        <f>SUM(V73,X73,Z73)</f>
      </c>
      <c r="AB73" s="6">
        <f>
      Ifs( 
        ISBETWEEN(AA73, 0, 'Points-Table'!C$20, TRUE, False), 'Points-Table'!A$20,
        ISBETWEEN(AA73, 'Points-Table'!C$20, 'Points-Table'!C$21, TRUE, False), 'Points-Table'!A$21,
        ISBETWEEN(AA73, 'Points-Table'!C$22, 10000, TRUE, TRUE), 'Points-Table'!A$22,
        true, 
        0)
      </f>
      </c>
      <c r="AC73" s="6" t="s">
        <v>56</v>
      </c>
      <c r="AD73" s="6" t="s">
        <v>56</v>
      </c>
      <c r="AE73" s="6" t="s">
        <v>56</v>
      </c>
    </row>
    <row r="74" spans="1:31" s="6" customFormat="1" x14ac:dyDescent="0.25">
      <c r="A74" s="6" t="s">
        <v>192</v>
      </c>
      <c r="B74" s="6" t="s">
        <v>193</v>
      </c>
      <c r="C74" s="6" t="s">
        <v>194</v>
      </c>
      <c r="D74" s="6"/>
      <c r="E74" s="6"/>
      <c r="F74" s="6"/>
      <c r="G74" s="6"/>
      <c r="H74" s="6"/>
      <c r="I74" s="6"/>
      <c r="J74" s="6"/>
      <c r="K74" s="6" t="s">
        <v>84</v>
      </c>
      <c r="L74" s="6" t="s">
        <v>85</v>
      </c>
      <c r="M74" s="6"/>
      <c r="N74" s="6"/>
      <c r="O74" s="6"/>
      <c r="P74" s="6"/>
      <c r="Q74" s="11">
        <v>0</v>
      </c>
      <c r="R74" s="12">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c>
      <c r="S74" s="11">
        <v>0</v>
      </c>
      <c r="T74" s="12">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c>
      <c r="U74" s="11">
        <v>5</v>
      </c>
      <c r="V74" s="12">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c>
      <c r="W74" s="11">
        <v>3</v>
      </c>
      <c r="X74" s="12">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c>
      <c r="Y74" s="11">
        <v>0</v>
      </c>
      <c r="Z74" s="12">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c>
      <c r="AA74" s="6">
        <f>SUM(V74,X74,Z74)</f>
      </c>
      <c r="AB74" s="6">
        <f>
      Ifs( 
        ISBETWEEN(AA74, 0, 'Points-Table'!C$20, TRUE, False), 'Points-Table'!A$20,
        ISBETWEEN(AA74, 'Points-Table'!C$20, 'Points-Table'!C$21, TRUE, False), 'Points-Table'!A$21,
        ISBETWEEN(AA74, 'Points-Table'!C$22, 10000, TRUE, TRUE), 'Points-Table'!A$22,
        true, 
        0)
      </f>
      </c>
      <c r="AC74" s="6" t="s">
        <v>56</v>
      </c>
      <c r="AD74" s="6" t="s">
        <v>56</v>
      </c>
      <c r="AE74" s="6" t="s">
        <v>56</v>
      </c>
    </row>
    <row r="75" spans="1:31" s="6" customFormat="1" x14ac:dyDescent="0.25">
      <c r="A75" s="6" t="s">
        <v>192</v>
      </c>
      <c r="B75" s="6" t="s">
        <v>193</v>
      </c>
      <c r="C75" s="6" t="s">
        <v>195</v>
      </c>
      <c r="D75" s="6"/>
      <c r="E75" s="6"/>
      <c r="F75" s="6"/>
      <c r="G75" s="6"/>
      <c r="H75" s="6"/>
      <c r="I75" s="6"/>
      <c r="J75" s="6"/>
      <c r="K75" s="6" t="s">
        <v>84</v>
      </c>
      <c r="L75" s="6" t="s">
        <v>85</v>
      </c>
      <c r="M75" s="6"/>
      <c r="N75" s="6"/>
      <c r="O75" s="6"/>
      <c r="P75" s="6"/>
      <c r="Q75" s="11"/>
      <c r="R75" s="12">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c>
      <c r="S75" s="11"/>
      <c r="T75" s="12">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c>
      <c r="U75" s="11">
        <v>0</v>
      </c>
      <c r="V75" s="12">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c>
      <c r="W75" s="11">
        <v>3</v>
      </c>
      <c r="X75" s="12">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c>
      <c r="Y75" s="11">
        <v>0</v>
      </c>
      <c r="Z75" s="12">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c>
      <c r="AA75" s="6">
        <f>SUM(V75,X75,Z75)</f>
      </c>
      <c r="AB75" s="6">
        <f>
      Ifs( 
        ISBETWEEN(AA75, 0, 'Points-Table'!C$20, TRUE, False), 'Points-Table'!A$20,
        ISBETWEEN(AA75, 'Points-Table'!C$20, 'Points-Table'!C$21, TRUE, False), 'Points-Table'!A$21,
        ISBETWEEN(AA75, 'Points-Table'!C$22, 10000, TRUE, TRUE), 'Points-Table'!A$22,
        true, 
        0)
      </f>
      </c>
      <c r="AC75" s="6" t="s">
        <v>56</v>
      </c>
      <c r="AD75" s="6" t="s">
        <v>56</v>
      </c>
      <c r="AE75" s="6" t="s">
        <v>56</v>
      </c>
    </row>
    <row r="76" spans="1:31" s="6" customFormat="1" x14ac:dyDescent="0.25">
      <c r="A76" s="6" t="s">
        <v>192</v>
      </c>
      <c r="B76" s="6" t="s">
        <v>196</v>
      </c>
      <c r="C76" s="6" t="s">
        <v>197</v>
      </c>
      <c r="D76" s="6"/>
      <c r="E76" s="6"/>
      <c r="F76" s="6"/>
      <c r="G76" s="6"/>
      <c r="H76" s="6"/>
      <c r="I76" s="6"/>
      <c r="J76" s="6"/>
      <c r="K76" s="6" t="s">
        <v>84</v>
      </c>
      <c r="L76" s="6" t="s">
        <v>85</v>
      </c>
      <c r="M76" s="6"/>
      <c r="N76" s="6"/>
      <c r="O76" s="6"/>
      <c r="P76" s="6"/>
      <c r="Q76" s="11">
        <v>0</v>
      </c>
      <c r="R76" s="12">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c>
      <c r="S76" s="11">
        <v>0</v>
      </c>
      <c r="T76" s="12">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c>
      <c r="U76" s="11">
        <v>3</v>
      </c>
      <c r="V76" s="12">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c>
      <c r="W76" s="11">
        <v>2</v>
      </c>
      <c r="X76" s="12">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c>
      <c r="Y76" s="11"/>
      <c r="Z76" s="12">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c>
      <c r="AA76" s="6">
        <f>SUM(V76,X76,Z76)</f>
      </c>
      <c r="AB76" s="6">
        <f>
      Ifs( 
        ISBETWEEN(AA76, 0, 'Points-Table'!C$20, TRUE, False), 'Points-Table'!A$20,
        ISBETWEEN(AA76, 'Points-Table'!C$20, 'Points-Table'!C$21, TRUE, False), 'Points-Table'!A$21,
        ISBETWEEN(AA76, 'Points-Table'!C$22, 10000, TRUE, TRUE), 'Points-Table'!A$22,
        true, 
        0)
      </f>
      </c>
      <c r="AC76" s="6" t="s">
        <v>56</v>
      </c>
      <c r="AD76" s="6" t="s">
        <v>56</v>
      </c>
      <c r="AE76" s="6" t="s">
        <v>56</v>
      </c>
    </row>
    <row r="77" spans="1:31" s="6" customFormat="1" x14ac:dyDescent="0.25">
      <c r="A77" s="6" t="s">
        <v>192</v>
      </c>
      <c r="B77" s="6" t="s">
        <v>196</v>
      </c>
      <c r="C77" s="6" t="s">
        <v>198</v>
      </c>
      <c r="D77" s="6"/>
      <c r="E77" s="6"/>
      <c r="F77" s="6"/>
      <c r="G77" s="6"/>
      <c r="H77" s="6"/>
      <c r="I77" s="6"/>
      <c r="J77" s="6"/>
      <c r="K77" s="6" t="s">
        <v>84</v>
      </c>
      <c r="L77" s="6" t="s">
        <v>85</v>
      </c>
      <c r="M77" s="6"/>
      <c r="N77" s="6"/>
      <c r="O77" s="6"/>
      <c r="P77" s="6"/>
      <c r="Q77" s="11">
        <v>0</v>
      </c>
      <c r="R77" s="12">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c>
      <c r="S77" s="11">
        <v>0</v>
      </c>
      <c r="T77" s="12">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c>
      <c r="U77" s="11">
        <v>2</v>
      </c>
      <c r="V77" s="12">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c>
      <c r="W77" s="11">
        <v>3</v>
      </c>
      <c r="X77" s="12">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c>
      <c r="Y77" s="11"/>
      <c r="Z77" s="12">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c>
      <c r="AA77" s="6">
        <f>SUM(V77,X77,Z77)</f>
      </c>
      <c r="AB77" s="6">
        <f>
      Ifs( 
        ISBETWEEN(AA77, 0, 'Points-Table'!C$20, TRUE, False), 'Points-Table'!A$20,
        ISBETWEEN(AA77, 'Points-Table'!C$20, 'Points-Table'!C$21, TRUE, False), 'Points-Table'!A$21,
        ISBETWEEN(AA77, 'Points-Table'!C$22, 10000, TRUE, TRUE), 'Points-Table'!A$22,
        true, 
        0)
      </f>
      </c>
      <c r="AC77" s="6" t="s">
        <v>56</v>
      </c>
      <c r="AD77" s="6" t="s">
        <v>56</v>
      </c>
      <c r="AE77" s="6" t="s">
        <v>56</v>
      </c>
    </row>
    <row r="78" spans="1:31" s="6" customFormat="1" x14ac:dyDescent="0.25">
      <c r="A78" s="6" t="s">
        <v>192</v>
      </c>
      <c r="B78" s="6" t="s">
        <v>199</v>
      </c>
      <c r="C78" s="6" t="s">
        <v>200</v>
      </c>
      <c r="D78" s="6"/>
      <c r="E78" s="6"/>
      <c r="F78" s="6"/>
      <c r="G78" s="6"/>
      <c r="H78" s="6"/>
      <c r="I78" s="6"/>
      <c r="J78" s="6"/>
      <c r="K78" s="6" t="s">
        <v>84</v>
      </c>
      <c r="L78" s="6" t="s">
        <v>85</v>
      </c>
      <c r="M78" s="6"/>
      <c r="N78" s="6"/>
      <c r="O78" s="6"/>
      <c r="P78" s="6"/>
      <c r="Q78" s="11">
        <v>0</v>
      </c>
      <c r="R78" s="12">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c>
      <c r="S78" s="11">
        <v>0</v>
      </c>
      <c r="T78" s="12">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c>
      <c r="U78" s="11">
        <v>3</v>
      </c>
      <c r="V78" s="12">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c>
      <c r="W78" s="11">
        <v>2</v>
      </c>
      <c r="X78" s="12">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c>
      <c r="Y78" s="11">
        <v>0</v>
      </c>
      <c r="Z78" s="12">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c>
      <c r="AA78" s="6">
        <f>SUM(V78,X78,Z78)</f>
      </c>
      <c r="AB78" s="6">
        <f>
      Ifs( 
        ISBETWEEN(AA78, 0, 'Points-Table'!C$20, TRUE, False), 'Points-Table'!A$20,
        ISBETWEEN(AA78, 'Points-Table'!C$20, 'Points-Table'!C$21, TRUE, False), 'Points-Table'!A$21,
        ISBETWEEN(AA78, 'Points-Table'!C$22, 10000, TRUE, TRUE), 'Points-Table'!A$22,
        true, 
        0)
      </f>
      </c>
      <c r="AC78" s="6" t="s">
        <v>56</v>
      </c>
      <c r="AD78" s="6" t="s">
        <v>56</v>
      </c>
      <c r="AE78" s="6" t="s">
        <v>56</v>
      </c>
    </row>
    <row r="79" spans="1:31" s="6" customFormat="1" x14ac:dyDescent="0.25">
      <c r="A79" s="6" t="s">
        <v>192</v>
      </c>
      <c r="B79" s="6" t="s">
        <v>199</v>
      </c>
      <c r="C79" s="6" t="s">
        <v>201</v>
      </c>
      <c r="D79" s="6"/>
      <c r="E79" s="6"/>
      <c r="F79" s="6"/>
      <c r="G79" s="6"/>
      <c r="H79" s="6"/>
      <c r="I79" s="6"/>
      <c r="J79" s="6"/>
      <c r="K79" s="6" t="s">
        <v>84</v>
      </c>
      <c r="L79" s="6" t="s">
        <v>85</v>
      </c>
      <c r="M79" s="6"/>
      <c r="N79" s="6"/>
      <c r="O79" s="6"/>
      <c r="P79" s="6"/>
      <c r="Q79" s="11">
        <v>0</v>
      </c>
      <c r="R79" s="12">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c>
      <c r="S79" s="11">
        <v>0</v>
      </c>
      <c r="T79" s="12">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c>
      <c r="U79" s="11">
        <v>2</v>
      </c>
      <c r="V79" s="12">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c>
      <c r="W79" s="11">
        <v>3</v>
      </c>
      <c r="X79" s="12">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c>
      <c r="Y79" s="11"/>
      <c r="Z79" s="12">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c>
      <c r="AA79" s="6">
        <f>SUM(V79,X79,Z79)</f>
      </c>
      <c r="AB79" s="6">
        <f>
      Ifs( 
        ISBETWEEN(AA79, 0, 'Points-Table'!C$20, TRUE, False), 'Points-Table'!A$20,
        ISBETWEEN(AA79, 'Points-Table'!C$20, 'Points-Table'!C$21, TRUE, False), 'Points-Table'!A$21,
        ISBETWEEN(AA79, 'Points-Table'!C$22, 10000, TRUE, TRUE), 'Points-Table'!A$22,
        true, 
        0)
      </f>
      </c>
      <c r="AC79" s="6" t="s">
        <v>56</v>
      </c>
      <c r="AD79" s="6" t="s">
        <v>56</v>
      </c>
      <c r="AE79" s="6" t="s">
        <v>56</v>
      </c>
    </row>
    <row r="80" spans="1:31" s="6" customFormat="1" x14ac:dyDescent="0.25">
      <c r="A80" s="6" t="s">
        <v>192</v>
      </c>
      <c r="B80" s="6" t="s">
        <v>202</v>
      </c>
      <c r="C80" s="6" t="s">
        <v>203</v>
      </c>
      <c r="D80" s="6"/>
      <c r="E80" s="6"/>
      <c r="F80" s="6"/>
      <c r="G80" s="6"/>
      <c r="H80" s="6"/>
      <c r="I80" s="6"/>
      <c r="J80" s="6"/>
      <c r="K80" s="6" t="s">
        <v>84</v>
      </c>
      <c r="L80" s="6" t="s">
        <v>85</v>
      </c>
      <c r="M80" s="6"/>
      <c r="N80" s="6"/>
      <c r="O80" s="6"/>
      <c r="P80" s="6"/>
      <c r="Q80" s="11">
        <v>0</v>
      </c>
      <c r="R80" s="12">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c>
      <c r="S80" s="11">
        <v>0</v>
      </c>
      <c r="T80" s="12">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c>
      <c r="U80" s="11">
        <v>8</v>
      </c>
      <c r="V80" s="12">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c>
      <c r="W80" s="11">
        <v>2</v>
      </c>
      <c r="X80" s="12">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c>
      <c r="Y80" s="11">
        <v>0</v>
      </c>
      <c r="Z80" s="12">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c>
      <c r="AA80" s="6">
        <f>SUM(V80,X80,Z80)</f>
      </c>
      <c r="AB80" s="6">
        <f>
      Ifs( 
        ISBETWEEN(AA80, 0, 'Points-Table'!C$20, TRUE, False), 'Points-Table'!A$20,
        ISBETWEEN(AA80, 'Points-Table'!C$20, 'Points-Table'!C$21, TRUE, False), 'Points-Table'!A$21,
        ISBETWEEN(AA80, 'Points-Table'!C$22, 10000, TRUE, TRUE), 'Points-Table'!A$22,
        true, 
        0)
      </f>
      </c>
      <c r="AC80" s="6" t="s">
        <v>56</v>
      </c>
      <c r="AD80" s="6" t="s">
        <v>56</v>
      </c>
      <c r="AE80" s="6" t="s">
        <v>56</v>
      </c>
    </row>
    <row r="81" spans="1:31" s="6" customFormat="1" x14ac:dyDescent="0.25">
      <c r="A81" s="6" t="s">
        <v>192</v>
      </c>
      <c r="B81" s="6" t="s">
        <v>202</v>
      </c>
      <c r="C81" s="6" t="s">
        <v>204</v>
      </c>
      <c r="D81" s="6"/>
      <c r="E81" s="6"/>
      <c r="F81" s="6"/>
      <c r="G81" s="6"/>
      <c r="H81" s="6"/>
      <c r="I81" s="6"/>
      <c r="J81" s="6"/>
      <c r="K81" s="6" t="s">
        <v>84</v>
      </c>
      <c r="L81" s="6" t="s">
        <v>85</v>
      </c>
      <c r="M81" s="6"/>
      <c r="N81" s="6"/>
      <c r="O81" s="6"/>
      <c r="P81" s="6"/>
      <c r="Q81" s="11">
        <v>0</v>
      </c>
      <c r="R81" s="12">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c>
      <c r="S81" s="11">
        <v>0</v>
      </c>
      <c r="T81" s="12">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c>
      <c r="U81" s="11">
        <v>5</v>
      </c>
      <c r="V81" s="12">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c>
      <c r="W81" s="11">
        <v>2</v>
      </c>
      <c r="X81" s="12">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c>
      <c r="Y81" s="11">
        <v>0</v>
      </c>
      <c r="Z81" s="12">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c>
      <c r="AA81" s="6">
        <f>SUM(V81,X81,Z81)</f>
      </c>
      <c r="AB81" s="6">
        <f>
      Ifs( 
        ISBETWEEN(AA81, 0, 'Points-Table'!C$20, TRUE, False), 'Points-Table'!A$20,
        ISBETWEEN(AA81, 'Points-Table'!C$20, 'Points-Table'!C$21, TRUE, False), 'Points-Table'!A$21,
        ISBETWEEN(AA81, 'Points-Table'!C$22, 10000, TRUE, TRUE), 'Points-Table'!A$22,
        true, 
        0)
      </f>
      </c>
      <c r="AC81" s="6" t="s">
        <v>56</v>
      </c>
      <c r="AD81" s="6" t="s">
        <v>56</v>
      </c>
      <c r="AE81" s="6" t="s">
        <v>56</v>
      </c>
    </row>
    <row r="82" spans="1:31" s="6" customFormat="1" x14ac:dyDescent="0.25">
      <c r="A82" s="6" t="s">
        <v>192</v>
      </c>
      <c r="B82" s="6" t="s">
        <v>202</v>
      </c>
      <c r="C82" s="6" t="s">
        <v>205</v>
      </c>
      <c r="D82" s="6"/>
      <c r="E82" s="6"/>
      <c r="F82" s="6"/>
      <c r="G82" s="6"/>
      <c r="H82" s="6"/>
      <c r="I82" s="6"/>
      <c r="J82" s="6"/>
      <c r="K82" s="6" t="s">
        <v>84</v>
      </c>
      <c r="L82" s="6" t="s">
        <v>85</v>
      </c>
      <c r="M82" s="6"/>
      <c r="N82" s="6"/>
      <c r="O82" s="6"/>
      <c r="P82" s="6"/>
      <c r="Q82" s="11">
        <v>0</v>
      </c>
      <c r="R82" s="12">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c>
      <c r="S82" s="11">
        <v>0</v>
      </c>
      <c r="T82" s="12">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c>
      <c r="U82" s="11">
        <v>2</v>
      </c>
      <c r="V82" s="12">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c>
      <c r="W82" s="11">
        <v>2</v>
      </c>
      <c r="X82" s="12">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c>
      <c r="Y82" s="11">
        <v>0</v>
      </c>
      <c r="Z82" s="12">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c>
      <c r="AA82" s="6">
        <f>SUM(V82,X82,Z82)</f>
      </c>
      <c r="AB82" s="6">
        <f>
      Ifs( 
        ISBETWEEN(AA82, 0, 'Points-Table'!C$20, TRUE, False), 'Points-Table'!A$20,
        ISBETWEEN(AA82, 'Points-Table'!C$20, 'Points-Table'!C$21, TRUE, False), 'Points-Table'!A$21,
        ISBETWEEN(AA82, 'Points-Table'!C$22, 10000, TRUE, TRUE), 'Points-Table'!A$22,
        true, 
        0)
      </f>
      </c>
      <c r="AC82" s="6" t="s">
        <v>56</v>
      </c>
      <c r="AD82" s="6" t="s">
        <v>56</v>
      </c>
      <c r="AE82" s="6" t="s">
        <v>56</v>
      </c>
    </row>
    <row r="83" spans="1:31" s="6" customFormat="1" x14ac:dyDescent="0.25">
      <c r="A83" s="6" t="s">
        <v>192</v>
      </c>
      <c r="B83" s="6" t="s">
        <v>206</v>
      </c>
      <c r="C83" s="6" t="s">
        <v>207</v>
      </c>
      <c r="D83" s="6"/>
      <c r="E83" s="6"/>
      <c r="F83" s="6"/>
      <c r="G83" s="6"/>
      <c r="H83" s="6"/>
      <c r="I83" s="6"/>
      <c r="J83" s="6"/>
      <c r="K83" s="6" t="s">
        <v>84</v>
      </c>
      <c r="L83" s="6" t="s">
        <v>85</v>
      </c>
      <c r="M83" s="6"/>
      <c r="N83" s="6"/>
      <c r="O83" s="6"/>
      <c r="P83" s="6"/>
      <c r="Q83" s="11">
        <v>0</v>
      </c>
      <c r="R83" s="12">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c>
      <c r="S83" s="11">
        <v>0</v>
      </c>
      <c r="T83" s="12">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c>
      <c r="U83" s="11">
        <v>8</v>
      </c>
      <c r="V83" s="12">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c>
      <c r="W83" s="11">
        <v>3</v>
      </c>
      <c r="X83" s="12">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c>
      <c r="Y83" s="11">
        <v>0</v>
      </c>
      <c r="Z83" s="12">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c>
      <c r="AA83" s="6">
        <f>SUM(V83,X83,Z83)</f>
      </c>
      <c r="AB83" s="6">
        <f>
      Ifs( 
        ISBETWEEN(AA83, 0, 'Points-Table'!C$20, TRUE, False), 'Points-Table'!A$20,
        ISBETWEEN(AA83, 'Points-Table'!C$20, 'Points-Table'!C$21, TRUE, False), 'Points-Table'!A$21,
        ISBETWEEN(AA83, 'Points-Table'!C$22, 10000, TRUE, TRUE), 'Points-Table'!A$22,
        true, 
        0)
      </f>
      </c>
      <c r="AC83" s="6" t="s">
        <v>56</v>
      </c>
      <c r="AD83" s="6" t="s">
        <v>56</v>
      </c>
      <c r="AE83" s="6" t="s">
        <v>56</v>
      </c>
    </row>
    <row r="84" spans="1:31" s="6" customFormat="1" x14ac:dyDescent="0.25">
      <c r="A84" s="6" t="s">
        <v>192</v>
      </c>
      <c r="B84" s="6" t="s">
        <v>208</v>
      </c>
      <c r="C84" s="6" t="s">
        <v>188</v>
      </c>
      <c r="D84" s="6"/>
      <c r="E84" s="6"/>
      <c r="F84" s="6"/>
      <c r="G84" s="6"/>
      <c r="H84" s="6"/>
      <c r="I84" s="6"/>
      <c r="J84" s="6"/>
      <c r="K84" s="6" t="s">
        <v>84</v>
      </c>
      <c r="L84" s="6" t="s">
        <v>85</v>
      </c>
      <c r="M84" s="6"/>
      <c r="N84" s="6"/>
      <c r="O84" s="6"/>
      <c r="P84" s="6"/>
      <c r="Q84" s="11">
        <v>0</v>
      </c>
      <c r="R84" s="12">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c>
      <c r="S84" s="11">
        <v>0</v>
      </c>
      <c r="T84" s="12">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c>
      <c r="U84" s="11">
        <v>5</v>
      </c>
      <c r="V84" s="12">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c>
      <c r="W84" s="11">
        <v>3</v>
      </c>
      <c r="X84" s="12">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c>
      <c r="Y84" s="11">
        <v>0</v>
      </c>
      <c r="Z84" s="12">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c>
      <c r="AA84" s="6">
        <f>SUM(V84,X84,Z84)</f>
      </c>
      <c r="AB84" s="6">
        <f>
      Ifs( 
        ISBETWEEN(AA84, 0, 'Points-Table'!C$20, TRUE, False), 'Points-Table'!A$20,
        ISBETWEEN(AA84, 'Points-Table'!C$20, 'Points-Table'!C$21, TRUE, False), 'Points-Table'!A$21,
        ISBETWEEN(AA84, 'Points-Table'!C$22, 10000, TRUE, TRUE), 'Points-Table'!A$22,
        true, 
        0)
      </f>
      </c>
      <c r="AC84" s="6" t="s">
        <v>56</v>
      </c>
      <c r="AD84" s="6" t="s">
        <v>56</v>
      </c>
      <c r="AE84" s="6" t="s">
        <v>56</v>
      </c>
    </row>
    <row r="85" spans="1:31" s="6" customFormat="1" x14ac:dyDescent="0.25">
      <c r="A85" s="6" t="s">
        <v>192</v>
      </c>
      <c r="B85" s="6" t="s">
        <v>208</v>
      </c>
      <c r="C85" s="6" t="s">
        <v>209</v>
      </c>
      <c r="D85" s="6"/>
      <c r="E85" s="6"/>
      <c r="F85" s="6"/>
      <c r="G85" s="6"/>
      <c r="H85" s="6"/>
      <c r="I85" s="6"/>
      <c r="J85" s="6"/>
      <c r="K85" s="6" t="s">
        <v>84</v>
      </c>
      <c r="L85" s="6" t="s">
        <v>85</v>
      </c>
      <c r="M85" s="6"/>
      <c r="N85" s="6"/>
      <c r="O85" s="6"/>
      <c r="P85" s="6"/>
      <c r="Q85" s="11">
        <v>0</v>
      </c>
      <c r="R85" s="12">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c>
      <c r="S85" s="11">
        <v>0</v>
      </c>
      <c r="T85" s="12">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c>
      <c r="U85" s="11">
        <v>13</v>
      </c>
      <c r="V85" s="12">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c>
      <c r="W85" s="11">
        <v>3</v>
      </c>
      <c r="X85" s="12">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c>
      <c r="Y85" s="11">
        <v>0</v>
      </c>
      <c r="Z85" s="12">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c>
      <c r="AA85" s="6">
        <f>SUM(V85,X85,Z85)</f>
      </c>
      <c r="AB85" s="6">
        <f>
      Ifs( 
        ISBETWEEN(AA85, 0, 'Points-Table'!C$20, TRUE, False), 'Points-Table'!A$20,
        ISBETWEEN(AA85, 'Points-Table'!C$20, 'Points-Table'!C$21, TRUE, False), 'Points-Table'!A$21,
        ISBETWEEN(AA85, 'Points-Table'!C$22, 10000, TRUE, TRUE), 'Points-Table'!A$22,
        true, 
        0)
      </f>
      </c>
      <c r="AC85" s="6" t="s">
        <v>56</v>
      </c>
      <c r="AD85" s="6" t="s">
        <v>56</v>
      </c>
      <c r="AE85" s="6" t="s">
        <v>56</v>
      </c>
    </row>
    <row r="86" spans="1:31" s="6" customFormat="1" x14ac:dyDescent="0.25">
      <c r="A86" s="6" t="s">
        <v>192</v>
      </c>
      <c r="B86" s="6" t="s">
        <v>208</v>
      </c>
      <c r="C86" s="6" t="s">
        <v>210</v>
      </c>
      <c r="D86" s="6"/>
      <c r="E86" s="6"/>
      <c r="F86" s="6"/>
      <c r="G86" s="6"/>
      <c r="H86" s="6"/>
      <c r="I86" s="6"/>
      <c r="J86" s="6"/>
      <c r="K86" s="6" t="s">
        <v>84</v>
      </c>
      <c r="L86" s="6" t="s">
        <v>85</v>
      </c>
      <c r="M86" s="6"/>
      <c r="N86" s="6"/>
      <c r="O86" s="6"/>
      <c r="P86" s="6"/>
      <c r="Q86" s="11"/>
      <c r="R86" s="12">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c>
      <c r="S86" s="11"/>
      <c r="T86" s="12">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c>
      <c r="U86" s="11">
        <v>3</v>
      </c>
      <c r="V86" s="12">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c>
      <c r="W86" s="11">
        <v>2</v>
      </c>
      <c r="X86" s="12">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c>
      <c r="Y86" s="11">
        <v>0</v>
      </c>
      <c r="Z86" s="12">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c>
      <c r="AA86" s="6">
        <f>SUM(V86,X86,Z86)</f>
      </c>
      <c r="AB86" s="6">
        <f>
      Ifs( 
        ISBETWEEN(AA86, 0, 'Points-Table'!C$20, TRUE, False), 'Points-Table'!A$20,
        ISBETWEEN(AA86, 'Points-Table'!C$20, 'Points-Table'!C$21, TRUE, False), 'Points-Table'!A$21,
        ISBETWEEN(AA86, 'Points-Table'!C$22, 10000, TRUE, TRUE), 'Points-Table'!A$22,
        true, 
        0)
      </f>
      </c>
      <c r="AC86" s="6" t="s">
        <v>56</v>
      </c>
      <c r="AD86" s="6" t="s">
        <v>56</v>
      </c>
      <c r="AE86" s="6" t="s">
        <v>56</v>
      </c>
    </row>
    <row r="87" spans="1:31" s="6" customFormat="1" x14ac:dyDescent="0.25">
      <c r="A87" s="6" t="s">
        <v>192</v>
      </c>
      <c r="B87" s="6" t="s">
        <v>208</v>
      </c>
      <c r="C87" s="6" t="s">
        <v>211</v>
      </c>
      <c r="D87" s="6"/>
      <c r="E87" s="6"/>
      <c r="F87" s="6"/>
      <c r="G87" s="6"/>
      <c r="H87" s="6"/>
      <c r="I87" s="6"/>
      <c r="J87" s="6"/>
      <c r="K87" s="6" t="s">
        <v>84</v>
      </c>
      <c r="L87" s="6" t="s">
        <v>85</v>
      </c>
      <c r="M87" s="6"/>
      <c r="N87" s="6"/>
      <c r="O87" s="6"/>
      <c r="P87" s="6"/>
      <c r="Q87" s="11"/>
      <c r="R87" s="12">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c>
      <c r="S87" s="11"/>
      <c r="T87" s="12">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c>
      <c r="U87" s="11">
        <v>2</v>
      </c>
      <c r="V87" s="12">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c>
      <c r="W87" s="11">
        <v>2</v>
      </c>
      <c r="X87" s="12">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c>
      <c r="Y87" s="11">
        <v>0</v>
      </c>
      <c r="Z87" s="12">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c>
      <c r="AA87" s="6">
        <f>SUM(V87,X87,Z87)</f>
      </c>
      <c r="AB87" s="6">
        <f>
      Ifs( 
        ISBETWEEN(AA87, 0, 'Points-Table'!C$20, TRUE, False), 'Points-Table'!A$20,
        ISBETWEEN(AA87, 'Points-Table'!C$20, 'Points-Table'!C$21, TRUE, False), 'Points-Table'!A$21,
        ISBETWEEN(AA87, 'Points-Table'!C$22, 10000, TRUE, TRUE), 'Points-Table'!A$22,
        true, 
        0)
      </f>
      </c>
      <c r="AC87" s="6" t="s">
        <v>56</v>
      </c>
      <c r="AD87" s="6" t="s">
        <v>56</v>
      </c>
      <c r="AE87" s="6" t="s">
        <v>56</v>
      </c>
    </row>
    <row r="88" spans="1:31" s="6" customFormat="1" x14ac:dyDescent="0.25">
      <c r="A88" s="6" t="s">
        <v>192</v>
      </c>
      <c r="B88" s="6" t="s">
        <v>212</v>
      </c>
      <c r="D88" s="6"/>
      <c r="E88" s="6"/>
      <c r="F88" s="6"/>
      <c r="G88" s="6"/>
      <c r="H88" s="6"/>
      <c r="I88" s="6"/>
      <c r="J88" s="6"/>
      <c r="K88" s="6"/>
      <c r="L88" s="6" t="s">
        <v>85</v>
      </c>
      <c r="M88" s="6"/>
      <c r="N88" s="6"/>
      <c r="O88" s="6"/>
      <c r="P88" s="6"/>
      <c r="Q88" s="11">
        <v>0</v>
      </c>
      <c r="R88" s="12">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c>
      <c r="S88" s="11">
        <v>0</v>
      </c>
      <c r="T88" s="12">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c>
      <c r="U88" s="11">
        <v>3</v>
      </c>
      <c r="V88" s="12">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c>
      <c r="W88" s="11">
        <v>3</v>
      </c>
      <c r="X88" s="12">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c>
      <c r="Y88" s="11">
        <v>0</v>
      </c>
      <c r="Z88" s="12">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c>
      <c r="AA88" s="6">
        <f>SUM(V88,X88,Z88)</f>
      </c>
      <c r="AB88" s="6">
        <f>
      Ifs( 
        ISBETWEEN(AA88, 0, 'Points-Table'!C$20, TRUE, False), 'Points-Table'!A$20,
        ISBETWEEN(AA88, 'Points-Table'!C$20, 'Points-Table'!C$21, TRUE, False), 'Points-Table'!A$21,
        ISBETWEEN(AA88, 'Points-Table'!C$22, 10000, TRUE, TRUE), 'Points-Table'!A$22,
        true, 
        0)
      </f>
      </c>
      <c r="AC88" s="6" t="s">
        <v>56</v>
      </c>
      <c r="AD88" s="6" t="s">
        <v>56</v>
      </c>
      <c r="AE88" s="6" t="s">
        <v>56</v>
      </c>
    </row>
    <row r="89" spans="1:31" s="6" customFormat="1" x14ac:dyDescent="0.25">
      <c r="A89" s="6" t="s">
        <v>192</v>
      </c>
      <c r="B89" s="6" t="s">
        <v>213</v>
      </c>
      <c r="D89" s="6"/>
      <c r="E89" s="6"/>
      <c r="F89" s="6"/>
      <c r="G89" s="6"/>
      <c r="H89" s="6"/>
      <c r="I89" s="6"/>
      <c r="J89" s="6"/>
      <c r="K89" s="6"/>
      <c r="L89" s="6" t="s">
        <v>85</v>
      </c>
      <c r="M89" s="6"/>
      <c r="N89" s="6"/>
      <c r="O89" s="6"/>
      <c r="P89" s="6"/>
      <c r="Q89" s="11">
        <v>0</v>
      </c>
      <c r="R89" s="12">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c>
      <c r="S89" s="11">
        <v>0</v>
      </c>
      <c r="T89" s="12">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c>
      <c r="U89" s="11">
        <v>5</v>
      </c>
      <c r="V89" s="12">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c>
      <c r="W89" s="11">
        <v>0</v>
      </c>
      <c r="X89" s="12">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c>
      <c r="Y89" s="11">
        <v>0</v>
      </c>
      <c r="Z89" s="12">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c>
      <c r="AA89" s="6">
        <f>SUM(V89,X89,Z89)</f>
      </c>
      <c r="AB89" s="6">
        <f>
      Ifs( 
        ISBETWEEN(AA89, 0, 'Points-Table'!C$20, TRUE, False), 'Points-Table'!A$20,
        ISBETWEEN(AA89, 'Points-Table'!C$20, 'Points-Table'!C$21, TRUE, False), 'Points-Table'!A$21,
        ISBETWEEN(AA89, 'Points-Table'!C$22, 10000, TRUE, TRUE), 'Points-Table'!A$22,
        true, 
        0)
      </f>
      </c>
      <c r="AC89" s="6" t="s">
        <v>56</v>
      </c>
      <c r="AD89" s="6" t="s">
        <v>56</v>
      </c>
      <c r="AE89" s="6" t="s">
        <v>56</v>
      </c>
    </row>
    <row r="90" spans="1:31" s="6" customFormat="1" x14ac:dyDescent="0.25">
      <c r="A90" s="6" t="s">
        <v>214</v>
      </c>
      <c r="B90" s="6" t="s">
        <v>215</v>
      </c>
      <c r="D90" s="6"/>
      <c r="E90" s="6"/>
      <c r="F90" s="6"/>
      <c r="G90" s="6"/>
      <c r="H90" s="6"/>
      <c r="I90" s="6"/>
      <c r="J90" s="6"/>
      <c r="K90" s="6" t="s">
        <v>84</v>
      </c>
      <c r="L90" s="6" t="s">
        <v>85</v>
      </c>
      <c r="M90" s="6"/>
      <c r="N90" s="6"/>
      <c r="O90" s="6"/>
      <c r="P90" s="6"/>
      <c r="Q90" s="11">
        <v>0</v>
      </c>
      <c r="R90" s="12">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c>
      <c r="S90" s="11">
        <v>0</v>
      </c>
      <c r="T90" s="12">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c>
      <c r="U90" s="11">
        <v>0</v>
      </c>
      <c r="V90" s="12">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c>
      <c r="W90" s="11">
        <v>0</v>
      </c>
      <c r="X90" s="12">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c>
      <c r="Y90" s="11">
        <v>0</v>
      </c>
      <c r="Z90" s="12">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c>
      <c r="AA90" s="6">
        <f>SUM(V90,X90,Z90)</f>
      </c>
      <c r="AB90" s="6">
        <f>
      Ifs( 
        ISBETWEEN(AA90, 0, 'Points-Table'!C$20, TRUE, False), 'Points-Table'!A$20,
        ISBETWEEN(AA90, 'Points-Table'!C$20, 'Points-Table'!C$21, TRUE, False), 'Points-Table'!A$21,
        ISBETWEEN(AA90, 'Points-Table'!C$22, 10000, TRUE, TRUE), 'Points-Table'!A$22,
        true, 
        0)
      </f>
      </c>
      <c r="AC90" s="6" t="s">
        <v>56</v>
      </c>
      <c r="AD90" s="6" t="s">
        <v>56</v>
      </c>
      <c r="AE90" s="6" t="s">
        <v>56</v>
      </c>
    </row>
    <row r="91" spans="1:31" s="6" customFormat="1" x14ac:dyDescent="0.25">
      <c r="A91" s="6" t="s">
        <v>214</v>
      </c>
      <c r="B91" s="6" t="s">
        <v>216</v>
      </c>
      <c r="D91" s="6"/>
      <c r="E91" s="6"/>
      <c r="F91" s="6"/>
      <c r="G91" s="6"/>
      <c r="H91" s="6"/>
      <c r="I91" s="6"/>
      <c r="J91" s="6"/>
      <c r="K91" s="6" t="s">
        <v>84</v>
      </c>
      <c r="L91" s="6" t="s">
        <v>85</v>
      </c>
      <c r="M91" s="6"/>
      <c r="N91" s="6"/>
      <c r="O91" s="6"/>
      <c r="P91" s="6"/>
      <c r="Q91" s="11">
        <v>0</v>
      </c>
      <c r="R91" s="12">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c>
      <c r="S91" s="11">
        <v>0</v>
      </c>
      <c r="T91" s="12">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c>
      <c r="U91" s="11">
        <v>0</v>
      </c>
      <c r="V91" s="12">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c>
      <c r="W91" s="11">
        <v>0</v>
      </c>
      <c r="X91" s="12">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c>
      <c r="Y91" s="11">
        <v>0</v>
      </c>
      <c r="Z91" s="12">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c>
      <c r="AA91" s="6">
        <f>SUM(V91,X91,Z91)</f>
      </c>
      <c r="AB91" s="6">
        <f>
      Ifs( 
        ISBETWEEN(AA91, 0, 'Points-Table'!C$20, TRUE, False), 'Points-Table'!A$20,
        ISBETWEEN(AA91, 'Points-Table'!C$20, 'Points-Table'!C$21, TRUE, False), 'Points-Table'!A$21,
        ISBETWEEN(AA91, 'Points-Table'!C$22, 10000, TRUE, TRUE), 'Points-Table'!A$22,
        true, 
        0)
      </f>
      </c>
      <c r="AC91" s="6" t="s">
        <v>56</v>
      </c>
      <c r="AD91" s="6" t="s">
        <v>56</v>
      </c>
      <c r="AE91" s="6" t="s">
        <v>56</v>
      </c>
    </row>
    <row r="92" spans="1:31" s="6" customFormat="1" x14ac:dyDescent="0.25">
      <c r="A92" s="6" t="s">
        <v>214</v>
      </c>
      <c r="B92" s="6" t="s">
        <v>217</v>
      </c>
      <c r="D92" s="6"/>
      <c r="E92" s="6"/>
      <c r="F92" s="6"/>
      <c r="G92" s="6"/>
      <c r="H92" s="6"/>
      <c r="I92" s="6"/>
      <c r="J92" s="6"/>
      <c r="K92" s="6" t="s">
        <v>84</v>
      </c>
      <c r="L92" s="6" t="s">
        <v>85</v>
      </c>
      <c r="M92" s="6"/>
      <c r="N92" s="6"/>
      <c r="O92" s="6"/>
      <c r="P92" s="6"/>
      <c r="Q92" s="11">
        <v>0</v>
      </c>
      <c r="R92" s="12">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c>
      <c r="S92" s="11">
        <v>0</v>
      </c>
      <c r="T92" s="12">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c>
      <c r="U92" s="11">
        <v>0</v>
      </c>
      <c r="V92" s="12">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c>
      <c r="W92" s="11">
        <v>0</v>
      </c>
      <c r="X92" s="12">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c>
      <c r="Y92" s="11">
        <v>0</v>
      </c>
      <c r="Z92" s="12">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c>
      <c r="AA92" s="6">
        <f>SUM(V92,X92,Z92)</f>
      </c>
      <c r="AB92" s="6">
        <f>
      Ifs( 
        ISBETWEEN(AA92, 0, 'Points-Table'!C$20, TRUE, False), 'Points-Table'!A$20,
        ISBETWEEN(AA92, 'Points-Table'!C$20, 'Points-Table'!C$21, TRUE, False), 'Points-Table'!A$21,
        ISBETWEEN(AA92, 'Points-Table'!C$22, 10000, TRUE, TRUE), 'Points-Table'!A$22,
        true, 
        0)
      </f>
      </c>
      <c r="AC92" s="6" t="s">
        <v>56</v>
      </c>
      <c r="AD92" s="6" t="s">
        <v>56</v>
      </c>
      <c r="AE92" s="6" t="s">
        <v>56</v>
      </c>
    </row>
    <row r="93" spans="1:31" s="6" customFormat="1" x14ac:dyDescent="0.25">
      <c r="A93" s="6" t="s">
        <v>214</v>
      </c>
      <c r="B93" s="6" t="s">
        <v>218</v>
      </c>
      <c r="D93" s="6"/>
      <c r="E93" s="6"/>
      <c r="F93" s="6"/>
      <c r="G93" s="6"/>
      <c r="H93" s="6"/>
      <c r="I93" s="6"/>
      <c r="J93" s="6"/>
      <c r="K93" s="6" t="s">
        <v>84</v>
      </c>
      <c r="L93" s="6" t="s">
        <v>85</v>
      </c>
      <c r="M93" s="6"/>
      <c r="N93" s="6"/>
      <c r="O93" s="6"/>
      <c r="P93" s="6"/>
      <c r="Q93" s="11">
        <v>0</v>
      </c>
      <c r="R93" s="12">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c>
      <c r="S93" s="11">
        <v>0</v>
      </c>
      <c r="T93" s="12">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c>
      <c r="U93" s="11">
        <v>0</v>
      </c>
      <c r="V93" s="12">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c>
      <c r="W93" s="11">
        <v>0</v>
      </c>
      <c r="X93" s="12">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c>
      <c r="Y93" s="11">
        <v>0</v>
      </c>
      <c r="Z93" s="12">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c>
      <c r="AA93" s="6">
        <f>SUM(V93,X93,Z93)</f>
      </c>
      <c r="AB93" s="6">
        <f>
      Ifs( 
        ISBETWEEN(AA93, 0, 'Points-Table'!C$20, TRUE, False), 'Points-Table'!A$20,
        ISBETWEEN(AA93, 'Points-Table'!C$20, 'Points-Table'!C$21, TRUE, False), 'Points-Table'!A$21,
        ISBETWEEN(AA93, 'Points-Table'!C$22, 10000, TRUE, TRUE), 'Points-Table'!A$22,
        true, 
        0)
      </f>
      </c>
      <c r="AC93" s="6" t="s">
        <v>56</v>
      </c>
      <c r="AD93" s="6" t="s">
        <v>56</v>
      </c>
      <c r="AE93" s="6" t="s">
        <v>56</v>
      </c>
    </row>
    <row r="94" spans="1:31" s="6" customFormat="1" x14ac:dyDescent="0.25">
      <c r="A94" s="6" t="s">
        <v>219</v>
      </c>
      <c r="B94" s="6" t="s">
        <v>188</v>
      </c>
      <c r="C94" s="6" t="s">
        <v>220</v>
      </c>
      <c r="D94" s="6" t="s">
        <v>221</v>
      </c>
      <c r="E94" s="6"/>
      <c r="F94" s="6"/>
      <c r="G94" s="6"/>
      <c r="H94" s="6"/>
      <c r="I94" s="6"/>
      <c r="J94" s="6"/>
      <c r="K94" s="6" t="s">
        <v>84</v>
      </c>
      <c r="L94" s="6" t="s">
        <v>85</v>
      </c>
      <c r="M94" s="6"/>
      <c r="N94" s="6"/>
      <c r="O94" s="6"/>
      <c r="P94" s="6"/>
      <c r="Q94" s="11">
        <v>0</v>
      </c>
      <c r="R94" s="12">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c>
      <c r="S94" s="11">
        <v>0</v>
      </c>
      <c r="T94" s="12">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c>
      <c r="U94" s="11">
        <v>0</v>
      </c>
      <c r="V94" s="12">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c>
      <c r="W94" s="11">
        <v>21</v>
      </c>
      <c r="X94" s="12">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c>
      <c r="Y94" s="11">
        <v>0</v>
      </c>
      <c r="Z94" s="12">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c>
      <c r="AA94" s="6">
        <f>SUM(V94,X94,Z94)</f>
      </c>
      <c r="AB94" s="6">
        <f>
      Ifs( 
        ISBETWEEN(AA94, 0, 'Points-Table'!C$20, TRUE, False), 'Points-Table'!A$20,
        ISBETWEEN(AA94, 'Points-Table'!C$20, 'Points-Table'!C$21, TRUE, False), 'Points-Table'!A$21,
        ISBETWEEN(AA94, 'Points-Table'!C$22, 10000, TRUE, TRUE), 'Points-Table'!A$22,
        true, 
        0)
      </f>
      </c>
      <c r="AC94" s="6" t="s">
        <v>56</v>
      </c>
      <c r="AD94" s="6" t="s">
        <v>56</v>
      </c>
      <c r="AE94" s="6" t="s">
        <v>56</v>
      </c>
    </row>
    <row r="95" spans="1:31" s="6" customFormat="1" x14ac:dyDescent="0.25">
      <c r="A95" s="6" t="s">
        <v>219</v>
      </c>
      <c r="B95" s="6" t="s">
        <v>188</v>
      </c>
      <c r="C95" s="6" t="s">
        <v>188</v>
      </c>
      <c r="D95" s="6"/>
      <c r="E95" s="6"/>
      <c r="F95" s="6"/>
      <c r="G95" s="6"/>
      <c r="H95" s="6"/>
      <c r="I95" s="6"/>
      <c r="J95" s="6"/>
      <c r="K95" s="6" t="s">
        <v>84</v>
      </c>
      <c r="L95" s="6" t="s">
        <v>85</v>
      </c>
      <c r="M95" s="6"/>
      <c r="N95" s="6"/>
      <c r="O95" s="6"/>
      <c r="P95" s="6"/>
      <c r="Q95" s="11">
        <v>0</v>
      </c>
      <c r="R95" s="12">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c>
      <c r="S95" s="11">
        <v>0</v>
      </c>
      <c r="T95" s="12">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c>
      <c r="U95" s="11">
        <v>13</v>
      </c>
      <c r="V95" s="12">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c>
      <c r="W95" s="11">
        <v>3</v>
      </c>
      <c r="X95" s="12">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c>
      <c r="Y95" s="11">
        <v>0</v>
      </c>
      <c r="Z95" s="12">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c>
      <c r="AA95" s="6">
        <f>SUM(V95,X95,Z95)</f>
      </c>
      <c r="AB95" s="6">
        <f>
      Ifs( 
        ISBETWEEN(AA95, 0, 'Points-Table'!C$20, TRUE, False), 'Points-Table'!A$20,
        ISBETWEEN(AA95, 'Points-Table'!C$20, 'Points-Table'!C$21, TRUE, False), 'Points-Table'!A$21,
        ISBETWEEN(AA95, 'Points-Table'!C$22, 10000, TRUE, TRUE), 'Points-Table'!A$22,
        true, 
        0)
      </f>
      </c>
      <c r="AC95" s="6" t="s">
        <v>56</v>
      </c>
      <c r="AD95" s="6" t="s">
        <v>56</v>
      </c>
      <c r="AE95" s="6" t="s">
        <v>56</v>
      </c>
    </row>
    <row r="96" spans="1:31" s="6" customFormat="1" x14ac:dyDescent="0.25">
      <c r="A96" s="6" t="s">
        <v>222</v>
      </c>
      <c r="D96" s="6"/>
      <c r="E96" s="6"/>
      <c r="F96" s="6"/>
      <c r="G96" s="6"/>
      <c r="H96" s="6"/>
      <c r="I96" s="6"/>
      <c r="J96" s="6"/>
      <c r="K96" s="6" t="s">
        <v>84</v>
      </c>
      <c r="L96" s="6" t="s">
        <v>85</v>
      </c>
      <c r="M96" s="6"/>
      <c r="N96" s="6"/>
      <c r="O96" s="6"/>
      <c r="P96" s="6"/>
      <c r="Q96" s="11">
        <v>0</v>
      </c>
      <c r="R96" s="12">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c>
      <c r="S96" s="11">
        <v>0</v>
      </c>
      <c r="T96" s="12">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c>
      <c r="U96" s="11">
        <v>0</v>
      </c>
      <c r="V96" s="12">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c>
      <c r="W96" s="11">
        <v>0</v>
      </c>
      <c r="X96" s="12">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c>
      <c r="Y96" s="11">
        <v>0</v>
      </c>
      <c r="Z96" s="12">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c>
      <c r="AA96" s="6">
        <f>SUM(V96,X96,Z96)</f>
      </c>
      <c r="AB96" s="6">
        <f>
      Ifs( 
        ISBETWEEN(AA96, 0, 'Points-Table'!C$20, TRUE, False), 'Points-Table'!A$20,
        ISBETWEEN(AA96, 'Points-Table'!C$20, 'Points-Table'!C$21, TRUE, False), 'Points-Table'!A$21,
        ISBETWEEN(AA96, 'Points-Table'!C$22, 10000, TRUE, TRUE), 'Points-Table'!A$22,
        true, 
        0)
      </f>
      </c>
      <c r="AC96" s="6" t="s">
        <v>56</v>
      </c>
      <c r="AD96" s="6" t="s">
        <v>56</v>
      </c>
      <c r="AE96" s="6" t="s">
        <v>56</v>
      </c>
    </row>
    <row r="97" spans="1:31" s="6" customFormat="1" x14ac:dyDescent="0.25">
      <c r="A97" s="6" t="s">
        <v>223</v>
      </c>
      <c r="D97" s="6"/>
      <c r="E97" s="6"/>
      <c r="F97" s="6"/>
      <c r="G97" s="6"/>
      <c r="H97" s="6"/>
      <c r="I97" s="6"/>
      <c r="J97" s="6"/>
      <c r="K97" s="6" t="s">
        <v>84</v>
      </c>
      <c r="L97" s="6" t="s">
        <v>85</v>
      </c>
      <c r="M97" s="6"/>
      <c r="N97" s="6"/>
      <c r="O97" s="6"/>
      <c r="P97" s="6"/>
      <c r="Q97" s="11">
        <v>0</v>
      </c>
      <c r="R97" s="12">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c>
      <c r="S97" s="11">
        <v>0</v>
      </c>
      <c r="T97" s="12">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c>
      <c r="U97" s="11">
        <v>0</v>
      </c>
      <c r="V97" s="12">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c>
      <c r="W97" s="11">
        <v>0</v>
      </c>
      <c r="X97" s="12">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c>
      <c r="Y97" s="11">
        <v>0</v>
      </c>
      <c r="Z97" s="12">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c>
      <c r="AA97" s="6">
        <f>SUM(V97,X97,Z97)</f>
      </c>
      <c r="AB97" s="6">
        <f>
      Ifs( 
        ISBETWEEN(AA97, 0, 'Points-Table'!C$20, TRUE, False), 'Points-Table'!A$20,
        ISBETWEEN(AA97, 'Points-Table'!C$20, 'Points-Table'!C$21, TRUE, False), 'Points-Table'!A$21,
        ISBETWEEN(AA97, 'Points-Table'!C$22, 10000, TRUE, TRUE), 'Points-Table'!A$22,
        true, 
        0)
      </f>
      </c>
      <c r="AC97" s="6" t="s">
        <v>56</v>
      </c>
      <c r="AD97" s="6" t="s">
        <v>56</v>
      </c>
      <c r="AE97" s="6" t="s">
        <v>56</v>
      </c>
    </row>
    <row r="98" spans="1:31" s="6" customFormat="1" x14ac:dyDescent="0.25">
      <c r="A98" s="6" t="s">
        <v>224</v>
      </c>
      <c r="B98" s="6" t="s">
        <v>225</v>
      </c>
      <c r="D98" s="6"/>
      <c r="E98" s="6"/>
      <c r="F98" s="6"/>
      <c r="G98" s="6"/>
      <c r="H98" s="6"/>
      <c r="I98" s="6"/>
      <c r="J98" s="6"/>
      <c r="K98" s="6" t="s">
        <v>84</v>
      </c>
      <c r="L98" s="6" t="s">
        <v>85</v>
      </c>
      <c r="M98" s="6"/>
      <c r="N98" s="6"/>
      <c r="O98" s="6"/>
      <c r="P98" s="6"/>
      <c r="Q98" s="11">
        <v>0</v>
      </c>
      <c r="R98" s="12">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c>
      <c r="S98" s="11">
        <v>0</v>
      </c>
      <c r="T98" s="12">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c>
      <c r="U98" s="11">
        <v>0</v>
      </c>
      <c r="V98" s="12">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c>
      <c r="W98" s="11">
        <v>2</v>
      </c>
      <c r="X98" s="12">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c>
      <c r="Y98" s="11">
        <v>0</v>
      </c>
      <c r="Z98" s="12">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c>
      <c r="AA98" s="6">
        <f>SUM(V98,X98,Z98)</f>
      </c>
      <c r="AB98" s="6">
        <f>
      Ifs( 
        ISBETWEEN(AA98, 0, 'Points-Table'!C$20, TRUE, False), 'Points-Table'!A$20,
        ISBETWEEN(AA98, 'Points-Table'!C$20, 'Points-Table'!C$21, TRUE, False), 'Points-Table'!A$21,
        ISBETWEEN(AA98, 'Points-Table'!C$22, 10000, TRUE, TRUE), 'Points-Table'!A$22,
        true, 
        0)
      </f>
      </c>
      <c r="AC98" s="6" t="s">
        <v>56</v>
      </c>
      <c r="AD98" s="6" t="s">
        <v>56</v>
      </c>
      <c r="AE98" s="6" t="s">
        <v>56</v>
      </c>
    </row>
    <row r="99" spans="1:31" s="6" customFormat="1" x14ac:dyDescent="0.25">
      <c r="A99" s="6" t="s">
        <v>226</v>
      </c>
      <c r="D99" s="6"/>
      <c r="E99" s="6"/>
      <c r="F99" s="6"/>
      <c r="G99" s="6"/>
      <c r="H99" s="6"/>
      <c r="I99" s="6"/>
      <c r="J99" s="6"/>
      <c r="K99" s="6" t="s">
        <v>84</v>
      </c>
      <c r="L99" s="6" t="s">
        <v>85</v>
      </c>
      <c r="M99" s="6"/>
      <c r="N99" s="6"/>
      <c r="O99" s="6"/>
      <c r="P99" s="6"/>
      <c r="Q99" s="11">
        <v>0</v>
      </c>
      <c r="R99" s="12">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c>
      <c r="S99" s="11">
        <v>0</v>
      </c>
      <c r="T99" s="12">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c>
      <c r="U99" s="11">
        <v>0</v>
      </c>
      <c r="V99" s="12">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c>
      <c r="W99" s="11">
        <v>0</v>
      </c>
      <c r="X99" s="12">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c>
      <c r="Y99" s="11">
        <v>0</v>
      </c>
      <c r="Z99" s="12">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c>
      <c r="AA99" s="6">
        <f>SUM(V99,X99,Z99)</f>
      </c>
      <c r="AB99" s="6">
        <f>
      Ifs( 
        ISBETWEEN(AA99, 0, 'Points-Table'!C$20, TRUE, False), 'Points-Table'!A$20,
        ISBETWEEN(AA99, 'Points-Table'!C$20, 'Points-Table'!C$21, TRUE, False), 'Points-Table'!A$21,
        ISBETWEEN(AA99, 'Points-Table'!C$22, 10000, TRUE, TRUE), 'Points-Table'!A$22,
        true, 
        0)
      </f>
      </c>
      <c r="AC99" s="6" t="s">
        <v>56</v>
      </c>
      <c r="AD99" s="6" t="s">
        <v>56</v>
      </c>
      <c r="AE99" s="6" t="s">
        <v>56</v>
      </c>
    </row>
    <row r="100" spans="1:31" s="6" customFormat="1" x14ac:dyDescent="0.25">
      <c r="A100" s="6" t="s">
        <v>227</v>
      </c>
      <c r="B100" s="6" t="s">
        <v>228</v>
      </c>
      <c r="D100" s="6"/>
      <c r="E100" s="6"/>
      <c r="F100" s="6"/>
      <c r="G100" s="6"/>
      <c r="H100" s="6"/>
      <c r="I100" s="6"/>
      <c r="J100" s="6"/>
      <c r="K100" s="6" t="s">
        <v>84</v>
      </c>
      <c r="L100" s="6" t="s">
        <v>85</v>
      </c>
      <c r="M100" s="6"/>
      <c r="N100" s="6"/>
      <c r="O100" s="6"/>
      <c r="P100" s="6"/>
      <c r="Q100" s="11"/>
      <c r="R100" s="12">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c>
      <c r="S100" s="11"/>
      <c r="T100" s="12">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c>
      <c r="U100" s="11">
        <v>55</v>
      </c>
      <c r="V100" s="12">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c>
      <c r="W100" s="11">
        <v>13</v>
      </c>
      <c r="X100" s="12">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c>
      <c r="Y100" s="11"/>
      <c r="Z100" s="12">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c>
      <c r="AA100" s="6">
        <f>SUM(V100,X100,Z100)</f>
      </c>
      <c r="AB100" s="6">
        <f>
      Ifs( 
        ISBETWEEN(AA100, 0, 'Points-Table'!C$20, TRUE, False), 'Points-Table'!A$20,
        ISBETWEEN(AA100, 'Points-Table'!C$20, 'Points-Table'!C$21, TRUE, False), 'Points-Table'!A$21,
        ISBETWEEN(AA100, 'Points-Table'!C$22, 10000, TRUE, TRUE), 'Points-Table'!A$22,
        true, 
        0)
      </f>
      </c>
      <c r="AC100" s="6" t="s">
        <v>56</v>
      </c>
      <c r="AD100" s="6" t="s">
        <v>56</v>
      </c>
      <c r="AE100" s="6" t="s">
        <v>56</v>
      </c>
    </row>
    <row r="101" spans="1:31" s="13" customFormat="1" x14ac:dyDescent="0.25">
      <c r="A101" s="13" t="s">
        <v>227</v>
      </c>
      <c r="B101" s="13" t="s">
        <v>229</v>
      </c>
      <c r="D101" s="13"/>
      <c r="E101" s="13"/>
      <c r="F101" s="13"/>
      <c r="G101" s="13"/>
      <c r="H101" s="13"/>
      <c r="I101" s="13"/>
      <c r="J101" s="13"/>
      <c r="K101" s="13" t="s">
        <v>84</v>
      </c>
      <c r="L101" s="13" t="s">
        <v>85</v>
      </c>
      <c r="M101" s="13"/>
      <c r="N101" s="13"/>
      <c r="O101" s="13"/>
      <c r="P101" s="13"/>
      <c r="Q101" s="13"/>
      <c r="R101" s="13">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c>
      <c r="S101" s="13"/>
      <c r="T101" s="13">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c>
      <c r="U101" s="13">
        <v>13</v>
      </c>
      <c r="V101" s="13">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c>
      <c r="W101" s="13">
        <v>8</v>
      </c>
      <c r="X101" s="13">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c>
      <c r="Y101" s="13"/>
      <c r="Z101" s="13">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c>
      <c r="AA101" s="13">
        <f>SUM(V101,X101,Z101)</f>
      </c>
      <c r="AB101" s="13">
        <f>
      Ifs( 
        ISBETWEEN(AA101, 0, 'Points-Table'!C$20, TRUE, False), 'Points-Table'!A$20,
        ISBETWEEN(AA101, 'Points-Table'!C$20, 'Points-Table'!C$21, TRUE, False), 'Points-Table'!A$21,
        ISBETWEEN(AA101, 'Points-Table'!C$22, 10000, TRUE, TRUE), 'Points-Table'!A$22,
        true, 
        0)
      </f>
      </c>
      <c r="AC101" s="13" t="s">
        <v>56</v>
      </c>
      <c r="AD101" s="13" t="s">
        <v>56</v>
      </c>
      <c r="AE101" s="13" t="s">
        <v>56</v>
      </c>
    </row>
    <row r="102" spans="1:31" s="6" customFormat="1" x14ac:dyDescent="0.25">
      <c r="A102" s="6" t="s">
        <v>230</v>
      </c>
      <c r="B102" s="6" t="s">
        <v>231</v>
      </c>
      <c r="D102" s="6"/>
      <c r="E102" s="6"/>
      <c r="F102" s="6"/>
      <c r="G102" s="6"/>
      <c r="H102" s="6"/>
      <c r="I102" s="6"/>
      <c r="J102" s="6"/>
      <c r="K102" s="6" t="s">
        <v>84</v>
      </c>
      <c r="L102" s="6" t="s">
        <v>85</v>
      </c>
      <c r="M102" s="6"/>
      <c r="N102" s="6"/>
      <c r="O102" s="6"/>
      <c r="P102" s="6"/>
      <c r="Q102" s="11"/>
      <c r="R102" s="12">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c>
      <c r="S102" s="11"/>
      <c r="T102" s="12">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c>
      <c r="U102" s="11">
        <v>13</v>
      </c>
      <c r="V102" s="12">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c>
      <c r="W102" s="11">
        <v>3</v>
      </c>
      <c r="X102" s="12">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c>
      <c r="Y102" s="11"/>
      <c r="Z102" s="12">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c>
      <c r="AA102" s="6">
        <f>SUM(V102,X102,Z102)</f>
      </c>
      <c r="AB102" s="6">
        <f>
      Ifs( 
        ISBETWEEN(AA102, 0, 'Points-Table'!C$20, TRUE, False), 'Points-Table'!A$20,
        ISBETWEEN(AA102, 'Points-Table'!C$20, 'Points-Table'!C$21, TRUE, False), 'Points-Table'!A$21,
        ISBETWEEN(AA102, 'Points-Table'!C$22, 10000, TRUE, TRUE), 'Points-Table'!A$22,
        true, 
        0)
      </f>
      </c>
      <c r="AC102" s="6" t="s">
        <v>56</v>
      </c>
      <c r="AD102" s="6" t="s">
        <v>56</v>
      </c>
      <c r="AE102" s="6" t="s">
        <v>56</v>
      </c>
    </row>
    <row r="103" spans="1:31" s="6" customFormat="1" x14ac:dyDescent="0.25">
      <c r="A103" s="6" t="s">
        <v>230</v>
      </c>
      <c r="B103" s="6" t="s">
        <v>232</v>
      </c>
      <c r="D103" s="6"/>
      <c r="E103" s="6"/>
      <c r="F103" s="6"/>
      <c r="G103" s="6"/>
      <c r="H103" s="6"/>
      <c r="I103" s="6"/>
      <c r="J103" s="6"/>
      <c r="K103" s="6" t="s">
        <v>84</v>
      </c>
      <c r="L103" s="6" t="s">
        <v>85</v>
      </c>
      <c r="M103" s="6"/>
      <c r="N103" s="6"/>
      <c r="O103" s="6"/>
      <c r="P103" s="6"/>
      <c r="Q103" s="11"/>
      <c r="R103" s="12">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c>
      <c r="S103" s="11"/>
      <c r="T103" s="12">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c>
      <c r="U103" s="11">
        <v>0</v>
      </c>
      <c r="V103" s="12">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c>
      <c r="W103" s="11">
        <v>3</v>
      </c>
      <c r="X103" s="12">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c>
      <c r="Y103" s="11"/>
      <c r="Z103" s="12">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c>
      <c r="AA103" s="6">
        <f>SUM(V103,X103,Z103)</f>
      </c>
      <c r="AB103" s="6">
        <f>
      Ifs( 
        ISBETWEEN(AA103, 0, 'Points-Table'!C$20, TRUE, False), 'Points-Table'!A$20,
        ISBETWEEN(AA103, 'Points-Table'!C$20, 'Points-Table'!C$21, TRUE, False), 'Points-Table'!A$21,
        ISBETWEEN(AA103, 'Points-Table'!C$22, 10000, TRUE, TRUE), 'Points-Table'!A$22,
        true, 
        0)
      </f>
      </c>
      <c r="AC103" s="6" t="s">
        <v>56</v>
      </c>
      <c r="AD103" s="6" t="s">
        <v>56</v>
      </c>
      <c r="AE103" s="6" t="s">
        <v>56</v>
      </c>
    </row>
    <row r="104" spans="1:31" s="6" customFormat="1" x14ac:dyDescent="0.25">
      <c r="A104" s="6" t="s">
        <v>230</v>
      </c>
      <c r="B104" s="6" t="s">
        <v>233</v>
      </c>
      <c r="D104" s="6"/>
      <c r="E104" s="6"/>
      <c r="F104" s="6"/>
      <c r="G104" s="6"/>
      <c r="H104" s="6"/>
      <c r="I104" s="6"/>
      <c r="J104" s="6"/>
      <c r="K104" s="6" t="s">
        <v>84</v>
      </c>
      <c r="L104" s="6" t="s">
        <v>85</v>
      </c>
      <c r="M104" s="6"/>
      <c r="N104" s="6"/>
      <c r="O104" s="6"/>
      <c r="P104" s="6"/>
      <c r="Q104" s="11"/>
      <c r="R104" s="12">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c>
      <c r="S104" s="11"/>
      <c r="T104" s="12">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c>
      <c r="U104" s="11">
        <v>2</v>
      </c>
      <c r="V104" s="12">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c>
      <c r="W104" s="11">
        <v>2</v>
      </c>
      <c r="X104" s="12">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c>
      <c r="Y104" s="11"/>
      <c r="Z104" s="12">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c>
      <c r="AA104" s="6">
        <f>SUM(V104,X104,Z104)</f>
      </c>
      <c r="AB104" s="6">
        <f>
      Ifs( 
        ISBETWEEN(AA104, 0, 'Points-Table'!C$20, TRUE, False), 'Points-Table'!A$20,
        ISBETWEEN(AA104, 'Points-Table'!C$20, 'Points-Table'!C$21, TRUE, False), 'Points-Table'!A$21,
        ISBETWEEN(AA104, 'Points-Table'!C$22, 10000, TRUE, TRUE), 'Points-Table'!A$22,
        true, 
        0)
      </f>
      </c>
      <c r="AC104" s="6" t="s">
        <v>56</v>
      </c>
      <c r="AD104" s="6" t="s">
        <v>56</v>
      </c>
      <c r="AE104" s="6" t="s">
        <v>56</v>
      </c>
    </row>
    <row r="105" spans="1:26" x14ac:dyDescent="0.25">
      <c r="Q105" s="14"/>
      <c r="R105" s="15"/>
      <c r="S105" s="14"/>
      <c r="T105" s="15"/>
      <c r="U105" s="14"/>
      <c r="V105" s="15"/>
      <c r="W105" s="14"/>
      <c r="X105" s="15"/>
      <c r="Y105" s="14"/>
      <c r="Z105" s="15"/>
    </row>
    <row r="106" spans="1:26" x14ac:dyDescent="0.25">
      <c r="Q106" s="14"/>
      <c r="R106" s="15"/>
      <c r="S106" s="14"/>
      <c r="T106" s="15"/>
      <c r="U106" s="14"/>
      <c r="V106" s="15"/>
      <c r="W106" s="14"/>
      <c r="X106" s="15"/>
      <c r="Y106" s="14"/>
      <c r="Z106" s="15"/>
    </row>
    <row r="107" spans="1:26" x14ac:dyDescent="0.25">
      <c r="Q107" s="14"/>
      <c r="R107" s="15"/>
      <c r="S107" s="14"/>
      <c r="T107" s="15"/>
      <c r="U107" s="14"/>
      <c r="V107" s="15"/>
      <c r="W107" s="14"/>
      <c r="X107" s="15"/>
      <c r="Y107" s="14"/>
      <c r="Z107" s="15"/>
    </row>
    <row r="108" spans="1:26" x14ac:dyDescent="0.25">
      <c r="Q108" s="14"/>
      <c r="R108" s="15"/>
      <c r="S108" s="14"/>
      <c r="T108" s="15"/>
      <c r="U108" s="14"/>
      <c r="V108" s="15"/>
      <c r="W108" s="14"/>
      <c r="X108" s="15"/>
      <c r="Y108" s="14"/>
      <c r="Z108" s="15"/>
    </row>
    <row r="109" spans="1:26" x14ac:dyDescent="0.25">
      <c r="Q109" s="14"/>
      <c r="R109" s="15"/>
      <c r="S109" s="14"/>
      <c r="T109" s="15"/>
      <c r="U109" s="14"/>
      <c r="V109" s="15"/>
      <c r="W109" s="14"/>
      <c r="X109" s="15"/>
      <c r="Y109" s="14"/>
      <c r="Z109" s="15"/>
    </row>
    <row r="110" spans="1:26" x14ac:dyDescent="0.25">
      <c r="Q110" s="14"/>
      <c r="R110" s="15"/>
      <c r="S110" s="14"/>
      <c r="T110" s="15"/>
      <c r="U110" s="14"/>
      <c r="V110" s="15"/>
      <c r="W110" s="14"/>
      <c r="X110" s="15"/>
      <c r="Y110" s="14"/>
      <c r="Z110" s="15"/>
    </row>
    <row r="111" spans="1:26" x14ac:dyDescent="0.25">
      <c r="Q111" s="14"/>
      <c r="R111" s="15"/>
      <c r="S111" s="14"/>
      <c r="T111" s="15"/>
      <c r="U111" s="14"/>
      <c r="V111" s="15"/>
      <c r="W111" s="14"/>
      <c r="X111" s="15"/>
      <c r="Y111" s="14"/>
      <c r="Z111" s="15"/>
    </row>
    <row r="112" spans="1:26" x14ac:dyDescent="0.25">
      <c r="Q112" s="14"/>
      <c r="R112" s="15"/>
      <c r="S112" s="14"/>
      <c r="T112" s="15"/>
      <c r="U112" s="14"/>
      <c r="V112" s="15"/>
      <c r="W112" s="14"/>
      <c r="X112" s="15"/>
      <c r="Y112" s="14"/>
      <c r="Z112" s="15"/>
    </row>
    <row r="113" spans="1:26" x14ac:dyDescent="0.25">
      <c r="Q113" s="14"/>
      <c r="R113" s="15"/>
      <c r="S113" s="14"/>
      <c r="T113" s="15"/>
      <c r="U113" s="14"/>
      <c r="V113" s="15"/>
      <c r="W113" s="14"/>
      <c r="X113" s="15"/>
      <c r="Y113" s="14"/>
      <c r="Z113" s="15"/>
    </row>
    <row r="114" spans="1:26" x14ac:dyDescent="0.25">
      <c r="Q114" s="14"/>
      <c r="R114" s="15"/>
      <c r="S114" s="14"/>
      <c r="T114" s="15"/>
      <c r="U114" s="14"/>
      <c r="V114" s="15"/>
      <c r="W114" s="14"/>
      <c r="X114" s="15"/>
      <c r="Y114" s="14"/>
      <c r="Z114" s="15"/>
    </row>
    <row r="115" spans="1:26" x14ac:dyDescent="0.25">
      <c r="Q115" s="14"/>
      <c r="R115" s="15"/>
      <c r="S115" s="14"/>
      <c r="T115" s="15"/>
      <c r="U115" s="14"/>
      <c r="V115" s="15"/>
      <c r="W115" s="14"/>
      <c r="X115" s="15"/>
      <c r="Y115" s="14"/>
      <c r="Z115" s="15"/>
    </row>
    <row r="116" spans="1:26" x14ac:dyDescent="0.25">
      <c r="Q116" s="14"/>
      <c r="R116" s="15"/>
      <c r="S116" s="14"/>
      <c r="T116" s="15"/>
      <c r="U116" s="14"/>
      <c r="V116" s="15"/>
      <c r="W116" s="14"/>
      <c r="X116" s="15"/>
      <c r="Y116" s="14"/>
      <c r="Z116" s="15"/>
    </row>
    <row r="117" spans="1:26" x14ac:dyDescent="0.25">
      <c r="Q117" s="14"/>
      <c r="R117" s="15"/>
      <c r="S117" s="14"/>
      <c r="T117" s="15"/>
      <c r="U117" s="14"/>
      <c r="V117" s="15"/>
      <c r="W117" s="14"/>
      <c r="X117" s="15"/>
      <c r="Y117" s="14"/>
      <c r="Z117" s="15"/>
    </row>
    <row r="118" spans="1:26" x14ac:dyDescent="0.25">
      <c r="Q118" s="14"/>
      <c r="R118" s="15"/>
      <c r="S118" s="14"/>
      <c r="T118" s="15"/>
      <c r="U118" s="14"/>
      <c r="V118" s="15"/>
      <c r="W118" s="14"/>
      <c r="X118" s="15"/>
      <c r="Y118" s="14"/>
      <c r="Z118" s="15"/>
    </row>
    <row r="119" spans="1:26" x14ac:dyDescent="0.25">
      <c r="Q119" s="14"/>
      <c r="R119" s="15"/>
      <c r="S119" s="14"/>
      <c r="T119" s="15"/>
      <c r="U119" s="14"/>
      <c r="V119" s="15"/>
      <c r="W119" s="14"/>
      <c r="X119" s="15"/>
      <c r="Y119" s="14"/>
      <c r="Z119" s="15"/>
    </row>
    <row r="120" spans="1:26" x14ac:dyDescent="0.25">
      <c r="Q120" s="14"/>
      <c r="R120" s="15"/>
      <c r="S120" s="14"/>
      <c r="T120" s="15"/>
      <c r="U120" s="14"/>
      <c r="V120" s="15"/>
      <c r="W120" s="14"/>
      <c r="X120" s="15"/>
      <c r="Y120" s="14"/>
      <c r="Z120" s="15"/>
    </row>
    <row r="121" spans="1:26" x14ac:dyDescent="0.25">
      <c r="Q121" s="14"/>
      <c r="R121" s="15"/>
      <c r="S121" s="14"/>
      <c r="T121" s="15"/>
      <c r="U121" s="14"/>
      <c r="V121" s="15"/>
      <c r="W121" s="14"/>
      <c r="X121" s="15"/>
      <c r="Y121" s="14"/>
      <c r="Z121" s="15"/>
    </row>
    <row r="122" spans="1:26" x14ac:dyDescent="0.25">
      <c r="Q122" s="14"/>
      <c r="R122" s="15"/>
      <c r="S122" s="14"/>
      <c r="T122" s="15"/>
      <c r="U122" s="14"/>
      <c r="V122" s="15"/>
      <c r="W122" s="14"/>
      <c r="X122" s="15"/>
      <c r="Y122" s="14"/>
      <c r="Z122" s="15"/>
    </row>
    <row r="123" spans="1:26" x14ac:dyDescent="0.25">
      <c r="Q123" s="14"/>
      <c r="R123" s="15"/>
      <c r="S123" s="14"/>
      <c r="T123" s="15"/>
      <c r="U123" s="14"/>
      <c r="V123" s="15"/>
      <c r="W123" s="14"/>
      <c r="X123" s="15"/>
      <c r="Y123" s="14"/>
      <c r="Z123" s="15"/>
    </row>
    <row r="124" spans="1:26" x14ac:dyDescent="0.25">
      <c r="Q124" s="14"/>
      <c r="R124" s="15"/>
      <c r="S124" s="14"/>
      <c r="T124" s="15"/>
      <c r="U124" s="14"/>
      <c r="V124" s="15"/>
      <c r="W124" s="14"/>
      <c r="X124" s="15"/>
      <c r="Y124" s="14"/>
      <c r="Z124" s="15"/>
    </row>
    <row r="125" spans="1:26" x14ac:dyDescent="0.25">
      <c r="Q125" s="14"/>
      <c r="R125" s="15"/>
      <c r="S125" s="14"/>
      <c r="T125" s="15"/>
      <c r="U125" s="14"/>
      <c r="V125" s="15"/>
      <c r="W125" s="14"/>
      <c r="X125" s="15"/>
      <c r="Y125" s="14"/>
      <c r="Z125" s="15"/>
    </row>
    <row r="126" spans="1:26" x14ac:dyDescent="0.25">
      <c r="Q126" s="14"/>
      <c r="R126" s="15"/>
      <c r="S126" s="14"/>
      <c r="T126" s="15"/>
      <c r="U126" s="14"/>
      <c r="V126" s="15"/>
      <c r="W126" s="14"/>
      <c r="X126" s="15"/>
      <c r="Y126" s="14"/>
      <c r="Z126" s="15"/>
    </row>
    <row r="127" spans="1:26" x14ac:dyDescent="0.25">
      <c r="Q127" s="14"/>
      <c r="R127" s="15"/>
      <c r="S127" s="14"/>
      <c r="T127" s="15"/>
      <c r="U127" s="14"/>
      <c r="V127" s="15"/>
      <c r="W127" s="14"/>
      <c r="X127" s="15"/>
      <c r="Y127" s="14"/>
      <c r="Z127" s="15"/>
    </row>
    <row r="128" spans="1:26" x14ac:dyDescent="0.25">
      <c r="Q128" s="14"/>
      <c r="R128" s="15"/>
      <c r="S128" s="14"/>
      <c r="T128" s="15"/>
      <c r="U128" s="14"/>
      <c r="V128" s="15"/>
      <c r="W128" s="14"/>
      <c r="X128" s="15"/>
      <c r="Y128" s="14"/>
      <c r="Z128" s="15"/>
    </row>
    <row r="129" spans="1:26" x14ac:dyDescent="0.25">
      <c r="Q129" s="14"/>
      <c r="R129" s="15"/>
      <c r="S129" s="14"/>
      <c r="T129" s="15"/>
      <c r="U129" s="14"/>
      <c r="V129" s="15"/>
      <c r="W129" s="14"/>
      <c r="X129" s="15"/>
      <c r="Y129" s="14"/>
      <c r="Z129" s="15"/>
    </row>
    <row r="130" spans="1:26" x14ac:dyDescent="0.25">
      <c r="Q130" s="14"/>
      <c r="R130" s="15"/>
      <c r="S130" s="14"/>
      <c r="T130" s="15"/>
      <c r="U130" s="14"/>
      <c r="V130" s="15"/>
      <c r="W130" s="14"/>
      <c r="X130" s="15"/>
      <c r="Y130" s="14"/>
      <c r="Z130" s="15"/>
    </row>
    <row r="131" spans="1:26" x14ac:dyDescent="0.25">
      <c r="Q131" s="14"/>
      <c r="R131" s="15"/>
      <c r="S131" s="14"/>
      <c r="T131" s="15"/>
      <c r="U131" s="14"/>
      <c r="V131" s="15"/>
      <c r="W131" s="14"/>
      <c r="X131" s="15"/>
      <c r="Y131" s="14"/>
      <c r="Z131" s="15"/>
    </row>
    <row r="132" spans="1:26" x14ac:dyDescent="0.25">
      <c r="Q132" s="14"/>
      <c r="R132" s="15"/>
      <c r="S132" s="14"/>
      <c r="T132" s="15"/>
      <c r="U132" s="14"/>
      <c r="V132" s="15"/>
      <c r="W132" s="14"/>
      <c r="X132" s="15"/>
      <c r="Y132" s="14"/>
      <c r="Z132" s="15"/>
    </row>
    <row r="133" spans="1:26" x14ac:dyDescent="0.25">
      <c r="Q133" s="14"/>
      <c r="R133" s="15"/>
      <c r="S133" s="14"/>
      <c r="T133" s="15"/>
      <c r="U133" s="14"/>
      <c r="V133" s="15"/>
      <c r="W133" s="14"/>
      <c r="X133" s="15"/>
      <c r="Y133" s="14"/>
      <c r="Z133" s="15"/>
    </row>
    <row r="134" spans="1:26" x14ac:dyDescent="0.25">
      <c r="Q134" s="14"/>
      <c r="R134" s="15"/>
      <c r="S134" s="14"/>
      <c r="T134" s="15"/>
      <c r="U134" s="14"/>
      <c r="V134" s="15"/>
      <c r="W134" s="14"/>
      <c r="X134" s="15"/>
      <c r="Y134" s="14"/>
      <c r="Z134" s="15"/>
    </row>
    <row r="135" spans="1:26" x14ac:dyDescent="0.25">
      <c r="Q135" s="14"/>
      <c r="R135" s="15"/>
      <c r="S135" s="14"/>
      <c r="T135" s="15"/>
      <c r="U135" s="14"/>
      <c r="V135" s="15"/>
      <c r="W135" s="14"/>
      <c r="X135" s="15"/>
      <c r="Y135" s="14"/>
      <c r="Z135" s="15"/>
    </row>
    <row r="136" spans="1:26" x14ac:dyDescent="0.25">
      <c r="Q136" s="14"/>
      <c r="R136" s="15"/>
      <c r="S136" s="14"/>
      <c r="T136" s="15"/>
      <c r="U136" s="14"/>
      <c r="V136" s="15"/>
      <c r="W136" s="14"/>
      <c r="X136" s="15"/>
      <c r="Y136" s="14"/>
      <c r="Z136" s="15"/>
    </row>
    <row r="137" spans="1:26" x14ac:dyDescent="0.25">
      <c r="Q137" s="14"/>
      <c r="R137" s="15"/>
      <c r="S137" s="14"/>
      <c r="T137" s="15"/>
      <c r="U137" s="14"/>
      <c r="V137" s="15"/>
      <c r="W137" s="14"/>
      <c r="X137" s="15"/>
      <c r="Y137" s="14"/>
      <c r="Z137" s="15"/>
    </row>
    <row r="138" spans="1:26" x14ac:dyDescent="0.25">
      <c r="Q138" s="14"/>
      <c r="R138" s="15"/>
      <c r="S138" s="14"/>
      <c r="T138" s="15"/>
      <c r="U138" s="14"/>
      <c r="V138" s="15"/>
      <c r="W138" s="14"/>
      <c r="X138" s="15"/>
      <c r="Y138" s="14"/>
      <c r="Z138" s="15"/>
    </row>
    <row r="139" spans="1:26" x14ac:dyDescent="0.25">
      <c r="Q139" s="14"/>
      <c r="R139" s="15"/>
      <c r="S139" s="14"/>
      <c r="T139" s="15"/>
      <c r="U139" s="14"/>
      <c r="V139" s="15"/>
      <c r="W139" s="14"/>
      <c r="X139" s="15"/>
      <c r="Y139" s="14"/>
      <c r="Z139" s="15"/>
    </row>
    <row r="140" spans="1:26" x14ac:dyDescent="0.25">
      <c r="Q140" s="14"/>
      <c r="R140" s="15"/>
      <c r="S140" s="14"/>
      <c r="T140" s="15"/>
      <c r="U140" s="14"/>
      <c r="V140" s="15"/>
      <c r="W140" s="14"/>
      <c r="X140" s="15"/>
      <c r="Y140" s="14"/>
      <c r="Z140" s="15"/>
    </row>
    <row r="141" spans="1:26" x14ac:dyDescent="0.25">
      <c r="Q141" s="14"/>
      <c r="R141" s="15"/>
      <c r="S141" s="14"/>
      <c r="T141" s="15"/>
      <c r="U141" s="14"/>
      <c r="V141" s="15"/>
      <c r="W141" s="14"/>
      <c r="X141" s="15"/>
      <c r="Y141" s="14"/>
      <c r="Z141" s="15"/>
    </row>
    <row r="142" spans="1:26" x14ac:dyDescent="0.25">
      <c r="Q142" s="14"/>
      <c r="R142" s="15"/>
      <c r="S142" s="14"/>
      <c r="T142" s="15"/>
      <c r="U142" s="14"/>
      <c r="V142" s="15"/>
      <c r="W142" s="14"/>
      <c r="X142" s="15"/>
      <c r="Y142" s="14"/>
      <c r="Z142" s="15"/>
    </row>
    <row r="143" spans="1:26" x14ac:dyDescent="0.25">
      <c r="Q143" s="14"/>
      <c r="R143" s="15"/>
      <c r="S143" s="14"/>
      <c r="T143" s="15"/>
      <c r="U143" s="14"/>
      <c r="V143" s="15"/>
      <c r="W143" s="14"/>
      <c r="X143" s="15"/>
      <c r="Y143" s="14"/>
      <c r="Z143" s="15"/>
    </row>
    <row r="144" spans="1:26" x14ac:dyDescent="0.25">
      <c r="Q144" s="14"/>
      <c r="R144" s="15"/>
      <c r="S144" s="14"/>
      <c r="T144" s="15"/>
      <c r="U144" s="14"/>
      <c r="V144" s="15"/>
      <c r="W144" s="14"/>
      <c r="X144" s="15"/>
      <c r="Y144" s="14"/>
      <c r="Z144" s="15"/>
    </row>
    <row r="145" spans="1:26" x14ac:dyDescent="0.25">
      <c r="Q145" s="14"/>
      <c r="R145" s="15"/>
      <c r="S145" s="14"/>
      <c r="T145" s="15"/>
      <c r="U145" s="14"/>
      <c r="V145" s="15"/>
      <c r="W145" s="14"/>
      <c r="X145" s="15"/>
      <c r="Y145" s="14"/>
      <c r="Z145" s="15"/>
    </row>
    <row r="146" spans="1:26" x14ac:dyDescent="0.25">
      <c r="Q146" s="14"/>
      <c r="R146" s="15"/>
      <c r="S146" s="14"/>
      <c r="T146" s="15"/>
      <c r="U146" s="14"/>
      <c r="V146" s="15"/>
      <c r="W146" s="14"/>
      <c r="X146" s="15"/>
      <c r="Y146" s="14"/>
      <c r="Z146" s="15"/>
    </row>
    <row r="147" spans="1:26" x14ac:dyDescent="0.25">
      <c r="Q147" s="14"/>
      <c r="R147" s="15"/>
      <c r="S147" s="14"/>
      <c r="T147" s="15"/>
      <c r="U147" s="14"/>
      <c r="V147" s="15"/>
      <c r="W147" s="14"/>
      <c r="X147" s="15"/>
      <c r="Y147" s="14"/>
      <c r="Z147" s="15"/>
    </row>
    <row r="148" spans="1:26" x14ac:dyDescent="0.25">
      <c r="Q148" s="14"/>
      <c r="R148" s="15"/>
      <c r="S148" s="14"/>
      <c r="T148" s="15"/>
      <c r="U148" s="14"/>
      <c r="V148" s="15"/>
      <c r="W148" s="14"/>
      <c r="X148" s="15"/>
      <c r="Y148" s="14"/>
      <c r="Z148" s="15"/>
    </row>
    <row r="149" spans="1:26" x14ac:dyDescent="0.25">
      <c r="Q149" s="14"/>
      <c r="R149" s="15"/>
      <c r="S149" s="14"/>
      <c r="T149" s="15"/>
      <c r="U149" s="14"/>
      <c r="V149" s="15"/>
      <c r="W149" s="14"/>
      <c r="X149" s="15"/>
      <c r="Y149" s="14"/>
      <c r="Z149" s="15"/>
    </row>
    <row r="150" spans="1:26" x14ac:dyDescent="0.25">
      <c r="Q150" s="14"/>
      <c r="R150" s="15"/>
      <c r="S150" s="14"/>
      <c r="T150" s="15"/>
      <c r="U150" s="14"/>
      <c r="V150" s="15"/>
      <c r="W150" s="14"/>
      <c r="X150" s="15"/>
      <c r="Y150" s="14"/>
      <c r="Z150" s="15"/>
    </row>
    <row r="151" spans="1:26" x14ac:dyDescent="0.25">
      <c r="Q151" s="14"/>
      <c r="R151" s="15"/>
      <c r="S151" s="14"/>
      <c r="T151" s="15"/>
      <c r="U151" s="14"/>
      <c r="V151" s="15"/>
      <c r="W151" s="14"/>
      <c r="X151" s="15"/>
      <c r="Y151" s="14"/>
      <c r="Z151" s="15"/>
    </row>
    <row r="152" spans="1:26" x14ac:dyDescent="0.25">
      <c r="Q152" s="14"/>
      <c r="R152" s="15"/>
      <c r="S152" s="14"/>
      <c r="T152" s="15"/>
      <c r="U152" s="14"/>
      <c r="V152" s="15"/>
      <c r="W152" s="14"/>
      <c r="X152" s="15"/>
      <c r="Y152" s="14"/>
      <c r="Z152" s="15"/>
    </row>
    <row r="153" spans="1:26" x14ac:dyDescent="0.25">
      <c r="Q153" s="14"/>
      <c r="R153" s="15"/>
      <c r="S153" s="14"/>
      <c r="T153" s="15"/>
      <c r="U153" s="14"/>
      <c r="V153" s="15"/>
      <c r="W153" s="14"/>
      <c r="X153" s="15"/>
      <c r="Y153" s="14"/>
      <c r="Z153" s="15"/>
    </row>
    <row r="154" spans="1:26" x14ac:dyDescent="0.25">
      <c r="Q154" s="14"/>
      <c r="R154" s="15"/>
      <c r="S154" s="14"/>
      <c r="T154" s="15"/>
      <c r="U154" s="14"/>
      <c r="V154" s="15"/>
      <c r="W154" s="14"/>
      <c r="X154" s="15"/>
      <c r="Y154" s="14"/>
      <c r="Z154" s="15"/>
    </row>
    <row r="155" spans="1:26" x14ac:dyDescent="0.25">
      <c r="Q155" s="14"/>
      <c r="R155" s="15"/>
      <c r="S155" s="14"/>
      <c r="T155" s="15"/>
      <c r="U155" s="14"/>
      <c r="V155" s="15"/>
      <c r="W155" s="14"/>
      <c r="X155" s="15"/>
      <c r="Y155" s="14"/>
      <c r="Z155" s="15"/>
    </row>
    <row r="156" spans="1:26" x14ac:dyDescent="0.25">
      <c r="Q156" s="14"/>
      <c r="R156" s="15"/>
      <c r="S156" s="14"/>
      <c r="T156" s="15"/>
      <c r="U156" s="14"/>
      <c r="V156" s="15"/>
      <c r="W156" s="14"/>
      <c r="X156" s="15"/>
      <c r="Y156" s="14"/>
      <c r="Z156" s="15"/>
    </row>
    <row r="157" spans="1:26" x14ac:dyDescent="0.25">
      <c r="Q157" s="14"/>
      <c r="R157" s="15"/>
      <c r="S157" s="14"/>
      <c r="T157" s="15"/>
      <c r="U157" s="14"/>
      <c r="V157" s="15"/>
      <c r="W157" s="14"/>
      <c r="X157" s="15"/>
      <c r="Y157" s="14"/>
      <c r="Z157" s="15"/>
    </row>
    <row r="158" spans="1:26" x14ac:dyDescent="0.25">
      <c r="Q158" s="14"/>
      <c r="R158" s="15"/>
      <c r="S158" s="14"/>
      <c r="T158" s="15"/>
      <c r="U158" s="14"/>
      <c r="V158" s="15"/>
      <c r="W158" s="14"/>
      <c r="X158" s="15"/>
      <c r="Y158" s="14"/>
      <c r="Z158" s="15"/>
    </row>
    <row r="159" spans="1:26" x14ac:dyDescent="0.25">
      <c r="Q159" s="14"/>
      <c r="R159" s="15"/>
      <c r="S159" s="14"/>
      <c r="T159" s="15"/>
      <c r="U159" s="14"/>
      <c r="V159" s="15"/>
      <c r="W159" s="14"/>
      <c r="X159" s="15"/>
      <c r="Y159" s="14"/>
      <c r="Z159" s="15"/>
    </row>
    <row r="160" spans="1:26" x14ac:dyDescent="0.25">
      <c r="Q160" s="14"/>
      <c r="R160" s="15"/>
      <c r="S160" s="14"/>
      <c r="T160" s="15"/>
      <c r="U160" s="14"/>
      <c r="V160" s="15"/>
      <c r="W160" s="14"/>
      <c r="X160" s="15"/>
      <c r="Y160" s="14"/>
      <c r="Z160" s="15"/>
    </row>
    <row r="161" spans="1:26" x14ac:dyDescent="0.25">
      <c r="Q161" s="14"/>
      <c r="R161" s="15"/>
      <c r="S161" s="14"/>
      <c r="T161" s="15"/>
      <c r="U161" s="14"/>
      <c r="V161" s="15"/>
      <c r="W161" s="14"/>
      <c r="X161" s="15"/>
      <c r="Y161" s="14"/>
      <c r="Z161" s="15"/>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row r="1037" spans="1:26" x14ac:dyDescent="0.25">
      <c r="Q1037" s="14"/>
      <c r="R1037" s="15"/>
      <c r="S1037" s="14"/>
      <c r="T1037" s="15"/>
      <c r="U1037" s="14"/>
      <c r="V1037" s="15"/>
      <c r="W1037" s="14"/>
      <c r="X1037" s="15"/>
      <c r="Y1037" s="14"/>
      <c r="Z1037" s="15"/>
    </row>
    <row r="1038" spans="1:26" x14ac:dyDescent="0.25">
      <c r="Q1038" s="14"/>
      <c r="R1038" s="15"/>
      <c r="S1038" s="14"/>
      <c r="T1038" s="15"/>
      <c r="U1038" s="14"/>
      <c r="V1038" s="15"/>
      <c r="W1038" s="14"/>
      <c r="X1038" s="15"/>
      <c r="Y1038" s="14"/>
      <c r="Z1038" s="15"/>
    </row>
    <row r="1039" spans="1:26" x14ac:dyDescent="0.25">
      <c r="Q1039" s="14"/>
      <c r="R1039" s="15"/>
      <c r="S1039" s="14"/>
      <c r="T1039" s="15"/>
      <c r="U1039" s="14"/>
      <c r="V1039" s="15"/>
      <c r="W1039" s="14"/>
      <c r="X1039" s="15"/>
      <c r="Y1039" s="14"/>
      <c r="Z1039" s="15"/>
    </row>
    <row r="1040" spans="1:26" x14ac:dyDescent="0.25">
      <c r="Q1040" s="14"/>
      <c r="R1040" s="15"/>
      <c r="S1040" s="14"/>
      <c r="T1040" s="15"/>
      <c r="U1040" s="14"/>
      <c r="V1040" s="15"/>
      <c r="W1040" s="14"/>
      <c r="X1040" s="15"/>
      <c r="Y1040" s="14"/>
      <c r="Z1040" s="15"/>
    </row>
    <row r="1041" spans="1:26" x14ac:dyDescent="0.25">
      <c r="Q1041" s="14"/>
      <c r="R1041" s="15"/>
      <c r="S1041" s="14"/>
      <c r="T1041" s="15"/>
      <c r="U1041" s="14"/>
      <c r="V1041" s="15"/>
      <c r="W1041" s="14"/>
      <c r="X1041" s="15"/>
      <c r="Y1041" s="14"/>
      <c r="Z1041" s="15"/>
    </row>
    <row r="1042" spans="1:26" x14ac:dyDescent="0.25">
      <c r="Q1042" s="14"/>
      <c r="R1042" s="15"/>
      <c r="S1042" s="14"/>
      <c r="T1042" s="15"/>
      <c r="U1042" s="14"/>
      <c r="V1042" s="15"/>
      <c r="W1042" s="14"/>
      <c r="X1042" s="15"/>
      <c r="Y1042" s="14"/>
      <c r="Z1042" s="15"/>
    </row>
    <row r="1043" spans="1:26" x14ac:dyDescent="0.25">
      <c r="Q1043" s="14"/>
      <c r="R1043" s="15"/>
      <c r="S1043" s="14"/>
      <c r="T1043" s="15"/>
      <c r="U1043" s="14"/>
      <c r="V1043" s="15"/>
      <c r="W1043" s="14"/>
      <c r="X1043" s="15"/>
      <c r="Y1043" s="14"/>
      <c r="Z1043" s="15"/>
    </row>
    <row r="1044" spans="1:26" x14ac:dyDescent="0.25">
      <c r="Q1044" s="14"/>
      <c r="R1044" s="15"/>
      <c r="S1044" s="14"/>
      <c r="T1044" s="15"/>
      <c r="U1044" s="14"/>
      <c r="V1044" s="15"/>
      <c r="W1044" s="14"/>
      <c r="X1044" s="15"/>
      <c r="Y1044" s="14"/>
      <c r="Z1044" s="15"/>
    </row>
    <row r="1045" spans="1:26" x14ac:dyDescent="0.25">
      <c r="Q1045" s="14"/>
      <c r="R1045" s="15"/>
      <c r="S1045" s="14"/>
      <c r="T1045" s="15"/>
      <c r="U1045" s="14"/>
      <c r="V1045" s="15"/>
      <c r="W1045" s="14"/>
      <c r="X1045" s="15"/>
      <c r="Y1045" s="14"/>
      <c r="Z1045" s="15"/>
    </row>
    <row r="1046" spans="1:26" x14ac:dyDescent="0.25">
      <c r="Q1046" s="14"/>
      <c r="R1046" s="15"/>
      <c r="S1046" s="14"/>
      <c r="T1046" s="15"/>
      <c r="U1046" s="14"/>
      <c r="V1046" s="15"/>
      <c r="W1046" s="14"/>
      <c r="X1046" s="15"/>
      <c r="Y1046" s="14"/>
      <c r="Z1046" s="15"/>
    </row>
    <row r="1047" spans="1:26" x14ac:dyDescent="0.25">
      <c r="Q1047" s="14"/>
      <c r="R1047" s="15"/>
      <c r="S1047" s="14"/>
      <c r="T1047" s="15"/>
      <c r="U1047" s="14"/>
      <c r="V1047" s="15"/>
      <c r="W1047" s="14"/>
      <c r="X1047" s="15"/>
      <c r="Y1047" s="14"/>
      <c r="Z1047" s="15"/>
    </row>
    <row r="1048" spans="1:26" x14ac:dyDescent="0.25">
      <c r="Q1048" s="14"/>
      <c r="R1048" s="15"/>
      <c r="S1048" s="14"/>
      <c r="T1048" s="15"/>
      <c r="U1048" s="14"/>
      <c r="V1048" s="15"/>
      <c r="W1048" s="14"/>
      <c r="X1048" s="15"/>
      <c r="Y1048" s="14"/>
      <c r="Z1048" s="15"/>
    </row>
    <row r="1049" spans="1:26" x14ac:dyDescent="0.25">
      <c r="Q1049" s="14"/>
      <c r="R1049" s="15"/>
      <c r="S1049" s="14"/>
      <c r="T1049" s="15"/>
      <c r="U1049" s="14"/>
      <c r="V1049" s="15"/>
      <c r="W1049" s="14"/>
      <c r="X1049" s="15"/>
      <c r="Y1049" s="14"/>
      <c r="Z1049" s="15"/>
    </row>
    <row r="1050" spans="1:26" x14ac:dyDescent="0.25">
      <c r="Q1050" s="14"/>
      <c r="R1050" s="15"/>
      <c r="S1050" s="14"/>
      <c r="T1050" s="15"/>
      <c r="U1050" s="14"/>
      <c r="V1050" s="15"/>
      <c r="W1050" s="14"/>
      <c r="X1050" s="15"/>
      <c r="Y1050" s="14"/>
      <c r="Z1050" s="15"/>
    </row>
    <row r="1051" spans="1:26" x14ac:dyDescent="0.25">
      <c r="Q1051" s="14"/>
      <c r="R1051" s="15"/>
      <c r="S1051" s="14"/>
      <c r="T1051" s="15"/>
      <c r="U1051" s="14"/>
      <c r="V1051" s="15"/>
      <c r="W1051" s="14"/>
      <c r="X1051" s="15"/>
      <c r="Y1051" s="14"/>
      <c r="Z1051" s="15"/>
    </row>
    <row r="1052" spans="1:26" x14ac:dyDescent="0.25">
      <c r="Q1052" s="14"/>
      <c r="R1052" s="15"/>
      <c r="S1052" s="14"/>
      <c r="T1052" s="15"/>
      <c r="U1052" s="14"/>
      <c r="V1052" s="15"/>
      <c r="W1052" s="14"/>
      <c r="X1052" s="15"/>
      <c r="Y1052" s="14"/>
      <c r="Z1052" s="15"/>
    </row>
    <row r="1053" spans="1:26" x14ac:dyDescent="0.25">
      <c r="Q1053" s="14"/>
      <c r="R1053" s="15"/>
      <c r="S1053" s="14"/>
      <c r="T1053" s="15"/>
      <c r="U1053" s="14"/>
      <c r="V1053" s="15"/>
      <c r="W1053" s="14"/>
      <c r="X1053" s="15"/>
      <c r="Y1053" s="14"/>
      <c r="Z1053" s="15"/>
    </row>
    <row r="1054" spans="1:26" x14ac:dyDescent="0.25">
      <c r="Q1054" s="14"/>
      <c r="R1054" s="15"/>
      <c r="S1054" s="14"/>
      <c r="T1054" s="15"/>
      <c r="U1054" s="14"/>
      <c r="V1054" s="15"/>
      <c r="W1054" s="14"/>
      <c r="X1054" s="15"/>
      <c r="Y1054" s="14"/>
      <c r="Z1054" s="15"/>
    </row>
    <row r="1055" spans="1:26" x14ac:dyDescent="0.25">
      <c r="Q1055" s="14"/>
      <c r="R1055" s="15"/>
      <c r="S1055" s="14"/>
      <c r="T1055" s="15"/>
      <c r="U1055" s="14"/>
      <c r="V1055" s="15"/>
      <c r="W1055" s="14"/>
      <c r="X1055" s="15"/>
      <c r="Y1055" s="14"/>
      <c r="Z1055" s="15"/>
    </row>
    <row r="1056" spans="1:26" x14ac:dyDescent="0.25">
      <c r="Q1056" s="14"/>
      <c r="R1056" s="15"/>
      <c r="S1056" s="14"/>
      <c r="T1056" s="15"/>
      <c r="U1056" s="14"/>
      <c r="V1056" s="15"/>
      <c r="W1056" s="14"/>
      <c r="X1056" s="15"/>
      <c r="Y1056" s="14"/>
      <c r="Z1056" s="15"/>
    </row>
    <row r="1057" spans="1:26" x14ac:dyDescent="0.25">
      <c r="Q1057" s="14"/>
      <c r="R1057" s="15"/>
      <c r="S1057" s="14"/>
      <c r="T1057" s="15"/>
      <c r="U1057" s="14"/>
      <c r="V1057" s="15"/>
      <c r="W1057" s="14"/>
      <c r="X1057" s="15"/>
      <c r="Y1057" s="14"/>
      <c r="Z1057" s="15"/>
    </row>
    <row r="1058" spans="1:26" x14ac:dyDescent="0.25">
      <c r="Q1058" s="14"/>
      <c r="R1058" s="15"/>
      <c r="S1058" s="14"/>
      <c r="T1058" s="15"/>
      <c r="U1058" s="14"/>
      <c r="V1058" s="15"/>
      <c r="W1058" s="14"/>
      <c r="X1058" s="15"/>
      <c r="Y1058" s="14"/>
      <c r="Z1058" s="15"/>
    </row>
    <row r="1059" spans="1:26" x14ac:dyDescent="0.25">
      <c r="Q1059" s="14"/>
      <c r="R1059" s="15"/>
      <c r="S1059" s="14"/>
      <c r="T1059" s="15"/>
      <c r="U1059" s="14"/>
      <c r="V1059" s="15"/>
      <c r="W1059" s="14"/>
      <c r="X1059" s="15"/>
      <c r="Y1059" s="14"/>
      <c r="Z1059" s="15"/>
    </row>
    <row r="1060" spans="1:26" x14ac:dyDescent="0.25">
      <c r="Q1060" s="14"/>
      <c r="R1060" s="15"/>
      <c r="S1060" s="14"/>
      <c r="T1060" s="15"/>
      <c r="U1060" s="14"/>
      <c r="V1060" s="15"/>
      <c r="W1060" s="14"/>
      <c r="X1060" s="15"/>
      <c r="Y1060" s="14"/>
      <c r="Z1060" s="15"/>
    </row>
    <row r="1061" spans="1:26" x14ac:dyDescent="0.25">
      <c r="Q1061" s="14"/>
      <c r="R1061" s="15"/>
      <c r="S1061" s="14"/>
      <c r="T1061" s="15"/>
      <c r="U1061" s="14"/>
      <c r="V1061" s="15"/>
      <c r="W1061" s="14"/>
      <c r="X1061" s="15"/>
      <c r="Y1061" s="14"/>
      <c r="Z1061" s="15"/>
    </row>
    <row r="1062" spans="1:26" x14ac:dyDescent="0.25">
      <c r="Q1062" s="14"/>
      <c r="R1062" s="15"/>
      <c r="S1062" s="14"/>
      <c r="T1062" s="15"/>
      <c r="U1062" s="14"/>
      <c r="V1062" s="15"/>
      <c r="W1062" s="14"/>
      <c r="X1062" s="15"/>
      <c r="Y1062" s="14"/>
      <c r="Z1062" s="15"/>
    </row>
    <row r="1063" spans="1:26" x14ac:dyDescent="0.25">
      <c r="Q1063" s="14"/>
      <c r="R1063" s="15"/>
      <c r="S1063" s="14"/>
      <c r="T1063" s="15"/>
      <c r="U1063" s="14"/>
      <c r="V1063" s="15"/>
      <c r="W1063" s="14"/>
      <c r="X1063" s="15"/>
      <c r="Y1063" s="14"/>
      <c r="Z1063" s="15"/>
    </row>
    <row r="1064" spans="1:26" x14ac:dyDescent="0.25">
      <c r="Q1064" s="14"/>
      <c r="R1064" s="15"/>
      <c r="S1064" s="14"/>
      <c r="T1064" s="15"/>
      <c r="U1064" s="14"/>
      <c r="V1064" s="15"/>
      <c r="W1064" s="14"/>
      <c r="X1064" s="15"/>
      <c r="Y1064" s="14"/>
      <c r="Z1064" s="15"/>
    </row>
    <row r="1065" spans="1:26" x14ac:dyDescent="0.25">
      <c r="Q1065" s="14"/>
      <c r="R1065" s="15"/>
      <c r="S1065" s="14"/>
      <c r="T1065" s="15"/>
      <c r="U1065" s="14"/>
      <c r="V1065" s="15"/>
      <c r="W1065" s="14"/>
      <c r="X1065" s="15"/>
      <c r="Y1065" s="14"/>
      <c r="Z1065" s="15"/>
    </row>
    <row r="1066" spans="1:26" x14ac:dyDescent="0.25">
      <c r="Q1066" s="14"/>
      <c r="R1066" s="15"/>
      <c r="S1066" s="14"/>
      <c r="T1066" s="15"/>
      <c r="U1066" s="14"/>
      <c r="V1066" s="15"/>
      <c r="W1066" s="14"/>
      <c r="X1066" s="15"/>
      <c r="Y1066" s="14"/>
      <c r="Z1066" s="15"/>
    </row>
    <row r="1067" spans="1:26" x14ac:dyDescent="0.25">
      <c r="Q1067" s="14"/>
      <c r="R1067" s="15"/>
      <c r="S1067" s="14"/>
      <c r="T1067" s="15"/>
      <c r="U1067" s="14"/>
      <c r="V1067" s="15"/>
      <c r="W1067" s="14"/>
      <c r="X1067" s="15"/>
      <c r="Y1067" s="14"/>
      <c r="Z1067" s="15"/>
    </row>
    <row r="1068" spans="1:26" x14ac:dyDescent="0.25">
      <c r="Q1068" s="14"/>
      <c r="R1068" s="15"/>
      <c r="S1068" s="14"/>
      <c r="T1068" s="15"/>
      <c r="U1068" s="14"/>
      <c r="V1068" s="15"/>
      <c r="W1068" s="14"/>
      <c r="X1068" s="15"/>
      <c r="Y1068" s="14"/>
      <c r="Z1068" s="15"/>
    </row>
    <row r="1069" spans="1:26" x14ac:dyDescent="0.25">
      <c r="Q1069" s="14"/>
      <c r="R1069" s="15"/>
      <c r="S1069" s="14"/>
      <c r="T1069" s="15"/>
      <c r="U1069" s="14"/>
      <c r="V1069" s="15"/>
      <c r="W1069" s="14"/>
      <c r="X1069" s="15"/>
      <c r="Y1069" s="14"/>
      <c r="Z1069" s="15"/>
    </row>
    <row r="1070" spans="1:26" x14ac:dyDescent="0.25">
      <c r="Q1070" s="14"/>
      <c r="R1070" s="15"/>
      <c r="S1070" s="14"/>
      <c r="T1070" s="15"/>
      <c r="U1070" s="14"/>
      <c r="V1070" s="15"/>
      <c r="W1070" s="14"/>
      <c r="X1070" s="15"/>
      <c r="Y1070" s="14"/>
      <c r="Z1070" s="15"/>
    </row>
    <row r="1071" spans="1:26" x14ac:dyDescent="0.25">
      <c r="Q1071" s="14"/>
      <c r="R1071" s="15"/>
      <c r="S1071" s="14"/>
      <c r="T1071" s="15"/>
      <c r="U1071" s="14"/>
      <c r="V1071" s="15"/>
      <c r="W1071" s="14"/>
      <c r="X1071" s="15"/>
      <c r="Y1071" s="14"/>
      <c r="Z1071" s="15"/>
    </row>
    <row r="1072" spans="1:26" x14ac:dyDescent="0.25">
      <c r="Q1072" s="14"/>
      <c r="R1072" s="15"/>
      <c r="S1072" s="14"/>
      <c r="T1072" s="15"/>
      <c r="U1072" s="14"/>
      <c r="V1072" s="15"/>
      <c r="W1072" s="14"/>
      <c r="X1072" s="15"/>
      <c r="Y1072" s="14"/>
      <c r="Z1072" s="15"/>
    </row>
    <row r="1073" spans="1:26" x14ac:dyDescent="0.25">
      <c r="Q1073" s="14"/>
      <c r="R1073" s="15"/>
      <c r="S1073" s="14"/>
      <c r="T1073" s="15"/>
      <c r="U1073" s="14"/>
      <c r="V1073" s="15"/>
      <c r="W1073" s="14"/>
      <c r="X1073" s="15"/>
      <c r="Y1073" s="14"/>
      <c r="Z1073" s="15"/>
    </row>
    <row r="1074" spans="1:26" x14ac:dyDescent="0.25">
      <c r="Q1074" s="14"/>
      <c r="R1074" s="15"/>
      <c r="S1074" s="14"/>
      <c r="T1074" s="15"/>
      <c r="U1074" s="14"/>
      <c r="V1074" s="15"/>
      <c r="W1074" s="14"/>
      <c r="X1074" s="15"/>
      <c r="Y1074" s="14"/>
      <c r="Z1074" s="15"/>
    </row>
    <row r="1075" spans="1:26" x14ac:dyDescent="0.25">
      <c r="Q1075" s="14"/>
      <c r="R1075" s="15"/>
      <c r="S1075" s="14"/>
      <c r="T1075" s="15"/>
      <c r="U1075" s="14"/>
      <c r="V1075" s="15"/>
      <c r="W1075" s="14"/>
      <c r="X1075" s="15"/>
      <c r="Y1075" s="14"/>
      <c r="Z1075" s="15"/>
    </row>
    <row r="1076" spans="1:26" x14ac:dyDescent="0.25">
      <c r="Q1076" s="14"/>
      <c r="R1076" s="15"/>
      <c r="S1076" s="14"/>
      <c r="T1076" s="15"/>
      <c r="U1076" s="14"/>
      <c r="V1076" s="15"/>
      <c r="W1076" s="14"/>
      <c r="X1076" s="15"/>
      <c r="Y1076" s="14"/>
      <c r="Z1076" s="15"/>
    </row>
    <row r="1077" spans="1:26" x14ac:dyDescent="0.25">
      <c r="Q1077" s="14"/>
      <c r="R1077" s="15"/>
      <c r="S1077" s="14"/>
      <c r="T1077" s="15"/>
      <c r="U1077" s="14"/>
      <c r="V1077" s="15"/>
      <c r="W1077" s="14"/>
      <c r="X1077" s="15"/>
      <c r="Y1077" s="14"/>
      <c r="Z1077" s="15"/>
    </row>
    <row r="1078" spans="1:26" x14ac:dyDescent="0.25">
      <c r="Q1078" s="14"/>
      <c r="R1078" s="15"/>
      <c r="S1078" s="14"/>
      <c r="T1078" s="15"/>
      <c r="U1078" s="14"/>
      <c r="V1078" s="15"/>
      <c r="W1078" s="14"/>
      <c r="X1078" s="15"/>
      <c r="Y1078" s="14"/>
      <c r="Z1078" s="15"/>
    </row>
    <row r="1079" spans="1:26" x14ac:dyDescent="0.25">
      <c r="Q1079" s="14"/>
      <c r="R1079" s="15"/>
      <c r="S1079" s="14"/>
      <c r="T1079" s="15"/>
      <c r="U1079" s="14"/>
      <c r="V1079" s="15"/>
      <c r="W1079" s="14"/>
      <c r="X1079" s="15"/>
      <c r="Y1079" s="14"/>
      <c r="Z1079" s="15"/>
    </row>
    <row r="1080" spans="1:26" x14ac:dyDescent="0.25">
      <c r="Q1080" s="14"/>
      <c r="R1080" s="15"/>
      <c r="S1080" s="14"/>
      <c r="T1080" s="15"/>
      <c r="U1080" s="14"/>
      <c r="V1080" s="15"/>
      <c r="W1080" s="14"/>
      <c r="X1080" s="15"/>
      <c r="Y1080" s="14"/>
      <c r="Z1080" s="15"/>
    </row>
    <row r="1081" spans="1:26" x14ac:dyDescent="0.25">
      <c r="Q1081" s="14"/>
      <c r="R1081" s="15"/>
      <c r="S1081" s="14"/>
      <c r="T1081" s="15"/>
      <c r="U1081" s="14"/>
      <c r="V1081" s="15"/>
      <c r="W1081" s="14"/>
      <c r="X1081" s="15"/>
      <c r="Y1081" s="14"/>
      <c r="Z1081" s="15"/>
    </row>
    <row r="1082" spans="1:26" x14ac:dyDescent="0.25">
      <c r="Q1082" s="14"/>
      <c r="R1082" s="15"/>
      <c r="S1082" s="14"/>
      <c r="T1082" s="15"/>
      <c r="U1082" s="14"/>
      <c r="V1082" s="15"/>
      <c r="W1082" s="14"/>
      <c r="X1082" s="15"/>
      <c r="Y1082" s="14"/>
      <c r="Z1082" s="15"/>
    </row>
    <row r="1083" spans="1:26" x14ac:dyDescent="0.25">
      <c r="Q1083" s="14"/>
      <c r="R1083" s="15"/>
      <c r="S1083" s="14"/>
      <c r="T1083" s="15"/>
      <c r="U1083" s="14"/>
      <c r="V1083" s="15"/>
      <c r="W1083" s="14"/>
      <c r="X1083" s="15"/>
      <c r="Y1083" s="14"/>
      <c r="Z1083" s="15"/>
    </row>
    <row r="1084" spans="1:26" x14ac:dyDescent="0.25">
      <c r="Q1084" s="14"/>
      <c r="R1084" s="15"/>
      <c r="S1084" s="14"/>
      <c r="T1084" s="15"/>
      <c r="U1084" s="14"/>
      <c r="V1084" s="15"/>
      <c r="W1084" s="14"/>
      <c r="X1084" s="15"/>
      <c r="Y1084" s="14"/>
      <c r="Z1084" s="15"/>
    </row>
    <row r="1085" spans="1:26" x14ac:dyDescent="0.25">
      <c r="Q1085" s="14"/>
      <c r="R1085" s="15"/>
      <c r="S1085" s="14"/>
      <c r="T1085" s="15"/>
      <c r="U1085" s="14"/>
      <c r="V1085" s="15"/>
      <c r="W1085" s="14"/>
      <c r="X1085" s="15"/>
      <c r="Y1085" s="14"/>
      <c r="Z1085" s="15"/>
    </row>
    <row r="1086" spans="1:26" x14ac:dyDescent="0.25">
      <c r="Q1086" s="14"/>
      <c r="R1086" s="15"/>
      <c r="S1086" s="14"/>
      <c r="T1086" s="15"/>
      <c r="U1086" s="14"/>
      <c r="V1086" s="15"/>
      <c r="W1086" s="14"/>
      <c r="X1086" s="15"/>
      <c r="Y1086" s="14"/>
      <c r="Z1086" s="15"/>
    </row>
    <row r="1087" spans="1:26" x14ac:dyDescent="0.25">
      <c r="Q1087" s="14"/>
      <c r="R1087" s="15"/>
      <c r="S1087" s="14"/>
      <c r="T1087" s="15"/>
      <c r="U1087" s="14"/>
      <c r="V1087" s="15"/>
      <c r="W1087" s="14"/>
      <c r="X1087" s="15"/>
      <c r="Y1087" s="14"/>
      <c r="Z1087" s="15"/>
    </row>
    <row r="1088" spans="1:26" x14ac:dyDescent="0.25">
      <c r="Q1088" s="14"/>
      <c r="R1088" s="15"/>
      <c r="S1088" s="14"/>
      <c r="T1088" s="15"/>
      <c r="U1088" s="14"/>
      <c r="V1088" s="15"/>
      <c r="W1088" s="14"/>
      <c r="X1088" s="15"/>
      <c r="Y1088" s="14"/>
      <c r="Z1088" s="15"/>
    </row>
    <row r="1089" spans="1:26" x14ac:dyDescent="0.25">
      <c r="Q1089" s="14"/>
      <c r="R1089" s="15"/>
      <c r="S1089" s="14"/>
      <c r="T1089" s="15"/>
      <c r="U1089" s="14"/>
      <c r="V1089" s="15"/>
      <c r="W1089" s="14"/>
      <c r="X1089" s="15"/>
      <c r="Y1089" s="14"/>
      <c r="Z1089" s="15"/>
    </row>
    <row r="1090" spans="1:26" x14ac:dyDescent="0.25">
      <c r="Q1090" s="14"/>
      <c r="R1090" s="15"/>
      <c r="S1090" s="14"/>
      <c r="T1090" s="15"/>
      <c r="U1090" s="14"/>
      <c r="V1090" s="15"/>
      <c r="W1090" s="14"/>
      <c r="X1090" s="15"/>
      <c r="Y1090" s="14"/>
      <c r="Z1090" s="15"/>
    </row>
    <row r="1091" spans="1:26" x14ac:dyDescent="0.25">
      <c r="Q1091" s="14"/>
      <c r="R1091" s="15"/>
      <c r="S1091" s="14"/>
      <c r="T1091" s="15"/>
      <c r="U1091" s="14"/>
      <c r="V1091" s="15"/>
      <c r="W1091" s="14"/>
      <c r="X1091" s="15"/>
      <c r="Y1091" s="14"/>
      <c r="Z1091" s="15"/>
    </row>
    <row r="1092" spans="1:26" x14ac:dyDescent="0.25">
      <c r="Q1092" s="14"/>
      <c r="R1092" s="15"/>
      <c r="S1092" s="14"/>
      <c r="T1092" s="15"/>
      <c r="U1092" s="14"/>
      <c r="V1092" s="15"/>
      <c r="W1092" s="14"/>
      <c r="X1092" s="15"/>
      <c r="Y1092" s="14"/>
      <c r="Z1092" s="15"/>
    </row>
    <row r="1093" spans="1:26" x14ac:dyDescent="0.25">
      <c r="Q1093" s="14"/>
      <c r="R1093" s="15"/>
      <c r="S1093" s="14"/>
      <c r="T1093" s="15"/>
      <c r="U1093" s="14"/>
      <c r="V1093" s="15"/>
      <c r="W1093" s="14"/>
      <c r="X1093" s="15"/>
      <c r="Y1093" s="14"/>
      <c r="Z1093" s="15"/>
    </row>
    <row r="1094" spans="1:26" x14ac:dyDescent="0.25">
      <c r="Q1094" s="14"/>
      <c r="R1094" s="15"/>
      <c r="S1094" s="14"/>
      <c r="T1094" s="15"/>
      <c r="U1094" s="14"/>
      <c r="V1094" s="15"/>
      <c r="W1094" s="14"/>
      <c r="X1094" s="15"/>
      <c r="Y1094" s="14"/>
      <c r="Z1094" s="15"/>
    </row>
    <row r="1095" spans="1:26" x14ac:dyDescent="0.25">
      <c r="Q1095" s="14"/>
      <c r="R1095" s="15"/>
      <c r="S1095" s="14"/>
      <c r="T1095" s="15"/>
      <c r="U1095" s="14"/>
      <c r="V1095" s="15"/>
      <c r="W1095" s="14"/>
      <c r="X1095" s="15"/>
      <c r="Y1095" s="14"/>
      <c r="Z1095" s="15"/>
    </row>
    <row r="1096" spans="1:26" x14ac:dyDescent="0.25">
      <c r="Q1096" s="14"/>
      <c r="R1096" s="15"/>
      <c r="S1096" s="14"/>
      <c r="T1096" s="15"/>
      <c r="U1096" s="14"/>
      <c r="V1096" s="15"/>
      <c r="W1096" s="14"/>
      <c r="X1096" s="15"/>
      <c r="Y1096" s="14"/>
      <c r="Z1096" s="15"/>
    </row>
    <row r="1097" spans="1:26" x14ac:dyDescent="0.25">
      <c r="Q1097" s="14"/>
      <c r="R1097" s="15"/>
      <c r="S1097" s="14"/>
      <c r="T1097" s="15"/>
      <c r="U1097" s="14"/>
      <c r="V1097" s="15"/>
      <c r="W1097" s="14"/>
      <c r="X1097" s="15"/>
      <c r="Y1097" s="14"/>
      <c r="Z1097" s="15"/>
    </row>
    <row r="1098" spans="1:26" x14ac:dyDescent="0.25">
      <c r="Q1098" s="14"/>
      <c r="R1098" s="15"/>
      <c r="S1098" s="14"/>
      <c r="T1098" s="15"/>
      <c r="U1098" s="14"/>
      <c r="V1098" s="15"/>
      <c r="W1098" s="14"/>
      <c r="X1098" s="15"/>
      <c r="Y1098" s="14"/>
      <c r="Z1098" s="15"/>
    </row>
    <row r="1099" spans="1:26" x14ac:dyDescent="0.25">
      <c r="Q1099" s="14"/>
      <c r="R1099" s="15"/>
      <c r="S1099" s="14"/>
      <c r="T1099" s="15"/>
      <c r="U1099" s="14"/>
      <c r="V1099" s="15"/>
      <c r="W1099" s="14"/>
      <c r="X1099" s="15"/>
      <c r="Y1099" s="14"/>
      <c r="Z1099" s="15"/>
    </row>
    <row r="1100" spans="1:26" x14ac:dyDescent="0.25">
      <c r="Q1100" s="14"/>
      <c r="R1100" s="15"/>
      <c r="S1100" s="14"/>
      <c r="T1100" s="15"/>
      <c r="U1100" s="14"/>
      <c r="V1100" s="15"/>
      <c r="W1100" s="14"/>
      <c r="X1100" s="15"/>
      <c r="Y1100" s="14"/>
      <c r="Z1100" s="15"/>
    </row>
    <row r="1101" spans="1:26" x14ac:dyDescent="0.25">
      <c r="Q1101" s="14"/>
      <c r="R1101" s="15"/>
      <c r="S1101" s="14"/>
      <c r="T1101" s="15"/>
      <c r="U1101" s="14"/>
      <c r="V1101" s="15"/>
      <c r="W1101" s="14"/>
      <c r="X1101" s="15"/>
      <c r="Y1101" s="14"/>
      <c r="Z1101" s="15"/>
    </row>
    <row r="1102" spans="1:26" x14ac:dyDescent="0.25">
      <c r="Q1102" s="14"/>
      <c r="R1102" s="15"/>
      <c r="S1102" s="14"/>
      <c r="T1102" s="15"/>
      <c r="U1102" s="14"/>
      <c r="V1102" s="15"/>
      <c r="W1102" s="14"/>
      <c r="X1102" s="15"/>
      <c r="Y1102" s="14"/>
      <c r="Z1102" s="15"/>
    </row>
    <row r="1103" spans="1:26" x14ac:dyDescent="0.25">
      <c r="Q1103" s="14"/>
      <c r="R1103" s="15"/>
      <c r="S1103" s="14"/>
      <c r="T1103" s="15"/>
      <c r="U1103" s="14"/>
      <c r="V1103" s="15"/>
      <c r="W1103" s="14"/>
      <c r="X1103" s="15"/>
      <c r="Y1103" s="14"/>
      <c r="Z1103" s="15"/>
    </row>
    <row r="1104" spans="1:26" x14ac:dyDescent="0.25">
      <c r="Q1104" s="14"/>
      <c r="R1104" s="15"/>
      <c r="S1104" s="14"/>
      <c r="T1104" s="15"/>
      <c r="U1104" s="14"/>
      <c r="V1104" s="15"/>
      <c r="W1104" s="14"/>
      <c r="X1104" s="15"/>
      <c r="Y1104" s="14"/>
      <c r="Z1104" s="15"/>
    </row>
    <row r="1105" spans="1:26" x14ac:dyDescent="0.25">
      <c r="Q1105" s="14"/>
      <c r="R1105" s="15"/>
      <c r="S1105" s="14"/>
      <c r="T1105" s="15"/>
      <c r="U1105" s="14"/>
      <c r="V1105" s="15"/>
      <c r="W1105" s="14"/>
      <c r="X1105" s="15"/>
      <c r="Y1105" s="14"/>
      <c r="Z1105" s="15"/>
    </row>
    <row r="1106" spans="1:26" x14ac:dyDescent="0.25">
      <c r="Q1106" s="14"/>
      <c r="R1106" s="15"/>
      <c r="S1106" s="14"/>
      <c r="T1106" s="15"/>
      <c r="U1106" s="14"/>
      <c r="V1106" s="15"/>
      <c r="W1106" s="14"/>
      <c r="X1106" s="15"/>
      <c r="Y1106" s="14"/>
      <c r="Z1106" s="15"/>
    </row>
    <row r="1107" spans="1:26" x14ac:dyDescent="0.25">
      <c r="Q1107" s="14"/>
      <c r="R1107" s="15"/>
      <c r="S1107" s="14"/>
      <c r="T1107" s="15"/>
      <c r="U1107" s="14"/>
      <c r="V1107" s="15"/>
      <c r="W1107" s="14"/>
      <c r="X1107" s="15"/>
      <c r="Y1107" s="14"/>
      <c r="Z1107" s="15"/>
    </row>
    <row r="1108" spans="1:26" x14ac:dyDescent="0.25">
      <c r="Q1108" s="14"/>
      <c r="R1108" s="15"/>
      <c r="S1108" s="14"/>
      <c r="T1108" s="15"/>
      <c r="U1108" s="14"/>
      <c r="V1108" s="15"/>
      <c r="W1108" s="14"/>
      <c r="X1108" s="15"/>
      <c r="Y1108" s="14"/>
      <c r="Z1108" s="15"/>
    </row>
    <row r="1109" spans="1:26" x14ac:dyDescent="0.25">
      <c r="Q1109" s="14"/>
      <c r="R1109" s="15"/>
      <c r="S1109" s="14"/>
      <c r="T1109" s="15"/>
      <c r="U1109" s="14"/>
      <c r="V1109" s="15"/>
      <c r="W1109" s="14"/>
      <c r="X1109" s="15"/>
      <c r="Y1109" s="14"/>
      <c r="Z1109" s="15"/>
    </row>
    <row r="1110" spans="1:26" x14ac:dyDescent="0.25">
      <c r="Q1110" s="14"/>
      <c r="R1110" s="15"/>
      <c r="S1110" s="14"/>
      <c r="T1110" s="15"/>
      <c r="U1110" s="14"/>
      <c r="V1110" s="15"/>
      <c r="W1110" s="14"/>
      <c r="X1110" s="15"/>
      <c r="Y1110" s="14"/>
      <c r="Z1110" s="15"/>
    </row>
    <row r="1111" spans="1:26" x14ac:dyDescent="0.25">
      <c r="Q1111" s="14"/>
      <c r="R1111" s="15"/>
      <c r="S1111" s="14"/>
      <c r="T1111" s="15"/>
      <c r="U1111" s="14"/>
      <c r="V1111" s="15"/>
      <c r="W1111" s="14"/>
      <c r="X1111" s="15"/>
      <c r="Y1111" s="14"/>
      <c r="Z1111" s="15"/>
    </row>
    <row r="1112" spans="1:26" x14ac:dyDescent="0.25">
      <c r="Q1112" s="14"/>
      <c r="R1112" s="15"/>
      <c r="S1112" s="14"/>
      <c r="T1112" s="15"/>
      <c r="U1112" s="14"/>
      <c r="V1112" s="15"/>
      <c r="W1112" s="14"/>
      <c r="X1112" s="15"/>
      <c r="Y1112" s="14"/>
      <c r="Z1112" s="15"/>
    </row>
    <row r="1113" spans="1:26" x14ac:dyDescent="0.25">
      <c r="Q1113" s="14"/>
      <c r="R1113" s="15"/>
      <c r="S1113" s="14"/>
      <c r="T1113" s="15"/>
      <c r="U1113" s="14"/>
      <c r="V1113" s="15"/>
      <c r="W1113" s="14"/>
      <c r="X1113" s="15"/>
      <c r="Y1113" s="14"/>
      <c r="Z1113" s="15"/>
    </row>
    <row r="1114" spans="1:26" x14ac:dyDescent="0.25">
      <c r="Q1114" s="14"/>
      <c r="R1114" s="15"/>
      <c r="S1114" s="14"/>
      <c r="T1114" s="15"/>
      <c r="U1114" s="14"/>
      <c r="V1114" s="15"/>
      <c r="W1114" s="14"/>
      <c r="X1114" s="15"/>
      <c r="Y1114" s="14"/>
      <c r="Z1114" s="15"/>
    </row>
    <row r="1115" spans="1:26" x14ac:dyDescent="0.25">
      <c r="Q1115" s="14"/>
      <c r="R1115" s="15"/>
      <c r="S1115" s="14"/>
      <c r="T1115" s="15"/>
      <c r="U1115" s="14"/>
      <c r="V1115" s="15"/>
      <c r="W1115" s="14"/>
      <c r="X1115" s="15"/>
      <c r="Y1115" s="14"/>
      <c r="Z1115" s="15"/>
    </row>
    <row r="1116" spans="1:26" x14ac:dyDescent="0.25">
      <c r="Q1116" s="14"/>
      <c r="R1116" s="15"/>
      <c r="S1116" s="14"/>
      <c r="T1116" s="15"/>
      <c r="U1116" s="14"/>
      <c r="V1116" s="15"/>
      <c r="W1116" s="14"/>
      <c r="X1116" s="15"/>
      <c r="Y1116" s="14"/>
      <c r="Z1116" s="15"/>
    </row>
    <row r="1117" spans="1:26" x14ac:dyDescent="0.25">
      <c r="Q1117" s="14"/>
      <c r="R1117" s="15"/>
      <c r="S1117" s="14"/>
      <c r="T1117" s="15"/>
      <c r="U1117" s="14"/>
      <c r="V1117" s="15"/>
      <c r="W1117" s="14"/>
      <c r="X1117" s="15"/>
      <c r="Y1117" s="14"/>
      <c r="Z1117" s="15"/>
    </row>
    <row r="1118" spans="1:26" x14ac:dyDescent="0.25">
      <c r="Q1118" s="14"/>
      <c r="R1118" s="15"/>
      <c r="S1118" s="14"/>
      <c r="T1118" s="15"/>
      <c r="U1118" s="14"/>
      <c r="V1118" s="15"/>
      <c r="W1118" s="14"/>
      <c r="X1118" s="15"/>
      <c r="Y1118" s="14"/>
      <c r="Z1118" s="15"/>
    </row>
    <row r="1119" spans="1:26" x14ac:dyDescent="0.25">
      <c r="Q1119" s="14"/>
      <c r="R1119" s="15"/>
      <c r="S1119" s="14"/>
      <c r="T1119" s="15"/>
      <c r="U1119" s="14"/>
      <c r="V1119" s="15"/>
      <c r="W1119" s="14"/>
      <c r="X1119" s="15"/>
      <c r="Y1119" s="14"/>
      <c r="Z1119" s="15"/>
    </row>
    <row r="1120" spans="1:26" x14ac:dyDescent="0.25">
      <c r="Q1120" s="14"/>
      <c r="R1120" s="15"/>
      <c r="S1120" s="14"/>
      <c r="T1120" s="15"/>
      <c r="U1120" s="14"/>
      <c r="V1120" s="15"/>
      <c r="W1120" s="14"/>
      <c r="X1120" s="15"/>
      <c r="Y1120" s="14"/>
      <c r="Z1120" s="15"/>
    </row>
    <row r="1121" spans="1:26" x14ac:dyDescent="0.25">
      <c r="Q1121" s="14"/>
      <c r="R1121" s="15"/>
      <c r="S1121" s="14"/>
      <c r="T1121" s="15"/>
      <c r="U1121" s="14"/>
      <c r="V1121" s="15"/>
      <c r="W1121" s="14"/>
      <c r="X1121" s="15"/>
      <c r="Y1121" s="14"/>
      <c r="Z1121" s="15"/>
    </row>
    <row r="1122" spans="1:26" x14ac:dyDescent="0.25">
      <c r="Q1122" s="14"/>
      <c r="R1122" s="15"/>
      <c r="S1122" s="14"/>
      <c r="T1122" s="15"/>
      <c r="U1122" s="14"/>
      <c r="V1122" s="15"/>
      <c r="W1122" s="14"/>
      <c r="X1122" s="15"/>
      <c r="Y1122" s="14"/>
      <c r="Z1122" s="15"/>
    </row>
    <row r="1123" spans="1:26" x14ac:dyDescent="0.25">
      <c r="Q1123" s="14"/>
      <c r="R1123" s="15"/>
      <c r="S1123" s="14"/>
      <c r="T1123" s="15"/>
      <c r="U1123" s="14"/>
      <c r="V1123" s="15"/>
      <c r="W1123" s="14"/>
      <c r="X1123" s="15"/>
      <c r="Y1123" s="14"/>
      <c r="Z1123" s="15"/>
    </row>
    <row r="1124" spans="1:26" x14ac:dyDescent="0.25">
      <c r="Q1124" s="14"/>
      <c r="R1124" s="15"/>
      <c r="S1124" s="14"/>
      <c r="T1124" s="15"/>
      <c r="U1124" s="14"/>
      <c r="V1124" s="15"/>
      <c r="W1124" s="14"/>
      <c r="X1124" s="15"/>
      <c r="Y1124" s="14"/>
      <c r="Z1124" s="15"/>
    </row>
    <row r="1125" spans="1:26" x14ac:dyDescent="0.25">
      <c r="Q1125" s="14"/>
      <c r="R1125" s="15"/>
      <c r="S1125" s="14"/>
      <c r="T1125" s="15"/>
      <c r="U1125" s="14"/>
      <c r="V1125" s="15"/>
      <c r="W1125" s="14"/>
      <c r="X1125" s="15"/>
      <c r="Y1125" s="14"/>
      <c r="Z1125" s="15"/>
    </row>
    <row r="1126" spans="1:26" x14ac:dyDescent="0.25">
      <c r="Q1126" s="14"/>
      <c r="R1126" s="15"/>
      <c r="S1126" s="14"/>
      <c r="T1126" s="15"/>
      <c r="U1126" s="14"/>
      <c r="V1126" s="15"/>
      <c r="W1126" s="14"/>
      <c r="X1126" s="15"/>
      <c r="Y1126" s="14"/>
      <c r="Z1126" s="15"/>
    </row>
    <row r="1127" spans="1:26" x14ac:dyDescent="0.25">
      <c r="Q1127" s="14"/>
      <c r="R1127" s="15"/>
      <c r="S1127" s="14"/>
      <c r="T1127" s="15"/>
      <c r="U1127" s="14"/>
      <c r="V1127" s="15"/>
      <c r="W1127" s="14"/>
      <c r="X1127" s="15"/>
      <c r="Y1127" s="14"/>
      <c r="Z1127" s="15"/>
    </row>
    <row r="1128" spans="1:26" x14ac:dyDescent="0.25">
      <c r="Q1128" s="14"/>
      <c r="R1128" s="15"/>
      <c r="S1128" s="14"/>
      <c r="T1128" s="15"/>
      <c r="U1128" s="14"/>
      <c r="V1128" s="15"/>
      <c r="W1128" s="14"/>
      <c r="X1128" s="15"/>
      <c r="Y1128" s="14"/>
      <c r="Z1128" s="15"/>
    </row>
    <row r="1129" spans="1:26" x14ac:dyDescent="0.25">
      <c r="Q1129" s="14"/>
      <c r="R1129" s="15"/>
      <c r="S1129" s="14"/>
      <c r="T1129" s="15"/>
      <c r="U1129" s="14"/>
      <c r="V1129" s="15"/>
      <c r="W1129" s="14"/>
      <c r="X1129" s="15"/>
      <c r="Y1129" s="14"/>
      <c r="Z1129" s="15"/>
    </row>
    <row r="1130" spans="1:26" x14ac:dyDescent="0.25">
      <c r="Q1130" s="14"/>
      <c r="R1130" s="15"/>
      <c r="S1130" s="14"/>
      <c r="T1130" s="15"/>
      <c r="U1130" s="14"/>
      <c r="V1130" s="15"/>
      <c r="W1130" s="14"/>
      <c r="X1130" s="15"/>
      <c r="Y1130" s="14"/>
      <c r="Z1130" s="15"/>
    </row>
    <row r="1131" spans="1:26" x14ac:dyDescent="0.25">
      <c r="Q1131" s="14"/>
      <c r="R1131" s="15"/>
      <c r="S1131" s="14"/>
      <c r="T1131" s="15"/>
      <c r="U1131" s="14"/>
      <c r="V1131" s="15"/>
      <c r="W1131" s="14"/>
      <c r="X1131" s="15"/>
      <c r="Y1131" s="14"/>
      <c r="Z1131" s="15"/>
    </row>
    <row r="1132" spans="1:26" x14ac:dyDescent="0.25">
      <c r="Q1132" s="14"/>
      <c r="R1132" s="15"/>
      <c r="S1132" s="14"/>
      <c r="T1132" s="15"/>
      <c r="U1132" s="14"/>
      <c r="V1132" s="15"/>
      <c r="W1132" s="14"/>
      <c r="X1132" s="15"/>
      <c r="Y1132" s="14"/>
      <c r="Z1132" s="15"/>
    </row>
    <row r="1133" spans="1:26" x14ac:dyDescent="0.25">
      <c r="Q1133" s="14"/>
      <c r="R1133" s="15"/>
      <c r="S1133" s="14"/>
      <c r="T1133" s="15"/>
      <c r="U1133" s="14"/>
      <c r="V1133" s="15"/>
      <c r="W1133" s="14"/>
      <c r="X1133" s="15"/>
      <c r="Y1133" s="14"/>
      <c r="Z1133" s="15"/>
    </row>
    <row r="1134" spans="1:26" x14ac:dyDescent="0.25">
      <c r="Q1134" s="14"/>
      <c r="R1134" s="15"/>
      <c r="S1134" s="14"/>
      <c r="T1134" s="15"/>
      <c r="U1134" s="14"/>
      <c r="V1134" s="15"/>
      <c r="W1134" s="14"/>
      <c r="X1134" s="15"/>
      <c r="Y1134" s="14"/>
      <c r="Z1134" s="15"/>
    </row>
    <row r="1135" spans="1:26" x14ac:dyDescent="0.25">
      <c r="Q1135" s="14"/>
      <c r="R1135" s="15"/>
      <c r="S1135" s="14"/>
      <c r="T1135" s="15"/>
      <c r="U1135" s="14"/>
      <c r="V1135" s="15"/>
      <c r="W1135" s="14"/>
      <c r="X1135" s="15"/>
      <c r="Y1135" s="14"/>
      <c r="Z1135" s="15"/>
    </row>
    <row r="1136" spans="1:26" x14ac:dyDescent="0.25">
      <c r="Q1136" s="14"/>
      <c r="R1136" s="15"/>
      <c r="S1136" s="14"/>
      <c r="T1136" s="15"/>
      <c r="U1136" s="14"/>
      <c r="V1136" s="15"/>
      <c r="W1136" s="14"/>
      <c r="X1136" s="15"/>
      <c r="Y1136" s="14"/>
      <c r="Z1136" s="15"/>
    </row>
    <row r="1137" spans="1:26" x14ac:dyDescent="0.25">
      <c r="Q1137" s="14"/>
      <c r="R1137" s="15"/>
      <c r="S1137" s="14"/>
      <c r="T1137" s="15"/>
      <c r="U1137" s="14"/>
      <c r="V1137" s="15"/>
      <c r="W1137" s="14"/>
      <c r="X1137" s="15"/>
      <c r="Y1137" s="14"/>
      <c r="Z1137" s="15"/>
    </row>
    <row r="1138" spans="1:26" x14ac:dyDescent="0.25">
      <c r="Q1138" s="14"/>
      <c r="R1138" s="15"/>
      <c r="S1138" s="14"/>
      <c r="T1138" s="15"/>
      <c r="U1138" s="14"/>
      <c r="V1138" s="15"/>
      <c r="W1138" s="14"/>
      <c r="X1138" s="15"/>
      <c r="Y1138" s="14"/>
      <c r="Z1138" s="15"/>
    </row>
    <row r="1139" spans="1:26" x14ac:dyDescent="0.25">
      <c r="Q1139" s="14"/>
      <c r="R1139" s="15"/>
      <c r="S1139" s="14"/>
      <c r="T1139" s="15"/>
      <c r="U1139" s="14"/>
      <c r="V1139" s="15"/>
      <c r="W1139" s="14"/>
      <c r="X1139" s="15"/>
      <c r="Y1139" s="14"/>
      <c r="Z1139" s="15"/>
    </row>
    <row r="1140" spans="1:26" x14ac:dyDescent="0.25">
      <c r="Q1140" s="14"/>
      <c r="R1140" s="15"/>
      <c r="S1140" s="14"/>
      <c r="T1140" s="15"/>
      <c r="U1140" s="14"/>
      <c r="V1140" s="15"/>
      <c r="W1140" s="14"/>
      <c r="X1140" s="15"/>
      <c r="Y1140" s="14"/>
      <c r="Z1140" s="15"/>
    </row>
    <row r="1141" spans="1:26" x14ac:dyDescent="0.25">
      <c r="Q1141" s="14"/>
      <c r="R1141" s="15"/>
      <c r="S1141" s="14"/>
      <c r="T1141" s="15"/>
      <c r="U1141" s="14"/>
      <c r="V1141" s="15"/>
      <c r="W1141" s="14"/>
      <c r="X1141" s="15"/>
      <c r="Y1141" s="14"/>
      <c r="Z1141" s="15"/>
    </row>
    <row r="1142" spans="1:26" x14ac:dyDescent="0.25">
      <c r="Q1142" s="14"/>
      <c r="R1142" s="15"/>
      <c r="S1142" s="14"/>
      <c r="T1142" s="15"/>
      <c r="U1142" s="14"/>
      <c r="V1142" s="15"/>
      <c r="W1142" s="14"/>
      <c r="X1142" s="15"/>
      <c r="Y1142" s="14"/>
      <c r="Z1142" s="15"/>
    </row>
    <row r="1143" spans="1:26" x14ac:dyDescent="0.25">
      <c r="Q1143" s="14"/>
      <c r="R1143" s="15"/>
      <c r="S1143" s="14"/>
      <c r="T1143" s="15"/>
      <c r="U1143" s="14"/>
      <c r="V1143" s="15"/>
      <c r="W1143" s="14"/>
      <c r="X1143" s="15"/>
      <c r="Y1143" s="14"/>
      <c r="Z1143" s="15"/>
    </row>
    <row r="1144" spans="1:26" x14ac:dyDescent="0.25">
      <c r="Q1144" s="14"/>
      <c r="R1144" s="15"/>
      <c r="S1144" s="14"/>
      <c r="T1144" s="15"/>
      <c r="U1144" s="14"/>
      <c r="V1144" s="15"/>
      <c r="W1144" s="14"/>
      <c r="X1144" s="15"/>
      <c r="Y1144" s="14"/>
      <c r="Z1144" s="15"/>
    </row>
    <row r="1145" spans="1:26" x14ac:dyDescent="0.25">
      <c r="Q1145" s="14"/>
      <c r="R1145" s="15"/>
      <c r="S1145" s="14"/>
      <c r="T1145" s="15"/>
      <c r="U1145" s="14"/>
      <c r="V1145" s="15"/>
      <c r="W1145" s="14"/>
      <c r="X1145" s="15"/>
      <c r="Y1145" s="14"/>
      <c r="Z1145" s="15"/>
    </row>
    <row r="1146" spans="1:26" x14ac:dyDescent="0.25">
      <c r="Q1146" s="14"/>
      <c r="R1146" s="15"/>
      <c r="S1146" s="14"/>
      <c r="T1146" s="15"/>
      <c r="U1146" s="14"/>
      <c r="V1146" s="15"/>
      <c r="W1146" s="14"/>
      <c r="X1146" s="15"/>
      <c r="Y1146" s="14"/>
      <c r="Z1146" s="15"/>
    </row>
    <row r="1147" spans="1:26" x14ac:dyDescent="0.25">
      <c r="Q1147" s="14"/>
      <c r="R1147" s="15"/>
      <c r="S1147" s="14"/>
      <c r="T1147" s="15"/>
      <c r="U1147" s="14"/>
      <c r="V1147" s="15"/>
      <c r="W1147" s="14"/>
      <c r="X1147" s="15"/>
      <c r="Y1147" s="14"/>
      <c r="Z1147" s="15"/>
    </row>
    <row r="1148" spans="1:26" x14ac:dyDescent="0.25">
      <c r="Q1148" s="14"/>
      <c r="R1148" s="15"/>
      <c r="S1148" s="14"/>
      <c r="T1148" s="15"/>
      <c r="U1148" s="14"/>
      <c r="V1148" s="15"/>
      <c r="W1148" s="14"/>
      <c r="X1148" s="15"/>
      <c r="Y1148" s="14"/>
      <c r="Z1148" s="15"/>
    </row>
    <row r="1149" spans="1:26" x14ac:dyDescent="0.25">
      <c r="Q1149" s="14"/>
      <c r="R1149" s="15"/>
      <c r="S1149" s="14"/>
      <c r="T1149" s="15"/>
      <c r="U1149" s="14"/>
      <c r="V1149" s="15"/>
      <c r="W1149" s="14"/>
      <c r="X1149" s="15"/>
      <c r="Y1149" s="14"/>
      <c r="Z1149" s="15"/>
    </row>
    <row r="1150" spans="1:26" x14ac:dyDescent="0.25">
      <c r="Q1150" s="14"/>
      <c r="R1150" s="15"/>
      <c r="S1150" s="14"/>
      <c r="T1150" s="15"/>
      <c r="U1150" s="14"/>
      <c r="V1150" s="15"/>
      <c r="W1150" s="14"/>
      <c r="X1150" s="15"/>
      <c r="Y1150" s="14"/>
      <c r="Z1150" s="15"/>
    </row>
    <row r="1151" spans="1:26" x14ac:dyDescent="0.25">
      <c r="Q1151" s="14"/>
      <c r="R1151" s="15"/>
      <c r="S1151" s="14"/>
      <c r="T1151" s="15"/>
      <c r="U1151" s="14"/>
      <c r="V1151" s="15"/>
      <c r="W1151" s="14"/>
      <c r="X1151" s="15"/>
      <c r="Y1151" s="14"/>
      <c r="Z1151" s="15"/>
    </row>
    <row r="1152" spans="1:26" x14ac:dyDescent="0.25">
      <c r="Q1152" s="14"/>
      <c r="R1152" s="15"/>
      <c r="S1152" s="14"/>
      <c r="T1152" s="15"/>
      <c r="U1152" s="14"/>
      <c r="V1152" s="15"/>
      <c r="W1152" s="14"/>
      <c r="X1152" s="15"/>
      <c r="Y1152" s="14"/>
      <c r="Z1152" s="15"/>
    </row>
    <row r="1153" spans="1:26" x14ac:dyDescent="0.25">
      <c r="Q1153" s="14"/>
      <c r="R1153" s="15"/>
      <c r="S1153" s="14"/>
      <c r="T1153" s="15"/>
      <c r="U1153" s="14"/>
      <c r="V1153" s="15"/>
      <c r="W1153" s="14"/>
      <c r="X1153" s="15"/>
      <c r="Y1153" s="14"/>
      <c r="Z1153" s="15"/>
    </row>
    <row r="1154" spans="1:26" x14ac:dyDescent="0.25">
      <c r="Q1154" s="14"/>
      <c r="R1154" s="15"/>
      <c r="S1154" s="14"/>
      <c r="T1154" s="15"/>
      <c r="U1154" s="14"/>
      <c r="V1154" s="15"/>
      <c r="W1154" s="14"/>
      <c r="X1154" s="15"/>
      <c r="Y1154" s="14"/>
      <c r="Z1154" s="15"/>
    </row>
    <row r="1155" spans="1:26" x14ac:dyDescent="0.25">
      <c r="Q1155" s="14"/>
      <c r="R1155" s="15"/>
      <c r="S1155" s="14"/>
      <c r="T1155" s="15"/>
      <c r="U1155" s="14"/>
      <c r="V1155" s="15"/>
      <c r="W1155" s="14"/>
      <c r="X1155" s="15"/>
      <c r="Y1155" s="14"/>
      <c r="Z1155" s="15"/>
    </row>
    <row r="1156" spans="1:26" x14ac:dyDescent="0.25">
      <c r="Q1156" s="14"/>
      <c r="R1156" s="15"/>
      <c r="S1156" s="14"/>
      <c r="T1156" s="15"/>
      <c r="U1156" s="14"/>
      <c r="V1156" s="15"/>
      <c r="W1156" s="14"/>
      <c r="X1156" s="15"/>
      <c r="Y1156" s="14"/>
      <c r="Z1156" s="15"/>
    </row>
    <row r="1157" spans="1:26" x14ac:dyDescent="0.25">
      <c r="Q1157" s="14"/>
      <c r="R1157" s="15"/>
      <c r="S1157" s="14"/>
      <c r="T1157" s="15"/>
      <c r="U1157" s="14"/>
      <c r="V1157" s="15"/>
      <c r="W1157" s="14"/>
      <c r="X1157" s="15"/>
      <c r="Y1157" s="14"/>
      <c r="Z1157" s="15"/>
    </row>
    <row r="1158" spans="1:26" x14ac:dyDescent="0.25">
      <c r="Q1158" s="14"/>
      <c r="R1158" s="15"/>
      <c r="S1158" s="14"/>
      <c r="T1158" s="15"/>
      <c r="U1158" s="14"/>
      <c r="V1158" s="15"/>
      <c r="W1158" s="14"/>
      <c r="X1158" s="15"/>
      <c r="Y1158" s="14"/>
      <c r="Z1158" s="15"/>
    </row>
    <row r="1159" spans="1:26" x14ac:dyDescent="0.25">
      <c r="Q1159" s="14"/>
      <c r="R1159" s="15"/>
      <c r="S1159" s="14"/>
      <c r="T1159" s="15"/>
      <c r="U1159" s="14"/>
      <c r="V1159" s="15"/>
      <c r="W1159" s="14"/>
      <c r="X1159" s="15"/>
      <c r="Y1159" s="14"/>
      <c r="Z1159" s="15"/>
    </row>
    <row r="1160" spans="1:26" x14ac:dyDescent="0.25">
      <c r="Q1160" s="14"/>
      <c r="R1160" s="15"/>
      <c r="S1160" s="14"/>
      <c r="T1160" s="15"/>
      <c r="U1160" s="14"/>
      <c r="V1160" s="15"/>
      <c r="W1160" s="14"/>
      <c r="X1160" s="15"/>
      <c r="Y1160" s="14"/>
      <c r="Z1160" s="15"/>
    </row>
    <row r="1161" spans="1:26" x14ac:dyDescent="0.25">
      <c r="Q1161" s="14"/>
      <c r="R1161" s="15"/>
      <c r="S1161" s="14"/>
      <c r="T1161" s="15"/>
      <c r="U1161" s="14"/>
      <c r="V1161" s="15"/>
      <c r="W1161" s="14"/>
      <c r="X1161" s="15"/>
      <c r="Y1161" s="14"/>
      <c r="Z1161" s="15"/>
    </row>
    <row r="1162" spans="1:26" x14ac:dyDescent="0.25">
      <c r="Q1162" s="14"/>
      <c r="R1162" s="15"/>
      <c r="S1162" s="14"/>
      <c r="T1162" s="15"/>
      <c r="U1162" s="14"/>
      <c r="V1162" s="15"/>
      <c r="W1162" s="14"/>
      <c r="X1162" s="15"/>
      <c r="Y1162" s="14"/>
      <c r="Z1162" s="15"/>
    </row>
    <row r="1163" spans="1:26" x14ac:dyDescent="0.25">
      <c r="Q1163" s="14"/>
      <c r="R1163" s="15"/>
      <c r="S1163" s="14"/>
      <c r="T1163" s="15"/>
      <c r="U1163" s="14"/>
      <c r="V1163" s="15"/>
      <c r="W1163" s="14"/>
      <c r="X1163" s="15"/>
      <c r="Y1163" s="14"/>
      <c r="Z1163" s="15"/>
    </row>
    <row r="1164" spans="1:26" x14ac:dyDescent="0.25">
      <c r="Q1164" s="14"/>
      <c r="R1164" s="15"/>
      <c r="S1164" s="14"/>
      <c r="T1164" s="15"/>
      <c r="U1164" s="14"/>
      <c r="V1164" s="15"/>
      <c r="W1164" s="14"/>
      <c r="X1164" s="15"/>
      <c r="Y1164" s="14"/>
      <c r="Z1164" s="15"/>
    </row>
    <row r="1165" spans="1:26" x14ac:dyDescent="0.25">
      <c r="Q1165" s="14"/>
      <c r="R1165" s="15"/>
      <c r="S1165" s="14"/>
      <c r="T1165" s="15"/>
      <c r="U1165" s="14"/>
      <c r="V1165" s="15"/>
      <c r="W1165" s="14"/>
      <c r="X1165" s="15"/>
      <c r="Y1165" s="14"/>
      <c r="Z1165" s="15"/>
    </row>
    <row r="1166" spans="1:26" x14ac:dyDescent="0.25">
      <c r="Q1166" s="14"/>
      <c r="R1166" s="15"/>
      <c r="S1166" s="14"/>
      <c r="T1166" s="15"/>
      <c r="U1166" s="14"/>
      <c r="V1166" s="15"/>
      <c r="W1166" s="14"/>
      <c r="X1166" s="15"/>
      <c r="Y1166" s="14"/>
      <c r="Z1166" s="15"/>
    </row>
    <row r="1167" spans="1:26" x14ac:dyDescent="0.25">
      <c r="Q1167" s="14"/>
      <c r="R1167" s="15"/>
      <c r="S1167" s="14"/>
      <c r="T1167" s="15"/>
      <c r="U1167" s="14"/>
      <c r="V1167" s="15"/>
      <c r="W1167" s="14"/>
      <c r="X1167" s="15"/>
      <c r="Y1167" s="14"/>
      <c r="Z1167" s="15"/>
    </row>
    <row r="1168" spans="1:26" x14ac:dyDescent="0.25">
      <c r="Q1168" s="14"/>
      <c r="R1168" s="15"/>
      <c r="S1168" s="14"/>
      <c r="T1168" s="15"/>
      <c r="U1168" s="14"/>
      <c r="V1168" s="15"/>
      <c r="W1168" s="14"/>
      <c r="X1168" s="15"/>
      <c r="Y1168" s="14"/>
      <c r="Z1168" s="15"/>
    </row>
    <row r="1169" spans="1:26" x14ac:dyDescent="0.25">
      <c r="Q1169" s="14"/>
      <c r="R1169" s="15"/>
      <c r="S1169" s="14"/>
      <c r="T1169" s="15"/>
      <c r="U1169" s="14"/>
      <c r="V1169" s="15"/>
      <c r="W1169" s="14"/>
      <c r="X1169" s="15"/>
      <c r="Y1169" s="14"/>
      <c r="Z1169" s="15"/>
    </row>
    <row r="1170" spans="1:26" x14ac:dyDescent="0.25">
      <c r="Q1170" s="14"/>
      <c r="R1170" s="15"/>
      <c r="S1170" s="14"/>
      <c r="T1170" s="15"/>
      <c r="U1170" s="14"/>
      <c r="V1170" s="15"/>
      <c r="W1170" s="14"/>
      <c r="X1170" s="15"/>
      <c r="Y1170" s="14"/>
      <c r="Z1170" s="15"/>
    </row>
    <row r="1171" spans="1:26" x14ac:dyDescent="0.25">
      <c r="Q1171" s="14"/>
      <c r="R1171" s="15"/>
      <c r="S1171" s="14"/>
      <c r="T1171" s="15"/>
      <c r="U1171" s="14"/>
      <c r="V1171" s="15"/>
      <c r="W1171" s="14"/>
      <c r="X1171" s="15"/>
      <c r="Y1171" s="14"/>
      <c r="Z1171" s="15"/>
    </row>
    <row r="1172" spans="1:26" x14ac:dyDescent="0.25">
      <c r="Q1172" s="14"/>
      <c r="R1172" s="15"/>
      <c r="S1172" s="14"/>
      <c r="T1172" s="15"/>
      <c r="U1172" s="14"/>
      <c r="V1172" s="15"/>
      <c r="W1172" s="14"/>
      <c r="X1172" s="15"/>
      <c r="Y1172" s="14"/>
      <c r="Z1172" s="15"/>
    </row>
    <row r="1173" spans="1:26" x14ac:dyDescent="0.25">
      <c r="Q1173" s="14"/>
      <c r="R1173" s="15"/>
      <c r="S1173" s="14"/>
      <c r="T1173" s="15"/>
      <c r="U1173" s="14"/>
      <c r="V1173" s="15"/>
      <c r="W1173" s="14"/>
      <c r="X1173" s="15"/>
      <c r="Y1173" s="14"/>
      <c r="Z1173" s="15"/>
    </row>
    <row r="1174" spans="1:26" x14ac:dyDescent="0.25">
      <c r="Q1174" s="14"/>
      <c r="R1174" s="15"/>
      <c r="S1174" s="14"/>
      <c r="T1174" s="15"/>
      <c r="U1174" s="14"/>
      <c r="V1174" s="15"/>
      <c r="W1174" s="14"/>
      <c r="X1174" s="15"/>
      <c r="Y1174" s="14"/>
      <c r="Z1174" s="15"/>
    </row>
    <row r="1175" spans="1:26" x14ac:dyDescent="0.25">
      <c r="Q1175" s="14"/>
      <c r="R1175" s="15"/>
      <c r="S1175" s="14"/>
      <c r="T1175" s="15"/>
      <c r="U1175" s="14"/>
      <c r="V1175" s="15"/>
      <c r="W1175" s="14"/>
      <c r="X1175" s="15"/>
      <c r="Y1175" s="14"/>
      <c r="Z1175" s="15"/>
    </row>
    <row r="1176" spans="1:26" x14ac:dyDescent="0.25">
      <c r="Q1176" s="14"/>
      <c r="R1176" s="15"/>
      <c r="S1176" s="14"/>
      <c r="T1176" s="15"/>
      <c r="U1176" s="14"/>
      <c r="V1176" s="15"/>
      <c r="W1176" s="14"/>
      <c r="X1176" s="15"/>
      <c r="Y1176" s="14"/>
      <c r="Z1176" s="15"/>
    </row>
    <row r="1177" spans="1:26" x14ac:dyDescent="0.25">
      <c r="Q1177" s="14"/>
      <c r="R1177" s="15"/>
      <c r="S1177" s="14"/>
      <c r="T1177" s="15"/>
      <c r="U1177" s="14"/>
      <c r="V1177" s="15"/>
      <c r="W1177" s="14"/>
      <c r="X1177" s="15"/>
      <c r="Y1177" s="14"/>
      <c r="Z1177" s="15"/>
    </row>
    <row r="1178" spans="1:26" x14ac:dyDescent="0.25">
      <c r="Q1178" s="14"/>
      <c r="R1178" s="15"/>
      <c r="S1178" s="14"/>
      <c r="T1178" s="15"/>
      <c r="U1178" s="14"/>
      <c r="V1178" s="15"/>
      <c r="W1178" s="14"/>
      <c r="X1178" s="15"/>
      <c r="Y1178" s="14"/>
      <c r="Z1178" s="15"/>
    </row>
    <row r="1179" spans="1:26" x14ac:dyDescent="0.25">
      <c r="Q1179" s="14"/>
      <c r="R1179" s="15"/>
      <c r="S1179" s="14"/>
      <c r="T1179" s="15"/>
      <c r="U1179" s="14"/>
      <c r="V1179" s="15"/>
      <c r="W1179" s="14"/>
      <c r="X1179" s="15"/>
      <c r="Y1179" s="14"/>
      <c r="Z1179" s="15"/>
    </row>
    <row r="1180" spans="1:26" x14ac:dyDescent="0.25">
      <c r="Q1180" s="14"/>
      <c r="R1180" s="15"/>
      <c r="S1180" s="14"/>
      <c r="T1180" s="15"/>
      <c r="U1180" s="14"/>
      <c r="V1180" s="15"/>
      <c r="W1180" s="14"/>
      <c r="X1180" s="15"/>
      <c r="Y1180" s="14"/>
      <c r="Z1180" s="15"/>
    </row>
    <row r="1181" spans="1:26" x14ac:dyDescent="0.25">
      <c r="Q1181" s="14"/>
      <c r="R1181" s="15"/>
      <c r="S1181" s="14"/>
      <c r="T1181" s="15"/>
      <c r="U1181" s="14"/>
      <c r="V1181" s="15"/>
      <c r="W1181" s="14"/>
      <c r="X1181" s="15"/>
      <c r="Y1181" s="14"/>
      <c r="Z1181" s="15"/>
    </row>
    <row r="1182" spans="1:26" x14ac:dyDescent="0.25">
      <c r="Q1182" s="14"/>
      <c r="R1182" s="15"/>
      <c r="S1182" s="14"/>
      <c r="T1182" s="15"/>
      <c r="U1182" s="14"/>
      <c r="V1182" s="15"/>
      <c r="W1182" s="14"/>
      <c r="X1182" s="15"/>
      <c r="Y1182" s="14"/>
      <c r="Z1182" s="15"/>
    </row>
    <row r="1183" spans="1:26" x14ac:dyDescent="0.25">
      <c r="Q1183" s="14"/>
      <c r="R1183" s="15"/>
      <c r="S1183" s="14"/>
      <c r="T1183" s="15"/>
      <c r="U1183" s="14"/>
      <c r="V1183" s="15"/>
      <c r="W1183" s="14"/>
      <c r="X1183" s="15"/>
      <c r="Y1183" s="14"/>
      <c r="Z1183" s="15"/>
    </row>
    <row r="1184" spans="1:26" x14ac:dyDescent="0.25">
      <c r="Q1184" s="14"/>
      <c r="R1184" s="15"/>
      <c r="S1184" s="14"/>
      <c r="T1184" s="15"/>
      <c r="U1184" s="14"/>
      <c r="V1184" s="15"/>
      <c r="W1184" s="14"/>
      <c r="X1184" s="15"/>
      <c r="Y1184" s="14"/>
      <c r="Z1184" s="15"/>
    </row>
    <row r="1185" spans="1:26" x14ac:dyDescent="0.25">
      <c r="Q1185" s="14"/>
      <c r="R1185" s="15"/>
      <c r="S1185" s="14"/>
      <c r="T1185" s="15"/>
      <c r="U1185" s="14"/>
      <c r="V1185" s="15"/>
      <c r="W1185" s="14"/>
      <c r="X1185" s="15"/>
      <c r="Y1185" s="14"/>
      <c r="Z1185" s="15"/>
    </row>
    <row r="1186" spans="1:26" x14ac:dyDescent="0.25">
      <c r="Q1186" s="14"/>
      <c r="R1186" s="15"/>
      <c r="S1186" s="14"/>
      <c r="T1186" s="15"/>
      <c r="U1186" s="14"/>
      <c r="V1186" s="15"/>
      <c r="W1186" s="14"/>
      <c r="X1186" s="15"/>
      <c r="Y1186" s="14"/>
      <c r="Z1186" s="15"/>
    </row>
    <row r="1187" spans="1:26" x14ac:dyDescent="0.25">
      <c r="Q1187" s="14"/>
      <c r="R1187" s="15"/>
      <c r="S1187" s="14"/>
      <c r="T1187" s="15"/>
      <c r="U1187" s="14"/>
      <c r="V1187" s="15"/>
      <c r="W1187" s="14"/>
      <c r="X1187" s="15"/>
      <c r="Y1187" s="14"/>
      <c r="Z1187" s="15"/>
    </row>
    <row r="1188" spans="1:26" x14ac:dyDescent="0.25">
      <c r="Q1188" s="14"/>
      <c r="R1188" s="15"/>
      <c r="S1188" s="14"/>
      <c r="T1188" s="15"/>
      <c r="U1188" s="14"/>
      <c r="V1188" s="15"/>
      <c r="W1188" s="14"/>
      <c r="X1188" s="15"/>
      <c r="Y1188" s="14"/>
      <c r="Z1188" s="15"/>
    </row>
    <row r="1189" spans="1:26" x14ac:dyDescent="0.25">
      <c r="Q1189" s="14"/>
      <c r="R1189" s="15"/>
      <c r="S1189" s="14"/>
      <c r="T1189" s="15"/>
      <c r="U1189" s="14"/>
      <c r="V1189" s="15"/>
      <c r="W1189" s="14"/>
      <c r="X1189" s="15"/>
      <c r="Y1189" s="14"/>
      <c r="Z1189" s="15"/>
    </row>
    <row r="1190" spans="1:26" x14ac:dyDescent="0.25">
      <c r="Q1190" s="14"/>
      <c r="R1190" s="15"/>
      <c r="S1190" s="14"/>
      <c r="T1190" s="15"/>
      <c r="U1190" s="14"/>
      <c r="V1190" s="15"/>
      <c r="W1190" s="14"/>
      <c r="X1190" s="15"/>
      <c r="Y1190" s="14"/>
      <c r="Z1190" s="15"/>
    </row>
    <row r="1191" spans="1:26" x14ac:dyDescent="0.25">
      <c r="Q1191" s="14"/>
      <c r="R1191" s="15"/>
      <c r="S1191" s="14"/>
      <c r="T1191" s="15"/>
      <c r="U1191" s="14"/>
      <c r="V1191" s="15"/>
      <c r="W1191" s="14"/>
      <c r="X1191" s="15"/>
      <c r="Y1191" s="14"/>
      <c r="Z1191" s="15"/>
    </row>
    <row r="1192" spans="1:26" x14ac:dyDescent="0.25">
      <c r="Q1192" s="14"/>
      <c r="R1192" s="15"/>
      <c r="S1192" s="14"/>
      <c r="T1192" s="15"/>
      <c r="U1192" s="14"/>
      <c r="V1192" s="15"/>
      <c r="W1192" s="14"/>
      <c r="X1192" s="15"/>
      <c r="Y1192" s="14"/>
      <c r="Z1192" s="15"/>
    </row>
    <row r="1193" spans="1:26" x14ac:dyDescent="0.25">
      <c r="Q1193" s="14"/>
      <c r="R1193" s="15"/>
      <c r="S1193" s="14"/>
      <c r="T1193" s="15"/>
      <c r="U1193" s="14"/>
      <c r="V1193" s="15"/>
      <c r="W1193" s="14"/>
      <c r="X1193" s="15"/>
      <c r="Y1193" s="14"/>
      <c r="Z1193" s="15"/>
    </row>
    <row r="1194" spans="1:26" x14ac:dyDescent="0.25">
      <c r="Q1194" s="14"/>
      <c r="R1194" s="15"/>
      <c r="S1194" s="14"/>
      <c r="T1194" s="15"/>
      <c r="U1194" s="14"/>
      <c r="V1194" s="15"/>
      <c r="W1194" s="14"/>
      <c r="X1194" s="15"/>
      <c r="Y1194" s="14"/>
      <c r="Z1194" s="15"/>
    </row>
    <row r="1195" spans="1:26" x14ac:dyDescent="0.25">
      <c r="Q1195" s="14"/>
      <c r="R1195" s="15"/>
      <c r="S1195" s="14"/>
      <c r="T1195" s="15"/>
      <c r="U1195" s="14"/>
      <c r="V1195" s="15"/>
      <c r="W1195" s="14"/>
      <c r="X1195" s="15"/>
      <c r="Y1195" s="14"/>
      <c r="Z1195" s="15"/>
    </row>
    <row r="1196" spans="1:26" x14ac:dyDescent="0.25">
      <c r="Q1196" s="14"/>
      <c r="R1196" s="15"/>
      <c r="S1196" s="14"/>
      <c r="T1196" s="15"/>
      <c r="U1196" s="14"/>
      <c r="V1196" s="15"/>
      <c r="W1196" s="14"/>
      <c r="X1196" s="15"/>
      <c r="Y1196" s="14"/>
      <c r="Z1196" s="15"/>
    </row>
    <row r="1197" spans="1:26" x14ac:dyDescent="0.25">
      <c r="Q1197" s="14"/>
      <c r="R1197" s="15"/>
      <c r="S1197" s="14"/>
      <c r="T1197" s="15"/>
      <c r="U1197" s="14"/>
      <c r="V1197" s="15"/>
      <c r="W1197" s="14"/>
      <c r="X1197" s="15"/>
      <c r="Y1197" s="14"/>
      <c r="Z1197" s="15"/>
    </row>
    <row r="1198" spans="1:26" x14ac:dyDescent="0.25">
      <c r="Q1198" s="14"/>
      <c r="R1198" s="15"/>
      <c r="S1198" s="14"/>
      <c r="T1198" s="15"/>
      <c r="U1198" s="14"/>
      <c r="V1198" s="15"/>
      <c r="W1198" s="14"/>
      <c r="X1198" s="15"/>
      <c r="Y1198" s="14"/>
      <c r="Z1198" s="15"/>
    </row>
    <row r="1199" spans="1:26" x14ac:dyDescent="0.25">
      <c r="Q1199" s="14"/>
      <c r="R1199" s="15"/>
      <c r="S1199" s="14"/>
      <c r="T1199" s="15"/>
      <c r="U1199" s="14"/>
      <c r="V1199" s="15"/>
      <c r="W1199" s="14"/>
      <c r="X1199" s="15"/>
      <c r="Y1199" s="14"/>
      <c r="Z1199" s="15"/>
    </row>
    <row r="1200" spans="1:26" x14ac:dyDescent="0.25">
      <c r="Q1200" s="14"/>
      <c r="R1200" s="15"/>
      <c r="S1200" s="14"/>
      <c r="T1200" s="15"/>
      <c r="U1200" s="14"/>
      <c r="V1200" s="15"/>
      <c r="W1200" s="14"/>
      <c r="X1200" s="15"/>
      <c r="Y1200" s="14"/>
      <c r="Z1200" s="15"/>
    </row>
    <row r="1201" spans="1:26" x14ac:dyDescent="0.25">
      <c r="Q1201" s="14"/>
      <c r="R1201" s="15"/>
      <c r="S1201" s="14"/>
      <c r="T1201" s="15"/>
      <c r="U1201" s="14"/>
      <c r="V1201" s="15"/>
      <c r="W1201" s="14"/>
      <c r="X1201" s="15"/>
      <c r="Y1201" s="14"/>
      <c r="Z1201" s="15"/>
    </row>
    <row r="1202" spans="1:26" x14ac:dyDescent="0.25">
      <c r="Q1202" s="14"/>
      <c r="R1202" s="15"/>
      <c r="S1202" s="14"/>
      <c r="T1202" s="15"/>
      <c r="U1202" s="14"/>
      <c r="V1202" s="15"/>
      <c r="W1202" s="14"/>
      <c r="X1202" s="15"/>
      <c r="Y1202" s="14"/>
      <c r="Z1202" s="15"/>
    </row>
    <row r="1203" spans="1:26" x14ac:dyDescent="0.25">
      <c r="Q1203" s="14"/>
      <c r="R1203" s="15"/>
      <c r="S1203" s="14"/>
      <c r="T1203" s="15"/>
      <c r="U1203" s="14"/>
      <c r="V1203" s="15"/>
      <c r="W1203" s="14"/>
      <c r="X1203" s="15"/>
      <c r="Y1203" s="14"/>
      <c r="Z1203" s="15"/>
    </row>
    <row r="1204" spans="1:26" x14ac:dyDescent="0.25">
      <c r="Q1204" s="14"/>
      <c r="R1204" s="15"/>
      <c r="S1204" s="14"/>
      <c r="T1204" s="15"/>
      <c r="U1204" s="14"/>
      <c r="V1204" s="15"/>
      <c r="W1204" s="14"/>
      <c r="X1204" s="15"/>
      <c r="Y1204" s="14"/>
      <c r="Z1204" s="15"/>
    </row>
    <row r="1205" spans="1:26" x14ac:dyDescent="0.25">
      <c r="Q1205" s="14"/>
      <c r="R1205" s="15"/>
      <c r="S1205" s="14"/>
      <c r="T1205" s="15"/>
      <c r="U1205" s="14"/>
      <c r="V1205" s="15"/>
      <c r="W1205" s="14"/>
      <c r="X1205" s="15"/>
      <c r="Y1205" s="14"/>
      <c r="Z1205" s="15"/>
    </row>
    <row r="1206" spans="1:26" x14ac:dyDescent="0.25">
      <c r="Q1206" s="14"/>
      <c r="R1206" s="15"/>
      <c r="S1206" s="14"/>
      <c r="T1206" s="15"/>
      <c r="U1206" s="14"/>
      <c r="V1206" s="15"/>
      <c r="W1206" s="14"/>
      <c r="X1206" s="15"/>
      <c r="Y1206" s="14"/>
      <c r="Z1206" s="15"/>
    </row>
  </sheetData>
  <dataValidations count="35">
    <dataValidation type="list" allowBlank="1" sqref="L10:L1103">
      <formula1>"Must Have,Should Have,Could Have,Will not Have"</formula1>
    </dataValidation>
    <dataValidation type="list" allowBlank="1" sqref="L2:L1103">
      <formula1>"Must Have,Should Have,Could Have,Will not Have"</formula1>
    </dataValidation>
    <dataValidation type="list" allowBlank="1" sqref="Q10:Q20">
      <formula1>"0,1,2,3,5,8,13,21,34,55,89"</formula1>
    </dataValidation>
    <dataValidation type="list" allowBlank="1" sqref="Q1000:Q1103">
      <formula1>"0,1,2,3,5,8,13,21,34,55,89"</formula1>
    </dataValidation>
    <dataValidation type="list" allowBlank="1" sqref="Q104:Q1103">
      <formula1>"0,1,2,3,5,8,13,21,34,55,89"</formula1>
    </dataValidation>
    <dataValidation type="list" allowBlank="1" sqref="Q24:Q28">
      <formula1>"0,1,2,3,5,8,13,21,34,55,89"</formula1>
    </dataValidation>
    <dataValidation type="list" allowBlank="1" sqref="Q3:Q6">
      <formula1>"0,1,2,3,5,8,13,21,34,55,89"</formula1>
    </dataValidation>
    <dataValidation type="list" allowBlank="1" sqref="Q45">
      <formula1>"0,1,2,3,5,8,13,21,34,55,89"</formula1>
    </dataValidation>
    <dataValidation type="list" allowBlank="1" sqref="Q55">
      <formula1>"0,1,2,3,5,8,13,21,34,55,89"</formula1>
    </dataValidation>
    <dataValidation type="list" allowBlank="1" sqref="Q60:Q74">
      <formula1>"0,1,2,3,5,8,13,21,34,55,89"</formula1>
    </dataValidation>
    <dataValidation type="list" allowBlank="1" sqref="Q76:Q85">
      <formula1>"0,1,2,3,5,8,13,21,34,55,89"</formula1>
    </dataValidation>
    <dataValidation type="list" allowBlank="1" sqref="Q88:Q99">
      <formula1>"0,1,2,3,5,8,13,21,34,55,89"</formula1>
    </dataValidation>
    <dataValidation type="list" allowBlank="1" sqref="S10:S20">
      <formula1>"0,1,2,3,5,8,13,21,34,55,89"</formula1>
    </dataValidation>
    <dataValidation type="list" allowBlank="1" sqref="S1000:S1103">
      <formula1>"0,1,2,3,5,8,13,21,34,55,89"</formula1>
    </dataValidation>
    <dataValidation type="list" allowBlank="1" sqref="S104:S1103">
      <formula1>"0,1,2,3,5,8,13,21,34,55,89"</formula1>
    </dataValidation>
    <dataValidation type="list" allowBlank="1" sqref="S2:S6">
      <formula1>"0,1,2,3,5,8,13,21,34,55,89"</formula1>
    </dataValidation>
    <dataValidation type="list" allowBlank="1" sqref="S24:S28">
      <formula1>"0,1,2,3,5,8,13,21,34,55,89"</formula1>
    </dataValidation>
    <dataValidation type="list" allowBlank="1" sqref="S45">
      <formula1>"0,1,2,3,5,8,13,21,34,55,89"</formula1>
    </dataValidation>
    <dataValidation type="list" allowBlank="1" sqref="S55">
      <formula1>"0,1,2,3,5,8,13,21,34,55,89"</formula1>
    </dataValidation>
    <dataValidation type="list" allowBlank="1" sqref="S60:S74">
      <formula1>"0,1,2,3,5,8,13,21,34,55,89"</formula1>
    </dataValidation>
    <dataValidation type="list" allowBlank="1" sqref="S76:S85">
      <formula1>"0,1,2,3,5,8,13,21,34,55,89"</formula1>
    </dataValidation>
    <dataValidation type="list" allowBlank="1" sqref="S88:S99">
      <formula1>"0,1,2,3,5,8,13,21,34,55,89"</formula1>
    </dataValidation>
    <dataValidation type="list" allowBlank="1" sqref="U10:U1103">
      <formula1>"0,1,2,3,5,8,13,21,34,55,89"</formula1>
    </dataValidation>
    <dataValidation type="list" allowBlank="1" sqref="U2:U1103">
      <formula1>"0,1,2,3,5,8,13,21,34,55,89"</formula1>
    </dataValidation>
    <dataValidation type="list" allowBlank="1" sqref="W10:W1103">
      <formula1>"0,1,2,3,5,8,13,21,34,55,89"</formula1>
    </dataValidation>
    <dataValidation type="list" allowBlank="1" sqref="W2:W1103">
      <formula1>"0,1,2,3,5,8,13,21,34,55,89"</formula1>
    </dataValidation>
    <dataValidation type="list" allowBlank="1" sqref="Y10:Y23">
      <formula1>"0,1,2,3,5,8,13,21,34,55,89"</formula1>
    </dataValidation>
    <dataValidation type="list" allowBlank="1" sqref="Y1000:Y1103">
      <formula1>"0,1,2,3,5,8,13,21,34,55,89"</formula1>
    </dataValidation>
    <dataValidation type="list" allowBlank="1" sqref="Y104:Y1103">
      <formula1>"0,1,2,3,5,8,13,21,34,55,89"</formula1>
    </dataValidation>
    <dataValidation type="list" allowBlank="1" sqref="Y2:Y23">
      <formula1>"0,1,2,3,5,8,13,21,34,55,89"</formula1>
    </dataValidation>
    <dataValidation type="list" allowBlank="1" sqref="Y26:Y32">
      <formula1>"0,1,2,3,5,8,13,21,34,55,89"</formula1>
    </dataValidation>
    <dataValidation type="list" allowBlank="1" sqref="Y61">
      <formula1>"0,1,2,3,5,8,13,21,34,55,89"</formula1>
    </dataValidation>
    <dataValidation type="list" allowBlank="1" sqref="Y68:Y75">
      <formula1>"0,1,2,3,5,8,13,21,34,55,89"</formula1>
    </dataValidation>
    <dataValidation type="list" allowBlank="1" sqref="Y78">
      <formula1>"0,1,2,3,5,8,13,21,34,55,89"</formula1>
    </dataValidation>
    <dataValidation type="list" allowBlank="1" sqref="Y80:Y99">
      <formula1>"0,1,2,3,5,8,13,21,34,55,89"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06"/>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13" customFormat="1" x14ac:dyDescent="0.25">
      <c r="A2" s="13" t="s">
        <v>234</v>
      </c>
      <c r="B2" s="13" t="s">
        <v>235</v>
      </c>
      <c r="D2" s="13"/>
      <c r="E2" s="13"/>
      <c r="F2" s="13"/>
      <c r="G2" s="13"/>
      <c r="H2" s="13"/>
      <c r="I2" s="13"/>
      <c r="J2" s="13"/>
      <c r="K2" s="13" t="s">
        <v>84</v>
      </c>
      <c r="L2" s="13" t="s">
        <v>85</v>
      </c>
      <c r="M2" s="13"/>
      <c r="N2" s="13"/>
      <c r="O2" s="13"/>
      <c r="P2" s="13"/>
      <c r="Q2" s="13"/>
      <c r="R2" s="13">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3"/>
      <c r="T2" s="13">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3">
        <v>0</v>
      </c>
      <c r="V2" s="13">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3">
        <v>0</v>
      </c>
      <c r="X2" s="13">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3">
        <v>0</v>
      </c>
      <c r="Z2" s="13">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13">
        <f>SUM(V2,X2,Z2)</f>
      </c>
      <c r="AB2" s="13">
        <f>
      Ifs( 
        ISBETWEEN(AA2, 0, 'Points-Table'!C$20, TRUE, False), 'Points-Table'!A$20,
        ISBETWEEN(AA2, 'Points-Table'!C$20, 'Points-Table'!C$21, TRUE, False), 'Points-Table'!A$21,
        ISBETWEEN(AA2, 'Points-Table'!C$22, 10000, TRUE, TRUE), 'Points-Table'!A$22,
        true, 
        0)
      </f>
      </c>
      <c r="AC2" s="13" t="s">
        <v>56</v>
      </c>
      <c r="AD2" s="13" t="s">
        <v>56</v>
      </c>
      <c r="AE2" s="13" t="s">
        <v>56</v>
      </c>
    </row>
    <row r="3" spans="1:31" s="13" customFormat="1" x14ac:dyDescent="0.25">
      <c r="A3" s="13" t="s">
        <v>234</v>
      </c>
      <c r="B3" s="13" t="s">
        <v>236</v>
      </c>
      <c r="D3" s="13" t="s">
        <v>237</v>
      </c>
      <c r="E3" s="13"/>
      <c r="F3" s="13"/>
      <c r="G3" s="13"/>
      <c r="H3" s="13"/>
      <c r="I3" s="13"/>
      <c r="J3" s="13"/>
      <c r="K3" s="13" t="s">
        <v>84</v>
      </c>
      <c r="L3" s="13" t="s">
        <v>85</v>
      </c>
      <c r="M3" s="13"/>
      <c r="N3" s="13"/>
      <c r="O3" s="13"/>
      <c r="P3" s="13"/>
      <c r="Q3" s="13"/>
      <c r="R3" s="13">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3"/>
      <c r="T3" s="13">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3">
        <v>0</v>
      </c>
      <c r="V3" s="13">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3">
        <v>0</v>
      </c>
      <c r="X3" s="13">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3">
        <v>0</v>
      </c>
      <c r="Z3" s="13">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13">
        <f>SUM(V3,X3,Z3)</f>
      </c>
      <c r="AB3" s="13">
        <f>
      Ifs( 
        ISBETWEEN(AA3, 0, 'Points-Table'!C$20, TRUE, False), 'Points-Table'!A$20,
        ISBETWEEN(AA3, 'Points-Table'!C$20, 'Points-Table'!C$21, TRUE, False), 'Points-Table'!A$21,
        ISBETWEEN(AA3, 'Points-Table'!C$22, 10000, TRUE, TRUE), 'Points-Table'!A$22,
        true, 
        0)
      </f>
      </c>
      <c r="AC3" s="13" t="s">
        <v>56</v>
      </c>
      <c r="AD3" s="13" t="s">
        <v>56</v>
      </c>
      <c r="AE3" s="13" t="s">
        <v>56</v>
      </c>
    </row>
    <row r="4" spans="1:31" s="6" customFormat="1" x14ac:dyDescent="0.25">
      <c r="A4" s="6" t="s">
        <v>238</v>
      </c>
      <c r="D4" s="6"/>
      <c r="E4" s="6"/>
      <c r="F4" s="6"/>
      <c r="G4" s="6"/>
      <c r="H4" s="6"/>
      <c r="I4" s="6"/>
      <c r="J4" s="6"/>
      <c r="K4" s="6" t="s">
        <v>84</v>
      </c>
      <c r="L4" s="6" t="s">
        <v>85</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0</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8</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56</v>
      </c>
      <c r="AD4" s="6" t="s">
        <v>56</v>
      </c>
      <c r="AE4" s="6" t="s">
        <v>56</v>
      </c>
    </row>
    <row r="5" spans="1:26" x14ac:dyDescent="0.25">
      <c r="Q5" s="14"/>
      <c r="R5" s="15"/>
      <c r="S5" s="14"/>
      <c r="T5" s="15"/>
      <c r="U5" s="14"/>
      <c r="V5" s="15"/>
      <c r="W5" s="14"/>
      <c r="X5" s="15"/>
      <c r="Y5" s="14"/>
      <c r="Z5" s="15"/>
    </row>
    <row r="6" spans="1:26" x14ac:dyDescent="0.25">
      <c r="Q6" s="14"/>
      <c r="R6" s="15"/>
      <c r="S6" s="14"/>
      <c r="T6" s="15"/>
      <c r="U6" s="14"/>
      <c r="V6" s="15"/>
      <c r="W6" s="14"/>
      <c r="X6" s="15"/>
      <c r="Y6" s="14"/>
      <c r="Z6" s="15"/>
    </row>
    <row r="7" spans="1:26" x14ac:dyDescent="0.25">
      <c r="Q7" s="14"/>
      <c r="R7" s="15"/>
      <c r="S7" s="14"/>
      <c r="T7" s="15"/>
      <c r="U7" s="14"/>
      <c r="V7" s="15"/>
      <c r="W7" s="14"/>
      <c r="X7" s="15"/>
      <c r="Y7" s="14"/>
      <c r="Z7" s="15"/>
    </row>
    <row r="8" spans="1:26" x14ac:dyDescent="0.25">
      <c r="Q8" s="14"/>
      <c r="R8" s="15"/>
      <c r="S8" s="14"/>
      <c r="T8" s="15"/>
      <c r="U8" s="14"/>
      <c r="V8" s="15"/>
      <c r="W8" s="14"/>
      <c r="X8" s="15"/>
      <c r="Y8" s="14"/>
      <c r="Z8" s="15"/>
    </row>
    <row r="9" spans="1:26" x14ac:dyDescent="0.25">
      <c r="Q9" s="14"/>
      <c r="R9" s="15"/>
      <c r="S9" s="14"/>
      <c r="T9" s="15"/>
      <c r="U9" s="14"/>
      <c r="V9" s="15"/>
      <c r="W9" s="14"/>
      <c r="X9" s="15"/>
      <c r="Y9" s="14"/>
      <c r="Z9" s="15"/>
    </row>
    <row r="10" spans="1:26" x14ac:dyDescent="0.25">
      <c r="Q10" s="14"/>
      <c r="R10" s="15"/>
      <c r="S10" s="14"/>
      <c r="T10" s="15"/>
      <c r="U10" s="14"/>
      <c r="V10" s="15"/>
      <c r="W10" s="14"/>
      <c r="X10" s="15"/>
      <c r="Y10" s="14"/>
      <c r="Z10" s="15"/>
    </row>
    <row r="11" spans="1:26" x14ac:dyDescent="0.25">
      <c r="Q11" s="14"/>
      <c r="R11" s="15"/>
      <c r="S11" s="14"/>
      <c r="T11" s="15"/>
      <c r="U11" s="14"/>
      <c r="V11" s="15"/>
      <c r="W11" s="14"/>
      <c r="X11" s="15"/>
      <c r="Y11" s="14"/>
      <c r="Z11" s="15"/>
    </row>
    <row r="12" spans="1:26" x14ac:dyDescent="0.25">
      <c r="Q12" s="14"/>
      <c r="R12" s="15"/>
      <c r="S12" s="14"/>
      <c r="T12" s="15"/>
      <c r="U12" s="14"/>
      <c r="V12" s="15"/>
      <c r="W12" s="14"/>
      <c r="X12" s="15"/>
      <c r="Y12" s="14"/>
      <c r="Z12" s="15"/>
    </row>
    <row r="13" spans="1:26" x14ac:dyDescent="0.25">
      <c r="Q13" s="14"/>
      <c r="R13" s="15"/>
      <c r="S13" s="14"/>
      <c r="T13" s="15"/>
      <c r="U13" s="14"/>
      <c r="V13" s="15"/>
      <c r="W13" s="14"/>
      <c r="X13" s="15"/>
      <c r="Y13" s="14"/>
      <c r="Z13" s="15"/>
    </row>
    <row r="14" spans="1:26" x14ac:dyDescent="0.25">
      <c r="Q14" s="14"/>
      <c r="R14" s="15"/>
      <c r="S14" s="14"/>
      <c r="T14" s="15"/>
      <c r="U14" s="14"/>
      <c r="V14" s="15"/>
      <c r="W14" s="14"/>
      <c r="X14" s="15"/>
      <c r="Y14" s="14"/>
      <c r="Z14" s="15"/>
    </row>
    <row r="15" spans="1:26" x14ac:dyDescent="0.25">
      <c r="Q15" s="14"/>
      <c r="R15" s="15"/>
      <c r="S15" s="14"/>
      <c r="T15" s="15"/>
      <c r="U15" s="14"/>
      <c r="V15" s="15"/>
      <c r="W15" s="14"/>
      <c r="X15" s="15"/>
      <c r="Y15" s="14"/>
      <c r="Z15" s="15"/>
    </row>
    <row r="16" spans="1:26" x14ac:dyDescent="0.25">
      <c r="Q16" s="14"/>
      <c r="R16" s="15"/>
      <c r="S16" s="14"/>
      <c r="T16" s="15"/>
      <c r="U16" s="14"/>
      <c r="V16" s="15"/>
      <c r="W16" s="14"/>
      <c r="X16" s="15"/>
      <c r="Y16" s="14"/>
      <c r="Z16" s="15"/>
    </row>
    <row r="17" spans="1:26" x14ac:dyDescent="0.25">
      <c r="Q17" s="14"/>
      <c r="R17" s="15"/>
      <c r="S17" s="14"/>
      <c r="T17" s="15"/>
      <c r="U17" s="14"/>
      <c r="V17" s="15"/>
      <c r="W17" s="14"/>
      <c r="X17" s="15"/>
      <c r="Y17" s="14"/>
      <c r="Z17" s="15"/>
    </row>
    <row r="18" spans="1:26" x14ac:dyDescent="0.25">
      <c r="Q18" s="14"/>
      <c r="R18" s="15"/>
      <c r="S18" s="14"/>
      <c r="T18" s="15"/>
      <c r="U18" s="14"/>
      <c r="V18" s="15"/>
      <c r="W18" s="14"/>
      <c r="X18" s="15"/>
      <c r="Y18" s="14"/>
      <c r="Z18" s="15"/>
    </row>
    <row r="19" spans="1:26" x14ac:dyDescent="0.25">
      <c r="Q19" s="14"/>
      <c r="R19" s="15"/>
      <c r="S19" s="14"/>
      <c r="T19" s="15"/>
      <c r="U19" s="14"/>
      <c r="V19" s="15"/>
      <c r="W19" s="14"/>
      <c r="X19" s="15"/>
      <c r="Y19" s="14"/>
      <c r="Z19" s="15"/>
    </row>
    <row r="20" spans="1:26" x14ac:dyDescent="0.25">
      <c r="Q20" s="14"/>
      <c r="R20" s="15"/>
      <c r="S20" s="14"/>
      <c r="T20" s="15"/>
      <c r="U20" s="14"/>
      <c r="V20" s="15"/>
      <c r="W20" s="14"/>
      <c r="X20" s="15"/>
      <c r="Y20" s="14"/>
      <c r="Z20" s="15"/>
    </row>
    <row r="21" spans="1:26" x14ac:dyDescent="0.25">
      <c r="Q21" s="14"/>
      <c r="R21" s="15"/>
      <c r="S21" s="14"/>
      <c r="T21" s="15"/>
      <c r="U21" s="14"/>
      <c r="V21" s="15"/>
      <c r="W21" s="14"/>
      <c r="X21" s="15"/>
      <c r="Y21" s="14"/>
      <c r="Z21" s="15"/>
    </row>
    <row r="22" spans="1:26" x14ac:dyDescent="0.25">
      <c r="Q22" s="14"/>
      <c r="R22" s="15"/>
      <c r="S22" s="14"/>
      <c r="T22" s="15"/>
      <c r="U22" s="14"/>
      <c r="V22" s="15"/>
      <c r="W22" s="14"/>
      <c r="X22" s="15"/>
      <c r="Y22" s="14"/>
      <c r="Z22" s="15"/>
    </row>
    <row r="23" spans="1:26" x14ac:dyDescent="0.25">
      <c r="Q23" s="14"/>
      <c r="R23" s="15"/>
      <c r="S23" s="14"/>
      <c r="T23" s="15"/>
      <c r="U23" s="14"/>
      <c r="V23" s="15"/>
      <c r="W23" s="14"/>
      <c r="X23" s="15"/>
      <c r="Y23" s="14"/>
      <c r="Z23" s="15"/>
    </row>
    <row r="24" spans="1:26" x14ac:dyDescent="0.25">
      <c r="Q24" s="14"/>
      <c r="R24" s="15"/>
      <c r="S24" s="14"/>
      <c r="T24" s="15"/>
      <c r="U24" s="14"/>
      <c r="V24" s="15"/>
      <c r="W24" s="14"/>
      <c r="X24" s="15"/>
      <c r="Y24" s="14"/>
      <c r="Z24" s="15"/>
    </row>
    <row r="25" spans="1:26" x14ac:dyDescent="0.25">
      <c r="Q25" s="14"/>
      <c r="R25" s="15"/>
      <c r="S25" s="14"/>
      <c r="T25" s="15"/>
      <c r="U25" s="14"/>
      <c r="V25" s="15"/>
      <c r="W25" s="14"/>
      <c r="X25" s="15"/>
      <c r="Y25" s="14"/>
      <c r="Z25" s="15"/>
    </row>
    <row r="26" spans="1:26" x14ac:dyDescent="0.25">
      <c r="Q26" s="14"/>
      <c r="R26" s="15"/>
      <c r="S26" s="14"/>
      <c r="T26" s="15"/>
      <c r="U26" s="14"/>
      <c r="V26" s="15"/>
      <c r="W26" s="14"/>
      <c r="X26" s="15"/>
      <c r="Y26" s="14"/>
      <c r="Z26" s="15"/>
    </row>
    <row r="27" spans="1:26" x14ac:dyDescent="0.25">
      <c r="Q27" s="14"/>
      <c r="R27" s="15"/>
      <c r="S27" s="14"/>
      <c r="T27" s="15"/>
      <c r="U27" s="14"/>
      <c r="V27" s="15"/>
      <c r="W27" s="14"/>
      <c r="X27" s="15"/>
      <c r="Y27" s="14"/>
      <c r="Z27" s="15"/>
    </row>
    <row r="28" spans="1:26" x14ac:dyDescent="0.25">
      <c r="Q28" s="14"/>
      <c r="R28" s="15"/>
      <c r="S28" s="14"/>
      <c r="T28" s="15"/>
      <c r="U28" s="14"/>
      <c r="V28" s="15"/>
      <c r="W28" s="14"/>
      <c r="X28" s="15"/>
      <c r="Y28" s="14"/>
      <c r="Z28" s="15"/>
    </row>
    <row r="29" spans="1:26" x14ac:dyDescent="0.25">
      <c r="Q29" s="14"/>
      <c r="R29" s="15"/>
      <c r="S29" s="14"/>
      <c r="T29" s="15"/>
      <c r="U29" s="14"/>
      <c r="V29" s="15"/>
      <c r="W29" s="14"/>
      <c r="X29" s="15"/>
      <c r="Y29" s="14"/>
      <c r="Z29" s="15"/>
    </row>
    <row r="30" spans="1:26" x14ac:dyDescent="0.25">
      <c r="Q30" s="14"/>
      <c r="R30" s="15"/>
      <c r="S30" s="14"/>
      <c r="T30" s="15"/>
      <c r="U30" s="14"/>
      <c r="V30" s="15"/>
      <c r="W30" s="14"/>
      <c r="X30" s="15"/>
      <c r="Y30" s="14"/>
      <c r="Z30" s="15"/>
    </row>
    <row r="31" spans="1:26" x14ac:dyDescent="0.25">
      <c r="Q31" s="14"/>
      <c r="R31" s="15"/>
      <c r="S31" s="14"/>
      <c r="T31" s="15"/>
      <c r="U31" s="14"/>
      <c r="V31" s="15"/>
      <c r="W31" s="14"/>
      <c r="X31" s="15"/>
      <c r="Y31" s="14"/>
      <c r="Z31" s="15"/>
    </row>
    <row r="32" spans="1:26" x14ac:dyDescent="0.25">
      <c r="Q32" s="14"/>
      <c r="R32" s="15"/>
      <c r="S32" s="14"/>
      <c r="T32" s="15"/>
      <c r="U32" s="14"/>
      <c r="V32" s="15"/>
      <c r="W32" s="14"/>
      <c r="X32" s="15"/>
      <c r="Y32" s="14"/>
      <c r="Z32" s="15"/>
    </row>
    <row r="33" spans="1:26" x14ac:dyDescent="0.25">
      <c r="Q33" s="14"/>
      <c r="R33" s="15"/>
      <c r="S33" s="14"/>
      <c r="T33" s="15"/>
      <c r="U33" s="14"/>
      <c r="V33" s="15"/>
      <c r="W33" s="14"/>
      <c r="X33" s="15"/>
      <c r="Y33" s="14"/>
      <c r="Z33" s="15"/>
    </row>
    <row r="34" spans="1:26" x14ac:dyDescent="0.25">
      <c r="Q34" s="14"/>
      <c r="R34" s="15"/>
      <c r="S34" s="14"/>
      <c r="T34" s="15"/>
      <c r="U34" s="14"/>
      <c r="V34" s="15"/>
      <c r="W34" s="14"/>
      <c r="X34" s="15"/>
      <c r="Y34" s="14"/>
      <c r="Z34" s="15"/>
    </row>
    <row r="35" spans="1:26" x14ac:dyDescent="0.25">
      <c r="Q35" s="14"/>
      <c r="R35" s="15"/>
      <c r="S35" s="14"/>
      <c r="T35" s="15"/>
      <c r="U35" s="14"/>
      <c r="V35" s="15"/>
      <c r="W35" s="14"/>
      <c r="X35" s="15"/>
      <c r="Y35" s="14"/>
      <c r="Z35" s="15"/>
    </row>
    <row r="36" spans="1:26" x14ac:dyDescent="0.25">
      <c r="Q36" s="14"/>
      <c r="R36" s="15"/>
      <c r="S36" s="14"/>
      <c r="T36" s="15"/>
      <c r="U36" s="14"/>
      <c r="V36" s="15"/>
      <c r="W36" s="14"/>
      <c r="X36" s="15"/>
      <c r="Y36" s="14"/>
      <c r="Z36" s="15"/>
    </row>
    <row r="37" spans="1:26" x14ac:dyDescent="0.25">
      <c r="Q37" s="14"/>
      <c r="R37" s="15"/>
      <c r="S37" s="14"/>
      <c r="T37" s="15"/>
      <c r="U37" s="14"/>
      <c r="V37" s="15"/>
      <c r="W37" s="14"/>
      <c r="X37" s="15"/>
      <c r="Y37" s="14"/>
      <c r="Z37" s="15"/>
    </row>
    <row r="38" spans="1:26" x14ac:dyDescent="0.25">
      <c r="Q38" s="14"/>
      <c r="R38" s="15"/>
      <c r="S38" s="14"/>
      <c r="T38" s="15"/>
      <c r="U38" s="14"/>
      <c r="V38" s="15"/>
      <c r="W38" s="14"/>
      <c r="X38" s="15"/>
      <c r="Y38" s="14"/>
      <c r="Z38" s="15"/>
    </row>
    <row r="39" spans="1:26" x14ac:dyDescent="0.25">
      <c r="Q39" s="14"/>
      <c r="R39" s="15"/>
      <c r="S39" s="14"/>
      <c r="T39" s="15"/>
      <c r="U39" s="14"/>
      <c r="V39" s="15"/>
      <c r="W39" s="14"/>
      <c r="X39" s="15"/>
      <c r="Y39" s="14"/>
      <c r="Z39" s="15"/>
    </row>
    <row r="40" spans="1:26" x14ac:dyDescent="0.25">
      <c r="Q40" s="14"/>
      <c r="R40" s="15"/>
      <c r="S40" s="14"/>
      <c r="T40" s="15"/>
      <c r="U40" s="14"/>
      <c r="V40" s="15"/>
      <c r="W40" s="14"/>
      <c r="X40" s="15"/>
      <c r="Y40" s="14"/>
      <c r="Z40" s="15"/>
    </row>
    <row r="41" spans="1:26" x14ac:dyDescent="0.25">
      <c r="Q41" s="14"/>
      <c r="R41" s="15"/>
      <c r="S41" s="14"/>
      <c r="T41" s="15"/>
      <c r="U41" s="14"/>
      <c r="V41" s="15"/>
      <c r="W41" s="14"/>
      <c r="X41" s="15"/>
      <c r="Y41" s="14"/>
      <c r="Z41" s="15"/>
    </row>
    <row r="42" spans="1:26" x14ac:dyDescent="0.25">
      <c r="Q42" s="14"/>
      <c r="R42" s="15"/>
      <c r="S42" s="14"/>
      <c r="T42" s="15"/>
      <c r="U42" s="14"/>
      <c r="V42" s="15"/>
      <c r="W42" s="14"/>
      <c r="X42" s="15"/>
      <c r="Y42" s="14"/>
      <c r="Z42" s="15"/>
    </row>
    <row r="43" spans="1:26" x14ac:dyDescent="0.25">
      <c r="Q43" s="14"/>
      <c r="R43" s="15"/>
      <c r="S43" s="14"/>
      <c r="T43" s="15"/>
      <c r="U43" s="14"/>
      <c r="V43" s="15"/>
      <c r="W43" s="14"/>
      <c r="X43" s="15"/>
      <c r="Y43" s="14"/>
      <c r="Z43" s="15"/>
    </row>
    <row r="44" spans="1:26" x14ac:dyDescent="0.25">
      <c r="Q44" s="14"/>
      <c r="R44" s="15"/>
      <c r="S44" s="14"/>
      <c r="T44" s="15"/>
      <c r="U44" s="14"/>
      <c r="V44" s="15"/>
      <c r="W44" s="14"/>
      <c r="X44" s="15"/>
      <c r="Y44" s="14"/>
      <c r="Z44" s="15"/>
    </row>
    <row r="45" spans="1:26" x14ac:dyDescent="0.25">
      <c r="Q45" s="14"/>
      <c r="R45" s="15"/>
      <c r="S45" s="14"/>
      <c r="T45" s="15"/>
      <c r="U45" s="14"/>
      <c r="V45" s="15"/>
      <c r="W45" s="14"/>
      <c r="X45" s="15"/>
      <c r="Y45" s="14"/>
      <c r="Z45" s="15"/>
    </row>
    <row r="46" spans="1:26" x14ac:dyDescent="0.25">
      <c r="Q46" s="14"/>
      <c r="R46" s="15"/>
      <c r="S46" s="14"/>
      <c r="T46" s="15"/>
      <c r="U46" s="14"/>
      <c r="V46" s="15"/>
      <c r="W46" s="14"/>
      <c r="X46" s="15"/>
      <c r="Y46" s="14"/>
      <c r="Z46" s="15"/>
    </row>
    <row r="47" spans="1:26" x14ac:dyDescent="0.25">
      <c r="Q47" s="14"/>
      <c r="R47" s="15"/>
      <c r="S47" s="14"/>
      <c r="T47" s="15"/>
      <c r="U47" s="14"/>
      <c r="V47" s="15"/>
      <c r="W47" s="14"/>
      <c r="X47" s="15"/>
      <c r="Y47" s="14"/>
      <c r="Z47" s="15"/>
    </row>
    <row r="48" spans="1:26" x14ac:dyDescent="0.25">
      <c r="Q48" s="14"/>
      <c r="R48" s="15"/>
      <c r="S48" s="14"/>
      <c r="T48" s="15"/>
      <c r="U48" s="14"/>
      <c r="V48" s="15"/>
      <c r="W48" s="14"/>
      <c r="X48" s="15"/>
      <c r="Y48" s="14"/>
      <c r="Z48" s="15"/>
    </row>
    <row r="49" spans="1:26" x14ac:dyDescent="0.25">
      <c r="Q49" s="14"/>
      <c r="R49" s="15"/>
      <c r="S49" s="14"/>
      <c r="T49" s="15"/>
      <c r="U49" s="14"/>
      <c r="V49" s="15"/>
      <c r="W49" s="14"/>
      <c r="X49" s="15"/>
      <c r="Y49" s="14"/>
      <c r="Z49" s="15"/>
    </row>
    <row r="50" spans="1:26" x14ac:dyDescent="0.25">
      <c r="Q50" s="14"/>
      <c r="R50" s="15"/>
      <c r="S50" s="14"/>
      <c r="T50" s="15"/>
      <c r="U50" s="14"/>
      <c r="V50" s="15"/>
      <c r="W50" s="14"/>
      <c r="X50" s="15"/>
      <c r="Y50" s="14"/>
      <c r="Z50" s="15"/>
    </row>
    <row r="51" spans="1:26" x14ac:dyDescent="0.25">
      <c r="Q51" s="14"/>
      <c r="R51" s="15"/>
      <c r="S51" s="14"/>
      <c r="T51" s="15"/>
      <c r="U51" s="14"/>
      <c r="V51" s="15"/>
      <c r="W51" s="14"/>
      <c r="X51" s="15"/>
      <c r="Y51" s="14"/>
      <c r="Z51" s="15"/>
    </row>
    <row r="52" spans="1:26" x14ac:dyDescent="0.25">
      <c r="Q52" s="14"/>
      <c r="R52" s="15"/>
      <c r="S52" s="14"/>
      <c r="T52" s="15"/>
      <c r="U52" s="14"/>
      <c r="V52" s="15"/>
      <c r="W52" s="14"/>
      <c r="X52" s="15"/>
      <c r="Y52" s="14"/>
      <c r="Z52" s="15"/>
    </row>
    <row r="53" spans="1:26" x14ac:dyDescent="0.25">
      <c r="Q53" s="14"/>
      <c r="R53" s="15"/>
      <c r="S53" s="14"/>
      <c r="T53" s="15"/>
      <c r="U53" s="14"/>
      <c r="V53" s="15"/>
      <c r="W53" s="14"/>
      <c r="X53" s="15"/>
      <c r="Y53" s="14"/>
      <c r="Z53" s="15"/>
    </row>
    <row r="54" spans="1:26" x14ac:dyDescent="0.25">
      <c r="Q54" s="14"/>
      <c r="R54" s="15"/>
      <c r="S54" s="14"/>
      <c r="T54" s="15"/>
      <c r="U54" s="14"/>
      <c r="V54" s="15"/>
      <c r="W54" s="14"/>
      <c r="X54" s="15"/>
      <c r="Y54" s="14"/>
      <c r="Z54" s="15"/>
    </row>
    <row r="55" spans="1:26" x14ac:dyDescent="0.25">
      <c r="Q55" s="14"/>
      <c r="R55" s="15"/>
      <c r="S55" s="14"/>
      <c r="T55" s="15"/>
      <c r="U55" s="14"/>
      <c r="V55" s="15"/>
      <c r="W55" s="14"/>
      <c r="X55" s="15"/>
      <c r="Y55" s="14"/>
      <c r="Z55" s="15"/>
    </row>
    <row r="56" spans="1:26" x14ac:dyDescent="0.25">
      <c r="Q56" s="14"/>
      <c r="R56" s="15"/>
      <c r="S56" s="14"/>
      <c r="T56" s="15"/>
      <c r="U56" s="14"/>
      <c r="V56" s="15"/>
      <c r="W56" s="14"/>
      <c r="X56" s="15"/>
      <c r="Y56" s="14"/>
      <c r="Z56" s="15"/>
    </row>
    <row r="57" spans="1:26" x14ac:dyDescent="0.25">
      <c r="Q57" s="14"/>
      <c r="R57" s="15"/>
      <c r="S57" s="14"/>
      <c r="T57" s="15"/>
      <c r="U57" s="14"/>
      <c r="V57" s="15"/>
      <c r="W57" s="14"/>
      <c r="X57" s="15"/>
      <c r="Y57" s="14"/>
      <c r="Z57" s="15"/>
    </row>
    <row r="58" spans="1:26" x14ac:dyDescent="0.25">
      <c r="Q58" s="14"/>
      <c r="R58" s="15"/>
      <c r="S58" s="14"/>
      <c r="T58" s="15"/>
      <c r="U58" s="14"/>
      <c r="V58" s="15"/>
      <c r="W58" s="14"/>
      <c r="X58" s="15"/>
      <c r="Y58" s="14"/>
      <c r="Z58" s="15"/>
    </row>
    <row r="59" spans="1:26" x14ac:dyDescent="0.25">
      <c r="Q59" s="14"/>
      <c r="R59" s="15"/>
      <c r="S59" s="14"/>
      <c r="T59" s="15"/>
      <c r="U59" s="14"/>
      <c r="V59" s="15"/>
      <c r="W59" s="14"/>
      <c r="X59" s="15"/>
      <c r="Y59" s="14"/>
      <c r="Z59" s="15"/>
    </row>
    <row r="60" spans="1:26" x14ac:dyDescent="0.25">
      <c r="Q60" s="14"/>
      <c r="R60" s="15"/>
      <c r="S60" s="14"/>
      <c r="T60" s="15"/>
      <c r="U60" s="14"/>
      <c r="V60" s="15"/>
      <c r="W60" s="14"/>
      <c r="X60" s="15"/>
      <c r="Y60" s="14"/>
      <c r="Z60" s="15"/>
    </row>
    <row r="61" spans="1:26" x14ac:dyDescent="0.25">
      <c r="Q61" s="14"/>
      <c r="R61" s="15"/>
      <c r="S61" s="14"/>
      <c r="T61" s="15"/>
      <c r="U61" s="14"/>
      <c r="V61" s="15"/>
      <c r="W61" s="14"/>
      <c r="X61" s="15"/>
      <c r="Y61" s="14"/>
      <c r="Z61" s="15"/>
    </row>
    <row r="62" spans="1:26" x14ac:dyDescent="0.25">
      <c r="Q62" s="14"/>
      <c r="R62" s="15"/>
      <c r="S62" s="14"/>
      <c r="T62" s="15"/>
      <c r="U62" s="14"/>
      <c r="V62" s="15"/>
      <c r="W62" s="14"/>
      <c r="X62" s="15"/>
      <c r="Y62" s="14"/>
      <c r="Z62" s="15"/>
    </row>
    <row r="63" spans="1:26" x14ac:dyDescent="0.25">
      <c r="Q63" s="14"/>
      <c r="R63" s="15"/>
      <c r="S63" s="14"/>
      <c r="T63" s="15"/>
      <c r="U63" s="14"/>
      <c r="V63" s="15"/>
      <c r="W63" s="14"/>
      <c r="X63" s="15"/>
      <c r="Y63" s="14"/>
      <c r="Z63" s="15"/>
    </row>
    <row r="64" spans="1:26" x14ac:dyDescent="0.25">
      <c r="Q64" s="14"/>
      <c r="R64" s="15"/>
      <c r="S64" s="14"/>
      <c r="T64" s="15"/>
      <c r="U64" s="14"/>
      <c r="V64" s="15"/>
      <c r="W64" s="14"/>
      <c r="X64" s="15"/>
      <c r="Y64" s="14"/>
      <c r="Z64" s="15"/>
    </row>
    <row r="65" spans="1:26" x14ac:dyDescent="0.25">
      <c r="Q65" s="14"/>
      <c r="R65" s="15"/>
      <c r="S65" s="14"/>
      <c r="T65" s="15"/>
      <c r="U65" s="14"/>
      <c r="V65" s="15"/>
      <c r="W65" s="14"/>
      <c r="X65" s="15"/>
      <c r="Y65" s="14"/>
      <c r="Z65" s="15"/>
    </row>
    <row r="66" spans="1:26" x14ac:dyDescent="0.25">
      <c r="Q66" s="14"/>
      <c r="R66" s="15"/>
      <c r="S66" s="14"/>
      <c r="T66" s="15"/>
      <c r="U66" s="14"/>
      <c r="V66" s="15"/>
      <c r="W66" s="14"/>
      <c r="X66" s="15"/>
      <c r="Y66" s="14"/>
      <c r="Z66" s="15"/>
    </row>
    <row r="67" spans="1:26" x14ac:dyDescent="0.25">
      <c r="Q67" s="14"/>
      <c r="R67" s="15"/>
      <c r="S67" s="14"/>
      <c r="T67" s="15"/>
      <c r="U67" s="14"/>
      <c r="V67" s="15"/>
      <c r="W67" s="14"/>
      <c r="X67" s="15"/>
      <c r="Y67" s="14"/>
      <c r="Z67" s="15"/>
    </row>
    <row r="68" spans="1:26" x14ac:dyDescent="0.25">
      <c r="Q68" s="14"/>
      <c r="R68" s="15"/>
      <c r="S68" s="14"/>
      <c r="T68" s="15"/>
      <c r="U68" s="14"/>
      <c r="V68" s="15"/>
      <c r="W68" s="14"/>
      <c r="X68" s="15"/>
      <c r="Y68" s="14"/>
      <c r="Z68" s="15"/>
    </row>
    <row r="69" spans="1:26" x14ac:dyDescent="0.25">
      <c r="Q69" s="14"/>
      <c r="R69" s="15"/>
      <c r="S69" s="14"/>
      <c r="T69" s="15"/>
      <c r="U69" s="14"/>
      <c r="V69" s="15"/>
      <c r="W69" s="14"/>
      <c r="X69" s="15"/>
      <c r="Y69" s="14"/>
      <c r="Z69" s="15"/>
    </row>
    <row r="70" spans="1:26" x14ac:dyDescent="0.25">
      <c r="Q70" s="14"/>
      <c r="R70" s="15"/>
      <c r="S70" s="14"/>
      <c r="T70" s="15"/>
      <c r="U70" s="14"/>
      <c r="V70" s="15"/>
      <c r="W70" s="14"/>
      <c r="X70" s="15"/>
      <c r="Y70" s="14"/>
      <c r="Z70" s="15"/>
    </row>
    <row r="71" spans="1:26" x14ac:dyDescent="0.25">
      <c r="Q71" s="14"/>
      <c r="R71" s="15"/>
      <c r="S71" s="14"/>
      <c r="T71" s="15"/>
      <c r="U71" s="14"/>
      <c r="V71" s="15"/>
      <c r="W71" s="14"/>
      <c r="X71" s="15"/>
      <c r="Y71" s="14"/>
      <c r="Z71" s="15"/>
    </row>
    <row r="72" spans="1:26" x14ac:dyDescent="0.25">
      <c r="Q72" s="14"/>
      <c r="R72" s="15"/>
      <c r="S72" s="14"/>
      <c r="T72" s="15"/>
      <c r="U72" s="14"/>
      <c r="V72" s="15"/>
      <c r="W72" s="14"/>
      <c r="X72" s="15"/>
      <c r="Y72" s="14"/>
      <c r="Z72" s="15"/>
    </row>
    <row r="73" spans="1:26" x14ac:dyDescent="0.25">
      <c r="Q73" s="14"/>
      <c r="R73" s="15"/>
      <c r="S73" s="14"/>
      <c r="T73" s="15"/>
      <c r="U73" s="14"/>
      <c r="V73" s="15"/>
      <c r="W73" s="14"/>
      <c r="X73" s="15"/>
      <c r="Y73" s="14"/>
      <c r="Z73" s="15"/>
    </row>
    <row r="74" spans="1:26" x14ac:dyDescent="0.25">
      <c r="Q74" s="14"/>
      <c r="R74" s="15"/>
      <c r="S74" s="14"/>
      <c r="T74" s="15"/>
      <c r="U74" s="14"/>
      <c r="V74" s="15"/>
      <c r="W74" s="14"/>
      <c r="X74" s="15"/>
      <c r="Y74" s="14"/>
      <c r="Z74" s="15"/>
    </row>
    <row r="75" spans="1:26" x14ac:dyDescent="0.25">
      <c r="Q75" s="14"/>
      <c r="R75" s="15"/>
      <c r="S75" s="14"/>
      <c r="T75" s="15"/>
      <c r="U75" s="14"/>
      <c r="V75" s="15"/>
      <c r="W75" s="14"/>
      <c r="X75" s="15"/>
      <c r="Y75" s="14"/>
      <c r="Z75" s="15"/>
    </row>
    <row r="76" spans="1:26" x14ac:dyDescent="0.25">
      <c r="Q76" s="14"/>
      <c r="R76" s="15"/>
      <c r="S76" s="14"/>
      <c r="T76" s="15"/>
      <c r="U76" s="14"/>
      <c r="V76" s="15"/>
      <c r="W76" s="14"/>
      <c r="X76" s="15"/>
      <c r="Y76" s="14"/>
      <c r="Z76" s="15"/>
    </row>
    <row r="77" spans="1:26" x14ac:dyDescent="0.25">
      <c r="Q77" s="14"/>
      <c r="R77" s="15"/>
      <c r="S77" s="14"/>
      <c r="T77" s="15"/>
      <c r="U77" s="14"/>
      <c r="V77" s="15"/>
      <c r="W77" s="14"/>
      <c r="X77" s="15"/>
      <c r="Y77" s="14"/>
      <c r="Z77" s="15"/>
    </row>
    <row r="78" spans="1:26" x14ac:dyDescent="0.25">
      <c r="Q78" s="14"/>
      <c r="R78" s="15"/>
      <c r="S78" s="14"/>
      <c r="T78" s="15"/>
      <c r="U78" s="14"/>
      <c r="V78" s="15"/>
      <c r="W78" s="14"/>
      <c r="X78" s="15"/>
      <c r="Y78" s="14"/>
      <c r="Z78" s="15"/>
    </row>
    <row r="79" spans="1:26" x14ac:dyDescent="0.25">
      <c r="Q79" s="14"/>
      <c r="R79" s="15"/>
      <c r="S79" s="14"/>
      <c r="T79" s="15"/>
      <c r="U79" s="14"/>
      <c r="V79" s="15"/>
      <c r="W79" s="14"/>
      <c r="X79" s="15"/>
      <c r="Y79" s="14"/>
      <c r="Z79" s="15"/>
    </row>
    <row r="80" spans="1:26" x14ac:dyDescent="0.25">
      <c r="Q80" s="14"/>
      <c r="R80" s="15"/>
      <c r="S80" s="14"/>
      <c r="T80" s="15"/>
      <c r="U80" s="14"/>
      <c r="V80" s="15"/>
      <c r="W80" s="14"/>
      <c r="X80" s="15"/>
      <c r="Y80" s="14"/>
      <c r="Z80" s="15"/>
    </row>
    <row r="81" spans="1:26" x14ac:dyDescent="0.25">
      <c r="Q81" s="14"/>
      <c r="R81" s="15"/>
      <c r="S81" s="14"/>
      <c r="T81" s="15"/>
      <c r="U81" s="14"/>
      <c r="V81" s="15"/>
      <c r="W81" s="14"/>
      <c r="X81" s="15"/>
      <c r="Y81" s="14"/>
      <c r="Z81" s="15"/>
    </row>
    <row r="82" spans="1:26" x14ac:dyDescent="0.25">
      <c r="Q82" s="14"/>
      <c r="R82" s="15"/>
      <c r="S82" s="14"/>
      <c r="T82" s="15"/>
      <c r="U82" s="14"/>
      <c r="V82" s="15"/>
      <c r="W82" s="14"/>
      <c r="X82" s="15"/>
      <c r="Y82" s="14"/>
      <c r="Z82" s="15"/>
    </row>
    <row r="83" spans="1:26" x14ac:dyDescent="0.25">
      <c r="Q83" s="14"/>
      <c r="R83" s="15"/>
      <c r="S83" s="14"/>
      <c r="T83" s="15"/>
      <c r="U83" s="14"/>
      <c r="V83" s="15"/>
      <c r="W83" s="14"/>
      <c r="X83" s="15"/>
      <c r="Y83" s="14"/>
      <c r="Z83" s="15"/>
    </row>
    <row r="84" spans="1:26" x14ac:dyDescent="0.25">
      <c r="Q84" s="14"/>
      <c r="R84" s="15"/>
      <c r="S84" s="14"/>
      <c r="T84" s="15"/>
      <c r="U84" s="14"/>
      <c r="V84" s="15"/>
      <c r="W84" s="14"/>
      <c r="X84" s="15"/>
      <c r="Y84" s="14"/>
      <c r="Z84" s="15"/>
    </row>
    <row r="85" spans="1:26" x14ac:dyDescent="0.25">
      <c r="Q85" s="14"/>
      <c r="R85" s="15"/>
      <c r="S85" s="14"/>
      <c r="T85" s="15"/>
      <c r="U85" s="14"/>
      <c r="V85" s="15"/>
      <c r="W85" s="14"/>
      <c r="X85" s="15"/>
      <c r="Y85" s="14"/>
      <c r="Z85" s="15"/>
    </row>
    <row r="86" spans="1:26" x14ac:dyDescent="0.25">
      <c r="Q86" s="14"/>
      <c r="R86" s="15"/>
      <c r="S86" s="14"/>
      <c r="T86" s="15"/>
      <c r="U86" s="14"/>
      <c r="V86" s="15"/>
      <c r="W86" s="14"/>
      <c r="X86" s="15"/>
      <c r="Y86" s="14"/>
      <c r="Z86" s="15"/>
    </row>
    <row r="87" spans="1:26" x14ac:dyDescent="0.25">
      <c r="Q87" s="14"/>
      <c r="R87" s="15"/>
      <c r="S87" s="14"/>
      <c r="T87" s="15"/>
      <c r="U87" s="14"/>
      <c r="V87" s="15"/>
      <c r="W87" s="14"/>
      <c r="X87" s="15"/>
      <c r="Y87" s="14"/>
      <c r="Z87" s="15"/>
    </row>
    <row r="88" spans="1:26" x14ac:dyDescent="0.25">
      <c r="Q88" s="14"/>
      <c r="R88" s="15"/>
      <c r="S88" s="14"/>
      <c r="T88" s="15"/>
      <c r="U88" s="14"/>
      <c r="V88" s="15"/>
      <c r="W88" s="14"/>
      <c r="X88" s="15"/>
      <c r="Y88" s="14"/>
      <c r="Z88" s="15"/>
    </row>
    <row r="89" spans="1:26" x14ac:dyDescent="0.25">
      <c r="Q89" s="14"/>
      <c r="R89" s="15"/>
      <c r="S89" s="14"/>
      <c r="T89" s="15"/>
      <c r="U89" s="14"/>
      <c r="V89" s="15"/>
      <c r="W89" s="14"/>
      <c r="X89" s="15"/>
      <c r="Y89" s="14"/>
      <c r="Z89" s="15"/>
    </row>
    <row r="90" spans="1:26" x14ac:dyDescent="0.25">
      <c r="Q90" s="14"/>
      <c r="R90" s="15"/>
      <c r="S90" s="14"/>
      <c r="T90" s="15"/>
      <c r="U90" s="14"/>
      <c r="V90" s="15"/>
      <c r="W90" s="14"/>
      <c r="X90" s="15"/>
      <c r="Y90" s="14"/>
      <c r="Z90" s="15"/>
    </row>
    <row r="91" spans="1:26" x14ac:dyDescent="0.25">
      <c r="Q91" s="14"/>
      <c r="R91" s="15"/>
      <c r="S91" s="14"/>
      <c r="T91" s="15"/>
      <c r="U91" s="14"/>
      <c r="V91" s="15"/>
      <c r="W91" s="14"/>
      <c r="X91" s="15"/>
      <c r="Y91" s="14"/>
      <c r="Z91" s="15"/>
    </row>
    <row r="92" spans="1:26" x14ac:dyDescent="0.25">
      <c r="Q92" s="14"/>
      <c r="R92" s="15"/>
      <c r="S92" s="14"/>
      <c r="T92" s="15"/>
      <c r="U92" s="14"/>
      <c r="V92" s="15"/>
      <c r="W92" s="14"/>
      <c r="X92" s="15"/>
      <c r="Y92" s="14"/>
      <c r="Z92" s="15"/>
    </row>
    <row r="93" spans="1:26" x14ac:dyDescent="0.25">
      <c r="Q93" s="14"/>
      <c r="R93" s="15"/>
      <c r="S93" s="14"/>
      <c r="T93" s="15"/>
      <c r="U93" s="14"/>
      <c r="V93" s="15"/>
      <c r="W93" s="14"/>
      <c r="X93" s="15"/>
      <c r="Y93" s="14"/>
      <c r="Z93" s="15"/>
    </row>
    <row r="94" spans="1:26" x14ac:dyDescent="0.25">
      <c r="Q94" s="14"/>
      <c r="R94" s="15"/>
      <c r="S94" s="14"/>
      <c r="T94" s="15"/>
      <c r="U94" s="14"/>
      <c r="V94" s="15"/>
      <c r="W94" s="14"/>
      <c r="X94" s="15"/>
      <c r="Y94" s="14"/>
      <c r="Z94" s="15"/>
    </row>
    <row r="95" spans="1:26" x14ac:dyDescent="0.25">
      <c r="Q95" s="14"/>
      <c r="R95" s="15"/>
      <c r="S95" s="14"/>
      <c r="T95" s="15"/>
      <c r="U95" s="14"/>
      <c r="V95" s="15"/>
      <c r="W95" s="14"/>
      <c r="X95" s="15"/>
      <c r="Y95" s="14"/>
      <c r="Z95" s="15"/>
    </row>
    <row r="96" spans="1:26" x14ac:dyDescent="0.25">
      <c r="Q96" s="14"/>
      <c r="R96" s="15"/>
      <c r="S96" s="14"/>
      <c r="T96" s="15"/>
      <c r="U96" s="14"/>
      <c r="V96" s="15"/>
      <c r="W96" s="14"/>
      <c r="X96" s="15"/>
      <c r="Y96" s="14"/>
      <c r="Z96" s="15"/>
    </row>
    <row r="97" spans="1:26" x14ac:dyDescent="0.25">
      <c r="Q97" s="14"/>
      <c r="R97" s="15"/>
      <c r="S97" s="14"/>
      <c r="T97" s="15"/>
      <c r="U97" s="14"/>
      <c r="V97" s="15"/>
      <c r="W97" s="14"/>
      <c r="X97" s="15"/>
      <c r="Y97" s="14"/>
      <c r="Z97" s="15"/>
    </row>
    <row r="98" spans="1:26" x14ac:dyDescent="0.25">
      <c r="Q98" s="14"/>
      <c r="R98" s="15"/>
      <c r="S98" s="14"/>
      <c r="T98" s="15"/>
      <c r="U98" s="14"/>
      <c r="V98" s="15"/>
      <c r="W98" s="14"/>
      <c r="X98" s="15"/>
      <c r="Y98" s="14"/>
      <c r="Z98" s="15"/>
    </row>
    <row r="99" spans="1:26" x14ac:dyDescent="0.25">
      <c r="Q99" s="14"/>
      <c r="R99" s="15"/>
      <c r="S99" s="14"/>
      <c r="T99" s="15"/>
      <c r="U99" s="14"/>
      <c r="V99" s="15"/>
      <c r="W99" s="14"/>
      <c r="X99" s="15"/>
      <c r="Y99" s="14"/>
      <c r="Z99" s="15"/>
    </row>
    <row r="100" spans="1:26" x14ac:dyDescent="0.25">
      <c r="Q100" s="14"/>
      <c r="R100" s="15"/>
      <c r="S100" s="14"/>
      <c r="T100" s="15"/>
      <c r="U100" s="14"/>
      <c r="V100" s="15"/>
      <c r="W100" s="14"/>
      <c r="X100" s="15"/>
      <c r="Y100" s="14"/>
      <c r="Z100" s="15"/>
    </row>
    <row r="101" spans="1:26" x14ac:dyDescent="0.25">
      <c r="Q101" s="14"/>
      <c r="R101" s="15"/>
      <c r="S101" s="14"/>
      <c r="T101" s="15"/>
      <c r="U101" s="14"/>
      <c r="V101" s="15"/>
      <c r="W101" s="14"/>
      <c r="X101" s="15"/>
      <c r="Y101" s="14"/>
      <c r="Z101" s="15"/>
    </row>
    <row r="102" spans="1:26" x14ac:dyDescent="0.25">
      <c r="Q102" s="14"/>
      <c r="R102" s="15"/>
      <c r="S102" s="14"/>
      <c r="T102" s="15"/>
      <c r="U102" s="14"/>
      <c r="V102" s="15"/>
      <c r="W102" s="14"/>
      <c r="X102" s="15"/>
      <c r="Y102" s="14"/>
      <c r="Z102" s="15"/>
    </row>
    <row r="103" spans="1:26" x14ac:dyDescent="0.25">
      <c r="Q103" s="14"/>
      <c r="R103" s="15"/>
      <c r="S103" s="14"/>
      <c r="T103" s="15"/>
      <c r="U103" s="14"/>
      <c r="V103" s="15"/>
      <c r="W103" s="14"/>
      <c r="X103" s="15"/>
      <c r="Y103" s="14"/>
      <c r="Z103" s="15"/>
    </row>
    <row r="104" spans="1:26" x14ac:dyDescent="0.25">
      <c r="Q104" s="14"/>
      <c r="R104" s="15"/>
      <c r="S104" s="14"/>
      <c r="T104" s="15"/>
      <c r="U104" s="14"/>
      <c r="V104" s="15"/>
      <c r="W104" s="14"/>
      <c r="X104" s="15"/>
      <c r="Y104" s="14"/>
      <c r="Z104" s="15"/>
    </row>
    <row r="105" spans="1:26" x14ac:dyDescent="0.25">
      <c r="Q105" s="14"/>
      <c r="R105" s="15"/>
      <c r="S105" s="14"/>
      <c r="T105" s="15"/>
      <c r="U105" s="14"/>
      <c r="V105" s="15"/>
      <c r="W105" s="14"/>
      <c r="X105" s="15"/>
      <c r="Y105" s="14"/>
      <c r="Z105" s="15"/>
    </row>
    <row r="106" spans="1:26" x14ac:dyDescent="0.25">
      <c r="Q106" s="14"/>
      <c r="R106" s="15"/>
      <c r="S106" s="14"/>
      <c r="T106" s="15"/>
      <c r="U106" s="14"/>
      <c r="V106" s="15"/>
      <c r="W106" s="14"/>
      <c r="X106" s="15"/>
      <c r="Y106" s="14"/>
      <c r="Z106" s="15"/>
    </row>
    <row r="107" spans="1:26" x14ac:dyDescent="0.25">
      <c r="Q107" s="14"/>
      <c r="R107" s="15"/>
      <c r="S107" s="14"/>
      <c r="T107" s="15"/>
      <c r="U107" s="14"/>
      <c r="V107" s="15"/>
      <c r="W107" s="14"/>
      <c r="X107" s="15"/>
      <c r="Y107" s="14"/>
      <c r="Z107" s="15"/>
    </row>
    <row r="108" spans="1:26" x14ac:dyDescent="0.25">
      <c r="Q108" s="14"/>
      <c r="R108" s="15"/>
      <c r="S108" s="14"/>
      <c r="T108" s="15"/>
      <c r="U108" s="14"/>
      <c r="V108" s="15"/>
      <c r="W108" s="14"/>
      <c r="X108" s="15"/>
      <c r="Y108" s="14"/>
      <c r="Z108" s="15"/>
    </row>
    <row r="109" spans="1:26" x14ac:dyDescent="0.25">
      <c r="Q109" s="14"/>
      <c r="R109" s="15"/>
      <c r="S109" s="14"/>
      <c r="T109" s="15"/>
      <c r="U109" s="14"/>
      <c r="V109" s="15"/>
      <c r="W109" s="14"/>
      <c r="X109" s="15"/>
      <c r="Y109" s="14"/>
      <c r="Z109" s="15"/>
    </row>
    <row r="110" spans="1:26" x14ac:dyDescent="0.25">
      <c r="Q110" s="14"/>
      <c r="R110" s="15"/>
      <c r="S110" s="14"/>
      <c r="T110" s="15"/>
      <c r="U110" s="14"/>
      <c r="V110" s="15"/>
      <c r="W110" s="14"/>
      <c r="X110" s="15"/>
      <c r="Y110" s="14"/>
      <c r="Z110" s="15"/>
    </row>
    <row r="111" spans="1:26" x14ac:dyDescent="0.25">
      <c r="Q111" s="14"/>
      <c r="R111" s="15"/>
      <c r="S111" s="14"/>
      <c r="T111" s="15"/>
      <c r="U111" s="14"/>
      <c r="V111" s="15"/>
      <c r="W111" s="14"/>
      <c r="X111" s="15"/>
      <c r="Y111" s="14"/>
      <c r="Z111" s="15"/>
    </row>
    <row r="112" spans="1:26" x14ac:dyDescent="0.25">
      <c r="Q112" s="14"/>
      <c r="R112" s="15"/>
      <c r="S112" s="14"/>
      <c r="T112" s="15"/>
      <c r="U112" s="14"/>
      <c r="V112" s="15"/>
      <c r="W112" s="14"/>
      <c r="X112" s="15"/>
      <c r="Y112" s="14"/>
      <c r="Z112" s="15"/>
    </row>
    <row r="113" spans="1:26" x14ac:dyDescent="0.25">
      <c r="Q113" s="14"/>
      <c r="R113" s="15"/>
      <c r="S113" s="14"/>
      <c r="T113" s="15"/>
      <c r="U113" s="14"/>
      <c r="V113" s="15"/>
      <c r="W113" s="14"/>
      <c r="X113" s="15"/>
      <c r="Y113" s="14"/>
      <c r="Z113" s="15"/>
    </row>
    <row r="114" spans="1:26" x14ac:dyDescent="0.25">
      <c r="Q114" s="14"/>
      <c r="R114" s="15"/>
      <c r="S114" s="14"/>
      <c r="T114" s="15"/>
      <c r="U114" s="14"/>
      <c r="V114" s="15"/>
      <c r="W114" s="14"/>
      <c r="X114" s="15"/>
      <c r="Y114" s="14"/>
      <c r="Z114" s="15"/>
    </row>
    <row r="115" spans="1:26" x14ac:dyDescent="0.25">
      <c r="Q115" s="14"/>
      <c r="R115" s="15"/>
      <c r="S115" s="14"/>
      <c r="T115" s="15"/>
      <c r="U115" s="14"/>
      <c r="V115" s="15"/>
      <c r="W115" s="14"/>
      <c r="X115" s="15"/>
      <c r="Y115" s="14"/>
      <c r="Z115" s="15"/>
    </row>
    <row r="116" spans="1:26" x14ac:dyDescent="0.25">
      <c r="Q116" s="14"/>
      <c r="R116" s="15"/>
      <c r="S116" s="14"/>
      <c r="T116" s="15"/>
      <c r="U116" s="14"/>
      <c r="V116" s="15"/>
      <c r="W116" s="14"/>
      <c r="X116" s="15"/>
      <c r="Y116" s="14"/>
      <c r="Z116" s="15"/>
    </row>
    <row r="117" spans="1:26" x14ac:dyDescent="0.25">
      <c r="Q117" s="14"/>
      <c r="R117" s="15"/>
      <c r="S117" s="14"/>
      <c r="T117" s="15"/>
      <c r="U117" s="14"/>
      <c r="V117" s="15"/>
      <c r="W117" s="14"/>
      <c r="X117" s="15"/>
      <c r="Y117" s="14"/>
      <c r="Z117" s="15"/>
    </row>
    <row r="118" spans="1:26" x14ac:dyDescent="0.25">
      <c r="Q118" s="14"/>
      <c r="R118" s="15"/>
      <c r="S118" s="14"/>
      <c r="T118" s="15"/>
      <c r="U118" s="14"/>
      <c r="V118" s="15"/>
      <c r="W118" s="14"/>
      <c r="X118" s="15"/>
      <c r="Y118" s="14"/>
      <c r="Z118" s="15"/>
    </row>
    <row r="119" spans="1:26" x14ac:dyDescent="0.25">
      <c r="Q119" s="14"/>
      <c r="R119" s="15"/>
      <c r="S119" s="14"/>
      <c r="T119" s="15"/>
      <c r="U119" s="14"/>
      <c r="V119" s="15"/>
      <c r="W119" s="14"/>
      <c r="X119" s="15"/>
      <c r="Y119" s="14"/>
      <c r="Z119" s="15"/>
    </row>
    <row r="120" spans="1:26" x14ac:dyDescent="0.25">
      <c r="Q120" s="14"/>
      <c r="R120" s="15"/>
      <c r="S120" s="14"/>
      <c r="T120" s="15"/>
      <c r="U120" s="14"/>
      <c r="V120" s="15"/>
      <c r="W120" s="14"/>
      <c r="X120" s="15"/>
      <c r="Y120" s="14"/>
      <c r="Z120" s="15"/>
    </row>
    <row r="121" spans="1:26" x14ac:dyDescent="0.25">
      <c r="Q121" s="14"/>
      <c r="R121" s="15"/>
      <c r="S121" s="14"/>
      <c r="T121" s="15"/>
      <c r="U121" s="14"/>
      <c r="V121" s="15"/>
      <c r="W121" s="14"/>
      <c r="X121" s="15"/>
      <c r="Y121" s="14"/>
      <c r="Z121" s="15"/>
    </row>
    <row r="122" spans="1:26" x14ac:dyDescent="0.25">
      <c r="Q122" s="14"/>
      <c r="R122" s="15"/>
      <c r="S122" s="14"/>
      <c r="T122" s="15"/>
      <c r="U122" s="14"/>
      <c r="V122" s="15"/>
      <c r="W122" s="14"/>
      <c r="X122" s="15"/>
      <c r="Y122" s="14"/>
      <c r="Z122" s="15"/>
    </row>
    <row r="123" spans="1:26" x14ac:dyDescent="0.25">
      <c r="Q123" s="14"/>
      <c r="R123" s="15"/>
      <c r="S123" s="14"/>
      <c r="T123" s="15"/>
      <c r="U123" s="14"/>
      <c r="V123" s="15"/>
      <c r="W123" s="14"/>
      <c r="X123" s="15"/>
      <c r="Y123" s="14"/>
      <c r="Z123" s="15"/>
    </row>
    <row r="124" spans="1:26" x14ac:dyDescent="0.25">
      <c r="Q124" s="14"/>
      <c r="R124" s="15"/>
      <c r="S124" s="14"/>
      <c r="T124" s="15"/>
      <c r="U124" s="14"/>
      <c r="V124" s="15"/>
      <c r="W124" s="14"/>
      <c r="X124" s="15"/>
      <c r="Y124" s="14"/>
      <c r="Z124" s="15"/>
    </row>
    <row r="125" spans="1:26" x14ac:dyDescent="0.25">
      <c r="Q125" s="14"/>
      <c r="R125" s="15"/>
      <c r="S125" s="14"/>
      <c r="T125" s="15"/>
      <c r="U125" s="14"/>
      <c r="V125" s="15"/>
      <c r="W125" s="14"/>
      <c r="X125" s="15"/>
      <c r="Y125" s="14"/>
      <c r="Z125" s="15"/>
    </row>
    <row r="126" spans="1:26" x14ac:dyDescent="0.25">
      <c r="Q126" s="14"/>
      <c r="R126" s="15"/>
      <c r="S126" s="14"/>
      <c r="T126" s="15"/>
      <c r="U126" s="14"/>
      <c r="V126" s="15"/>
      <c r="W126" s="14"/>
      <c r="X126" s="15"/>
      <c r="Y126" s="14"/>
      <c r="Z126" s="15"/>
    </row>
    <row r="127" spans="1:26" x14ac:dyDescent="0.25">
      <c r="Q127" s="14"/>
      <c r="R127" s="15"/>
      <c r="S127" s="14"/>
      <c r="T127" s="15"/>
      <c r="U127" s="14"/>
      <c r="V127" s="15"/>
      <c r="W127" s="14"/>
      <c r="X127" s="15"/>
      <c r="Y127" s="14"/>
      <c r="Z127" s="15"/>
    </row>
    <row r="128" spans="1:26" x14ac:dyDescent="0.25">
      <c r="Q128" s="14"/>
      <c r="R128" s="15"/>
      <c r="S128" s="14"/>
      <c r="T128" s="15"/>
      <c r="U128" s="14"/>
      <c r="V128" s="15"/>
      <c r="W128" s="14"/>
      <c r="X128" s="15"/>
      <c r="Y128" s="14"/>
      <c r="Z128" s="15"/>
    </row>
    <row r="129" spans="1:26" x14ac:dyDescent="0.25">
      <c r="Q129" s="14"/>
      <c r="R129" s="15"/>
      <c r="S129" s="14"/>
      <c r="T129" s="15"/>
      <c r="U129" s="14"/>
      <c r="V129" s="15"/>
      <c r="W129" s="14"/>
      <c r="X129" s="15"/>
      <c r="Y129" s="14"/>
      <c r="Z129" s="15"/>
    </row>
    <row r="130" spans="1:26" x14ac:dyDescent="0.25">
      <c r="Q130" s="14"/>
      <c r="R130" s="15"/>
      <c r="S130" s="14"/>
      <c r="T130" s="15"/>
      <c r="U130" s="14"/>
      <c r="V130" s="15"/>
      <c r="W130" s="14"/>
      <c r="X130" s="15"/>
      <c r="Y130" s="14"/>
      <c r="Z130" s="15"/>
    </row>
    <row r="131" spans="1:26" x14ac:dyDescent="0.25">
      <c r="Q131" s="14"/>
      <c r="R131" s="15"/>
      <c r="S131" s="14"/>
      <c r="T131" s="15"/>
      <c r="U131" s="14"/>
      <c r="V131" s="15"/>
      <c r="W131" s="14"/>
      <c r="X131" s="15"/>
      <c r="Y131" s="14"/>
      <c r="Z131" s="15"/>
    </row>
    <row r="132" spans="1:26" x14ac:dyDescent="0.25">
      <c r="Q132" s="14"/>
      <c r="R132" s="15"/>
      <c r="S132" s="14"/>
      <c r="T132" s="15"/>
      <c r="U132" s="14"/>
      <c r="V132" s="15"/>
      <c r="W132" s="14"/>
      <c r="X132" s="15"/>
      <c r="Y132" s="14"/>
      <c r="Z132" s="15"/>
    </row>
    <row r="133" spans="1:26" x14ac:dyDescent="0.25">
      <c r="Q133" s="14"/>
      <c r="R133" s="15"/>
      <c r="S133" s="14"/>
      <c r="T133" s="15"/>
      <c r="U133" s="14"/>
      <c r="V133" s="15"/>
      <c r="W133" s="14"/>
      <c r="X133" s="15"/>
      <c r="Y133" s="14"/>
      <c r="Z133" s="15"/>
    </row>
    <row r="134" spans="1:26" x14ac:dyDescent="0.25">
      <c r="Q134" s="14"/>
      <c r="R134" s="15"/>
      <c r="S134" s="14"/>
      <c r="T134" s="15"/>
      <c r="U134" s="14"/>
      <c r="V134" s="15"/>
      <c r="W134" s="14"/>
      <c r="X134" s="15"/>
      <c r="Y134" s="14"/>
      <c r="Z134" s="15"/>
    </row>
    <row r="135" spans="1:26" x14ac:dyDescent="0.25">
      <c r="Q135" s="14"/>
      <c r="R135" s="15"/>
      <c r="S135" s="14"/>
      <c r="T135" s="15"/>
      <c r="U135" s="14"/>
      <c r="V135" s="15"/>
      <c r="W135" s="14"/>
      <c r="X135" s="15"/>
      <c r="Y135" s="14"/>
      <c r="Z135" s="15"/>
    </row>
    <row r="136" spans="1:26" x14ac:dyDescent="0.25">
      <c r="Q136" s="14"/>
      <c r="R136" s="15"/>
      <c r="S136" s="14"/>
      <c r="T136" s="15"/>
      <c r="U136" s="14"/>
      <c r="V136" s="15"/>
      <c r="W136" s="14"/>
      <c r="X136" s="15"/>
      <c r="Y136" s="14"/>
      <c r="Z136" s="15"/>
    </row>
    <row r="137" spans="1:26" x14ac:dyDescent="0.25">
      <c r="Q137" s="14"/>
      <c r="R137" s="15"/>
      <c r="S137" s="14"/>
      <c r="T137" s="15"/>
      <c r="U137" s="14"/>
      <c r="V137" s="15"/>
      <c r="W137" s="14"/>
      <c r="X137" s="15"/>
      <c r="Y137" s="14"/>
      <c r="Z137" s="15"/>
    </row>
    <row r="138" spans="1:26" x14ac:dyDescent="0.25">
      <c r="Q138" s="14"/>
      <c r="R138" s="15"/>
      <c r="S138" s="14"/>
      <c r="T138" s="15"/>
      <c r="U138" s="14"/>
      <c r="V138" s="15"/>
      <c r="W138" s="14"/>
      <c r="X138" s="15"/>
      <c r="Y138" s="14"/>
      <c r="Z138" s="15"/>
    </row>
    <row r="139" spans="1:26" x14ac:dyDescent="0.25">
      <c r="Q139" s="14"/>
      <c r="R139" s="15"/>
      <c r="S139" s="14"/>
      <c r="T139" s="15"/>
      <c r="U139" s="14"/>
      <c r="V139" s="15"/>
      <c r="W139" s="14"/>
      <c r="X139" s="15"/>
      <c r="Y139" s="14"/>
      <c r="Z139" s="15"/>
    </row>
    <row r="140" spans="1:26" x14ac:dyDescent="0.25">
      <c r="Q140" s="14"/>
      <c r="R140" s="15"/>
      <c r="S140" s="14"/>
      <c r="T140" s="15"/>
      <c r="U140" s="14"/>
      <c r="V140" s="15"/>
      <c r="W140" s="14"/>
      <c r="X140" s="15"/>
      <c r="Y140" s="14"/>
      <c r="Z140" s="15"/>
    </row>
    <row r="141" spans="1:26" x14ac:dyDescent="0.25">
      <c r="Q141" s="14"/>
      <c r="R141" s="15"/>
      <c r="S141" s="14"/>
      <c r="T141" s="15"/>
      <c r="U141" s="14"/>
      <c r="V141" s="15"/>
      <c r="W141" s="14"/>
      <c r="X141" s="15"/>
      <c r="Y141" s="14"/>
      <c r="Z141" s="15"/>
    </row>
    <row r="142" spans="1:26" x14ac:dyDescent="0.25">
      <c r="Q142" s="14"/>
      <c r="R142" s="15"/>
      <c r="S142" s="14"/>
      <c r="T142" s="15"/>
      <c r="U142" s="14"/>
      <c r="V142" s="15"/>
      <c r="W142" s="14"/>
      <c r="X142" s="15"/>
      <c r="Y142" s="14"/>
      <c r="Z142" s="15"/>
    </row>
    <row r="143" spans="1:26" x14ac:dyDescent="0.25">
      <c r="Q143" s="14"/>
      <c r="R143" s="15"/>
      <c r="S143" s="14"/>
      <c r="T143" s="15"/>
      <c r="U143" s="14"/>
      <c r="V143" s="15"/>
      <c r="W143" s="14"/>
      <c r="X143" s="15"/>
      <c r="Y143" s="14"/>
      <c r="Z143" s="15"/>
    </row>
    <row r="144" spans="1:26" x14ac:dyDescent="0.25">
      <c r="Q144" s="14"/>
      <c r="R144" s="15"/>
      <c r="S144" s="14"/>
      <c r="T144" s="15"/>
      <c r="U144" s="14"/>
      <c r="V144" s="15"/>
      <c r="W144" s="14"/>
      <c r="X144" s="15"/>
      <c r="Y144" s="14"/>
      <c r="Z144" s="15"/>
    </row>
    <row r="145" spans="1:26" x14ac:dyDescent="0.25">
      <c r="Q145" s="14"/>
      <c r="R145" s="15"/>
      <c r="S145" s="14"/>
      <c r="T145" s="15"/>
      <c r="U145" s="14"/>
      <c r="V145" s="15"/>
      <c r="W145" s="14"/>
      <c r="X145" s="15"/>
      <c r="Y145" s="14"/>
      <c r="Z145" s="15"/>
    </row>
    <row r="146" spans="1:26" x14ac:dyDescent="0.25">
      <c r="Q146" s="14"/>
      <c r="R146" s="15"/>
      <c r="S146" s="14"/>
      <c r="T146" s="15"/>
      <c r="U146" s="14"/>
      <c r="V146" s="15"/>
      <c r="W146" s="14"/>
      <c r="X146" s="15"/>
      <c r="Y146" s="14"/>
      <c r="Z146" s="15"/>
    </row>
    <row r="147" spans="1:26" x14ac:dyDescent="0.25">
      <c r="Q147" s="14"/>
      <c r="R147" s="15"/>
      <c r="S147" s="14"/>
      <c r="T147" s="15"/>
      <c r="U147" s="14"/>
      <c r="V147" s="15"/>
      <c r="W147" s="14"/>
      <c r="X147" s="15"/>
      <c r="Y147" s="14"/>
      <c r="Z147" s="15"/>
    </row>
    <row r="148" spans="1:26" x14ac:dyDescent="0.25">
      <c r="Q148" s="14"/>
      <c r="R148" s="15"/>
      <c r="S148" s="14"/>
      <c r="T148" s="15"/>
      <c r="U148" s="14"/>
      <c r="V148" s="15"/>
      <c r="W148" s="14"/>
      <c r="X148" s="15"/>
      <c r="Y148" s="14"/>
      <c r="Z148" s="15"/>
    </row>
    <row r="149" spans="1:26" x14ac:dyDescent="0.25">
      <c r="Q149" s="14"/>
      <c r="R149" s="15"/>
      <c r="S149" s="14"/>
      <c r="T149" s="15"/>
      <c r="U149" s="14"/>
      <c r="V149" s="15"/>
      <c r="W149" s="14"/>
      <c r="X149" s="15"/>
      <c r="Y149" s="14"/>
      <c r="Z149" s="15"/>
    </row>
    <row r="150" spans="1:26" x14ac:dyDescent="0.25">
      <c r="Q150" s="14"/>
      <c r="R150" s="15"/>
      <c r="S150" s="14"/>
      <c r="T150" s="15"/>
      <c r="U150" s="14"/>
      <c r="V150" s="15"/>
      <c r="W150" s="14"/>
      <c r="X150" s="15"/>
      <c r="Y150" s="14"/>
      <c r="Z150" s="15"/>
    </row>
    <row r="151" spans="1:26" x14ac:dyDescent="0.25">
      <c r="Q151" s="14"/>
      <c r="R151" s="15"/>
      <c r="S151" s="14"/>
      <c r="T151" s="15"/>
      <c r="U151" s="14"/>
      <c r="V151" s="15"/>
      <c r="W151" s="14"/>
      <c r="X151" s="15"/>
      <c r="Y151" s="14"/>
      <c r="Z151" s="15"/>
    </row>
    <row r="152" spans="1:26" x14ac:dyDescent="0.25">
      <c r="Q152" s="14"/>
      <c r="R152" s="15"/>
      <c r="S152" s="14"/>
      <c r="T152" s="15"/>
      <c r="U152" s="14"/>
      <c r="V152" s="15"/>
      <c r="W152" s="14"/>
      <c r="X152" s="15"/>
      <c r="Y152" s="14"/>
      <c r="Z152" s="15"/>
    </row>
    <row r="153" spans="1:26" x14ac:dyDescent="0.25">
      <c r="Q153" s="14"/>
      <c r="R153" s="15"/>
      <c r="S153" s="14"/>
      <c r="T153" s="15"/>
      <c r="U153" s="14"/>
      <c r="V153" s="15"/>
      <c r="W153" s="14"/>
      <c r="X153" s="15"/>
      <c r="Y153" s="14"/>
      <c r="Z153" s="15"/>
    </row>
    <row r="154" spans="1:26" x14ac:dyDescent="0.25">
      <c r="Q154" s="14"/>
      <c r="R154" s="15"/>
      <c r="S154" s="14"/>
      <c r="T154" s="15"/>
      <c r="U154" s="14"/>
      <c r="V154" s="15"/>
      <c r="W154" s="14"/>
      <c r="X154" s="15"/>
      <c r="Y154" s="14"/>
      <c r="Z154" s="15"/>
    </row>
    <row r="155" spans="1:26" x14ac:dyDescent="0.25">
      <c r="Q155" s="14"/>
      <c r="R155" s="15"/>
      <c r="S155" s="14"/>
      <c r="T155" s="15"/>
      <c r="U155" s="14"/>
      <c r="V155" s="15"/>
      <c r="W155" s="14"/>
      <c r="X155" s="15"/>
      <c r="Y155" s="14"/>
      <c r="Z155" s="15"/>
    </row>
    <row r="156" spans="1:26" x14ac:dyDescent="0.25">
      <c r="Q156" s="14"/>
      <c r="R156" s="15"/>
      <c r="S156" s="14"/>
      <c r="T156" s="15"/>
      <c r="U156" s="14"/>
      <c r="V156" s="15"/>
      <c r="W156" s="14"/>
      <c r="X156" s="15"/>
      <c r="Y156" s="14"/>
      <c r="Z156" s="15"/>
    </row>
    <row r="157" spans="1:26" x14ac:dyDescent="0.25">
      <c r="Q157" s="14"/>
      <c r="R157" s="15"/>
      <c r="S157" s="14"/>
      <c r="T157" s="15"/>
      <c r="U157" s="14"/>
      <c r="V157" s="15"/>
      <c r="W157" s="14"/>
      <c r="X157" s="15"/>
      <c r="Y157" s="14"/>
      <c r="Z157" s="15"/>
    </row>
    <row r="158" spans="1:26" x14ac:dyDescent="0.25">
      <c r="Q158" s="14"/>
      <c r="R158" s="15"/>
      <c r="S158" s="14"/>
      <c r="T158" s="15"/>
      <c r="U158" s="14"/>
      <c r="V158" s="15"/>
      <c r="W158" s="14"/>
      <c r="X158" s="15"/>
      <c r="Y158" s="14"/>
      <c r="Z158" s="15"/>
    </row>
    <row r="159" spans="1:26" x14ac:dyDescent="0.25">
      <c r="Q159" s="14"/>
      <c r="R159" s="15"/>
      <c r="S159" s="14"/>
      <c r="T159" s="15"/>
      <c r="U159" s="14"/>
      <c r="V159" s="15"/>
      <c r="W159" s="14"/>
      <c r="X159" s="15"/>
      <c r="Y159" s="14"/>
      <c r="Z159" s="15"/>
    </row>
    <row r="160" spans="1:26" x14ac:dyDescent="0.25">
      <c r="Q160" s="14"/>
      <c r="R160" s="15"/>
      <c r="S160" s="14"/>
      <c r="T160" s="15"/>
      <c r="U160" s="14"/>
      <c r="V160" s="15"/>
      <c r="W160" s="14"/>
      <c r="X160" s="15"/>
      <c r="Y160" s="14"/>
      <c r="Z160" s="15"/>
    </row>
    <row r="161" spans="1:26" x14ac:dyDescent="0.25">
      <c r="Q161" s="14"/>
      <c r="R161" s="15"/>
      <c r="S161" s="14"/>
      <c r="T161" s="15"/>
      <c r="U161" s="14"/>
      <c r="V161" s="15"/>
      <c r="W161" s="14"/>
      <c r="X161" s="15"/>
      <c r="Y161" s="14"/>
      <c r="Z161" s="15"/>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sheetData>
  <dataValidations count="12">
    <dataValidation type="list" allowBlank="1" sqref="L10:L1003">
      <formula1>"Must Have,Should Have,Could Have,Will not Have"</formula1>
    </dataValidation>
    <dataValidation type="list" allowBlank="1" sqref="L2:L1003">
      <formula1>"Must Have,Should Have,Could Have,Will not Have"</formula1>
    </dataValidation>
    <dataValidation type="list" allowBlank="1" sqref="Q10:Q1003">
      <formula1>"0,1,2,3,5,8,13,21,34,55,89"</formula1>
    </dataValidation>
    <dataValidation type="list" allowBlank="1" sqref="Q4:Q1003">
      <formula1>"0,1,2,3,5,8,13,21,34,55,89"</formula1>
    </dataValidation>
    <dataValidation type="list" allowBlank="1" sqref="S10:S1003">
      <formula1>"0,1,2,3,5,8,13,21,34,55,89"</formula1>
    </dataValidation>
    <dataValidation type="list" allowBlank="1" sqref="S4:S1003">
      <formula1>"0,1,2,3,5,8,13,21,34,55,89"</formula1>
    </dataValidation>
    <dataValidation type="list" allowBlank="1" sqref="U10:U1003">
      <formula1>"0,1,2,3,5,8,13,21,34,55,89"</formula1>
    </dataValidation>
    <dataValidation type="list" allowBlank="1" sqref="U2:U1003">
      <formula1>"0,1,2,3,5,8,13,21,34,55,89"</formula1>
    </dataValidation>
    <dataValidation type="list" allowBlank="1" sqref="W10:W1003">
      <formula1>"0,1,2,3,5,8,13,21,34,55,89"</formula1>
    </dataValidation>
    <dataValidation type="list" allowBlank="1" sqref="W2:W1003">
      <formula1>"0,1,2,3,5,8,13,21,34,55,89"</formula1>
    </dataValidation>
    <dataValidation type="list" allowBlank="1" sqref="Y10:Y1003">
      <formula1>"0,1,2,3,5,8,13,21,34,55,89"</formula1>
    </dataValidation>
    <dataValidation type="list" allowBlank="1" sqref="Y2:Y1003">
      <formula1>"0,1,2,3,5,8,13,21,34,55,89"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239</v>
      </c>
      <c r="B1" t="s">
        <v>3</v>
      </c>
      <c r="C1" t="s">
        <v>22</v>
      </c>
      <c r="D1" t="s">
        <v>240</v>
      </c>
      <c r="E1" t="s">
        <v>45</v>
      </c>
      <c r="F1" t="s">
        <v>241</v>
      </c>
      <c r="G1" t="s">
        <v>242</v>
      </c>
    </row>
    <row r="2" spans="1:1" s="1" customFormat="1" x14ac:dyDescent="0.25">
      <c r="A2" s="2" t="s">
        <v>243</v>
      </c>
    </row>
    <row r="3" spans="1:1" s="3" customFormat="1" x14ac:dyDescent="0.25">
      <c r="A3" s="4" t="s">
        <v>6</v>
      </c>
    </row>
    <row r="4" spans="1:1" s="5" customFormat="1" x14ac:dyDescent="0.25">
      <c r="A4" s="6" t="s">
        <v>244</v>
      </c>
    </row>
    <row r="9" spans="1:6" s="1" customFormat="1" x14ac:dyDescent="0.25">
      <c r="A9" s="2" t="s">
        <v>245</v>
      </c>
      <c r="B9" s="2"/>
      <c r="C9" s="2"/>
      <c r="D9" s="2"/>
      <c r="E9" s="2"/>
      <c r="F9" s="2"/>
    </row>
    <row r="10" spans="1:6" s="3" customFormat="1" x14ac:dyDescent="0.25">
      <c r="A10" s="4" t="s">
        <v>0</v>
      </c>
      <c r="B10" s="4" t="s">
        <v>85</v>
      </c>
      <c r="C10" s="4" t="s">
        <v>246</v>
      </c>
      <c r="D10" s="4" t="s">
        <v>247</v>
      </c>
      <c r="E10" s="4" t="s">
        <v>248</v>
      </c>
      <c r="F10" s="4" t="s">
        <v>9</v>
      </c>
    </row>
    <row r="11" spans="1:6" s="5" customFormat="1" x14ac:dyDescent="0.25">
      <c r="A11" s="7" t="s">
        <v>249</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250</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251</v>
      </c>
      <c r="B13" s="6">
        <f>ROUND((min(G33, F33) * (B$75/8)) * 40)</f>
      </c>
      <c r="C13" s="6">
        <f>ROUND((min(G34, F34) * (B$75/8)) * 40)</f>
      </c>
      <c r="D13" s="6">
        <f>ROUND((min(G35, F35) * (B$75/8)) * 40)</f>
      </c>
      <c r="E13" s="6">
        <f>ROUND((min(G36, F36) * (B$75/8)) * 40)</f>
      </c>
      <c r="F13" s="6">
        <f>SUM(B13:E13)</f>
      </c>
    </row>
    <row r="14" spans="1:6" s="5" customFormat="1" x14ac:dyDescent="0.25">
      <c r="A14" s="7" t="s">
        <v>252</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253</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254</v>
      </c>
      <c r="B21" s="6">
        <f>ROUND((min(C33, B33) * (B$67/8)) * 40)</f>
      </c>
      <c r="C21" s="6">
        <f>ROUND((min(C34, B34) * (B$67/8)) * 40)</f>
      </c>
      <c r="D21" s="6">
        <f>ROUND((min(C35, B35) * (B$67/8)) * 40)</f>
      </c>
      <c r="E21" s="6">
        <f>ROUND((min(C36, B36) * (B$67/8)) * 40)</f>
      </c>
      <c r="F21" s="6">
        <f>SUM(B21:E21)</f>
      </c>
    </row>
    <row r="22" spans="1:6" s="5" customFormat="1" x14ac:dyDescent="0.25">
      <c r="A22" s="7" t="s">
        <v>255</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256</v>
      </c>
      <c r="B26" s="9">
        <f>SUM(B11:B25)</f>
      </c>
      <c r="C26" s="9">
        <f>SUM(C11:C25)</f>
      </c>
      <c r="D26" s="9">
        <f>SUM(D11:D25)</f>
      </c>
      <c r="E26" s="9">
        <f>SUM(E11:E25)</f>
      </c>
      <c r="F26" s="9">
        <f>SUM(B26:E26)</f>
      </c>
    </row>
    <row r="31" spans="1:7" s="1" customFormat="1" x14ac:dyDescent="0.25">
      <c r="A31" s="2" t="s">
        <v>257</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85</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246</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247</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258</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259</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85</v>
      </c>
      <c r="B44" s="6">
        <f>ROUNDUP(B33 / 4)</f>
      </c>
      <c r="C44" s="6">
        <f>ROUNDUP(C33 / 4)</f>
      </c>
      <c r="D44" s="6">
        <f>ROUNDUP(D33 / 4)</f>
      </c>
      <c r="E44" s="6">
        <f>ROUNDUP(E33 / 4)</f>
      </c>
      <c r="F44" s="6">
        <f>ROUNDUP(F33 / 4)</f>
      </c>
      <c r="G44" s="6">
        <f>ROUNDUP(G33 / 4)</f>
      </c>
    </row>
    <row r="45" spans="1:7" s="5" customFormat="1" x14ac:dyDescent="0.25">
      <c r="A45" s="7" t="s">
        <v>246</v>
      </c>
      <c r="B45" s="6">
        <f>ROUNDUP(B34 / 4)</f>
      </c>
      <c r="C45" s="6">
        <f>ROUNDUP(C34 / 4)</f>
      </c>
      <c r="D45" s="6">
        <f>ROUNDUP(D34 / 4)</f>
      </c>
      <c r="E45" s="6">
        <f>ROUNDUP(E34 / 4)</f>
      </c>
      <c r="F45" s="6">
        <f>ROUNDUP(F34 / 4)</f>
      </c>
      <c r="G45" s="6">
        <f>ROUNDUP(G34 / 4)</f>
      </c>
    </row>
    <row r="46" spans="1:7" s="5" customFormat="1" x14ac:dyDescent="0.25">
      <c r="A46" s="7" t="s">
        <v>247</v>
      </c>
      <c r="B46" s="6">
        <f>ROUNDUP(B35 / 4)</f>
      </c>
      <c r="C46" s="6">
        <f>ROUNDUP(C35 / 4)</f>
      </c>
      <c r="D46" s="6">
        <f>ROUNDUP(D35 / 4)</f>
      </c>
      <c r="E46" s="6">
        <f>ROUNDUP(E35 / 4)</f>
      </c>
      <c r="F46" s="6">
        <f>ROUNDUP(F35 / 4)</f>
      </c>
      <c r="G46" s="6">
        <f>ROUNDUP(G35 / 4)</f>
      </c>
    </row>
    <row r="47" spans="1:7" s="5" customFormat="1" x14ac:dyDescent="0.25">
      <c r="A47" s="7" t="s">
        <v>258</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260</v>
      </c>
      <c r="B53" s="2"/>
      <c r="C53" s="2"/>
      <c r="D53" s="2"/>
    </row>
    <row r="54" spans="1:4" s="3" customFormat="1" x14ac:dyDescent="0.25">
      <c r="A54" s="4" t="s">
        <v>239</v>
      </c>
      <c r="B54" s="4" t="s">
        <v>3</v>
      </c>
      <c r="C54" s="4" t="s">
        <v>22</v>
      </c>
      <c r="D54" s="4" t="s">
        <v>240</v>
      </c>
    </row>
    <row r="55" spans="1:4" s="5" customFormat="1" x14ac:dyDescent="0.25">
      <c r="A55" s="6" t="s">
        <v>261</v>
      </c>
      <c r="B55" s="6" t="s">
        <v>261</v>
      </c>
      <c r="C55" s="6" t="s">
        <v>261</v>
      </c>
      <c r="D55" s="6" t="s">
        <v>261</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239</v>
      </c>
      <c r="B1" t="s">
        <v>3</v>
      </c>
      <c r="C1" t="s">
        <v>22</v>
      </c>
      <c r="D1" t="s">
        <v>240</v>
      </c>
      <c r="E1" t="s">
        <v>45</v>
      </c>
      <c r="F1" t="s">
        <v>241</v>
      </c>
      <c r="G1" t="s">
        <v>242</v>
      </c>
    </row>
    <row r="2" spans="1:1" s="1" customFormat="1" x14ac:dyDescent="0.25">
      <c r="A2" s="2" t="s">
        <v>243</v>
      </c>
    </row>
    <row r="3" spans="1:1" s="3" customFormat="1" x14ac:dyDescent="0.25">
      <c r="A3" s="4" t="s">
        <v>6</v>
      </c>
    </row>
    <row r="4" spans="1:1" s="5" customFormat="1" x14ac:dyDescent="0.25">
      <c r="A4" s="6" t="s">
        <v>262</v>
      </c>
    </row>
    <row r="9" spans="1:6" s="1" customFormat="1" x14ac:dyDescent="0.25">
      <c r="A9" s="2" t="s">
        <v>245</v>
      </c>
      <c r="B9" s="2"/>
      <c r="C9" s="2"/>
      <c r="D9" s="2"/>
      <c r="E9" s="2"/>
      <c r="F9" s="2"/>
    </row>
    <row r="10" spans="1:6" s="3" customFormat="1" x14ac:dyDescent="0.25">
      <c r="A10" s="4" t="s">
        <v>0</v>
      </c>
      <c r="B10" s="4" t="s">
        <v>85</v>
      </c>
      <c r="C10" s="4" t="s">
        <v>246</v>
      </c>
      <c r="D10" s="4" t="s">
        <v>247</v>
      </c>
      <c r="E10" s="4" t="s">
        <v>248</v>
      </c>
      <c r="F10" s="4" t="s">
        <v>9</v>
      </c>
    </row>
    <row r="11" spans="1:6" s="5" customFormat="1" x14ac:dyDescent="0.25">
      <c r="A11" s="7" t="s">
        <v>249</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250</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251</v>
      </c>
      <c r="B13" s="6">
        <f>ROUND((min(G33, F33) * (B$75/8)) * 40)</f>
      </c>
      <c r="C13" s="6">
        <f>ROUND((min(G34, F34) * (B$75/8)) * 40)</f>
      </c>
      <c r="D13" s="6">
        <f>ROUND((min(G35, F35) * (B$75/8)) * 40)</f>
      </c>
      <c r="E13" s="6">
        <f>ROUND((min(G36, F36) * (B$75/8)) * 40)</f>
      </c>
      <c r="F13" s="6">
        <f>SUM(B13:E13)</f>
      </c>
    </row>
    <row r="14" spans="1:6" s="5" customFormat="1" x14ac:dyDescent="0.25">
      <c r="A14" s="7" t="s">
        <v>252</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253</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254</v>
      </c>
      <c r="B21" s="6">
        <f>ROUND((min(C33, B33) * (B$67/8)) * 40)</f>
      </c>
      <c r="C21" s="6">
        <f>ROUND((min(C34, B34) * (B$67/8)) * 40)</f>
      </c>
      <c r="D21" s="6">
        <f>ROUND((min(C35, B35) * (B$67/8)) * 40)</f>
      </c>
      <c r="E21" s="6">
        <f>ROUND((min(C36, B36) * (B$67/8)) * 40)</f>
      </c>
      <c r="F21" s="6">
        <f>SUM(B21:E21)</f>
      </c>
    </row>
    <row r="22" spans="1:6" s="5" customFormat="1" x14ac:dyDescent="0.25">
      <c r="A22" s="7" t="s">
        <v>255</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256</v>
      </c>
      <c r="B26" s="9">
        <f>SUM(B11:B25)</f>
      </c>
      <c r="C26" s="9">
        <f>SUM(C11:C25)</f>
      </c>
      <c r="D26" s="9">
        <f>SUM(D11:D25)</f>
      </c>
      <c r="E26" s="9">
        <f>SUM(E11:E25)</f>
      </c>
      <c r="F26" s="9">
        <f>SUM(B26:E26)</f>
      </c>
    </row>
    <row r="31" spans="1:7" s="1" customFormat="1" x14ac:dyDescent="0.25">
      <c r="A31" s="2" t="s">
        <v>257</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85</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246</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247</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258</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259</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85</v>
      </c>
      <c r="B44" s="6">
        <f>ROUNDUP(B33 / 4)</f>
      </c>
      <c r="C44" s="6">
        <f>ROUNDUP(C33 / 4)</f>
      </c>
      <c r="D44" s="6">
        <f>ROUNDUP(D33 / 4)</f>
      </c>
      <c r="E44" s="6">
        <f>ROUNDUP(E33 / 4)</f>
      </c>
      <c r="F44" s="6">
        <f>ROUNDUP(F33 / 4)</f>
      </c>
      <c r="G44" s="6">
        <f>ROUNDUP(G33 / 4)</f>
      </c>
    </row>
    <row r="45" spans="1:7" s="5" customFormat="1" x14ac:dyDescent="0.25">
      <c r="A45" s="7" t="s">
        <v>246</v>
      </c>
      <c r="B45" s="6">
        <f>ROUNDUP(B34 / 4)</f>
      </c>
      <c r="C45" s="6">
        <f>ROUNDUP(C34 / 4)</f>
      </c>
      <c r="D45" s="6">
        <f>ROUNDUP(D34 / 4)</f>
      </c>
      <c r="E45" s="6">
        <f>ROUNDUP(E34 / 4)</f>
      </c>
      <c r="F45" s="6">
        <f>ROUNDUP(F34 / 4)</f>
      </c>
      <c r="G45" s="6">
        <f>ROUNDUP(G34 / 4)</f>
      </c>
    </row>
    <row r="46" spans="1:7" s="5" customFormat="1" x14ac:dyDescent="0.25">
      <c r="A46" s="7" t="s">
        <v>247</v>
      </c>
      <c r="B46" s="6">
        <f>ROUNDUP(B35 / 4)</f>
      </c>
      <c r="C46" s="6">
        <f>ROUNDUP(C35 / 4)</f>
      </c>
      <c r="D46" s="6">
        <f>ROUNDUP(D35 / 4)</f>
      </c>
      <c r="E46" s="6">
        <f>ROUNDUP(E35 / 4)</f>
      </c>
      <c r="F46" s="6">
        <f>ROUNDUP(F35 / 4)</f>
      </c>
      <c r="G46" s="6">
        <f>ROUNDUP(G35 / 4)</f>
      </c>
    </row>
    <row r="47" spans="1:7" s="5" customFormat="1" x14ac:dyDescent="0.25">
      <c r="A47" s="7" t="s">
        <v>258</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260</v>
      </c>
      <c r="B53" s="2"/>
      <c r="C53" s="2"/>
      <c r="D53" s="2"/>
    </row>
    <row r="54" spans="1:4" s="3" customFormat="1" x14ac:dyDescent="0.25">
      <c r="A54" s="4" t="s">
        <v>239</v>
      </c>
      <c r="B54" s="4" t="s">
        <v>3</v>
      </c>
      <c r="C54" s="4" t="s">
        <v>22</v>
      </c>
      <c r="D54" s="4" t="s">
        <v>240</v>
      </c>
    </row>
    <row r="55" spans="1:4" s="5" customFormat="1" x14ac:dyDescent="0.25">
      <c r="A55" s="6" t="s">
        <v>261</v>
      </c>
      <c r="B55" s="6" t="s">
        <v>261</v>
      </c>
      <c r="C55" s="6" t="s">
        <v>261</v>
      </c>
      <c r="D55" s="6" t="s">
        <v>261</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FormatPr defaultRowHeight="25" outlineLevelRow="0" outlineLevelCol="0" x14ac:dyDescent="55" defaultColWidth="20" customHeight="1"/>
  <cols>
    <col min="1" max="1" width="20" customWidth="1"/>
  </cols>
  <sheetData>
    <row r="1" hidden="1" spans="1:7" x14ac:dyDescent="0.25">
      <c r="A1" t="s">
        <v>263</v>
      </c>
      <c r="B1" t="s">
        <v>264</v>
      </c>
      <c r="C1" t="s">
        <v>265</v>
      </c>
      <c r="D1" t="s">
        <v>266</v>
      </c>
      <c r="E1" t="s">
        <v>267</v>
      </c>
      <c r="F1" t="s">
        <v>268</v>
      </c>
      <c r="G1" t="s">
        <v>269</v>
      </c>
    </row>
    <row r="2" spans="1:7" s="1" customFormat="1" x14ac:dyDescent="0.25">
      <c r="A2" s="2" t="s">
        <v>270</v>
      </c>
      <c r="B2" s="2"/>
      <c r="C2" s="2"/>
      <c r="D2" s="2"/>
      <c r="E2" s="2"/>
      <c r="F2" s="2"/>
      <c r="G2" s="2"/>
    </row>
    <row r="3" spans="1:7" s="3" customFormat="1" x14ac:dyDescent="0.25">
      <c r="A3" s="4" t="s">
        <v>271</v>
      </c>
      <c r="B3" s="4" t="s">
        <v>272</v>
      </c>
      <c r="C3" s="4" t="s">
        <v>273</v>
      </c>
      <c r="D3" s="4" t="s">
        <v>266</v>
      </c>
      <c r="E3" s="4" t="s">
        <v>267</v>
      </c>
      <c r="F3" s="4" t="s">
        <v>268</v>
      </c>
      <c r="G3" s="4" t="s">
        <v>269</v>
      </c>
    </row>
    <row r="4" spans="1:7" s="5" customFormat="1" x14ac:dyDescent="0.25">
      <c r="A4" s="6">
        <v>1</v>
      </c>
      <c r="B4" s="6" t="s">
        <v>274</v>
      </c>
      <c r="C4" s="6">
        <v>0.5</v>
      </c>
      <c r="D4" s="6">
        <v>0.5</v>
      </c>
      <c r="E4" s="6">
        <v>1</v>
      </c>
      <c r="F4" s="6">
        <v>100</v>
      </c>
      <c r="G4" s="6">
        <v>100</v>
      </c>
    </row>
    <row r="5" spans="1:7" s="5" customFormat="1" x14ac:dyDescent="0.25">
      <c r="A5" s="6">
        <v>2</v>
      </c>
      <c r="B5" s="6" t="s">
        <v>275</v>
      </c>
      <c r="C5" s="6">
        <v>1</v>
      </c>
      <c r="D5" s="6">
        <v>0.5</v>
      </c>
      <c r="E5" s="6">
        <v>1</v>
      </c>
      <c r="F5" s="6">
        <v>50</v>
      </c>
      <c r="G5" s="6">
        <v>50</v>
      </c>
    </row>
    <row r="6" spans="1:7" s="5" customFormat="1" x14ac:dyDescent="0.25">
      <c r="A6" s="6">
        <v>3</v>
      </c>
      <c r="B6" s="6" t="s">
        <v>276</v>
      </c>
      <c r="C6" s="6">
        <v>2</v>
      </c>
      <c r="D6" s="6">
        <v>1</v>
      </c>
      <c r="E6" s="6">
        <v>1</v>
      </c>
      <c r="F6" s="6">
        <v>50</v>
      </c>
      <c r="G6" s="6">
        <v>33.34</v>
      </c>
    </row>
    <row r="7" spans="1:7" s="5" customFormat="1" x14ac:dyDescent="0.25">
      <c r="A7" s="6">
        <v>5</v>
      </c>
      <c r="B7" s="6" t="s">
        <v>277</v>
      </c>
      <c r="C7" s="6">
        <v>4</v>
      </c>
      <c r="D7" s="6">
        <v>2</v>
      </c>
      <c r="E7" s="6">
        <v>2</v>
      </c>
      <c r="F7" s="6">
        <v>50</v>
      </c>
      <c r="G7" s="6">
        <v>40</v>
      </c>
    </row>
    <row r="8" spans="1:7" s="5" customFormat="1" x14ac:dyDescent="0.25">
      <c r="A8" s="6">
        <v>8</v>
      </c>
      <c r="B8" s="6" t="s">
        <v>278</v>
      </c>
      <c r="C8" s="6">
        <v>7</v>
      </c>
      <c r="D8" s="6">
        <v>3</v>
      </c>
      <c r="E8" s="6">
        <v>3</v>
      </c>
      <c r="F8" s="6">
        <v>42.86</v>
      </c>
      <c r="G8" s="6">
        <v>37.5</v>
      </c>
    </row>
    <row r="9" spans="1:7" s="5" customFormat="1" x14ac:dyDescent="0.25">
      <c r="A9" s="6">
        <v>13</v>
      </c>
      <c r="B9" s="6" t="s">
        <v>279</v>
      </c>
      <c r="C9" s="6">
        <v>11</v>
      </c>
      <c r="D9" s="6">
        <v>4</v>
      </c>
      <c r="E9" s="6">
        <v>5</v>
      </c>
      <c r="F9" s="6">
        <v>36.37</v>
      </c>
      <c r="G9" s="6">
        <v>38.47</v>
      </c>
    </row>
    <row r="10" spans="1:7" s="5" customFormat="1" x14ac:dyDescent="0.25">
      <c r="A10" s="6">
        <v>21</v>
      </c>
      <c r="B10" s="6" t="s">
        <v>280</v>
      </c>
      <c r="C10" s="6">
        <v>16</v>
      </c>
      <c r="D10" s="6">
        <v>5</v>
      </c>
      <c r="E10" s="6">
        <v>8</v>
      </c>
      <c r="F10" s="6">
        <v>31.25</v>
      </c>
      <c r="G10" s="6">
        <v>38.1</v>
      </c>
    </row>
    <row r="11" spans="1:7" s="5" customFormat="1" x14ac:dyDescent="0.25">
      <c r="A11" s="6">
        <v>34</v>
      </c>
      <c r="B11" s="6" t="s">
        <v>281</v>
      </c>
      <c r="C11" s="6">
        <v>24</v>
      </c>
      <c r="D11" s="6">
        <v>8</v>
      </c>
      <c r="E11" s="6">
        <v>13</v>
      </c>
      <c r="F11" s="6">
        <v>33.34</v>
      </c>
      <c r="G11" s="6">
        <v>38.24</v>
      </c>
    </row>
    <row r="12" spans="1:7" s="5" customFormat="1" x14ac:dyDescent="0.25">
      <c r="A12" s="6">
        <v>55</v>
      </c>
      <c r="B12" s="6" t="s">
        <v>282</v>
      </c>
      <c r="C12" s="6">
        <v>40</v>
      </c>
      <c r="D12" s="6">
        <v>16</v>
      </c>
      <c r="E12" s="6">
        <v>21</v>
      </c>
      <c r="F12" s="6">
        <v>40</v>
      </c>
      <c r="G12" s="6">
        <v>38.19</v>
      </c>
    </row>
    <row r="13" spans="1:7" s="5" customFormat="1" x14ac:dyDescent="0.25">
      <c r="A13" s="6">
        <v>89</v>
      </c>
      <c r="B13" s="6" t="s">
        <v>283</v>
      </c>
      <c r="C13" s="6">
        <v>60</v>
      </c>
      <c r="D13" s="6">
        <v>20</v>
      </c>
      <c r="E13" s="6">
        <v>34</v>
      </c>
      <c r="F13" s="6">
        <v>33.34</v>
      </c>
      <c r="G13" s="6">
        <v>38.21</v>
      </c>
    </row>
    <row r="18" spans="1:3" s="1" customFormat="1" x14ac:dyDescent="0.25">
      <c r="A18" s="2" t="s">
        <v>284</v>
      </c>
      <c r="B18" s="2"/>
      <c r="C18" s="2"/>
    </row>
    <row r="19" spans="1:3" s="3" customFormat="1" x14ac:dyDescent="0.25">
      <c r="A19" s="4" t="s">
        <v>285</v>
      </c>
      <c r="B19" s="4" t="s">
        <v>264</v>
      </c>
      <c r="C19" s="4" t="s">
        <v>265</v>
      </c>
    </row>
    <row r="20" spans="1:3" s="5" customFormat="1" x14ac:dyDescent="0.25">
      <c r="A20" s="6" t="s">
        <v>286</v>
      </c>
      <c r="B20" s="6" t="s">
        <v>287</v>
      </c>
      <c r="C20" s="6">
        <v>32</v>
      </c>
    </row>
    <row r="21" spans="1:3" s="5" customFormat="1" x14ac:dyDescent="0.25">
      <c r="A21" s="6" t="s">
        <v>288</v>
      </c>
      <c r="B21" s="6" t="s">
        <v>289</v>
      </c>
      <c r="C21" s="6">
        <v>72</v>
      </c>
    </row>
    <row r="22" spans="1:3" s="5" customFormat="1" x14ac:dyDescent="0.25">
      <c r="A22" s="6" t="s">
        <v>290</v>
      </c>
      <c r="B22" s="6" t="s">
        <v>291</v>
      </c>
      <c r="C22" s="6">
        <v>73</v>
      </c>
    </row>
    <row r="27" spans="1:1" s="1" customFormat="1" x14ac:dyDescent="0.25">
      <c r="A27" s="2" t="s">
        <v>292</v>
      </c>
    </row>
    <row r="28" spans="1:1" s="3" customFormat="1" x14ac:dyDescent="0.25">
      <c r="A28" s="4" t="s">
        <v>263</v>
      </c>
    </row>
    <row r="29" spans="1:1" s="5" customFormat="1" x14ac:dyDescent="0.25">
      <c r="A29" s="6" t="s">
        <v>85</v>
      </c>
    </row>
    <row r="30" spans="1:1" s="5" customFormat="1" x14ac:dyDescent="0.25">
      <c r="A30" s="6" t="s">
        <v>247</v>
      </c>
    </row>
    <row r="31" spans="1:1" s="5" customFormat="1" x14ac:dyDescent="0.25">
      <c r="A31" s="6" t="s">
        <v>246</v>
      </c>
    </row>
    <row r="32" spans="1:1" s="5" customFormat="1" x14ac:dyDescent="0.25">
      <c r="A32" s="6" t="s">
        <v>248</v>
      </c>
    </row>
  </sheetData>
  <mergeCells count="2">
    <mergeCell ref="A2:G2"/>
    <mergeCell ref="A18:C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Summary</vt:lpstr>
      <vt:lpstr>Customer App - Dev</vt:lpstr>
      <vt:lpstr>Third Party - Dev</vt:lpstr>
      <vt:lpstr>Customer App - Summary</vt:lpstr>
      <vt:lpstr>Third Party - Summary</vt:lpstr>
      <vt:lpstr>Points-Table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2026-02-26T18:46:27Z</dcterms:created>
  <dcterms:modified xsi:type="dcterms:W3CDTF">2026-02-26T18:46:27Z</dcterms:modified>
</cp:coreProperties>
</file>