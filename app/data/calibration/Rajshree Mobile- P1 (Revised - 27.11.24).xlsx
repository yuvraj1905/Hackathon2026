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Mobile App - CR - Dev" state="visible" r:id="rId5"/>
    <sheet sheetId="3" name="Mobile App - Dev" state="visible" r:id="rId6"/>
    <sheet sheetId="4" name="Mobile App - CR - Summary" state="visible" r:id="rId7"/>
    <sheet sheetId="5" name="Mobile App - Summary" state="visible" r:id="rId8"/>
    <sheet sheetId="6" name="Points-Table" state="visible" r:id="rId9"/>
  </sheets>
  <calcPr calcId="171027"/>
</workbook>
</file>

<file path=xl/sharedStrings.xml><?xml version="1.0" encoding="utf-8"?>
<sst xmlns="http://schemas.openxmlformats.org/spreadsheetml/2006/main" count="891" uniqueCount="267">
  <si>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</si>
  <si>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</si>
  <si>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</si>
  <si>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</si>
  <si>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</si>
  <si>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</si>
  <si>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</si>
  <si>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</si>
  <si>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</si>
  <si>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</si>
  <si>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</si>
  <si>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</si>
  <si>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</si>
  <si>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</si>
  <si>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</si>
  <si>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</si>
  <si>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</si>
  <si>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</si>
  <si>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</si>
  <si>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</si>
  <si>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</si>
  <si>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</si>
  <si>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</si>
  <si>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</si>
  <si>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</si>
  <si>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</si>
  <si>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</si>
  <si>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SSE</t>
  </si>
  <si>
    <t>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</si>
  <si>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</si>
  <si>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</si>
  <si>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</si>
  <si>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</si>
  <si>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</si>
  <si>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</si>
  <si>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</si>
  <si>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</si>
  <si>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</si>
  <si>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</si>
  <si>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</si>
  <si>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</si>
  <si>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</si>
  <si>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</si>
  <si>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</si>
  <si>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</si>
  <si>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</si>
  <si>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</si>
  <si>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</si>
  <si>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</si>
  <si>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</si>
  <si>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</si>
  <si>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Mobile App</t>
  </si>
  <si>
    <t>Mobile App - Summary</t>
  </si>
  <si>
    <t>Mobile App - CR</t>
  </si>
  <si>
    <t>Mobile App - CR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</si>
  <si>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</si>
  <si>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</si>
  <si>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</si>
  <si>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</si>
  <si>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</si>
  <si>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</si>
  <si>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</si>
  <si>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</si>
  <si>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</si>
  <si>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</si>
  <si>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</si>
  <si>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</si>
  <si>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</si>
  <si>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</si>
  <si>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</si>
  <si>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</si>
  <si>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</si>
  <si>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</si>
  <si>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</si>
  <si>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</si>
  <si>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</si>
  <si>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</si>
  <si>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</si>
  <si>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</si>
  <si>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</si>
  <si>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</si>
  <si>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</si>
  <si>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Testimonials</t>
  </si>
  <si>
    <t>Listing of carousals</t>
  </si>
  <si>
    <t xml:space="preserve">Multiple scrollable cards </t>
  </si>
  <si>
    <t>Simple</t>
  </si>
  <si>
    <t>Must Have</t>
  </si>
  <si>
    <t>API Integration</t>
  </si>
  <si>
    <t>Project Set up</t>
  </si>
  <si>
    <t>Splash screen</t>
  </si>
  <si>
    <t>Onboarding screens</t>
  </si>
  <si>
    <t>3 screens with embedded images about the product</t>
  </si>
  <si>
    <t>Registration and Login</t>
  </si>
  <si>
    <t>Login</t>
  </si>
  <si>
    <t>Phone</t>
  </si>
  <si>
    <t>We will be using the existing login flow built for web app, Flag for identifying if MPIN/biometric setup is done or not will be added in this API.</t>
  </si>
  <si>
    <t>OTP auth</t>
  </si>
  <si>
    <t>MPIN auth</t>
  </si>
  <si>
    <t>Forgot MPIN</t>
  </si>
  <si>
    <t>Social Login</t>
  </si>
  <si>
    <t>Google and Facebook</t>
  </si>
  <si>
    <t>We will be using the existing login flow built for web app, firebase config will be provided by rajshree team, Rajshree team will help in setting up facebook SDK &amp; google developer account needed for social signin.</t>
  </si>
  <si>
    <t>Biometric auth</t>
  </si>
  <si>
    <t>We need two APIs for this one for storing biometric hash and other for validating the hash.</t>
  </si>
  <si>
    <t>Disclaimer</t>
  </si>
  <si>
    <t>This will be shown once completion of signup flow</t>
  </si>
  <si>
    <t>Guest user flow</t>
  </si>
  <si>
    <t>User can skip sign-in and explore other screens. Auth actions will be restricted. User will have proceed with sign in for that.</t>
  </si>
  <si>
    <t xml:space="preserve">Home </t>
  </si>
  <si>
    <t>Hero section</t>
  </si>
  <si>
    <t>4-5 auto scrollable banner images</t>
  </si>
  <si>
    <t>Upcoming attraction &amp; Monthly lotteries</t>
  </si>
  <si>
    <t>Recent Winners</t>
  </si>
  <si>
    <t>How to play out lotteries?</t>
  </si>
  <si>
    <t>Youtube video URL will be shared</t>
  </si>
  <si>
    <t>Header</t>
  </si>
  <si>
    <t>Lotteries</t>
  </si>
  <si>
    <t>List</t>
  </si>
  <si>
    <t>Filters</t>
  </si>
  <si>
    <t>Weeky lotteries replaced with daily lottery. This will be handled in FE.</t>
  </si>
  <si>
    <t>Results</t>
  </si>
  <si>
    <t>Latest Result</t>
  </si>
  <si>
    <t>All winners of last draw</t>
  </si>
  <si>
    <t>Filter</t>
  </si>
  <si>
    <t>Live Draw</t>
  </si>
  <si>
    <t>Youtube channel details will be shared by Rajshree team. This is not specific to the draw date.</t>
  </si>
  <si>
    <t>Result check</t>
  </si>
  <si>
    <t>Search with ticket number</t>
  </si>
  <si>
    <t>BE team will have to build a new API for this.</t>
  </si>
  <si>
    <t>Ticket scan</t>
  </si>
  <si>
    <t>Winners</t>
  </si>
  <si>
    <t>Filters removed from this screen.</t>
  </si>
  <si>
    <t>Lottery Details</t>
  </si>
  <si>
    <t>Lottery content</t>
  </si>
  <si>
    <t>Lucky pick</t>
  </si>
  <si>
    <t>Select draw date &amp; bunch</t>
  </si>
  <si>
    <t>Add to cart</t>
  </si>
  <si>
    <t>Choose ticket number</t>
  </si>
  <si>
    <t>Select ticket</t>
  </si>
  <si>
    <t>Price summary</t>
  </si>
  <si>
    <t>Prefill cart data</t>
  </si>
  <si>
    <t>Cart data will be pre-filled if there is existing data in cart</t>
  </si>
  <si>
    <t>My Cart</t>
  </si>
  <si>
    <t>Cart content</t>
  </si>
  <si>
    <t>Add more tickets/Delete</t>
  </si>
  <si>
    <t>Addition of tickets will take user to specific lottery screen</t>
  </si>
  <si>
    <t>Delivery type</t>
  </si>
  <si>
    <t>Coupons and promocodes</t>
  </si>
  <si>
    <t>Coupon/promocode apply</t>
  </si>
  <si>
    <t>BE team will provide API for this.</t>
  </si>
  <si>
    <t>Coupon/promocode list</t>
  </si>
  <si>
    <t>Recharge wallet</t>
  </si>
  <si>
    <t>Summary</t>
  </si>
  <si>
    <t>Payment Flow</t>
  </si>
  <si>
    <t>User can proceed with combined lucky pick &amp; choose ticket flow., If requested amount is available in wallet then order will be placed immediately by deducting money from wallet, If requested amount is not available the user will be proceed to payment gateway for payment completion. Post successful payment amount will be added to users wallet and order will be placed from the account by deducting the requested amount.</t>
  </si>
  <si>
    <t>Order confirmation</t>
  </si>
  <si>
    <t>Post order confirmation, we will show the order confirmation screen to the user.</t>
  </si>
  <si>
    <t>Account</t>
  </si>
  <si>
    <t>My Account</t>
  </si>
  <si>
    <t>Account section tabs</t>
  </si>
  <si>
    <t>Display pic</t>
  </si>
  <si>
    <t>My Profile</t>
  </si>
  <si>
    <t>Personal details</t>
  </si>
  <si>
    <t>Name, Email, DOB, Display pics, Gender</t>
  </si>
  <si>
    <t>My Address</t>
  </si>
  <si>
    <t>Address form with Save option</t>
  </si>
  <si>
    <t>Address is combined with personal details</t>
  </si>
  <si>
    <t>KYC</t>
  </si>
  <si>
    <t>PAN card</t>
  </si>
  <si>
    <t>Other document</t>
  </si>
  <si>
    <t>BE team will add support for voter ID &amp; driving licence, Verification process is manual</t>
  </si>
  <si>
    <t>Bank/UPI</t>
  </si>
  <si>
    <t>Bank Account details</t>
  </si>
  <si>
    <t>There can be only one primary bank beneficiary.(One of the Bank A/C or UPI)</t>
  </si>
  <si>
    <t>Upi details</t>
  </si>
  <si>
    <t>BE team will share new API for addition and verification.</t>
  </si>
  <si>
    <t>Change MPIN</t>
  </si>
  <si>
    <t>My Orders</t>
  </si>
  <si>
    <t>All orders</t>
  </si>
  <si>
    <t>Search &amp; Filter</t>
  </si>
  <si>
    <t>Filter by last month, last 3 months and custom date range</t>
  </si>
  <si>
    <t>BE team will add support for search &amp; filter</t>
  </si>
  <si>
    <t>Invoice</t>
  </si>
  <si>
    <t>BE team will share API details for this</t>
  </si>
  <si>
    <t>Could Have</t>
  </si>
  <si>
    <t>Order details</t>
  </si>
  <si>
    <t>BE team will add state info against lottery</t>
  </si>
  <si>
    <t>Claim info &amp; form</t>
  </si>
  <si>
    <t>We will use the link provided in https://myrajshree.com/claims</t>
  </si>
  <si>
    <t>Other Info</t>
  </si>
  <si>
    <t>Act &amp; Rules</t>
  </si>
  <si>
    <t>About Us</t>
  </si>
  <si>
    <t>Video tutorials</t>
  </si>
  <si>
    <t>News and Updates</t>
  </si>
  <si>
    <t>Contact Us</t>
  </si>
  <si>
    <t>Privacy policy</t>
  </si>
  <si>
    <t>T&amp;C</t>
  </si>
  <si>
    <t>FAQs</t>
  </si>
  <si>
    <t>Logout</t>
  </si>
  <si>
    <t>My Wallet</t>
  </si>
  <si>
    <t>My wallet home screen</t>
  </si>
  <si>
    <t>With Total Balance, deposit, promo balance, and withdrawn amount</t>
  </si>
  <si>
    <t>Transaction history</t>
  </si>
  <si>
    <t>All, Played, and Won</t>
  </si>
  <si>
    <t>Withdraw</t>
  </si>
  <si>
    <t>Add money to wallet</t>
  </si>
  <si>
    <t>Notifications</t>
  </si>
  <si>
    <t xml:space="preserve">Result notifications </t>
  </si>
  <si>
    <t xml:space="preserve">Push notifications and InApp
Push Notifications:
Bonus Offers, Ticket Check Results: Notify users immediately when their tickets win, Ticket Expiration Reminders: Remind users to check their tickets before expiration. Last-Minute Ticket Purchases: Remind users of upcoming deadlines for ticket purchases, Live Draw Alerts: Notify users when live draws are starting, Countdown to Draws: Create excitement by counting down to draw times, Avoid spamming</t>
  </si>
  <si>
    <t>Push notification set up &amp; sending of notification will be done from BE, Notifications display &amp; handling will be done in FE</t>
  </si>
  <si>
    <t>Notifications list</t>
  </si>
  <si>
    <t>BE team will share API for this. Also, they will share the different types for notifications.</t>
  </si>
  <si>
    <t>Bottom Nav Bar</t>
  </si>
  <si>
    <t>Home, Results, and My cart</t>
  </si>
  <si>
    <t>Frontend</t>
  </si>
  <si>
    <t>General Assumption</t>
  </si>
  <si>
    <t>Fe Max</t>
  </si>
  <si>
    <t>Fe Min</t>
  </si>
  <si>
    <t>Development  Sheet</t>
  </si>
  <si>
    <t>Mobile App - CR - Dev</t>
  </si>
  <si>
    <t>App  Summary</t>
  </si>
  <si>
    <t>Should Have</t>
  </si>
  <si>
    <t>Will not Have</t>
  </si>
  <si>
    <t>UX/UI WireFrame</t>
  </si>
  <si>
    <t>UX/UI Visual Design</t>
  </si>
  <si>
    <t>UX/UI Lead</t>
  </si>
  <si>
    <t>UX/UI Review</t>
  </si>
  <si>
    <t>Web / Mobile</t>
  </si>
  <si>
    <t>Qa</t>
  </si>
  <si>
    <t>Ba</t>
  </si>
  <si>
    <t>Total</t>
  </si>
  <si>
    <t>Development  Timeline ( Weeks)</t>
  </si>
  <si>
    <t>Will Not Have</t>
  </si>
  <si>
    <t>Development  Timeline ( Months)</t>
  </si>
  <si>
    <t>Tech  Details</t>
  </si>
  <si>
    <t>Not added yet</t>
  </si>
  <si>
    <t>Mobile App - Dev</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</si>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</sst>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9">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
      <patternFill patternType="solid">
        <fgColor rgb="#f3cccb"/>
        <bgColor rgb="#f3cccb"/>
      </patternFill>
    </fill>
  </fills>
  <borders count="2">
    <border>
      <left/>
      <right/>
      <top/>
      <bottom/>
      <diagonal/>
    </border>
    <border>
      <left style="double"/>
      <right style="double"/>
      <top style="double"/>
      <bottom style="double"/>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0" fillId="6" borderId="0" xfId="0" applyFill="1"/>
    <xf numFmtId="0" fontId="0" fillId="7" borderId="0" xfId="0" applyFill="1"/>
    <xf numFmtId="0" fontId="3" fillId="8"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ROUND(SUM(E55,F55))</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ROUND(SUM(C55,D55))</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0</v>
      </c>
    </row>
    <row r="16" spans="1:2" s="5" customFormat="1" x14ac:dyDescent="0.25">
      <c r="A16" s="6" t="s">
        <v>22</v>
      </c>
      <c r="B16" s="6">
        <v>0</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0</v>
      </c>
    </row>
    <row r="25" spans="1:3" s="5" customFormat="1" x14ac:dyDescent="0.25">
      <c r="A25" s="7" t="s">
        <v>26</v>
      </c>
      <c r="B25" s="6" t="s">
        <v>28</v>
      </c>
      <c r="C25" s="6">
        <v>2</v>
      </c>
    </row>
    <row r="26" spans="1:3" s="5" customFormat="1" x14ac:dyDescent="0.25">
      <c r="A26" s="7" t="s">
        <v>29</v>
      </c>
      <c r="B26" s="6" t="s">
        <v>28</v>
      </c>
      <c r="C26" s="6">
        <v>0</v>
      </c>
    </row>
    <row r="27" spans="1:3" s="5" customFormat="1" x14ac:dyDescent="0.25">
      <c r="A27" s="7" t="s">
        <v>29</v>
      </c>
      <c r="B27" s="6" t="s">
        <v>27</v>
      </c>
      <c r="C27" s="6">
        <v>0</v>
      </c>
    </row>
    <row r="28" spans="1:3" s="5" customFormat="1" x14ac:dyDescent="0.25">
      <c r="A28" s="7" t="s">
        <v>30</v>
      </c>
      <c r="B28" s="6" t="s">
        <v>31</v>
      </c>
      <c r="C28" s="6">
        <v>2</v>
      </c>
    </row>
    <row r="33" spans="1:2" s="1" customFormat="1" x14ac:dyDescent="0.25">
      <c r="A33" s="2" t="s">
        <v>32</v>
      </c>
      <c r="B33" s="2"/>
    </row>
    <row r="34" spans="1:2" s="3" customFormat="1" x14ac:dyDescent="0.25">
      <c r="A34" s="4" t="s">
        <v>8</v>
      </c>
      <c r="B34" s="4" t="s">
        <v>33</v>
      </c>
    </row>
    <row r="35" spans="1:2" s="5" customFormat="1" x14ac:dyDescent="0.25">
      <c r="A35" s="7" t="s">
        <v>34</v>
      </c>
      <c r="B35" s="6">
        <v>2</v>
      </c>
    </row>
    <row r="36" spans="1:2" s="5" customFormat="1" x14ac:dyDescent="0.25">
      <c r="A36" s="7" t="s">
        <v>35</v>
      </c>
      <c r="B36" s="6">
        <v>4</v>
      </c>
    </row>
    <row r="37" spans="1:2" s="5" customFormat="1" x14ac:dyDescent="0.25">
      <c r="A37" s="7" t="s">
        <v>36</v>
      </c>
      <c r="B37" s="6">
        <v>3</v>
      </c>
    </row>
    <row r="38" spans="1:2" s="5" customFormat="1" x14ac:dyDescent="0.25">
      <c r="A38" s="7" t="s">
        <v>37</v>
      </c>
      <c r="B38" s="6">
        <v>2</v>
      </c>
    </row>
    <row r="39" spans="1:2" s="5" customFormat="1" x14ac:dyDescent="0.25">
      <c r="A39" s="7" t="s">
        <v>38</v>
      </c>
      <c r="B39" s="6">
        <v>2</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Round(IFERROR((SUM(C55)/ (SUM(C$24:C25) * 40))), 0)</f>
      </c>
      <c r="C46" s="6">
        <f>Round(IFERROR((SUM(C55)/ (SUM(C$24:C25) * 35))), 0)</f>
      </c>
      <c r="D46" s="6">
        <f>Round(IFERROR((SUM(D55)/ (SUM(C26:C27) * 40))), 0)</f>
      </c>
      <c r="E46" s="6">
        <f>Round(IFERROR((SUM(D55)/ (SUM(C26:C27) * 35))), 0)</f>
      </c>
      <c r="F46" s="6">
        <f>Round(IFERROR((SUM(E55:F55)/ (SUM(C28) * 40))), 0)</f>
      </c>
      <c r="G46" s="6">
        <f>Round(IFERROR((SUM(E55:F55)/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8" t="s">
        <v>55</v>
      </c>
      <c r="B55" s="9" t="s">
        <v>56</v>
      </c>
      <c r="C55" s="9">
        <f>SUM(C48:C54)</f>
      </c>
      <c r="D55" s="9">
        <f>SUM(D48:D54)</f>
      </c>
      <c r="E55" s="9">
        <f>SUM(E48:E54)</f>
      </c>
      <c r="F55" s="9">
        <f>SUM(F48:F54)</f>
      </c>
      <c r="G55" s="9">
        <f>sum(C55:F55)</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4"/>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82</v>
      </c>
      <c r="B2" s="6" t="s">
        <v>83</v>
      </c>
      <c r="D2" s="6" t="s">
        <v>84</v>
      </c>
      <c r="E2" s="6"/>
      <c r="F2" s="6"/>
      <c r="G2" s="6"/>
      <c r="H2" s="6"/>
      <c r="I2" s="6"/>
      <c r="J2" s="6"/>
      <c r="K2" s="6" t="s">
        <v>85</v>
      </c>
      <c r="L2" s="6" t="s">
        <v>86</v>
      </c>
      <c r="M2" s="6"/>
      <c r="N2" s="6"/>
      <c r="O2" s="6"/>
      <c r="P2" s="6"/>
      <c r="Q2" s="11">
        <v>2</v>
      </c>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v>3</v>
      </c>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3</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0</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82</v>
      </c>
      <c r="B3" s="6" t="s">
        <v>87</v>
      </c>
      <c r="D3" s="6"/>
      <c r="E3" s="6"/>
      <c r="F3" s="6"/>
      <c r="G3" s="6"/>
      <c r="H3" s="6"/>
      <c r="I3" s="6"/>
      <c r="J3" s="6"/>
      <c r="K3" s="6" t="s">
        <v>85</v>
      </c>
      <c r="L3" s="6" t="s">
        <v>86</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v>0</v>
      </c>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0</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5</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26" x14ac:dyDescent="0.25">
      <c r="Q4" s="13"/>
      <c r="R4" s="14"/>
      <c r="S4" s="13"/>
      <c r="T4" s="14"/>
      <c r="U4" s="13"/>
      <c r="V4" s="14"/>
      <c r="W4" s="13"/>
      <c r="X4" s="14"/>
      <c r="Y4" s="13"/>
      <c r="Z4" s="14"/>
    </row>
    <row r="5" spans="1:26" x14ac:dyDescent="0.25">
      <c r="Q5" s="13"/>
      <c r="R5" s="14"/>
      <c r="S5" s="13"/>
      <c r="T5" s="14"/>
      <c r="U5" s="13"/>
      <c r="V5" s="14"/>
      <c r="W5" s="13"/>
      <c r="X5" s="14"/>
      <c r="Y5" s="13"/>
      <c r="Z5" s="14"/>
    </row>
    <row r="6" spans="1:26" x14ac:dyDescent="0.25">
      <c r="Q6" s="13"/>
      <c r="R6" s="14"/>
      <c r="S6" s="13"/>
      <c r="T6" s="14"/>
      <c r="U6" s="13"/>
      <c r="V6" s="14"/>
      <c r="W6" s="13"/>
      <c r="X6" s="14"/>
      <c r="Y6" s="13"/>
      <c r="Z6" s="14"/>
    </row>
    <row r="7" spans="1:26" x14ac:dyDescent="0.25">
      <c r="Q7" s="13"/>
      <c r="R7" s="14"/>
      <c r="S7" s="13"/>
      <c r="T7" s="14"/>
      <c r="U7" s="13"/>
      <c r="V7" s="14"/>
      <c r="W7" s="13"/>
      <c r="X7" s="14"/>
      <c r="Y7" s="13"/>
      <c r="Z7" s="14"/>
    </row>
    <row r="8" spans="1:26" x14ac:dyDescent="0.25">
      <c r="Q8" s="13"/>
      <c r="R8" s="14"/>
      <c r="S8" s="13"/>
      <c r="T8" s="14"/>
      <c r="U8" s="13"/>
      <c r="V8" s="14"/>
      <c r="W8" s="13"/>
      <c r="X8" s="14"/>
      <c r="Y8" s="13"/>
      <c r="Z8" s="14"/>
    </row>
    <row r="9" spans="1:26" x14ac:dyDescent="0.25">
      <c r="Q9" s="13"/>
      <c r="R9" s="14"/>
      <c r="S9" s="13"/>
      <c r="T9" s="14"/>
      <c r="U9" s="13"/>
      <c r="V9" s="14"/>
      <c r="W9" s="13"/>
      <c r="X9" s="14"/>
      <c r="Y9" s="13"/>
      <c r="Z9" s="14"/>
    </row>
    <row r="10" spans="1:26" x14ac:dyDescent="0.25">
      <c r="Q10" s="13"/>
      <c r="R10" s="14"/>
      <c r="S10" s="13"/>
      <c r="T10" s="14"/>
      <c r="U10" s="13"/>
      <c r="V10" s="14"/>
      <c r="W10" s="13"/>
      <c r="X10" s="14"/>
      <c r="Y10" s="13"/>
      <c r="Z10" s="14"/>
    </row>
    <row r="11" spans="1:26" x14ac:dyDescent="0.25">
      <c r="Q11" s="13"/>
      <c r="R11" s="14"/>
      <c r="S11" s="13"/>
      <c r="T11" s="14"/>
      <c r="U11" s="13"/>
      <c r="V11" s="14"/>
      <c r="W11" s="13"/>
      <c r="X11" s="14"/>
      <c r="Y11" s="13"/>
      <c r="Z11" s="14"/>
    </row>
    <row r="12" spans="1:26" x14ac:dyDescent="0.25">
      <c r="Q12" s="13"/>
      <c r="R12" s="14"/>
      <c r="S12" s="13"/>
      <c r="T12" s="14"/>
      <c r="U12" s="13"/>
      <c r="V12" s="14"/>
      <c r="W12" s="13"/>
      <c r="X12" s="14"/>
      <c r="Y12" s="13"/>
      <c r="Z12" s="14"/>
    </row>
    <row r="13" spans="1:26" x14ac:dyDescent="0.25">
      <c r="Q13" s="13"/>
      <c r="R13" s="14"/>
      <c r="S13" s="13"/>
      <c r="T13" s="14"/>
      <c r="U13" s="13"/>
      <c r="V13" s="14"/>
      <c r="W13" s="13"/>
      <c r="X13" s="14"/>
      <c r="Y13" s="13"/>
      <c r="Z13" s="14"/>
    </row>
    <row r="14" spans="1:26" x14ac:dyDescent="0.25">
      <c r="Q14" s="13"/>
      <c r="R14" s="14"/>
      <c r="S14" s="13"/>
      <c r="T14" s="14"/>
      <c r="U14" s="13"/>
      <c r="V14" s="14"/>
      <c r="W14" s="13"/>
      <c r="X14" s="14"/>
      <c r="Y14" s="13"/>
      <c r="Z14" s="14"/>
    </row>
    <row r="15" spans="1:26" x14ac:dyDescent="0.25">
      <c r="Q15" s="13"/>
      <c r="R15" s="14"/>
      <c r="S15" s="13"/>
      <c r="T15" s="14"/>
      <c r="U15" s="13"/>
      <c r="V15" s="14"/>
      <c r="W15" s="13"/>
      <c r="X15" s="14"/>
      <c r="Y15" s="13"/>
      <c r="Z15" s="14"/>
    </row>
    <row r="16" spans="1:26" x14ac:dyDescent="0.25">
      <c r="Q16" s="13"/>
      <c r="R16" s="14"/>
      <c r="S16" s="13"/>
      <c r="T16" s="14"/>
      <c r="U16" s="13"/>
      <c r="V16" s="14"/>
      <c r="W16" s="13"/>
      <c r="X16" s="14"/>
      <c r="Y16" s="13"/>
      <c r="Z16" s="14"/>
    </row>
    <row r="17" spans="1:26" x14ac:dyDescent="0.25">
      <c r="Q17" s="13"/>
      <c r="R17" s="14"/>
      <c r="S17" s="13"/>
      <c r="T17" s="14"/>
      <c r="U17" s="13"/>
      <c r="V17" s="14"/>
      <c r="W17" s="13"/>
      <c r="X17" s="14"/>
      <c r="Y17" s="13"/>
      <c r="Z17" s="14"/>
    </row>
    <row r="18" spans="1:26" x14ac:dyDescent="0.25">
      <c r="Q18" s="13"/>
      <c r="R18" s="14"/>
      <c r="S18" s="13"/>
      <c r="T18" s="14"/>
      <c r="U18" s="13"/>
      <c r="V18" s="14"/>
      <c r="W18" s="13"/>
      <c r="X18" s="14"/>
      <c r="Y18" s="13"/>
      <c r="Z18" s="14"/>
    </row>
    <row r="19" spans="1:26" x14ac:dyDescent="0.25">
      <c r="Q19" s="13"/>
      <c r="R19" s="14"/>
      <c r="S19" s="13"/>
      <c r="T19" s="14"/>
      <c r="U19" s="13"/>
      <c r="V19" s="14"/>
      <c r="W19" s="13"/>
      <c r="X19" s="14"/>
      <c r="Y19" s="13"/>
      <c r="Z19" s="14"/>
    </row>
    <row r="20" spans="1:26" x14ac:dyDescent="0.25">
      <c r="Q20" s="13"/>
      <c r="R20" s="14"/>
      <c r="S20" s="13"/>
      <c r="T20" s="14"/>
      <c r="U20" s="13"/>
      <c r="V20" s="14"/>
      <c r="W20" s="13"/>
      <c r="X20" s="14"/>
      <c r="Y20" s="13"/>
      <c r="Z20" s="14"/>
    </row>
    <row r="21" spans="1:26" x14ac:dyDescent="0.25">
      <c r="Q21" s="13"/>
      <c r="R21" s="14"/>
      <c r="S21" s="13"/>
      <c r="T21" s="14"/>
      <c r="U21" s="13"/>
      <c r="V21" s="14"/>
      <c r="W21" s="13"/>
      <c r="X21" s="14"/>
      <c r="Y21" s="13"/>
      <c r="Z21" s="14"/>
    </row>
    <row r="22" spans="1:26" x14ac:dyDescent="0.25">
      <c r="Q22" s="13"/>
      <c r="R22" s="14"/>
      <c r="S22" s="13"/>
      <c r="T22" s="14"/>
      <c r="U22" s="13"/>
      <c r="V22" s="14"/>
      <c r="W22" s="13"/>
      <c r="X22" s="14"/>
      <c r="Y22" s="13"/>
      <c r="Z22" s="14"/>
    </row>
    <row r="23" spans="1:26" x14ac:dyDescent="0.25">
      <c r="Q23" s="13"/>
      <c r="R23" s="14"/>
      <c r="S23" s="13"/>
      <c r="T23" s="14"/>
      <c r="U23" s="13"/>
      <c r="V23" s="14"/>
      <c r="W23" s="13"/>
      <c r="X23" s="14"/>
      <c r="Y23" s="13"/>
      <c r="Z23" s="14"/>
    </row>
    <row r="24" spans="1:26" x14ac:dyDescent="0.25">
      <c r="Q24" s="13"/>
      <c r="R24" s="14"/>
      <c r="S24" s="13"/>
      <c r="T24" s="14"/>
      <c r="U24" s="13"/>
      <c r="V24" s="14"/>
      <c r="W24" s="13"/>
      <c r="X24" s="14"/>
      <c r="Y24" s="13"/>
      <c r="Z24" s="14"/>
    </row>
    <row r="25" spans="1:26" x14ac:dyDescent="0.25">
      <c r="Q25" s="13"/>
      <c r="R25" s="14"/>
      <c r="S25" s="13"/>
      <c r="T25" s="14"/>
      <c r="U25" s="13"/>
      <c r="V25" s="14"/>
      <c r="W25" s="13"/>
      <c r="X25" s="14"/>
      <c r="Y25" s="13"/>
      <c r="Z25" s="14"/>
    </row>
    <row r="26" spans="1:26" x14ac:dyDescent="0.25">
      <c r="Q26" s="13"/>
      <c r="R26" s="14"/>
      <c r="S26" s="13"/>
      <c r="T26" s="14"/>
      <c r="U26" s="13"/>
      <c r="V26" s="14"/>
      <c r="W26" s="13"/>
      <c r="X26" s="14"/>
      <c r="Y26" s="13"/>
      <c r="Z26" s="14"/>
    </row>
    <row r="27" spans="1:26" x14ac:dyDescent="0.25">
      <c r="Q27" s="13"/>
      <c r="R27" s="14"/>
      <c r="S27" s="13"/>
      <c r="T27" s="14"/>
      <c r="U27" s="13"/>
      <c r="V27" s="14"/>
      <c r="W27" s="13"/>
      <c r="X27" s="14"/>
      <c r="Y27" s="13"/>
      <c r="Z27" s="14"/>
    </row>
    <row r="28" spans="1:26" x14ac:dyDescent="0.25">
      <c r="Q28" s="13"/>
      <c r="R28" s="14"/>
      <c r="S28" s="13"/>
      <c r="T28" s="14"/>
      <c r="U28" s="13"/>
      <c r="V28" s="14"/>
      <c r="W28" s="13"/>
      <c r="X28" s="14"/>
      <c r="Y28" s="13"/>
      <c r="Z28" s="14"/>
    </row>
    <row r="29" spans="1:26" x14ac:dyDescent="0.25">
      <c r="Q29" s="13"/>
      <c r="R29" s="14"/>
      <c r="S29" s="13"/>
      <c r="T29" s="14"/>
      <c r="U29" s="13"/>
      <c r="V29" s="14"/>
      <c r="W29" s="13"/>
      <c r="X29" s="14"/>
      <c r="Y29" s="13"/>
      <c r="Z29" s="14"/>
    </row>
    <row r="30" spans="1:26" x14ac:dyDescent="0.25">
      <c r="Q30" s="13"/>
      <c r="R30" s="14"/>
      <c r="S30" s="13"/>
      <c r="T30" s="14"/>
      <c r="U30" s="13"/>
      <c r="V30" s="14"/>
      <c r="W30" s="13"/>
      <c r="X30" s="14"/>
      <c r="Y30" s="13"/>
      <c r="Z30" s="14"/>
    </row>
    <row r="31" spans="1:26" x14ac:dyDescent="0.25">
      <c r="Q31" s="13"/>
      <c r="R31" s="14"/>
      <c r="S31" s="13"/>
      <c r="T31" s="14"/>
      <c r="U31" s="13"/>
      <c r="V31" s="14"/>
      <c r="W31" s="13"/>
      <c r="X31" s="14"/>
      <c r="Y31" s="13"/>
      <c r="Z31" s="14"/>
    </row>
    <row r="32" spans="1:26" x14ac:dyDescent="0.25">
      <c r="Q32" s="13"/>
      <c r="R32" s="14"/>
      <c r="S32" s="13"/>
      <c r="T32" s="14"/>
      <c r="U32" s="13"/>
      <c r="V32" s="14"/>
      <c r="W32" s="13"/>
      <c r="X32" s="14"/>
      <c r="Y32" s="13"/>
      <c r="Z32" s="14"/>
    </row>
    <row r="33" spans="1:26" x14ac:dyDescent="0.25">
      <c r="Q33" s="13"/>
      <c r="R33" s="14"/>
      <c r="S33" s="13"/>
      <c r="T33" s="14"/>
      <c r="U33" s="13"/>
      <c r="V33" s="14"/>
      <c r="W33" s="13"/>
      <c r="X33" s="14"/>
      <c r="Y33" s="13"/>
      <c r="Z33" s="14"/>
    </row>
    <row r="34" spans="1:26" x14ac:dyDescent="0.25">
      <c r="Q34" s="13"/>
      <c r="R34" s="14"/>
      <c r="S34" s="13"/>
      <c r="T34" s="14"/>
      <c r="U34" s="13"/>
      <c r="V34" s="14"/>
      <c r="W34" s="13"/>
      <c r="X34" s="14"/>
      <c r="Y34" s="13"/>
      <c r="Z34" s="14"/>
    </row>
    <row r="35" spans="1:26" x14ac:dyDescent="0.25">
      <c r="Q35" s="13"/>
      <c r="R35" s="14"/>
      <c r="S35" s="13"/>
      <c r="T35" s="14"/>
      <c r="U35" s="13"/>
      <c r="V35" s="14"/>
      <c r="W35" s="13"/>
      <c r="X35" s="14"/>
      <c r="Y35" s="13"/>
      <c r="Z35" s="14"/>
    </row>
    <row r="36" spans="1:26" x14ac:dyDescent="0.25">
      <c r="Q36" s="13"/>
      <c r="R36" s="14"/>
      <c r="S36" s="13"/>
      <c r="T36" s="14"/>
      <c r="U36" s="13"/>
      <c r="V36" s="14"/>
      <c r="W36" s="13"/>
      <c r="X36" s="14"/>
      <c r="Y36" s="13"/>
      <c r="Z36" s="14"/>
    </row>
    <row r="37" spans="1:26" x14ac:dyDescent="0.25">
      <c r="Q37" s="13"/>
      <c r="R37" s="14"/>
      <c r="S37" s="13"/>
      <c r="T37" s="14"/>
      <c r="U37" s="13"/>
      <c r="V37" s="14"/>
      <c r="W37" s="13"/>
      <c r="X37" s="14"/>
      <c r="Y37" s="13"/>
      <c r="Z37" s="14"/>
    </row>
    <row r="38" spans="1:26" x14ac:dyDescent="0.25">
      <c r="Q38" s="13"/>
      <c r="R38" s="14"/>
      <c r="S38" s="13"/>
      <c r="T38" s="14"/>
      <c r="U38" s="13"/>
      <c r="V38" s="14"/>
      <c r="W38" s="13"/>
      <c r="X38" s="14"/>
      <c r="Y38" s="13"/>
      <c r="Z38" s="14"/>
    </row>
    <row r="39" spans="1:26" x14ac:dyDescent="0.25">
      <c r="Q39" s="13"/>
      <c r="R39" s="14"/>
      <c r="S39" s="13"/>
      <c r="T39" s="14"/>
      <c r="U39" s="13"/>
      <c r="V39" s="14"/>
      <c r="W39" s="13"/>
      <c r="X39" s="14"/>
      <c r="Y39" s="13"/>
      <c r="Z39" s="14"/>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sheetData>
  <dataValidations count="12">
    <dataValidation type="list" allowBlank="1" sqref="L10:L1002">
      <formula1>"Must Have,Should Have,Could Have,Will not Have"</formula1>
    </dataValidation>
    <dataValidation type="list" allowBlank="1" sqref="L2:L1002">
      <formula1>"Must Have,Should Have,Could Have,Will not Have"</formula1>
    </dataValidation>
    <dataValidation type="list" allowBlank="1" sqref="Q10:Q1002">
      <formula1>"0,1,2,3,5,8,13,21,34,55,89"</formula1>
    </dataValidation>
    <dataValidation type="list" allowBlank="1" sqref="Q2:Q1002">
      <formula1>"0,1,2,3,5,8,13,21,34,55,89"</formula1>
    </dataValidation>
    <dataValidation type="list" allowBlank="1" sqref="S10:S1002">
      <formula1>"0,1,2,3,5,8,13,21,34,55,89"</formula1>
    </dataValidation>
    <dataValidation type="list" allowBlank="1" sqref="S2:S1002">
      <formula1>"0,1,2,3,5,8,13,21,34,55,89"</formula1>
    </dataValidation>
    <dataValidation type="list" allowBlank="1" sqref="U10:U1002">
      <formula1>"0,1,2,3,5,8,13,21,34,55,89"</formula1>
    </dataValidation>
    <dataValidation type="list" allowBlank="1" sqref="U2:U1002">
      <formula1>"0,1,2,3,5,8,13,21,34,55,89"</formula1>
    </dataValidation>
    <dataValidation type="list" allowBlank="1" sqref="W10:W1002">
      <formula1>"0,1,2,3,5,8,13,21,34,55,89"</formula1>
    </dataValidation>
    <dataValidation type="list" allowBlank="1" sqref="W2:W1002">
      <formula1>"0,1,2,3,5,8,13,21,34,55,89"</formula1>
    </dataValidation>
    <dataValidation type="list" allowBlank="1" sqref="Y10:Y1002">
      <formula1>"0,1,2,3,5,8,13,21,34,55,89"</formula1>
    </dataValidation>
    <dataValidation type="list" allowBlank="1" sqref="Y3:Y1002">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44"/>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88</v>
      </c>
      <c r="D2" s="6"/>
      <c r="E2" s="6"/>
      <c r="F2" s="6"/>
      <c r="G2" s="6"/>
      <c r="H2" s="6"/>
      <c r="I2" s="6"/>
      <c r="J2" s="6"/>
      <c r="K2" s="6" t="s">
        <v>85</v>
      </c>
      <c r="L2" s="6" t="s">
        <v>86</v>
      </c>
      <c r="M2" s="6"/>
      <c r="N2" s="6"/>
      <c r="O2" s="6"/>
      <c r="P2" s="6"/>
      <c r="Q2" s="11">
        <v>0</v>
      </c>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v>0</v>
      </c>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21</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0</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0</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89</v>
      </c>
      <c r="D3" s="6"/>
      <c r="E3" s="6"/>
      <c r="F3" s="6"/>
      <c r="G3" s="6"/>
      <c r="H3" s="6"/>
      <c r="I3" s="6"/>
      <c r="J3" s="6"/>
      <c r="K3" s="6" t="s">
        <v>85</v>
      </c>
      <c r="L3" s="6" t="s">
        <v>86</v>
      </c>
      <c r="M3" s="6"/>
      <c r="N3" s="6"/>
      <c r="O3" s="6"/>
      <c r="P3" s="6"/>
      <c r="Q3" s="11">
        <v>0</v>
      </c>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v>0</v>
      </c>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8</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3</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0</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31" s="6" customFormat="1" x14ac:dyDescent="0.25">
      <c r="A4" s="6" t="s">
        <v>90</v>
      </c>
      <c r="D4" s="6" t="s">
        <v>91</v>
      </c>
      <c r="E4" s="6"/>
      <c r="F4" s="6"/>
      <c r="G4" s="6"/>
      <c r="H4" s="6"/>
      <c r="I4" s="6"/>
      <c r="J4" s="6"/>
      <c r="K4" s="6" t="s">
        <v>85</v>
      </c>
      <c r="L4" s="6" t="s">
        <v>86</v>
      </c>
      <c r="M4" s="6"/>
      <c r="N4" s="6"/>
      <c r="O4" s="6"/>
      <c r="P4" s="6"/>
      <c r="Q4" s="11">
        <v>0</v>
      </c>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v>0</v>
      </c>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5</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0</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0</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31" s="6" customFormat="1" x14ac:dyDescent="0.25">
      <c r="A5" s="6" t="s">
        <v>92</v>
      </c>
      <c r="B5" s="6" t="s">
        <v>93</v>
      </c>
      <c r="C5" s="6" t="s">
        <v>94</v>
      </c>
      <c r="D5" s="6"/>
      <c r="E5" s="6"/>
      <c r="F5" s="6" t="s">
        <v>95</v>
      </c>
      <c r="G5" s="6"/>
      <c r="H5" s="6"/>
      <c r="I5" s="6"/>
      <c r="J5" s="6"/>
      <c r="K5" s="6" t="s">
        <v>85</v>
      </c>
      <c r="L5" s="6" t="s">
        <v>86</v>
      </c>
      <c r="M5" s="6"/>
      <c r="N5" s="6"/>
      <c r="O5" s="6"/>
      <c r="P5" s="6"/>
      <c r="Q5" s="11">
        <v>0</v>
      </c>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v>0</v>
      </c>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5</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3</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0</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56</v>
      </c>
      <c r="AD5" s="6" t="s">
        <v>56</v>
      </c>
      <c r="AE5" s="6" t="s">
        <v>56</v>
      </c>
    </row>
    <row r="6" spans="1:31" s="6" customFormat="1" x14ac:dyDescent="0.25">
      <c r="A6" s="6" t="s">
        <v>92</v>
      </c>
      <c r="B6" s="6" t="s">
        <v>93</v>
      </c>
      <c r="C6" s="6" t="s">
        <v>96</v>
      </c>
      <c r="D6" s="6"/>
      <c r="E6" s="6"/>
      <c r="F6" s="6"/>
      <c r="G6" s="6"/>
      <c r="H6" s="6"/>
      <c r="I6" s="6"/>
      <c r="J6" s="6"/>
      <c r="K6" s="6" t="s">
        <v>85</v>
      </c>
      <c r="L6" s="6" t="s">
        <v>86</v>
      </c>
      <c r="M6" s="6"/>
      <c r="N6" s="6"/>
      <c r="O6" s="6"/>
      <c r="P6" s="6"/>
      <c r="Q6" s="11">
        <v>0</v>
      </c>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v>0</v>
      </c>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5</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3</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0</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92</v>
      </c>
      <c r="B7" s="6" t="s">
        <v>93</v>
      </c>
      <c r="C7" s="6" t="s">
        <v>97</v>
      </c>
      <c r="D7" s="6"/>
      <c r="E7" s="6"/>
      <c r="F7" s="6"/>
      <c r="G7" s="6"/>
      <c r="H7" s="6"/>
      <c r="I7" s="6"/>
      <c r="J7" s="6"/>
      <c r="K7" s="6" t="s">
        <v>85</v>
      </c>
      <c r="L7" s="6" t="s">
        <v>86</v>
      </c>
      <c r="M7" s="6"/>
      <c r="N7" s="6"/>
      <c r="O7" s="6"/>
      <c r="P7" s="6"/>
      <c r="Q7" s="11">
        <v>0</v>
      </c>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v>0</v>
      </c>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5</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3</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0</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92</v>
      </c>
      <c r="B8" s="6" t="s">
        <v>93</v>
      </c>
      <c r="C8" s="6" t="s">
        <v>98</v>
      </c>
      <c r="D8" s="6"/>
      <c r="E8" s="6"/>
      <c r="F8" s="6"/>
      <c r="G8" s="6"/>
      <c r="H8" s="6"/>
      <c r="I8" s="6"/>
      <c r="J8" s="6"/>
      <c r="K8" s="6" t="s">
        <v>85</v>
      </c>
      <c r="L8" s="6" t="s">
        <v>86</v>
      </c>
      <c r="M8" s="6"/>
      <c r="N8" s="6"/>
      <c r="O8" s="6"/>
      <c r="P8" s="6"/>
      <c r="Q8" s="11">
        <v>0</v>
      </c>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v>0</v>
      </c>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5</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3</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92</v>
      </c>
      <c r="B9" s="6" t="s">
        <v>93</v>
      </c>
      <c r="C9" s="6" t="s">
        <v>99</v>
      </c>
      <c r="D9" s="6" t="s">
        <v>100</v>
      </c>
      <c r="E9" s="6"/>
      <c r="F9" s="6" t="s">
        <v>101</v>
      </c>
      <c r="G9" s="6"/>
      <c r="H9" s="6"/>
      <c r="I9" s="6"/>
      <c r="J9" s="6"/>
      <c r="K9" s="6" t="s">
        <v>85</v>
      </c>
      <c r="L9" s="6" t="s">
        <v>86</v>
      </c>
      <c r="M9" s="6"/>
      <c r="N9" s="6"/>
      <c r="O9" s="6"/>
      <c r="P9" s="6"/>
      <c r="Q9" s="11">
        <v>0</v>
      </c>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v>0</v>
      </c>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3</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8</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92</v>
      </c>
      <c r="B10" s="6" t="s">
        <v>93</v>
      </c>
      <c r="C10" s="6" t="s">
        <v>102</v>
      </c>
      <c r="D10" s="6"/>
      <c r="E10" s="6"/>
      <c r="F10" s="6" t="s">
        <v>103</v>
      </c>
      <c r="G10" s="6"/>
      <c r="H10" s="6"/>
      <c r="I10" s="6"/>
      <c r="J10" s="6"/>
      <c r="K10" s="6" t="s">
        <v>85</v>
      </c>
      <c r="L10" s="6" t="s">
        <v>86</v>
      </c>
      <c r="M10" s="6"/>
      <c r="N10" s="6"/>
      <c r="O10" s="6"/>
      <c r="P10" s="6"/>
      <c r="Q10" s="11">
        <v>0</v>
      </c>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v>0</v>
      </c>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21</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5</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92</v>
      </c>
      <c r="B11" s="6" t="s">
        <v>93</v>
      </c>
      <c r="C11" s="6" t="s">
        <v>104</v>
      </c>
      <c r="D11" s="6"/>
      <c r="E11" s="6"/>
      <c r="F11" s="6" t="s">
        <v>105</v>
      </c>
      <c r="G11" s="6"/>
      <c r="H11" s="6"/>
      <c r="I11" s="6"/>
      <c r="J11" s="6"/>
      <c r="K11" s="6" t="s">
        <v>85</v>
      </c>
      <c r="L11" s="6" t="s">
        <v>86</v>
      </c>
      <c r="M11" s="6"/>
      <c r="N11" s="6"/>
      <c r="O11" s="6"/>
      <c r="P11" s="6"/>
      <c r="Q11" s="11">
        <v>0</v>
      </c>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v>0</v>
      </c>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2</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0</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0</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106</v>
      </c>
      <c r="D12" s="6"/>
      <c r="E12" s="6"/>
      <c r="F12" s="6" t="s">
        <v>107</v>
      </c>
      <c r="G12" s="6"/>
      <c r="H12" s="6"/>
      <c r="I12" s="6"/>
      <c r="J12" s="6"/>
      <c r="K12" s="6" t="s">
        <v>85</v>
      </c>
      <c r="L12" s="6" t="s">
        <v>86</v>
      </c>
      <c r="M12" s="6"/>
      <c r="N12" s="6"/>
      <c r="O12" s="6"/>
      <c r="P12" s="6"/>
      <c r="Q12" s="11">
        <v>0</v>
      </c>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v>0</v>
      </c>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0</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0</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108</v>
      </c>
      <c r="B13" s="6" t="s">
        <v>109</v>
      </c>
      <c r="D13" s="6" t="s">
        <v>110</v>
      </c>
      <c r="E13" s="6"/>
      <c r="F13" s="6"/>
      <c r="G13" s="6"/>
      <c r="H13" s="6"/>
      <c r="I13" s="6"/>
      <c r="J13" s="6"/>
      <c r="K13" s="6" t="s">
        <v>85</v>
      </c>
      <c r="L13" s="6" t="s">
        <v>86</v>
      </c>
      <c r="M13" s="6"/>
      <c r="N13" s="6"/>
      <c r="O13" s="6"/>
      <c r="P13" s="6"/>
      <c r="Q13" s="11">
        <v>0</v>
      </c>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v>0</v>
      </c>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5</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2</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0</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108</v>
      </c>
      <c r="B14" s="6" t="s">
        <v>111</v>
      </c>
      <c r="D14" s="6"/>
      <c r="E14" s="6"/>
      <c r="F14" s="6"/>
      <c r="G14" s="6"/>
      <c r="H14" s="6"/>
      <c r="I14" s="6"/>
      <c r="J14" s="6"/>
      <c r="K14" s="6" t="s">
        <v>85</v>
      </c>
      <c r="L14" s="6" t="s">
        <v>86</v>
      </c>
      <c r="M14" s="6"/>
      <c r="N14" s="6"/>
      <c r="O14" s="6"/>
      <c r="P14" s="6"/>
      <c r="Q14" s="11">
        <v>0</v>
      </c>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v>0</v>
      </c>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21</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2</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0</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108</v>
      </c>
      <c r="B15" s="6" t="s">
        <v>112</v>
      </c>
      <c r="D15" s="6"/>
      <c r="E15" s="6"/>
      <c r="F15" s="6"/>
      <c r="G15" s="6"/>
      <c r="H15" s="6"/>
      <c r="I15" s="6"/>
      <c r="J15" s="6"/>
      <c r="K15" s="6" t="s">
        <v>85</v>
      </c>
      <c r="L15" s="6" t="s">
        <v>86</v>
      </c>
      <c r="M15" s="6"/>
      <c r="N15" s="6"/>
      <c r="O15" s="6"/>
      <c r="P15" s="6"/>
      <c r="Q15" s="11">
        <v>0</v>
      </c>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v>0</v>
      </c>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5</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2</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0</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6" customFormat="1" x14ac:dyDescent="0.25">
      <c r="A16" s="6" t="s">
        <v>108</v>
      </c>
      <c r="B16" s="6" t="s">
        <v>113</v>
      </c>
      <c r="D16" s="6"/>
      <c r="E16" s="6"/>
      <c r="F16" s="6" t="s">
        <v>114</v>
      </c>
      <c r="G16" s="6"/>
      <c r="H16" s="6"/>
      <c r="I16" s="6"/>
      <c r="J16" s="6"/>
      <c r="K16" s="6" t="s">
        <v>85</v>
      </c>
      <c r="L16" s="6" t="s">
        <v>86</v>
      </c>
      <c r="M16" s="6"/>
      <c r="N16" s="6"/>
      <c r="O16" s="6"/>
      <c r="P16" s="6"/>
      <c r="Q16" s="11">
        <v>0</v>
      </c>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v>0</v>
      </c>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3</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0</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0</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56</v>
      </c>
      <c r="AD16" s="6" t="s">
        <v>56</v>
      </c>
      <c r="AE16" s="6" t="s">
        <v>56</v>
      </c>
    </row>
    <row r="17" spans="1:31" s="6" customFormat="1" x14ac:dyDescent="0.25">
      <c r="A17" s="6" t="s">
        <v>108</v>
      </c>
      <c r="B17" s="6" t="s">
        <v>115</v>
      </c>
      <c r="D17" s="6"/>
      <c r="E17" s="6"/>
      <c r="F17" s="6"/>
      <c r="G17" s="6"/>
      <c r="H17" s="6"/>
      <c r="I17" s="6"/>
      <c r="J17" s="6"/>
      <c r="K17" s="6" t="s">
        <v>85</v>
      </c>
      <c r="L17" s="6" t="s">
        <v>86</v>
      </c>
      <c r="M17" s="6"/>
      <c r="N17" s="6"/>
      <c r="O17" s="6"/>
      <c r="P17" s="6"/>
      <c r="Q17" s="11">
        <v>0</v>
      </c>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v>0</v>
      </c>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3</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0</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0</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56</v>
      </c>
      <c r="AD17" s="6" t="s">
        <v>56</v>
      </c>
      <c r="AE17" s="6" t="s">
        <v>56</v>
      </c>
    </row>
    <row r="18" spans="1:31" s="6" customFormat="1" x14ac:dyDescent="0.25">
      <c r="A18" s="6" t="s">
        <v>116</v>
      </c>
      <c r="B18" s="6" t="s">
        <v>117</v>
      </c>
      <c r="D18" s="6"/>
      <c r="E18" s="6"/>
      <c r="F18" s="6" t="s">
        <v>56</v>
      </c>
      <c r="G18" s="6"/>
      <c r="H18" s="6"/>
      <c r="I18" s="6"/>
      <c r="J18" s="6"/>
      <c r="K18" s="6"/>
      <c r="L18" s="6" t="s">
        <v>86</v>
      </c>
      <c r="M18" s="6"/>
      <c r="N18" s="6"/>
      <c r="O18" s="6"/>
      <c r="P18" s="6"/>
      <c r="Q18" s="11">
        <v>0</v>
      </c>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v>0</v>
      </c>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3</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2</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0</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56</v>
      </c>
      <c r="AD18" s="6" t="s">
        <v>56</v>
      </c>
      <c r="AE18" s="6" t="s">
        <v>56</v>
      </c>
    </row>
    <row r="19" spans="1:31" s="6" customFormat="1" x14ac:dyDescent="0.25">
      <c r="A19" s="6" t="s">
        <v>116</v>
      </c>
      <c r="B19" s="6" t="s">
        <v>118</v>
      </c>
      <c r="D19" s="6"/>
      <c r="E19" s="6"/>
      <c r="F19" s="6" t="s">
        <v>119</v>
      </c>
      <c r="G19" s="6"/>
      <c r="H19" s="6"/>
      <c r="I19" s="6"/>
      <c r="J19" s="6"/>
      <c r="K19" s="6" t="s">
        <v>85</v>
      </c>
      <c r="L19" s="6" t="s">
        <v>86</v>
      </c>
      <c r="M19" s="6"/>
      <c r="N19" s="6"/>
      <c r="O19" s="6"/>
      <c r="P19" s="6"/>
      <c r="Q19" s="11">
        <v>0</v>
      </c>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v>0</v>
      </c>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3</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2</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0</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56</v>
      </c>
      <c r="AD19" s="6" t="s">
        <v>56</v>
      </c>
      <c r="AE19" s="6" t="s">
        <v>56</v>
      </c>
    </row>
    <row r="20" spans="1:31" s="6" customFormat="1" x14ac:dyDescent="0.25">
      <c r="A20" s="6" t="s">
        <v>120</v>
      </c>
      <c r="B20" s="6" t="s">
        <v>121</v>
      </c>
      <c r="C20" s="6" t="s">
        <v>117</v>
      </c>
      <c r="D20" s="6" t="s">
        <v>122</v>
      </c>
      <c r="E20" s="6"/>
      <c r="F20" s="6"/>
      <c r="G20" s="6"/>
      <c r="H20" s="6"/>
      <c r="I20" s="6"/>
      <c r="J20" s="6"/>
      <c r="K20" s="6" t="s">
        <v>85</v>
      </c>
      <c r="L20" s="6" t="s">
        <v>86</v>
      </c>
      <c r="M20" s="6"/>
      <c r="N20" s="6"/>
      <c r="O20" s="6"/>
      <c r="P20" s="6"/>
      <c r="Q20" s="11">
        <v>0</v>
      </c>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v>0</v>
      </c>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5</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2</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0</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56</v>
      </c>
      <c r="AD20" s="6" t="s">
        <v>56</v>
      </c>
      <c r="AE20" s="6" t="s">
        <v>56</v>
      </c>
    </row>
    <row r="21" spans="1:31" s="6" customFormat="1" x14ac:dyDescent="0.25">
      <c r="A21" s="6" t="s">
        <v>120</v>
      </c>
      <c r="B21" s="6" t="s">
        <v>121</v>
      </c>
      <c r="C21" s="6" t="s">
        <v>123</v>
      </c>
      <c r="D21" s="6"/>
      <c r="E21" s="6"/>
      <c r="F21" s="6"/>
      <c r="G21" s="6"/>
      <c r="H21" s="6"/>
      <c r="I21" s="6"/>
      <c r="J21" s="6"/>
      <c r="K21" s="6" t="s">
        <v>85</v>
      </c>
      <c r="L21" s="6" t="s">
        <v>86</v>
      </c>
      <c r="M21" s="6"/>
      <c r="N21" s="6"/>
      <c r="O21" s="6"/>
      <c r="P21" s="6"/>
      <c r="Q21" s="11">
        <v>0</v>
      </c>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v>0</v>
      </c>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3</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2</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0</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56</v>
      </c>
      <c r="AD21" s="6" t="s">
        <v>56</v>
      </c>
      <c r="AE21" s="6" t="s">
        <v>56</v>
      </c>
    </row>
    <row r="22" spans="1:31" s="6" customFormat="1" x14ac:dyDescent="0.25">
      <c r="A22" s="6" t="s">
        <v>120</v>
      </c>
      <c r="B22" s="6" t="s">
        <v>124</v>
      </c>
      <c r="D22" s="6"/>
      <c r="E22" s="6"/>
      <c r="F22" s="6" t="s">
        <v>125</v>
      </c>
      <c r="G22" s="6"/>
      <c r="H22" s="6"/>
      <c r="I22" s="6"/>
      <c r="J22" s="6"/>
      <c r="K22" s="6" t="s">
        <v>85</v>
      </c>
      <c r="L22" s="6" t="s">
        <v>86</v>
      </c>
      <c r="M22" s="6"/>
      <c r="N22" s="6"/>
      <c r="O22" s="6"/>
      <c r="P22" s="6"/>
      <c r="Q22" s="11">
        <v>0</v>
      </c>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v>0</v>
      </c>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2</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0</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0</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56</v>
      </c>
      <c r="AD22" s="6" t="s">
        <v>56</v>
      </c>
      <c r="AE22" s="6" t="s">
        <v>56</v>
      </c>
    </row>
    <row r="23" spans="1:31" s="15" customFormat="1" x14ac:dyDescent="0.25">
      <c r="A23" s="15" t="s">
        <v>120</v>
      </c>
      <c r="B23" s="15" t="s">
        <v>126</v>
      </c>
      <c r="C23" s="15" t="s">
        <v>127</v>
      </c>
      <c r="D23" s="15"/>
      <c r="E23" s="15"/>
      <c r="F23" s="15" t="s">
        <v>128</v>
      </c>
      <c r="G23" s="15"/>
      <c r="H23" s="15"/>
      <c r="I23" s="15"/>
      <c r="J23" s="15"/>
      <c r="K23" s="15" t="s">
        <v>85</v>
      </c>
      <c r="L23" s="15" t="s">
        <v>86</v>
      </c>
      <c r="M23" s="15"/>
      <c r="N23" s="15"/>
      <c r="O23" s="15"/>
      <c r="P23" s="15"/>
      <c r="Q23" s="15">
        <v>0</v>
      </c>
      <c r="R23" s="15">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5">
        <v>0</v>
      </c>
      <c r="T23" s="15">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5">
        <v>8</v>
      </c>
      <c r="V23" s="15">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5">
        <v>3</v>
      </c>
      <c r="X23" s="15">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5">
        <v>0</v>
      </c>
      <c r="Z23" s="15">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15">
        <f>SUM(V23,X23,Z23)</f>
      </c>
      <c r="AB23" s="15">
        <f>
      Ifs( 
        ISBETWEEN(AA23, 0, 'Points-Table'!C$20, TRUE, False), 'Points-Table'!A$20,
        ISBETWEEN(AA23, 'Points-Table'!C$20, 'Points-Table'!C$21, TRUE, False), 'Points-Table'!A$21,
        ISBETWEEN(AA23, 'Points-Table'!C$22, 10000, TRUE, TRUE), 'Points-Table'!A$22,
        true, 
        0)
      </f>
      </c>
      <c r="AC23" s="15" t="s">
        <v>56</v>
      </c>
      <c r="AD23" s="15" t="s">
        <v>56</v>
      </c>
      <c r="AE23" s="15" t="s">
        <v>56</v>
      </c>
    </row>
    <row r="24" spans="1:31" s="15" customFormat="1" x14ac:dyDescent="0.25">
      <c r="A24" s="15" t="s">
        <v>120</v>
      </c>
      <c r="B24" s="15" t="s">
        <v>126</v>
      </c>
      <c r="C24" s="15" t="s">
        <v>126</v>
      </c>
      <c r="D24" s="15"/>
      <c r="E24" s="15"/>
      <c r="F24" s="15"/>
      <c r="G24" s="15"/>
      <c r="H24" s="15"/>
      <c r="I24" s="15"/>
      <c r="J24" s="15"/>
      <c r="K24" s="15" t="s">
        <v>85</v>
      </c>
      <c r="L24" s="15" t="s">
        <v>86</v>
      </c>
      <c r="M24" s="15"/>
      <c r="N24" s="15"/>
      <c r="O24" s="15"/>
      <c r="P24" s="15"/>
      <c r="Q24" s="15">
        <v>0</v>
      </c>
      <c r="R24" s="15">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5">
        <v>0</v>
      </c>
      <c r="T24" s="15">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5">
        <v>5</v>
      </c>
      <c r="V24" s="15">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5">
        <v>0</v>
      </c>
      <c r="X24" s="15">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5">
        <v>0</v>
      </c>
      <c r="Z24" s="15">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15">
        <f>SUM(V24,X24,Z24)</f>
      </c>
      <c r="AB24" s="15">
        <f>
      Ifs( 
        ISBETWEEN(AA24, 0, 'Points-Table'!C$20, TRUE, False), 'Points-Table'!A$20,
        ISBETWEEN(AA24, 'Points-Table'!C$20, 'Points-Table'!C$21, TRUE, False), 'Points-Table'!A$21,
        ISBETWEEN(AA24, 'Points-Table'!C$22, 10000, TRUE, TRUE), 'Points-Table'!A$22,
        true, 
        0)
      </f>
      </c>
      <c r="AC24" s="15" t="s">
        <v>56</v>
      </c>
      <c r="AD24" s="15" t="s">
        <v>56</v>
      </c>
      <c r="AE24" s="15" t="s">
        <v>56</v>
      </c>
    </row>
    <row r="25" spans="1:31" s="15" customFormat="1" x14ac:dyDescent="0.25">
      <c r="A25" s="15" t="s">
        <v>120</v>
      </c>
      <c r="B25" s="15" t="s">
        <v>129</v>
      </c>
      <c r="D25" s="15"/>
      <c r="E25" s="15"/>
      <c r="F25" s="15"/>
      <c r="G25" s="15"/>
      <c r="H25" s="15"/>
      <c r="I25" s="15"/>
      <c r="J25" s="15"/>
      <c r="K25" s="15" t="s">
        <v>85</v>
      </c>
      <c r="L25" s="15" t="s">
        <v>86</v>
      </c>
      <c r="M25" s="15"/>
      <c r="N25" s="15"/>
      <c r="O25" s="15"/>
      <c r="P25" s="15"/>
      <c r="Q25" s="15">
        <v>0</v>
      </c>
      <c r="R25" s="15">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5">
        <v>0</v>
      </c>
      <c r="T25" s="15">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5">
        <v>13</v>
      </c>
      <c r="V25" s="15">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5">
        <v>5</v>
      </c>
      <c r="X25" s="15">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5"/>
      <c r="Z25" s="15">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15">
        <f>SUM(V25,X25,Z25)</f>
      </c>
      <c r="AB25" s="15">
        <f>
      Ifs( 
        ISBETWEEN(AA25, 0, 'Points-Table'!C$20, TRUE, False), 'Points-Table'!A$20,
        ISBETWEEN(AA25, 'Points-Table'!C$20, 'Points-Table'!C$21, TRUE, False), 'Points-Table'!A$21,
        ISBETWEEN(AA25, 'Points-Table'!C$22, 10000, TRUE, TRUE), 'Points-Table'!A$22,
        true, 
        0)
      </f>
      </c>
      <c r="AC25" s="15" t="s">
        <v>56</v>
      </c>
      <c r="AD25" s="15" t="s">
        <v>56</v>
      </c>
      <c r="AE25" s="15" t="s">
        <v>56</v>
      </c>
    </row>
    <row r="26" spans="1:31" s="6" customFormat="1" x14ac:dyDescent="0.25">
      <c r="A26" s="6" t="s">
        <v>130</v>
      </c>
      <c r="D26" s="6"/>
      <c r="E26" s="6"/>
      <c r="F26" s="6" t="s">
        <v>131</v>
      </c>
      <c r="G26" s="6"/>
      <c r="H26" s="6"/>
      <c r="I26" s="6"/>
      <c r="J26" s="6"/>
      <c r="K26" s="6" t="s">
        <v>85</v>
      </c>
      <c r="L26" s="6" t="s">
        <v>86</v>
      </c>
      <c r="M26" s="6"/>
      <c r="N26" s="6"/>
      <c r="O26" s="6"/>
      <c r="P26" s="6"/>
      <c r="Q26" s="11">
        <v>0</v>
      </c>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v>0</v>
      </c>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5</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2</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0</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56</v>
      </c>
      <c r="AD26" s="6" t="s">
        <v>56</v>
      </c>
      <c r="AE26" s="6" t="s">
        <v>56</v>
      </c>
    </row>
    <row r="27" spans="1:31" s="6" customFormat="1" x14ac:dyDescent="0.25">
      <c r="A27" s="6" t="s">
        <v>132</v>
      </c>
      <c r="B27" s="6" t="s">
        <v>133</v>
      </c>
      <c r="D27" s="6"/>
      <c r="E27" s="6"/>
      <c r="F27" s="6"/>
      <c r="G27" s="6"/>
      <c r="H27" s="6"/>
      <c r="I27" s="6"/>
      <c r="J27" s="6"/>
      <c r="K27" s="6" t="s">
        <v>85</v>
      </c>
      <c r="L27" s="6" t="s">
        <v>86</v>
      </c>
      <c r="M27" s="6"/>
      <c r="N27" s="6"/>
      <c r="O27" s="6"/>
      <c r="P27" s="6"/>
      <c r="Q27" s="11">
        <v>0</v>
      </c>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v>0</v>
      </c>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1</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1</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0</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56</v>
      </c>
      <c r="AD27" s="6" t="s">
        <v>56</v>
      </c>
      <c r="AE27" s="6" t="s">
        <v>56</v>
      </c>
    </row>
    <row r="28" spans="1:31" s="6" customFormat="1" x14ac:dyDescent="0.25">
      <c r="A28" s="6" t="s">
        <v>132</v>
      </c>
      <c r="B28" s="6" t="s">
        <v>134</v>
      </c>
      <c r="C28" s="6" t="s">
        <v>135</v>
      </c>
      <c r="D28" s="6"/>
      <c r="E28" s="6"/>
      <c r="F28" s="6"/>
      <c r="G28" s="6"/>
      <c r="H28" s="6"/>
      <c r="I28" s="6"/>
      <c r="J28" s="6"/>
      <c r="K28" s="6" t="s">
        <v>85</v>
      </c>
      <c r="L28" s="6" t="s">
        <v>86</v>
      </c>
      <c r="M28" s="6"/>
      <c r="N28" s="6"/>
      <c r="O28" s="6"/>
      <c r="P28" s="6"/>
      <c r="Q28" s="11">
        <v>0</v>
      </c>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v>0</v>
      </c>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5</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3</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0</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56</v>
      </c>
      <c r="AD28" s="6" t="s">
        <v>56</v>
      </c>
      <c r="AE28" s="6" t="s">
        <v>56</v>
      </c>
    </row>
    <row r="29" spans="1:31" s="6" customFormat="1" x14ac:dyDescent="0.25">
      <c r="A29" s="6" t="s">
        <v>132</v>
      </c>
      <c r="B29" s="6" t="s">
        <v>134</v>
      </c>
      <c r="C29" s="6" t="s">
        <v>136</v>
      </c>
      <c r="D29" s="6"/>
      <c r="E29" s="6"/>
      <c r="F29" s="6"/>
      <c r="G29" s="6"/>
      <c r="H29" s="6"/>
      <c r="I29" s="6"/>
      <c r="J29" s="6"/>
      <c r="K29" s="6" t="s">
        <v>85</v>
      </c>
      <c r="L29" s="6" t="s">
        <v>86</v>
      </c>
      <c r="M29" s="6"/>
      <c r="N29" s="6"/>
      <c r="O29" s="6"/>
      <c r="P29" s="6"/>
      <c r="Q29" s="11">
        <v>0</v>
      </c>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v>0</v>
      </c>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5</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0</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0</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56</v>
      </c>
      <c r="AD29" s="6" t="s">
        <v>56</v>
      </c>
      <c r="AE29" s="6" t="s">
        <v>56</v>
      </c>
    </row>
    <row r="30" spans="1:31" s="6" customFormat="1" x14ac:dyDescent="0.25">
      <c r="A30" s="6" t="s">
        <v>132</v>
      </c>
      <c r="B30" s="6" t="s">
        <v>137</v>
      </c>
      <c r="C30" s="6" t="s">
        <v>135</v>
      </c>
      <c r="D30" s="6"/>
      <c r="E30" s="6"/>
      <c r="F30" s="6"/>
      <c r="G30" s="6"/>
      <c r="H30" s="6"/>
      <c r="I30" s="6"/>
      <c r="J30" s="6"/>
      <c r="K30" s="6" t="s">
        <v>85</v>
      </c>
      <c r="L30" s="6" t="s">
        <v>86</v>
      </c>
      <c r="M30" s="6"/>
      <c r="N30" s="6"/>
      <c r="O30" s="6"/>
      <c r="P30" s="6"/>
      <c r="Q30" s="11">
        <v>0</v>
      </c>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v>0</v>
      </c>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2</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0</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0</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56</v>
      </c>
      <c r="AD30" s="6" t="s">
        <v>56</v>
      </c>
      <c r="AE30" s="6" t="s">
        <v>56</v>
      </c>
    </row>
    <row r="31" spans="1:31" s="6" customFormat="1" x14ac:dyDescent="0.25">
      <c r="A31" s="6" t="s">
        <v>132</v>
      </c>
      <c r="B31" s="6" t="s">
        <v>137</v>
      </c>
      <c r="C31" s="6" t="s">
        <v>138</v>
      </c>
      <c r="D31" s="6"/>
      <c r="E31" s="6"/>
      <c r="F31" s="6"/>
      <c r="G31" s="6"/>
      <c r="H31" s="6"/>
      <c r="I31" s="6"/>
      <c r="J31" s="6"/>
      <c r="K31" s="6" t="s">
        <v>85</v>
      </c>
      <c r="L31" s="6" t="s">
        <v>86</v>
      </c>
      <c r="M31" s="6"/>
      <c r="N31" s="6"/>
      <c r="O31" s="6"/>
      <c r="P31" s="6"/>
      <c r="Q31" s="11">
        <v>0</v>
      </c>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v>0</v>
      </c>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3</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2</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0</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56</v>
      </c>
      <c r="AD31" s="6" t="s">
        <v>56</v>
      </c>
      <c r="AE31" s="6" t="s">
        <v>56</v>
      </c>
    </row>
    <row r="32" spans="1:31" s="6" customFormat="1" x14ac:dyDescent="0.25">
      <c r="A32" s="6" t="s">
        <v>132</v>
      </c>
      <c r="B32" s="6" t="s">
        <v>137</v>
      </c>
      <c r="C32" s="6" t="s">
        <v>136</v>
      </c>
      <c r="D32" s="6"/>
      <c r="E32" s="6"/>
      <c r="F32" s="6"/>
      <c r="G32" s="6"/>
      <c r="H32" s="6"/>
      <c r="I32" s="6"/>
      <c r="J32" s="6"/>
      <c r="K32" s="6" t="s">
        <v>85</v>
      </c>
      <c r="L32" s="6" t="s">
        <v>86</v>
      </c>
      <c r="M32" s="6"/>
      <c r="N32" s="6"/>
      <c r="O32" s="6"/>
      <c r="P32" s="6"/>
      <c r="Q32" s="11">
        <v>0</v>
      </c>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v>0</v>
      </c>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2</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0</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0</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56</v>
      </c>
      <c r="AD32" s="6" t="s">
        <v>56</v>
      </c>
      <c r="AE32" s="6" t="s">
        <v>56</v>
      </c>
    </row>
    <row r="33" spans="1:31" s="6" customFormat="1" x14ac:dyDescent="0.25">
      <c r="A33" s="6" t="s">
        <v>132</v>
      </c>
      <c r="B33" s="6" t="s">
        <v>139</v>
      </c>
      <c r="D33" s="6"/>
      <c r="E33" s="6"/>
      <c r="F33" s="6"/>
      <c r="G33" s="6"/>
      <c r="H33" s="6"/>
      <c r="I33" s="6"/>
      <c r="J33" s="6"/>
      <c r="K33" s="6" t="s">
        <v>85</v>
      </c>
      <c r="L33" s="6" t="s">
        <v>86</v>
      </c>
      <c r="M33" s="6"/>
      <c r="N33" s="6"/>
      <c r="O33" s="6"/>
      <c r="P33" s="6"/>
      <c r="Q33" s="11">
        <v>0</v>
      </c>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v>0</v>
      </c>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3</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0</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v>0</v>
      </c>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56</v>
      </c>
      <c r="AD33" s="6" t="s">
        <v>56</v>
      </c>
      <c r="AE33" s="6" t="s">
        <v>56</v>
      </c>
    </row>
    <row r="34" spans="1:31" s="6" customFormat="1" x14ac:dyDescent="0.25">
      <c r="A34" s="6" t="s">
        <v>132</v>
      </c>
      <c r="B34" s="6" t="s">
        <v>140</v>
      </c>
      <c r="D34" s="6"/>
      <c r="E34" s="6"/>
      <c r="F34" s="6" t="s">
        <v>141</v>
      </c>
      <c r="G34" s="6"/>
      <c r="H34" s="6"/>
      <c r="I34" s="6"/>
      <c r="J34" s="6"/>
      <c r="K34" s="6" t="s">
        <v>85</v>
      </c>
      <c r="L34" s="6" t="s">
        <v>86</v>
      </c>
      <c r="M34" s="6"/>
      <c r="N34" s="6"/>
      <c r="O34" s="6"/>
      <c r="P34" s="6"/>
      <c r="Q34" s="11">
        <v>0</v>
      </c>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v>0</v>
      </c>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5</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3</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0</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56</v>
      </c>
      <c r="AD34" s="6" t="s">
        <v>56</v>
      </c>
      <c r="AE34" s="6" t="s">
        <v>56</v>
      </c>
    </row>
    <row r="35" spans="1:31" s="6" customFormat="1" x14ac:dyDescent="0.25">
      <c r="A35" s="6" t="s">
        <v>142</v>
      </c>
      <c r="B35" s="6" t="s">
        <v>143</v>
      </c>
      <c r="C35" s="6" t="s">
        <v>117</v>
      </c>
      <c r="D35" s="6"/>
      <c r="E35" s="6"/>
      <c r="F35" s="6"/>
      <c r="G35" s="6"/>
      <c r="H35" s="6"/>
      <c r="I35" s="6"/>
      <c r="J35" s="6"/>
      <c r="K35" s="6" t="s">
        <v>85</v>
      </c>
      <c r="L35" s="6" t="s">
        <v>86</v>
      </c>
      <c r="M35" s="6"/>
      <c r="N35" s="6"/>
      <c r="O35" s="6"/>
      <c r="P35" s="6"/>
      <c r="Q35" s="11">
        <v>0</v>
      </c>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v>0</v>
      </c>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3</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2</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0</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56</v>
      </c>
      <c r="AD35" s="6" t="s">
        <v>56</v>
      </c>
      <c r="AE35" s="6" t="s">
        <v>56</v>
      </c>
    </row>
    <row r="36" spans="1:31" s="6" customFormat="1" x14ac:dyDescent="0.25">
      <c r="A36" s="6" t="s">
        <v>142</v>
      </c>
      <c r="B36" s="6" t="s">
        <v>143</v>
      </c>
      <c r="C36" s="6" t="s">
        <v>144</v>
      </c>
      <c r="D36" s="6"/>
      <c r="E36" s="6"/>
      <c r="F36" s="6" t="s">
        <v>145</v>
      </c>
      <c r="G36" s="6"/>
      <c r="H36" s="6"/>
      <c r="I36" s="6"/>
      <c r="J36" s="6"/>
      <c r="K36" s="6" t="s">
        <v>85</v>
      </c>
      <c r="L36" s="6" t="s">
        <v>86</v>
      </c>
      <c r="M36" s="6"/>
      <c r="N36" s="6"/>
      <c r="O36" s="6"/>
      <c r="P36" s="6"/>
      <c r="Q36" s="11">
        <v>0</v>
      </c>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v>0</v>
      </c>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2</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0</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0</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56</v>
      </c>
      <c r="AD36" s="6" t="s">
        <v>56</v>
      </c>
      <c r="AE36" s="6" t="s">
        <v>56</v>
      </c>
    </row>
    <row r="37" spans="1:31" s="6" customFormat="1" x14ac:dyDescent="0.25">
      <c r="A37" s="6" t="s">
        <v>142</v>
      </c>
      <c r="B37" s="6" t="s">
        <v>146</v>
      </c>
      <c r="D37" s="6"/>
      <c r="E37" s="6"/>
      <c r="F37" s="6"/>
      <c r="G37" s="6"/>
      <c r="H37" s="6"/>
      <c r="I37" s="6"/>
      <c r="J37" s="6"/>
      <c r="K37" s="6" t="s">
        <v>85</v>
      </c>
      <c r="L37" s="6" t="s">
        <v>86</v>
      </c>
      <c r="M37" s="6"/>
      <c r="N37" s="6"/>
      <c r="O37" s="6"/>
      <c r="P37" s="6"/>
      <c r="Q37" s="11">
        <v>0</v>
      </c>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v>0</v>
      </c>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3</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0</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0</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56</v>
      </c>
      <c r="AD37" s="6" t="s">
        <v>56</v>
      </c>
      <c r="AE37" s="6" t="s">
        <v>56</v>
      </c>
    </row>
    <row r="38" spans="1:31" s="6" customFormat="1" x14ac:dyDescent="0.25">
      <c r="A38" s="6" t="s">
        <v>142</v>
      </c>
      <c r="B38" s="6" t="s">
        <v>147</v>
      </c>
      <c r="C38" s="6" t="s">
        <v>148</v>
      </c>
      <c r="D38" s="6"/>
      <c r="E38" s="6"/>
      <c r="F38" s="6" t="s">
        <v>149</v>
      </c>
      <c r="G38" s="6"/>
      <c r="H38" s="6"/>
      <c r="I38" s="6"/>
      <c r="J38" s="6"/>
      <c r="K38" s="6" t="s">
        <v>85</v>
      </c>
      <c r="L38" s="6" t="s">
        <v>86</v>
      </c>
      <c r="M38" s="6"/>
      <c r="N38" s="6"/>
      <c r="O38" s="6"/>
      <c r="P38" s="6"/>
      <c r="Q38" s="11">
        <v>0</v>
      </c>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v>0</v>
      </c>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3</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2</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0</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56</v>
      </c>
      <c r="AD38" s="6" t="s">
        <v>56</v>
      </c>
      <c r="AE38" s="6" t="s">
        <v>56</v>
      </c>
    </row>
    <row r="39" spans="1:31" s="6" customFormat="1" x14ac:dyDescent="0.25">
      <c r="A39" s="6" t="s">
        <v>142</v>
      </c>
      <c r="B39" s="6" t="s">
        <v>147</v>
      </c>
      <c r="C39" s="6" t="s">
        <v>150</v>
      </c>
      <c r="D39" s="6"/>
      <c r="E39" s="6"/>
      <c r="F39" s="6" t="s">
        <v>149</v>
      </c>
      <c r="G39" s="6"/>
      <c r="H39" s="6"/>
      <c r="I39" s="6"/>
      <c r="J39" s="6"/>
      <c r="K39" s="6" t="s">
        <v>85</v>
      </c>
      <c r="L39" s="6" t="s">
        <v>86</v>
      </c>
      <c r="M39" s="6"/>
      <c r="N39" s="6"/>
      <c r="O39" s="6"/>
      <c r="P39" s="6"/>
      <c r="Q39" s="11">
        <v>0</v>
      </c>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v>0</v>
      </c>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8</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3</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0</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56</v>
      </c>
      <c r="AD39" s="6" t="s">
        <v>56</v>
      </c>
      <c r="AE39" s="6" t="s">
        <v>56</v>
      </c>
    </row>
    <row r="40" spans="1:31" s="6" customFormat="1" x14ac:dyDescent="0.25">
      <c r="A40" s="6" t="s">
        <v>142</v>
      </c>
      <c r="B40" s="6" t="s">
        <v>151</v>
      </c>
      <c r="D40" s="6"/>
      <c r="E40" s="6"/>
      <c r="F40" s="6"/>
      <c r="G40" s="6"/>
      <c r="H40" s="6"/>
      <c r="I40" s="6"/>
      <c r="J40" s="6"/>
      <c r="K40" s="6" t="s">
        <v>85</v>
      </c>
      <c r="L40" s="6" t="s">
        <v>86</v>
      </c>
      <c r="M40" s="6"/>
      <c r="N40" s="6"/>
      <c r="O40" s="6"/>
      <c r="P40" s="6"/>
      <c r="Q40" s="11">
        <v>0</v>
      </c>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v>0</v>
      </c>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2</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0</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0</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56</v>
      </c>
      <c r="AD40" s="6" t="s">
        <v>56</v>
      </c>
      <c r="AE40" s="6" t="s">
        <v>56</v>
      </c>
    </row>
    <row r="41" spans="1:31" s="6" customFormat="1" x14ac:dyDescent="0.25">
      <c r="A41" s="6" t="s">
        <v>142</v>
      </c>
      <c r="B41" s="6" t="s">
        <v>152</v>
      </c>
      <c r="D41" s="6"/>
      <c r="E41" s="6"/>
      <c r="F41" s="6"/>
      <c r="G41" s="6"/>
      <c r="H41" s="6"/>
      <c r="I41" s="6"/>
      <c r="J41" s="6"/>
      <c r="K41" s="6" t="s">
        <v>85</v>
      </c>
      <c r="L41" s="6" t="s">
        <v>86</v>
      </c>
      <c r="M41" s="6"/>
      <c r="N41" s="6"/>
      <c r="O41" s="6"/>
      <c r="P41" s="6"/>
      <c r="Q41" s="11">
        <v>0</v>
      </c>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v>0</v>
      </c>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3</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0</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0</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56</v>
      </c>
      <c r="AD41" s="6" t="s">
        <v>56</v>
      </c>
      <c r="AE41" s="6" t="s">
        <v>56</v>
      </c>
    </row>
    <row r="42" spans="1:31" s="6" customFormat="1" x14ac:dyDescent="0.25">
      <c r="A42" s="6" t="s">
        <v>142</v>
      </c>
      <c r="B42" s="6" t="s">
        <v>153</v>
      </c>
      <c r="D42" s="6"/>
      <c r="E42" s="6"/>
      <c r="F42" s="6" t="s">
        <v>154</v>
      </c>
      <c r="G42" s="6"/>
      <c r="H42" s="6"/>
      <c r="I42" s="6"/>
      <c r="J42" s="6"/>
      <c r="K42" s="6" t="s">
        <v>85</v>
      </c>
      <c r="L42" s="6" t="s">
        <v>86</v>
      </c>
      <c r="M42" s="6"/>
      <c r="N42" s="6"/>
      <c r="O42" s="6"/>
      <c r="P42" s="6"/>
      <c r="Q42" s="11">
        <v>0</v>
      </c>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v>0</v>
      </c>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0</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21</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0</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56</v>
      </c>
      <c r="AD42" s="6" t="s">
        <v>56</v>
      </c>
      <c r="AE42" s="6" t="s">
        <v>56</v>
      </c>
    </row>
    <row r="43" spans="1:31" s="6" customFormat="1" x14ac:dyDescent="0.25">
      <c r="A43" s="6" t="s">
        <v>155</v>
      </c>
      <c r="D43" s="6"/>
      <c r="E43" s="6"/>
      <c r="F43" s="6" t="s">
        <v>156</v>
      </c>
      <c r="G43" s="6"/>
      <c r="H43" s="6"/>
      <c r="I43" s="6"/>
      <c r="J43" s="6"/>
      <c r="K43" s="6" t="s">
        <v>85</v>
      </c>
      <c r="L43" s="6" t="s">
        <v>86</v>
      </c>
      <c r="M43" s="6"/>
      <c r="N43" s="6"/>
      <c r="O43" s="6"/>
      <c r="P43" s="6"/>
      <c r="Q43" s="11">
        <v>0</v>
      </c>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v>0</v>
      </c>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3</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3</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0</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56</v>
      </c>
      <c r="AD43" s="6" t="s">
        <v>56</v>
      </c>
      <c r="AE43" s="6" t="s">
        <v>56</v>
      </c>
    </row>
    <row r="44" spans="1:31" s="6" customFormat="1" x14ac:dyDescent="0.25">
      <c r="A44" s="6" t="s">
        <v>157</v>
      </c>
      <c r="B44" s="6" t="s">
        <v>158</v>
      </c>
      <c r="C44" s="6" t="s">
        <v>159</v>
      </c>
      <c r="D44" s="6"/>
      <c r="E44" s="6"/>
      <c r="F44" s="6"/>
      <c r="G44" s="6"/>
      <c r="H44" s="6"/>
      <c r="I44" s="6"/>
      <c r="J44" s="6"/>
      <c r="K44" s="6" t="s">
        <v>85</v>
      </c>
      <c r="L44" s="6" t="s">
        <v>86</v>
      </c>
      <c r="M44" s="6"/>
      <c r="N44" s="6"/>
      <c r="O44" s="6"/>
      <c r="P44" s="6"/>
      <c r="Q44" s="11">
        <v>0</v>
      </c>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v>0</v>
      </c>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5</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0</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0</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56</v>
      </c>
      <c r="AD44" s="6" t="s">
        <v>56</v>
      </c>
      <c r="AE44" s="6" t="s">
        <v>56</v>
      </c>
    </row>
    <row r="45" spans="1:31" s="6" customFormat="1" x14ac:dyDescent="0.25">
      <c r="A45" s="6" t="s">
        <v>157</v>
      </c>
      <c r="B45" s="6" t="s">
        <v>158</v>
      </c>
      <c r="C45" s="6" t="s">
        <v>160</v>
      </c>
      <c r="D45" s="6"/>
      <c r="E45" s="6"/>
      <c r="F45" s="6"/>
      <c r="G45" s="6"/>
      <c r="H45" s="6"/>
      <c r="I45" s="6"/>
      <c r="J45" s="6"/>
      <c r="K45" s="6" t="s">
        <v>85</v>
      </c>
      <c r="L45" s="6" t="s">
        <v>86</v>
      </c>
      <c r="M45" s="6"/>
      <c r="N45" s="6"/>
      <c r="O45" s="6"/>
      <c r="P45" s="6"/>
      <c r="Q45" s="11">
        <v>0</v>
      </c>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v>0</v>
      </c>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5</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2</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v>0</v>
      </c>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56</v>
      </c>
      <c r="AD45" s="6" t="s">
        <v>56</v>
      </c>
      <c r="AE45" s="6" t="s">
        <v>56</v>
      </c>
    </row>
    <row r="46" spans="1:31" s="6" customFormat="1" x14ac:dyDescent="0.25">
      <c r="A46" s="6" t="s">
        <v>157</v>
      </c>
      <c r="B46" s="6" t="s">
        <v>161</v>
      </c>
      <c r="C46" s="6" t="s">
        <v>162</v>
      </c>
      <c r="D46" s="6" t="s">
        <v>163</v>
      </c>
      <c r="E46" s="6"/>
      <c r="F46" s="6"/>
      <c r="G46" s="6"/>
      <c r="H46" s="6"/>
      <c r="I46" s="6"/>
      <c r="J46" s="6"/>
      <c r="K46" s="6" t="s">
        <v>85</v>
      </c>
      <c r="L46" s="6" t="s">
        <v>86</v>
      </c>
      <c r="M46" s="6"/>
      <c r="N46" s="6"/>
      <c r="O46" s="6"/>
      <c r="P46" s="6"/>
      <c r="Q46" s="11">
        <v>0</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0</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8</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5</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0</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56</v>
      </c>
      <c r="AD46" s="6" t="s">
        <v>56</v>
      </c>
      <c r="AE46" s="6" t="s">
        <v>56</v>
      </c>
    </row>
    <row r="47" spans="1:31" s="6" customFormat="1" x14ac:dyDescent="0.25">
      <c r="A47" s="6" t="s">
        <v>157</v>
      </c>
      <c r="B47" s="6" t="s">
        <v>161</v>
      </c>
      <c r="C47" s="6" t="s">
        <v>164</v>
      </c>
      <c r="D47" s="6" t="s">
        <v>165</v>
      </c>
      <c r="E47" s="6"/>
      <c r="F47" s="6" t="s">
        <v>166</v>
      </c>
      <c r="G47" s="6"/>
      <c r="H47" s="6"/>
      <c r="I47" s="6"/>
      <c r="J47" s="6"/>
      <c r="K47" s="6" t="s">
        <v>85</v>
      </c>
      <c r="L47" s="6" t="s">
        <v>86</v>
      </c>
      <c r="M47" s="6"/>
      <c r="N47" s="6"/>
      <c r="O47" s="6"/>
      <c r="P47" s="6"/>
      <c r="Q47" s="11">
        <v>0</v>
      </c>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v>0</v>
      </c>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8</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5</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0</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56</v>
      </c>
      <c r="AD47" s="6" t="s">
        <v>56</v>
      </c>
      <c r="AE47" s="6" t="s">
        <v>56</v>
      </c>
    </row>
    <row r="48" spans="1:31" s="6" customFormat="1" x14ac:dyDescent="0.25">
      <c r="A48" s="6" t="s">
        <v>157</v>
      </c>
      <c r="B48" s="6" t="s">
        <v>167</v>
      </c>
      <c r="C48" s="6" t="s">
        <v>168</v>
      </c>
      <c r="D48" s="6"/>
      <c r="E48" s="6"/>
      <c r="F48" s="6"/>
      <c r="G48" s="6"/>
      <c r="H48" s="6"/>
      <c r="I48" s="6"/>
      <c r="J48" s="6"/>
      <c r="K48" s="6" t="s">
        <v>85</v>
      </c>
      <c r="L48" s="6" t="s">
        <v>86</v>
      </c>
      <c r="M48" s="6"/>
      <c r="N48" s="6"/>
      <c r="O48" s="6"/>
      <c r="P48" s="6"/>
      <c r="Q48" s="11">
        <v>0</v>
      </c>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v>0</v>
      </c>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5</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3</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0</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56</v>
      </c>
      <c r="AD48" s="6" t="s">
        <v>56</v>
      </c>
      <c r="AE48" s="6" t="s">
        <v>56</v>
      </c>
    </row>
    <row r="49" spans="1:31" s="6" customFormat="1" x14ac:dyDescent="0.25">
      <c r="A49" s="6" t="s">
        <v>157</v>
      </c>
      <c r="B49" s="6" t="s">
        <v>167</v>
      </c>
      <c r="C49" s="6" t="s">
        <v>169</v>
      </c>
      <c r="D49" s="6"/>
      <c r="E49" s="6"/>
      <c r="F49" s="6" t="s">
        <v>170</v>
      </c>
      <c r="G49" s="6"/>
      <c r="H49" s="6"/>
      <c r="I49" s="6"/>
      <c r="J49" s="6"/>
      <c r="K49" s="6" t="s">
        <v>85</v>
      </c>
      <c r="L49" s="6" t="s">
        <v>86</v>
      </c>
      <c r="M49" s="6"/>
      <c r="N49" s="6"/>
      <c r="O49" s="6"/>
      <c r="P49" s="6"/>
      <c r="Q49" s="11">
        <v>0</v>
      </c>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v>0</v>
      </c>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5</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3</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0</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56</v>
      </c>
      <c r="AD49" s="6" t="s">
        <v>56</v>
      </c>
      <c r="AE49" s="6" t="s">
        <v>56</v>
      </c>
    </row>
    <row r="50" spans="1:31" s="6" customFormat="1" x14ac:dyDescent="0.25">
      <c r="A50" s="6" t="s">
        <v>157</v>
      </c>
      <c r="B50" s="6" t="s">
        <v>171</v>
      </c>
      <c r="C50" s="6" t="s">
        <v>172</v>
      </c>
      <c r="D50" s="6"/>
      <c r="E50" s="6"/>
      <c r="F50" s="6" t="s">
        <v>173</v>
      </c>
      <c r="G50" s="6"/>
      <c r="H50" s="6"/>
      <c r="I50" s="6"/>
      <c r="J50" s="6"/>
      <c r="K50" s="6" t="s">
        <v>85</v>
      </c>
      <c r="L50" s="6" t="s">
        <v>86</v>
      </c>
      <c r="M50" s="6"/>
      <c r="N50" s="6"/>
      <c r="O50" s="6"/>
      <c r="P50" s="6"/>
      <c r="Q50" s="11">
        <v>0</v>
      </c>
      <c r="R50" s="12">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1">
        <v>0</v>
      </c>
      <c r="T50" s="12">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1">
        <v>8</v>
      </c>
      <c r="V50" s="12">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1">
        <v>5</v>
      </c>
      <c r="X50" s="12">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1">
        <v>0</v>
      </c>
      <c r="Z50" s="12">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6">
        <f>SUM(V50,X50,Z50)</f>
      </c>
      <c r="AB50" s="6">
        <f>
      Ifs( 
        ISBETWEEN(AA50, 0, 'Points-Table'!C$20, TRUE, False), 'Points-Table'!A$20,
        ISBETWEEN(AA50, 'Points-Table'!C$20, 'Points-Table'!C$21, TRUE, False), 'Points-Table'!A$21,
        ISBETWEEN(AA50, 'Points-Table'!C$22, 10000, TRUE, TRUE), 'Points-Table'!A$22,
        true, 
        0)
      </f>
      </c>
      <c r="AC50" s="6" t="s">
        <v>56</v>
      </c>
      <c r="AD50" s="6" t="s">
        <v>56</v>
      </c>
      <c r="AE50" s="6" t="s">
        <v>56</v>
      </c>
    </row>
    <row r="51" spans="1:31" s="15" customFormat="1" x14ac:dyDescent="0.25">
      <c r="A51" s="15" t="s">
        <v>157</v>
      </c>
      <c r="B51" s="15" t="s">
        <v>171</v>
      </c>
      <c r="C51" s="15" t="s">
        <v>174</v>
      </c>
      <c r="D51" s="15"/>
      <c r="E51" s="15"/>
      <c r="F51" s="15" t="s">
        <v>175</v>
      </c>
      <c r="G51" s="15"/>
      <c r="H51" s="15"/>
      <c r="I51" s="15"/>
      <c r="J51" s="15"/>
      <c r="K51" s="15" t="s">
        <v>85</v>
      </c>
      <c r="L51" s="15" t="s">
        <v>86</v>
      </c>
      <c r="M51" s="15"/>
      <c r="N51" s="15"/>
      <c r="O51" s="15"/>
      <c r="P51" s="15"/>
      <c r="Q51" s="15">
        <v>0</v>
      </c>
      <c r="R51" s="15">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5">
        <v>0</v>
      </c>
      <c r="T51" s="15">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5">
        <v>5</v>
      </c>
      <c r="V51" s="15">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5">
        <v>5</v>
      </c>
      <c r="X51" s="15">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5">
        <v>0</v>
      </c>
      <c r="Z51" s="15">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15">
        <f>SUM(V51,X51,Z51)</f>
      </c>
      <c r="AB51" s="15">
        <f>
      Ifs( 
        ISBETWEEN(AA51, 0, 'Points-Table'!C$20, TRUE, False), 'Points-Table'!A$20,
        ISBETWEEN(AA51, 'Points-Table'!C$20, 'Points-Table'!C$21, TRUE, False), 'Points-Table'!A$21,
        ISBETWEEN(AA51, 'Points-Table'!C$22, 10000, TRUE, TRUE), 'Points-Table'!A$22,
        true, 
        0)
      </f>
      </c>
      <c r="AC51" s="15" t="s">
        <v>56</v>
      </c>
      <c r="AD51" s="15" t="s">
        <v>56</v>
      </c>
      <c r="AE51" s="15" t="s">
        <v>56</v>
      </c>
    </row>
    <row r="52" spans="1:31" s="6" customFormat="1" x14ac:dyDescent="0.25">
      <c r="A52" s="6" t="s">
        <v>157</v>
      </c>
      <c r="B52" s="6" t="s">
        <v>176</v>
      </c>
      <c r="D52" s="6"/>
      <c r="E52" s="6"/>
      <c r="F52" s="6"/>
      <c r="G52" s="6"/>
      <c r="H52" s="6"/>
      <c r="I52" s="6"/>
      <c r="J52" s="6"/>
      <c r="K52" s="6" t="s">
        <v>85</v>
      </c>
      <c r="L52" s="6" t="s">
        <v>86</v>
      </c>
      <c r="M52" s="6"/>
      <c r="N52" s="6"/>
      <c r="O52" s="6"/>
      <c r="P52" s="6"/>
      <c r="Q52" s="11">
        <v>0</v>
      </c>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v>0</v>
      </c>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3</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2</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v>0</v>
      </c>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56</v>
      </c>
      <c r="AD52" s="6" t="s">
        <v>56</v>
      </c>
      <c r="AE52" s="6" t="s">
        <v>56</v>
      </c>
    </row>
    <row r="53" spans="1:31" s="6" customFormat="1" x14ac:dyDescent="0.25">
      <c r="A53" s="6" t="s">
        <v>157</v>
      </c>
      <c r="B53" s="6" t="s">
        <v>177</v>
      </c>
      <c r="C53" s="6" t="s">
        <v>117</v>
      </c>
      <c r="D53" s="6" t="s">
        <v>178</v>
      </c>
      <c r="E53" s="6"/>
      <c r="F53" s="6"/>
      <c r="G53" s="6"/>
      <c r="H53" s="6"/>
      <c r="I53" s="6"/>
      <c r="J53" s="6"/>
      <c r="K53" s="6" t="s">
        <v>85</v>
      </c>
      <c r="L53" s="6" t="s">
        <v>86</v>
      </c>
      <c r="M53" s="6"/>
      <c r="N53" s="6"/>
      <c r="O53" s="6"/>
      <c r="P53" s="6"/>
      <c r="Q53" s="11">
        <v>0</v>
      </c>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v>0</v>
      </c>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5</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3</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v>0</v>
      </c>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56</v>
      </c>
      <c r="AD53" s="6" t="s">
        <v>56</v>
      </c>
      <c r="AE53" s="6" t="s">
        <v>56</v>
      </c>
    </row>
    <row r="54" spans="1:31" s="6" customFormat="1" x14ac:dyDescent="0.25">
      <c r="A54" s="6" t="s">
        <v>157</v>
      </c>
      <c r="B54" s="6" t="s">
        <v>177</v>
      </c>
      <c r="C54" s="6" t="s">
        <v>179</v>
      </c>
      <c r="D54" s="6" t="s">
        <v>180</v>
      </c>
      <c r="E54" s="6"/>
      <c r="F54" s="6" t="s">
        <v>181</v>
      </c>
      <c r="G54" s="6"/>
      <c r="H54" s="6"/>
      <c r="I54" s="6"/>
      <c r="J54" s="6"/>
      <c r="K54" s="6" t="s">
        <v>85</v>
      </c>
      <c r="L54" s="6" t="s">
        <v>86</v>
      </c>
      <c r="M54" s="6"/>
      <c r="N54" s="6"/>
      <c r="O54" s="6"/>
      <c r="P54" s="6"/>
      <c r="Q54" s="11">
        <v>0</v>
      </c>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v>0</v>
      </c>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8</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3</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v>0</v>
      </c>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56</v>
      </c>
      <c r="AD54" s="6" t="s">
        <v>56</v>
      </c>
      <c r="AE54" s="6" t="s">
        <v>56</v>
      </c>
    </row>
    <row r="55" spans="1:31" s="15" customFormat="1" x14ac:dyDescent="0.25">
      <c r="A55" s="15" t="s">
        <v>157</v>
      </c>
      <c r="B55" s="15" t="s">
        <v>177</v>
      </c>
      <c r="C55" s="15" t="s">
        <v>182</v>
      </c>
      <c r="D55" s="15"/>
      <c r="E55" s="15"/>
      <c r="F55" s="15" t="s">
        <v>183</v>
      </c>
      <c r="G55" s="15"/>
      <c r="H55" s="15"/>
      <c r="I55" s="15"/>
      <c r="J55" s="15"/>
      <c r="K55" s="15" t="s">
        <v>85</v>
      </c>
      <c r="L55" s="15" t="s">
        <v>184</v>
      </c>
      <c r="M55" s="15"/>
      <c r="N55" s="15"/>
      <c r="O55" s="15"/>
      <c r="P55" s="15"/>
      <c r="Q55" s="15">
        <v>0</v>
      </c>
      <c r="R55" s="15">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5">
        <v>0</v>
      </c>
      <c r="T55" s="15">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5">
        <v>3</v>
      </c>
      <c r="V55" s="15">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5">
        <v>3</v>
      </c>
      <c r="X55" s="15">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5">
        <v>0</v>
      </c>
      <c r="Z55" s="15">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15">
        <f>SUM(V55,X55,Z55)</f>
      </c>
      <c r="AB55" s="15">
        <f>
      Ifs( 
        ISBETWEEN(AA55, 0, 'Points-Table'!C$20, TRUE, False), 'Points-Table'!A$20,
        ISBETWEEN(AA55, 'Points-Table'!C$20, 'Points-Table'!C$21, TRUE, False), 'Points-Table'!A$21,
        ISBETWEEN(AA55, 'Points-Table'!C$22, 10000, TRUE, TRUE), 'Points-Table'!A$22,
        true, 
        0)
      </f>
      </c>
      <c r="AC55" s="15" t="s">
        <v>56</v>
      </c>
      <c r="AD55" s="15" t="s">
        <v>56</v>
      </c>
      <c r="AE55" s="15" t="s">
        <v>56</v>
      </c>
    </row>
    <row r="56" spans="1:31" s="6" customFormat="1" x14ac:dyDescent="0.25">
      <c r="A56" s="6" t="s">
        <v>157</v>
      </c>
      <c r="B56" s="6" t="s">
        <v>177</v>
      </c>
      <c r="C56" s="6" t="s">
        <v>185</v>
      </c>
      <c r="D56" s="6"/>
      <c r="E56" s="6"/>
      <c r="F56" s="6" t="s">
        <v>186</v>
      </c>
      <c r="G56" s="6"/>
      <c r="H56" s="6"/>
      <c r="I56" s="6"/>
      <c r="J56" s="6"/>
      <c r="K56" s="6" t="s">
        <v>85</v>
      </c>
      <c r="L56" s="6" t="s">
        <v>86</v>
      </c>
      <c r="M56" s="6"/>
      <c r="N56" s="6"/>
      <c r="O56" s="6"/>
      <c r="P56" s="6"/>
      <c r="Q56" s="11">
        <v>0</v>
      </c>
      <c r="R56" s="12">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1">
        <v>0</v>
      </c>
      <c r="T56" s="12">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1">
        <v>8</v>
      </c>
      <c r="V56" s="12">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1">
        <v>3</v>
      </c>
      <c r="X56" s="12">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1">
        <v>0</v>
      </c>
      <c r="Z56" s="12">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6">
        <f>SUM(V56,X56,Z56)</f>
      </c>
      <c r="AB56" s="6">
        <f>
      Ifs( 
        ISBETWEEN(AA56, 0, 'Points-Table'!C$20, TRUE, False), 'Points-Table'!A$20,
        ISBETWEEN(AA56, 'Points-Table'!C$20, 'Points-Table'!C$21, TRUE, False), 'Points-Table'!A$21,
        ISBETWEEN(AA56, 'Points-Table'!C$22, 10000, TRUE, TRUE), 'Points-Table'!A$22,
        true, 
        0)
      </f>
      </c>
      <c r="AC56" s="6" t="s">
        <v>56</v>
      </c>
      <c r="AD56" s="6" t="s">
        <v>56</v>
      </c>
      <c r="AE56" s="6" t="s">
        <v>56</v>
      </c>
    </row>
    <row r="57" spans="1:31" s="6" customFormat="1" x14ac:dyDescent="0.25">
      <c r="A57" s="6" t="s">
        <v>157</v>
      </c>
      <c r="B57" s="6" t="s">
        <v>177</v>
      </c>
      <c r="C57" s="6" t="s">
        <v>187</v>
      </c>
      <c r="D57" s="6"/>
      <c r="E57" s="6"/>
      <c r="F57" s="6" t="s">
        <v>188</v>
      </c>
      <c r="G57" s="6"/>
      <c r="H57" s="6"/>
      <c r="I57" s="6"/>
      <c r="J57" s="6"/>
      <c r="K57" s="6" t="s">
        <v>85</v>
      </c>
      <c r="L57" s="6" t="s">
        <v>86</v>
      </c>
      <c r="M57" s="6"/>
      <c r="N57" s="6"/>
      <c r="O57" s="6"/>
      <c r="P57" s="6"/>
      <c r="Q57" s="11">
        <v>0</v>
      </c>
      <c r="R57" s="12">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1">
        <v>0</v>
      </c>
      <c r="T57" s="12">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1">
        <v>5</v>
      </c>
      <c r="V57" s="12">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1">
        <v>2</v>
      </c>
      <c r="X57" s="12">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1">
        <v>0</v>
      </c>
      <c r="Z57" s="12">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6">
        <f>SUM(V57,X57,Z57)</f>
      </c>
      <c r="AB57" s="6">
        <f>
      Ifs( 
        ISBETWEEN(AA57, 0, 'Points-Table'!C$20, TRUE, False), 'Points-Table'!A$20,
        ISBETWEEN(AA57, 'Points-Table'!C$20, 'Points-Table'!C$21, TRUE, False), 'Points-Table'!A$21,
        ISBETWEEN(AA57, 'Points-Table'!C$22, 10000, TRUE, TRUE), 'Points-Table'!A$22,
        true, 
        0)
      </f>
      </c>
      <c r="AC57" s="6" t="s">
        <v>56</v>
      </c>
      <c r="AD57" s="6" t="s">
        <v>56</v>
      </c>
      <c r="AE57" s="6" t="s">
        <v>56</v>
      </c>
    </row>
    <row r="58" spans="1:31" s="6" customFormat="1" x14ac:dyDescent="0.25">
      <c r="A58" s="6" t="s">
        <v>157</v>
      </c>
      <c r="B58" s="6" t="s">
        <v>189</v>
      </c>
      <c r="C58" s="6" t="s">
        <v>190</v>
      </c>
      <c r="D58" s="6"/>
      <c r="E58" s="6"/>
      <c r="F58" s="6"/>
      <c r="G58" s="6"/>
      <c r="H58" s="6"/>
      <c r="I58" s="6"/>
      <c r="J58" s="6"/>
      <c r="K58" s="6" t="s">
        <v>85</v>
      </c>
      <c r="L58" s="6" t="s">
        <v>86</v>
      </c>
      <c r="M58" s="6"/>
      <c r="N58" s="6"/>
      <c r="O58" s="6"/>
      <c r="P58" s="6"/>
      <c r="Q58" s="11">
        <v>0</v>
      </c>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v>0</v>
      </c>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2</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0</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v>0</v>
      </c>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56</v>
      </c>
      <c r="AD58" s="6" t="s">
        <v>56</v>
      </c>
      <c r="AE58" s="6" t="s">
        <v>56</v>
      </c>
    </row>
    <row r="59" spans="1:31" s="6" customFormat="1" x14ac:dyDescent="0.25">
      <c r="A59" s="6" t="s">
        <v>157</v>
      </c>
      <c r="B59" s="6" t="s">
        <v>189</v>
      </c>
      <c r="C59" s="6" t="s">
        <v>191</v>
      </c>
      <c r="D59" s="6"/>
      <c r="E59" s="6"/>
      <c r="F59" s="6"/>
      <c r="G59" s="6"/>
      <c r="H59" s="6"/>
      <c r="I59" s="6"/>
      <c r="J59" s="6"/>
      <c r="K59" s="6" t="s">
        <v>85</v>
      </c>
      <c r="L59" s="6" t="s">
        <v>86</v>
      </c>
      <c r="M59" s="6"/>
      <c r="N59" s="6"/>
      <c r="O59" s="6"/>
      <c r="P59" s="6"/>
      <c r="Q59" s="11">
        <v>0</v>
      </c>
      <c r="R59" s="12">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1">
        <v>0</v>
      </c>
      <c r="T59" s="12">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1">
        <v>3</v>
      </c>
      <c r="V59" s="12">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1">
        <v>0</v>
      </c>
      <c r="X59" s="12">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1">
        <v>0</v>
      </c>
      <c r="Z59" s="12">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6">
        <f>SUM(V59,X59,Z59)</f>
      </c>
      <c r="AB59" s="6">
        <f>
      Ifs( 
        ISBETWEEN(AA59, 0, 'Points-Table'!C$20, TRUE, False), 'Points-Table'!A$20,
        ISBETWEEN(AA59, 'Points-Table'!C$20, 'Points-Table'!C$21, TRUE, False), 'Points-Table'!A$21,
        ISBETWEEN(AA59, 'Points-Table'!C$22, 10000, TRUE, TRUE), 'Points-Table'!A$22,
        true, 
        0)
      </f>
      </c>
      <c r="AC59" s="6" t="s">
        <v>56</v>
      </c>
      <c r="AD59" s="6" t="s">
        <v>56</v>
      </c>
      <c r="AE59" s="6" t="s">
        <v>56</v>
      </c>
    </row>
    <row r="60" spans="1:31" s="6" customFormat="1" x14ac:dyDescent="0.25">
      <c r="A60" s="6" t="s">
        <v>157</v>
      </c>
      <c r="B60" s="6" t="s">
        <v>189</v>
      </c>
      <c r="C60" s="6" t="s">
        <v>192</v>
      </c>
      <c r="D60" s="6"/>
      <c r="E60" s="6"/>
      <c r="F60" s="6"/>
      <c r="G60" s="6"/>
      <c r="H60" s="6"/>
      <c r="I60" s="6"/>
      <c r="J60" s="6"/>
      <c r="K60" s="6" t="s">
        <v>85</v>
      </c>
      <c r="L60" s="6" t="s">
        <v>86</v>
      </c>
      <c r="M60" s="6"/>
      <c r="N60" s="6"/>
      <c r="O60" s="6"/>
      <c r="P60" s="6"/>
      <c r="Q60" s="11">
        <v>0</v>
      </c>
      <c r="R60" s="12">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1">
        <v>0</v>
      </c>
      <c r="T60" s="12">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1">
        <v>3</v>
      </c>
      <c r="V60" s="12">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1">
        <v>0</v>
      </c>
      <c r="X60" s="12">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1">
        <v>0</v>
      </c>
      <c r="Z60" s="12">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6">
        <f>SUM(V60,X60,Z60)</f>
      </c>
      <c r="AB60" s="6">
        <f>
      Ifs( 
        ISBETWEEN(AA60, 0, 'Points-Table'!C$20, TRUE, False), 'Points-Table'!A$20,
        ISBETWEEN(AA60, 'Points-Table'!C$20, 'Points-Table'!C$21, TRUE, False), 'Points-Table'!A$21,
        ISBETWEEN(AA60, 'Points-Table'!C$22, 10000, TRUE, TRUE), 'Points-Table'!A$22,
        true, 
        0)
      </f>
      </c>
      <c r="AC60" s="6" t="s">
        <v>56</v>
      </c>
      <c r="AD60" s="6" t="s">
        <v>56</v>
      </c>
      <c r="AE60" s="6" t="s">
        <v>56</v>
      </c>
    </row>
    <row r="61" spans="1:31" s="6" customFormat="1" x14ac:dyDescent="0.25">
      <c r="A61" s="6" t="s">
        <v>157</v>
      </c>
      <c r="B61" s="6" t="s">
        <v>189</v>
      </c>
      <c r="C61" s="6" t="s">
        <v>193</v>
      </c>
      <c r="D61" s="6"/>
      <c r="E61" s="6"/>
      <c r="F61" s="6"/>
      <c r="G61" s="6"/>
      <c r="H61" s="6"/>
      <c r="I61" s="6"/>
      <c r="J61" s="6"/>
      <c r="K61" s="6" t="s">
        <v>85</v>
      </c>
      <c r="L61" s="6" t="s">
        <v>86</v>
      </c>
      <c r="M61" s="6"/>
      <c r="N61" s="6"/>
      <c r="O61" s="6"/>
      <c r="P61" s="6"/>
      <c r="Q61" s="11">
        <v>0</v>
      </c>
      <c r="R61" s="12">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1">
        <v>0</v>
      </c>
      <c r="T61" s="12">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1">
        <v>5</v>
      </c>
      <c r="V61" s="12">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1">
        <v>2</v>
      </c>
      <c r="X61" s="12">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1">
        <v>0</v>
      </c>
      <c r="Z61" s="12">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6">
        <f>SUM(V61,X61,Z61)</f>
      </c>
      <c r="AB61" s="6">
        <f>
      Ifs( 
        ISBETWEEN(AA61, 0, 'Points-Table'!C$20, TRUE, False), 'Points-Table'!A$20,
        ISBETWEEN(AA61, 'Points-Table'!C$20, 'Points-Table'!C$21, TRUE, False), 'Points-Table'!A$21,
        ISBETWEEN(AA61, 'Points-Table'!C$22, 10000, TRUE, TRUE), 'Points-Table'!A$22,
        true, 
        0)
      </f>
      </c>
      <c r="AC61" s="6" t="s">
        <v>56</v>
      </c>
      <c r="AD61" s="6" t="s">
        <v>56</v>
      </c>
      <c r="AE61" s="6" t="s">
        <v>56</v>
      </c>
    </row>
    <row r="62" spans="1:31" s="6" customFormat="1" x14ac:dyDescent="0.25">
      <c r="A62" s="6" t="s">
        <v>157</v>
      </c>
      <c r="B62" s="6" t="s">
        <v>189</v>
      </c>
      <c r="C62" s="6" t="s">
        <v>194</v>
      </c>
      <c r="D62" s="6"/>
      <c r="E62" s="6"/>
      <c r="F62" s="6"/>
      <c r="G62" s="6"/>
      <c r="H62" s="6"/>
      <c r="I62" s="6"/>
      <c r="J62" s="6"/>
      <c r="K62" s="6" t="s">
        <v>85</v>
      </c>
      <c r="L62" s="6" t="s">
        <v>86</v>
      </c>
      <c r="M62" s="6"/>
      <c r="N62" s="6"/>
      <c r="O62" s="6"/>
      <c r="P62" s="6"/>
      <c r="Q62" s="11">
        <v>0</v>
      </c>
      <c r="R62" s="12">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1">
        <v>0</v>
      </c>
      <c r="T62" s="12">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1">
        <v>3</v>
      </c>
      <c r="V62" s="12">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1">
        <v>0</v>
      </c>
      <c r="X62" s="12">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1">
        <v>0</v>
      </c>
      <c r="Z62" s="12">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6">
        <f>SUM(V62,X62,Z62)</f>
      </c>
      <c r="AB62" s="6">
        <f>
      Ifs( 
        ISBETWEEN(AA62, 0, 'Points-Table'!C$20, TRUE, False), 'Points-Table'!A$20,
        ISBETWEEN(AA62, 'Points-Table'!C$20, 'Points-Table'!C$21, TRUE, False), 'Points-Table'!A$21,
        ISBETWEEN(AA62, 'Points-Table'!C$22, 10000, TRUE, TRUE), 'Points-Table'!A$22,
        true, 
        0)
      </f>
      </c>
      <c r="AC62" s="6" t="s">
        <v>56</v>
      </c>
      <c r="AD62" s="6" t="s">
        <v>56</v>
      </c>
      <c r="AE62" s="6" t="s">
        <v>56</v>
      </c>
    </row>
    <row r="63" spans="1:31" s="6" customFormat="1" x14ac:dyDescent="0.25">
      <c r="A63" s="6" t="s">
        <v>157</v>
      </c>
      <c r="B63" s="6" t="s">
        <v>189</v>
      </c>
      <c r="C63" s="6" t="s">
        <v>195</v>
      </c>
      <c r="D63" s="6"/>
      <c r="E63" s="6"/>
      <c r="F63" s="6"/>
      <c r="G63" s="6"/>
      <c r="H63" s="6"/>
      <c r="I63" s="6"/>
      <c r="J63" s="6"/>
      <c r="K63" s="6" t="s">
        <v>85</v>
      </c>
      <c r="L63" s="6" t="s">
        <v>86</v>
      </c>
      <c r="M63" s="6"/>
      <c r="N63" s="6"/>
      <c r="O63" s="6"/>
      <c r="P63" s="6"/>
      <c r="Q63" s="11">
        <v>0</v>
      </c>
      <c r="R63" s="12">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1">
        <v>0</v>
      </c>
      <c r="T63" s="12">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1">
        <v>2</v>
      </c>
      <c r="V63" s="12">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1">
        <v>0</v>
      </c>
      <c r="X63" s="12">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1">
        <v>0</v>
      </c>
      <c r="Z63" s="12">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6">
        <f>SUM(V63,X63,Z63)</f>
      </c>
      <c r="AB63" s="6">
        <f>
      Ifs( 
        ISBETWEEN(AA63, 0, 'Points-Table'!C$20, TRUE, False), 'Points-Table'!A$20,
        ISBETWEEN(AA63, 'Points-Table'!C$20, 'Points-Table'!C$21, TRUE, False), 'Points-Table'!A$21,
        ISBETWEEN(AA63, 'Points-Table'!C$22, 10000, TRUE, TRUE), 'Points-Table'!A$22,
        true, 
        0)
      </f>
      </c>
      <c r="AC63" s="6" t="s">
        <v>56</v>
      </c>
      <c r="AD63" s="6" t="s">
        <v>56</v>
      </c>
      <c r="AE63" s="6" t="s">
        <v>56</v>
      </c>
    </row>
    <row r="64" spans="1:31" s="6" customFormat="1" x14ac:dyDescent="0.25">
      <c r="A64" s="6" t="s">
        <v>157</v>
      </c>
      <c r="B64" s="6" t="s">
        <v>189</v>
      </c>
      <c r="C64" s="6" t="s">
        <v>196</v>
      </c>
      <c r="D64" s="6"/>
      <c r="E64" s="6"/>
      <c r="F64" s="6"/>
      <c r="G64" s="6"/>
      <c r="H64" s="6"/>
      <c r="I64" s="6"/>
      <c r="J64" s="6"/>
      <c r="K64" s="6" t="s">
        <v>85</v>
      </c>
      <c r="L64" s="6" t="s">
        <v>86</v>
      </c>
      <c r="M64" s="6"/>
      <c r="N64" s="6"/>
      <c r="O64" s="6"/>
      <c r="P64" s="6"/>
      <c r="Q64" s="11">
        <v>0</v>
      </c>
      <c r="R64" s="12">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1">
        <v>0</v>
      </c>
      <c r="T64" s="12">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1">
        <v>2</v>
      </c>
      <c r="V64" s="12">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1">
        <v>0</v>
      </c>
      <c r="X64" s="12">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1">
        <v>0</v>
      </c>
      <c r="Z64" s="12">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6">
        <f>SUM(V64,X64,Z64)</f>
      </c>
      <c r="AB64" s="6">
        <f>
      Ifs( 
        ISBETWEEN(AA64, 0, 'Points-Table'!C$20, TRUE, False), 'Points-Table'!A$20,
        ISBETWEEN(AA64, 'Points-Table'!C$20, 'Points-Table'!C$21, TRUE, False), 'Points-Table'!A$21,
        ISBETWEEN(AA64, 'Points-Table'!C$22, 10000, TRUE, TRUE), 'Points-Table'!A$22,
        true, 
        0)
      </f>
      </c>
      <c r="AC64" s="6" t="s">
        <v>56</v>
      </c>
      <c r="AD64" s="6" t="s">
        <v>56</v>
      </c>
      <c r="AE64" s="6" t="s">
        <v>56</v>
      </c>
    </row>
    <row r="65" spans="1:31" s="6" customFormat="1" x14ac:dyDescent="0.25">
      <c r="A65" s="6" t="s">
        <v>157</v>
      </c>
      <c r="B65" s="6" t="s">
        <v>189</v>
      </c>
      <c r="C65" s="6" t="s">
        <v>197</v>
      </c>
      <c r="D65" s="6"/>
      <c r="E65" s="6"/>
      <c r="F65" s="6"/>
      <c r="G65" s="6"/>
      <c r="H65" s="6"/>
      <c r="I65" s="6"/>
      <c r="J65" s="6"/>
      <c r="K65" s="6" t="s">
        <v>85</v>
      </c>
      <c r="L65" s="6" t="s">
        <v>86</v>
      </c>
      <c r="M65" s="6"/>
      <c r="N65" s="6"/>
      <c r="O65" s="6"/>
      <c r="P65" s="6"/>
      <c r="Q65" s="11">
        <v>0</v>
      </c>
      <c r="R65" s="12">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1">
        <v>0</v>
      </c>
      <c r="T65" s="12">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1">
        <v>3</v>
      </c>
      <c r="V65" s="12">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1">
        <v>0</v>
      </c>
      <c r="X65" s="12">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1">
        <v>0</v>
      </c>
      <c r="Z65" s="12">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6">
        <f>SUM(V65,X65,Z65)</f>
      </c>
      <c r="AB65" s="6">
        <f>
      Ifs( 
        ISBETWEEN(AA65, 0, 'Points-Table'!C$20, TRUE, False), 'Points-Table'!A$20,
        ISBETWEEN(AA65, 'Points-Table'!C$20, 'Points-Table'!C$21, TRUE, False), 'Points-Table'!A$21,
        ISBETWEEN(AA65, 'Points-Table'!C$22, 10000, TRUE, TRUE), 'Points-Table'!A$22,
        true, 
        0)
      </f>
      </c>
      <c r="AC65" s="6" t="s">
        <v>56</v>
      </c>
      <c r="AD65" s="6" t="s">
        <v>56</v>
      </c>
      <c r="AE65" s="6" t="s">
        <v>56</v>
      </c>
    </row>
    <row r="66" spans="1:31" s="6" customFormat="1" x14ac:dyDescent="0.25">
      <c r="A66" s="6" t="s">
        <v>157</v>
      </c>
      <c r="B66" s="6" t="s">
        <v>198</v>
      </c>
      <c r="D66" s="6"/>
      <c r="E66" s="6"/>
      <c r="F66" s="6"/>
      <c r="G66" s="6"/>
      <c r="H66" s="6"/>
      <c r="I66" s="6"/>
      <c r="J66" s="6"/>
      <c r="K66" s="6" t="s">
        <v>85</v>
      </c>
      <c r="L66" s="6" t="s">
        <v>86</v>
      </c>
      <c r="M66" s="6"/>
      <c r="N66" s="6"/>
      <c r="O66" s="6"/>
      <c r="P66" s="6"/>
      <c r="Q66" s="11">
        <v>0</v>
      </c>
      <c r="R66" s="12">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1">
        <v>0</v>
      </c>
      <c r="T66" s="12">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1">
        <v>0</v>
      </c>
      <c r="V66" s="12">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1">
        <v>2</v>
      </c>
      <c r="X66" s="12">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1">
        <v>0</v>
      </c>
      <c r="Z66" s="12">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6">
        <f>SUM(V66,X66,Z66)</f>
      </c>
      <c r="AB66" s="6">
        <f>
      Ifs( 
        ISBETWEEN(AA66, 0, 'Points-Table'!C$20, TRUE, False), 'Points-Table'!A$20,
        ISBETWEEN(AA66, 'Points-Table'!C$20, 'Points-Table'!C$21, TRUE, False), 'Points-Table'!A$21,
        ISBETWEEN(AA66, 'Points-Table'!C$22, 10000, TRUE, TRUE), 'Points-Table'!A$22,
        true, 
        0)
      </f>
      </c>
      <c r="AC66" s="6" t="s">
        <v>56</v>
      </c>
      <c r="AD66" s="6" t="s">
        <v>56</v>
      </c>
      <c r="AE66" s="6" t="s">
        <v>56</v>
      </c>
    </row>
    <row r="67" spans="1:31" s="6" customFormat="1" x14ac:dyDescent="0.25">
      <c r="A67" s="6" t="s">
        <v>157</v>
      </c>
      <c r="B67" s="6" t="s">
        <v>199</v>
      </c>
      <c r="C67" s="6" t="s">
        <v>200</v>
      </c>
      <c r="D67" s="6" t="s">
        <v>201</v>
      </c>
      <c r="E67" s="6"/>
      <c r="F67" s="6"/>
      <c r="G67" s="6"/>
      <c r="H67" s="6"/>
      <c r="I67" s="6"/>
      <c r="J67" s="6"/>
      <c r="K67" s="6" t="s">
        <v>85</v>
      </c>
      <c r="L67" s="6" t="s">
        <v>86</v>
      </c>
      <c r="M67" s="6"/>
      <c r="N67" s="6"/>
      <c r="O67" s="6"/>
      <c r="P67" s="6"/>
      <c r="Q67" s="11">
        <v>0</v>
      </c>
      <c r="R67" s="12">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1">
        <v>0</v>
      </c>
      <c r="T67" s="12">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1">
        <v>3</v>
      </c>
      <c r="V67" s="12">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1">
        <v>0</v>
      </c>
      <c r="X67" s="12">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1">
        <v>0</v>
      </c>
      <c r="Z67" s="12">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6">
        <f>SUM(V67,X67,Z67)</f>
      </c>
      <c r="AB67" s="6">
        <f>
      Ifs( 
        ISBETWEEN(AA67, 0, 'Points-Table'!C$20, TRUE, False), 'Points-Table'!A$20,
        ISBETWEEN(AA67, 'Points-Table'!C$20, 'Points-Table'!C$21, TRUE, False), 'Points-Table'!A$21,
        ISBETWEEN(AA67, 'Points-Table'!C$22, 10000, TRUE, TRUE), 'Points-Table'!A$22,
        true, 
        0)
      </f>
      </c>
      <c r="AC67" s="6" t="s">
        <v>56</v>
      </c>
      <c r="AD67" s="6" t="s">
        <v>56</v>
      </c>
      <c r="AE67" s="6" t="s">
        <v>56</v>
      </c>
    </row>
    <row r="68" spans="1:31" s="6" customFormat="1" x14ac:dyDescent="0.25">
      <c r="A68" s="6" t="s">
        <v>157</v>
      </c>
      <c r="B68" s="6" t="s">
        <v>199</v>
      </c>
      <c r="C68" s="6" t="s">
        <v>202</v>
      </c>
      <c r="D68" s="6" t="s">
        <v>203</v>
      </c>
      <c r="E68" s="6"/>
      <c r="F68" s="6"/>
      <c r="G68" s="6"/>
      <c r="H68" s="6"/>
      <c r="I68" s="6"/>
      <c r="J68" s="6"/>
      <c r="K68" s="6" t="s">
        <v>85</v>
      </c>
      <c r="L68" s="6" t="s">
        <v>86</v>
      </c>
      <c r="M68" s="6"/>
      <c r="N68" s="6"/>
      <c r="O68" s="6"/>
      <c r="P68" s="6"/>
      <c r="Q68" s="11">
        <v>0</v>
      </c>
      <c r="R68" s="12">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1">
        <v>0</v>
      </c>
      <c r="T68" s="12">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1">
        <v>8</v>
      </c>
      <c r="V68" s="12">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1">
        <v>3</v>
      </c>
      <c r="X68" s="12">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1">
        <v>0</v>
      </c>
      <c r="Z68" s="12">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6">
        <f>SUM(V68,X68,Z68)</f>
      </c>
      <c r="AB68" s="6">
        <f>
      Ifs( 
        ISBETWEEN(AA68, 0, 'Points-Table'!C$20, TRUE, False), 'Points-Table'!A$20,
        ISBETWEEN(AA68, 'Points-Table'!C$20, 'Points-Table'!C$21, TRUE, False), 'Points-Table'!A$21,
        ISBETWEEN(AA68, 'Points-Table'!C$22, 10000, TRUE, TRUE), 'Points-Table'!A$22,
        true, 
        0)
      </f>
      </c>
      <c r="AC68" s="6" t="s">
        <v>56</v>
      </c>
      <c r="AD68" s="6" t="s">
        <v>56</v>
      </c>
      <c r="AE68" s="6" t="s">
        <v>56</v>
      </c>
    </row>
    <row r="69" spans="1:31" s="6" customFormat="1" x14ac:dyDescent="0.25">
      <c r="A69" s="6" t="s">
        <v>157</v>
      </c>
      <c r="B69" s="6" t="s">
        <v>199</v>
      </c>
      <c r="C69" s="6" t="s">
        <v>204</v>
      </c>
      <c r="D69" s="6"/>
      <c r="E69" s="6"/>
      <c r="F69" s="6"/>
      <c r="G69" s="6"/>
      <c r="H69" s="6"/>
      <c r="I69" s="6"/>
      <c r="J69" s="6"/>
      <c r="K69" s="6" t="s">
        <v>85</v>
      </c>
      <c r="L69" s="6" t="s">
        <v>86</v>
      </c>
      <c r="M69" s="6"/>
      <c r="N69" s="6"/>
      <c r="O69" s="6"/>
      <c r="P69" s="6"/>
      <c r="Q69" s="11">
        <v>0</v>
      </c>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v>0</v>
      </c>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8</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3</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0</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56</v>
      </c>
      <c r="AD69" s="6" t="s">
        <v>56</v>
      </c>
      <c r="AE69" s="6" t="s">
        <v>56</v>
      </c>
    </row>
    <row r="70" spans="1:31" s="6" customFormat="1" x14ac:dyDescent="0.25">
      <c r="A70" s="6" t="s">
        <v>157</v>
      </c>
      <c r="B70" s="6" t="s">
        <v>199</v>
      </c>
      <c r="C70" s="6" t="s">
        <v>205</v>
      </c>
      <c r="D70" s="6"/>
      <c r="E70" s="6"/>
      <c r="F70" s="6"/>
      <c r="G70" s="6"/>
      <c r="H70" s="6"/>
      <c r="I70" s="6"/>
      <c r="J70" s="6"/>
      <c r="K70" s="6" t="s">
        <v>85</v>
      </c>
      <c r="L70" s="6" t="s">
        <v>86</v>
      </c>
      <c r="M70" s="6"/>
      <c r="N70" s="6"/>
      <c r="O70" s="6"/>
      <c r="P70" s="6"/>
      <c r="Q70" s="11">
        <v>0</v>
      </c>
      <c r="R70" s="12">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1">
        <v>0</v>
      </c>
      <c r="T70" s="12">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1">
        <v>5</v>
      </c>
      <c r="V70" s="12">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1">
        <v>3</v>
      </c>
      <c r="X70" s="12">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1">
        <v>0</v>
      </c>
      <c r="Z70" s="12">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6">
        <f>SUM(V70,X70,Z70)</f>
      </c>
      <c r="AB70" s="6">
        <f>
      Ifs( 
        ISBETWEEN(AA70, 0, 'Points-Table'!C$20, TRUE, False), 'Points-Table'!A$20,
        ISBETWEEN(AA70, 'Points-Table'!C$20, 'Points-Table'!C$21, TRUE, False), 'Points-Table'!A$21,
        ISBETWEEN(AA70, 'Points-Table'!C$22, 10000, TRUE, TRUE), 'Points-Table'!A$22,
        true, 
        0)
      </f>
      </c>
      <c r="AC70" s="6" t="s">
        <v>56</v>
      </c>
      <c r="AD70" s="6" t="s">
        <v>56</v>
      </c>
      <c r="AE70" s="6" t="s">
        <v>56</v>
      </c>
    </row>
    <row r="71" spans="1:31" s="6" customFormat="1" x14ac:dyDescent="0.25">
      <c r="A71" s="6" t="s">
        <v>206</v>
      </c>
      <c r="B71" s="6" t="s">
        <v>207</v>
      </c>
      <c r="D71" s="6" t="s">
        <v>208</v>
      </c>
      <c r="E71" s="6"/>
      <c r="F71" s="6" t="s">
        <v>209</v>
      </c>
      <c r="G71" s="6"/>
      <c r="H71" s="6"/>
      <c r="I71" s="6"/>
      <c r="J71" s="6"/>
      <c r="K71" s="6" t="s">
        <v>85</v>
      </c>
      <c r="L71" s="6" t="s">
        <v>86</v>
      </c>
      <c r="M71" s="6"/>
      <c r="N71" s="6"/>
      <c r="O71" s="6"/>
      <c r="P71" s="6"/>
      <c r="Q71" s="11">
        <v>0</v>
      </c>
      <c r="R71" s="12">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1">
        <v>0</v>
      </c>
      <c r="T71" s="12">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1">
        <v>5</v>
      </c>
      <c r="V71" s="12">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1">
        <v>13</v>
      </c>
      <c r="X71" s="12">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1">
        <v>0</v>
      </c>
      <c r="Z71" s="12">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6">
        <f>SUM(V71,X71,Z71)</f>
      </c>
      <c r="AB71" s="6">
        <f>
      Ifs( 
        ISBETWEEN(AA71, 0, 'Points-Table'!C$20, TRUE, False), 'Points-Table'!A$20,
        ISBETWEEN(AA71, 'Points-Table'!C$20, 'Points-Table'!C$21, TRUE, False), 'Points-Table'!A$21,
        ISBETWEEN(AA71, 'Points-Table'!C$22, 10000, TRUE, TRUE), 'Points-Table'!A$22,
        true, 
        0)
      </f>
      </c>
      <c r="AC71" s="6" t="s">
        <v>56</v>
      </c>
      <c r="AD71" s="6" t="s">
        <v>56</v>
      </c>
      <c r="AE71" s="6" t="s">
        <v>56</v>
      </c>
    </row>
    <row r="72" spans="1:31" s="6" customFormat="1" x14ac:dyDescent="0.25">
      <c r="A72" s="6" t="s">
        <v>206</v>
      </c>
      <c r="B72" s="6" t="s">
        <v>210</v>
      </c>
      <c r="D72" s="6"/>
      <c r="E72" s="6"/>
      <c r="F72" s="6" t="s">
        <v>211</v>
      </c>
      <c r="G72" s="6"/>
      <c r="H72" s="6"/>
      <c r="I72" s="6"/>
      <c r="J72" s="6"/>
      <c r="K72" s="6" t="s">
        <v>85</v>
      </c>
      <c r="L72" s="6" t="s">
        <v>86</v>
      </c>
      <c r="M72" s="6"/>
      <c r="N72" s="6"/>
      <c r="O72" s="6"/>
      <c r="P72" s="6"/>
      <c r="Q72" s="11">
        <v>0</v>
      </c>
      <c r="R72" s="12">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1">
        <v>0</v>
      </c>
      <c r="T72" s="12">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1">
        <v>13</v>
      </c>
      <c r="V72" s="12">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1">
        <v>3</v>
      </c>
      <c r="X72" s="12">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1">
        <v>0</v>
      </c>
      <c r="Z72" s="12">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6">
        <f>SUM(V72,X72,Z72)</f>
      </c>
      <c r="AB72" s="6">
        <f>
      Ifs( 
        ISBETWEEN(AA72, 0, 'Points-Table'!C$20, TRUE, False), 'Points-Table'!A$20,
        ISBETWEEN(AA72, 'Points-Table'!C$20, 'Points-Table'!C$21, TRUE, False), 'Points-Table'!A$21,
        ISBETWEEN(AA72, 'Points-Table'!C$22, 10000, TRUE, TRUE), 'Points-Table'!A$22,
        true, 
        0)
      </f>
      </c>
      <c r="AC72" s="6" t="s">
        <v>56</v>
      </c>
      <c r="AD72" s="6" t="s">
        <v>56</v>
      </c>
      <c r="AE72" s="6" t="s">
        <v>56</v>
      </c>
    </row>
    <row r="73" spans="1:31" s="6" customFormat="1" x14ac:dyDescent="0.25">
      <c r="A73" s="6" t="s">
        <v>212</v>
      </c>
      <c r="D73" s="6" t="s">
        <v>213</v>
      </c>
      <c r="E73" s="6"/>
      <c r="F73" s="6"/>
      <c r="G73" s="6"/>
      <c r="H73" s="6"/>
      <c r="I73" s="6"/>
      <c r="J73" s="6"/>
      <c r="K73" s="6" t="s">
        <v>85</v>
      </c>
      <c r="L73" s="6" t="s">
        <v>86</v>
      </c>
      <c r="M73" s="6"/>
      <c r="N73" s="6"/>
      <c r="O73" s="6"/>
      <c r="P73" s="6"/>
      <c r="Q73" s="11">
        <v>0</v>
      </c>
      <c r="R73" s="12">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1">
        <v>0</v>
      </c>
      <c r="T73" s="12">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1">
        <v>8</v>
      </c>
      <c r="V73" s="12">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1">
        <v>0</v>
      </c>
      <c r="X73" s="12">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1">
        <v>0</v>
      </c>
      <c r="Z73" s="12">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6">
        <f>SUM(V73,X73,Z73)</f>
      </c>
      <c r="AB73" s="6">
        <f>
      Ifs( 
        ISBETWEEN(AA73, 0, 'Points-Table'!C$20, TRUE, False), 'Points-Table'!A$20,
        ISBETWEEN(AA73, 'Points-Table'!C$20, 'Points-Table'!C$21, TRUE, False), 'Points-Table'!A$21,
        ISBETWEEN(AA73, 'Points-Table'!C$22, 10000, TRUE, TRUE), 'Points-Table'!A$22,
        true, 
        0)
      </f>
      </c>
      <c r="AC73" s="6" t="s">
        <v>56</v>
      </c>
      <c r="AD73" s="6" t="s">
        <v>56</v>
      </c>
      <c r="AE73" s="6" t="s">
        <v>56</v>
      </c>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row r="1017" spans="1:26" x14ac:dyDescent="0.25">
      <c r="Q1017" s="13"/>
      <c r="R1017" s="14"/>
      <c r="S1017" s="13"/>
      <c r="T1017" s="14"/>
      <c r="U1017" s="13"/>
      <c r="V1017" s="14"/>
      <c r="W1017" s="13"/>
      <c r="X1017" s="14"/>
      <c r="Y1017" s="13"/>
      <c r="Z1017" s="14"/>
    </row>
    <row r="1018" spans="1:26" x14ac:dyDescent="0.25">
      <c r="Q1018" s="13"/>
      <c r="R1018" s="14"/>
      <c r="S1018" s="13"/>
      <c r="T1018" s="14"/>
      <c r="U1018" s="13"/>
      <c r="V1018" s="14"/>
      <c r="W1018" s="13"/>
      <c r="X1018" s="14"/>
      <c r="Y1018" s="13"/>
      <c r="Z1018" s="14"/>
    </row>
    <row r="1019" spans="1:26" x14ac:dyDescent="0.25">
      <c r="Q1019" s="13"/>
      <c r="R1019" s="14"/>
      <c r="S1019" s="13"/>
      <c r="T1019" s="14"/>
      <c r="U1019" s="13"/>
      <c r="V1019" s="14"/>
      <c r="W1019" s="13"/>
      <c r="X1019" s="14"/>
      <c r="Y1019" s="13"/>
      <c r="Z1019" s="14"/>
    </row>
    <row r="1020" spans="1:26" x14ac:dyDescent="0.25">
      <c r="Q1020" s="13"/>
      <c r="R1020" s="14"/>
      <c r="S1020" s="13"/>
      <c r="T1020" s="14"/>
      <c r="U1020" s="13"/>
      <c r="V1020" s="14"/>
      <c r="W1020" s="13"/>
      <c r="X1020" s="14"/>
      <c r="Y1020" s="13"/>
      <c r="Z1020" s="14"/>
    </row>
    <row r="1021" spans="1:26" x14ac:dyDescent="0.25">
      <c r="Q1021" s="13"/>
      <c r="R1021" s="14"/>
      <c r="S1021" s="13"/>
      <c r="T1021" s="14"/>
      <c r="U1021" s="13"/>
      <c r="V1021" s="14"/>
      <c r="W1021" s="13"/>
      <c r="X1021" s="14"/>
      <c r="Y1021" s="13"/>
      <c r="Z1021" s="14"/>
    </row>
    <row r="1022" spans="1:26" x14ac:dyDescent="0.25">
      <c r="Q1022" s="13"/>
      <c r="R1022" s="14"/>
      <c r="S1022" s="13"/>
      <c r="T1022" s="14"/>
      <c r="U1022" s="13"/>
      <c r="V1022" s="14"/>
      <c r="W1022" s="13"/>
      <c r="X1022" s="14"/>
      <c r="Y1022" s="13"/>
      <c r="Z1022" s="14"/>
    </row>
    <row r="1023" spans="1:26" x14ac:dyDescent="0.25">
      <c r="Q1023" s="13"/>
      <c r="R1023" s="14"/>
      <c r="S1023" s="13"/>
      <c r="T1023" s="14"/>
      <c r="U1023" s="13"/>
      <c r="V1023" s="14"/>
      <c r="W1023" s="13"/>
      <c r="X1023" s="14"/>
      <c r="Y1023" s="13"/>
      <c r="Z1023" s="14"/>
    </row>
    <row r="1024" spans="1:26" x14ac:dyDescent="0.25">
      <c r="Q1024" s="13"/>
      <c r="R1024" s="14"/>
      <c r="S1024" s="13"/>
      <c r="T1024" s="14"/>
      <c r="U1024" s="13"/>
      <c r="V1024" s="14"/>
      <c r="W1024" s="13"/>
      <c r="X1024" s="14"/>
      <c r="Y1024" s="13"/>
      <c r="Z1024" s="14"/>
    </row>
    <row r="1025" spans="1:26" x14ac:dyDescent="0.25">
      <c r="Q1025" s="13"/>
      <c r="R1025" s="14"/>
      <c r="S1025" s="13"/>
      <c r="T1025" s="14"/>
      <c r="U1025" s="13"/>
      <c r="V1025" s="14"/>
      <c r="W1025" s="13"/>
      <c r="X1025" s="14"/>
      <c r="Y1025" s="13"/>
      <c r="Z1025" s="14"/>
    </row>
    <row r="1026" spans="1:26" x14ac:dyDescent="0.25">
      <c r="Q1026" s="13"/>
      <c r="R1026" s="14"/>
      <c r="S1026" s="13"/>
      <c r="T1026" s="14"/>
      <c r="U1026" s="13"/>
      <c r="V1026" s="14"/>
      <c r="W1026" s="13"/>
      <c r="X1026" s="14"/>
      <c r="Y1026" s="13"/>
      <c r="Z1026" s="14"/>
    </row>
    <row r="1027" spans="1:26" x14ac:dyDescent="0.25">
      <c r="Q1027" s="13"/>
      <c r="R1027" s="14"/>
      <c r="S1027" s="13"/>
      <c r="T1027" s="14"/>
      <c r="U1027" s="13"/>
      <c r="V1027" s="14"/>
      <c r="W1027" s="13"/>
      <c r="X1027" s="14"/>
      <c r="Y1027" s="13"/>
      <c r="Z1027" s="14"/>
    </row>
    <row r="1028" spans="1:26" x14ac:dyDescent="0.25">
      <c r="Q1028" s="13"/>
      <c r="R1028" s="14"/>
      <c r="S1028" s="13"/>
      <c r="T1028" s="14"/>
      <c r="U1028" s="13"/>
      <c r="V1028" s="14"/>
      <c r="W1028" s="13"/>
      <c r="X1028" s="14"/>
      <c r="Y1028" s="13"/>
      <c r="Z1028" s="14"/>
    </row>
    <row r="1029" spans="1:26" x14ac:dyDescent="0.25">
      <c r="Q1029" s="13"/>
      <c r="R1029" s="14"/>
      <c r="S1029" s="13"/>
      <c r="T1029" s="14"/>
      <c r="U1029" s="13"/>
      <c r="V1029" s="14"/>
      <c r="W1029" s="13"/>
      <c r="X1029" s="14"/>
      <c r="Y1029" s="13"/>
      <c r="Z1029" s="14"/>
    </row>
    <row r="1030" spans="1:26" x14ac:dyDescent="0.25">
      <c r="Q1030" s="13"/>
      <c r="R1030" s="14"/>
      <c r="S1030" s="13"/>
      <c r="T1030" s="14"/>
      <c r="U1030" s="13"/>
      <c r="V1030" s="14"/>
      <c r="W1030" s="13"/>
      <c r="X1030" s="14"/>
      <c r="Y1030" s="13"/>
      <c r="Z1030" s="14"/>
    </row>
    <row r="1031" spans="1:26" x14ac:dyDescent="0.25">
      <c r="Q1031" s="13"/>
      <c r="R1031" s="14"/>
      <c r="S1031" s="13"/>
      <c r="T1031" s="14"/>
      <c r="U1031" s="13"/>
      <c r="V1031" s="14"/>
      <c r="W1031" s="13"/>
      <c r="X1031" s="14"/>
      <c r="Y1031" s="13"/>
      <c r="Z1031" s="14"/>
    </row>
    <row r="1032" spans="1:26" x14ac:dyDescent="0.25">
      <c r="Q1032" s="13"/>
      <c r="R1032" s="14"/>
      <c r="S1032" s="13"/>
      <c r="T1032" s="14"/>
      <c r="U1032" s="13"/>
      <c r="V1032" s="14"/>
      <c r="W1032" s="13"/>
      <c r="X1032" s="14"/>
      <c r="Y1032" s="13"/>
      <c r="Z1032" s="14"/>
    </row>
    <row r="1033" spans="1:26" x14ac:dyDescent="0.25">
      <c r="Q1033" s="13"/>
      <c r="R1033" s="14"/>
      <c r="S1033" s="13"/>
      <c r="T1033" s="14"/>
      <c r="U1033" s="13"/>
      <c r="V1033" s="14"/>
      <c r="W1033" s="13"/>
      <c r="X1033" s="14"/>
      <c r="Y1033" s="13"/>
      <c r="Z1033" s="14"/>
    </row>
    <row r="1034" spans="1:26" x14ac:dyDescent="0.25">
      <c r="Q1034" s="13"/>
      <c r="R1034" s="14"/>
      <c r="S1034" s="13"/>
      <c r="T1034" s="14"/>
      <c r="U1034" s="13"/>
      <c r="V1034" s="14"/>
      <c r="W1034" s="13"/>
      <c r="X1034" s="14"/>
      <c r="Y1034" s="13"/>
      <c r="Z1034" s="14"/>
    </row>
    <row r="1035" spans="1:26" x14ac:dyDescent="0.25">
      <c r="Q1035" s="13"/>
      <c r="R1035" s="14"/>
      <c r="S1035" s="13"/>
      <c r="T1035" s="14"/>
      <c r="U1035" s="13"/>
      <c r="V1035" s="14"/>
      <c r="W1035" s="13"/>
      <c r="X1035" s="14"/>
      <c r="Y1035" s="13"/>
      <c r="Z1035" s="14"/>
    </row>
    <row r="1036" spans="1:26" x14ac:dyDescent="0.25">
      <c r="Q1036" s="13"/>
      <c r="R1036" s="14"/>
      <c r="S1036" s="13"/>
      <c r="T1036" s="14"/>
      <c r="U1036" s="13"/>
      <c r="V1036" s="14"/>
      <c r="W1036" s="13"/>
      <c r="X1036" s="14"/>
      <c r="Y1036" s="13"/>
      <c r="Z1036" s="14"/>
    </row>
    <row r="1037" spans="1:26" x14ac:dyDescent="0.25">
      <c r="Q1037" s="13"/>
      <c r="R1037" s="14"/>
      <c r="S1037" s="13"/>
      <c r="T1037" s="14"/>
      <c r="U1037" s="13"/>
      <c r="V1037" s="14"/>
      <c r="W1037" s="13"/>
      <c r="X1037" s="14"/>
      <c r="Y1037" s="13"/>
      <c r="Z1037" s="14"/>
    </row>
    <row r="1038" spans="1:26" x14ac:dyDescent="0.25">
      <c r="Q1038" s="13"/>
      <c r="R1038" s="14"/>
      <c r="S1038" s="13"/>
      <c r="T1038" s="14"/>
      <c r="U1038" s="13"/>
      <c r="V1038" s="14"/>
      <c r="W1038" s="13"/>
      <c r="X1038" s="14"/>
      <c r="Y1038" s="13"/>
      <c r="Z1038" s="14"/>
    </row>
    <row r="1039" spans="1:26" x14ac:dyDescent="0.25">
      <c r="Q1039" s="13"/>
      <c r="R1039" s="14"/>
      <c r="S1039" s="13"/>
      <c r="T1039" s="14"/>
      <c r="U1039" s="13"/>
      <c r="V1039" s="14"/>
      <c r="W1039" s="13"/>
      <c r="X1039" s="14"/>
      <c r="Y1039" s="13"/>
      <c r="Z1039" s="14"/>
    </row>
    <row r="1040" spans="1:26" x14ac:dyDescent="0.25">
      <c r="Q1040" s="13"/>
      <c r="R1040" s="14"/>
      <c r="S1040" s="13"/>
      <c r="T1040" s="14"/>
      <c r="U1040" s="13"/>
      <c r="V1040" s="14"/>
      <c r="W1040" s="13"/>
      <c r="X1040" s="14"/>
      <c r="Y1040" s="13"/>
      <c r="Z1040" s="14"/>
    </row>
    <row r="1041" spans="1:26" x14ac:dyDescent="0.25">
      <c r="Q1041" s="13"/>
      <c r="R1041" s="14"/>
      <c r="S1041" s="13"/>
      <c r="T1041" s="14"/>
      <c r="U1041" s="13"/>
      <c r="V1041" s="14"/>
      <c r="W1041" s="13"/>
      <c r="X1041" s="14"/>
      <c r="Y1041" s="13"/>
      <c r="Z1041" s="14"/>
    </row>
    <row r="1042" spans="1:26" x14ac:dyDescent="0.25">
      <c r="Q1042" s="13"/>
      <c r="R1042" s="14"/>
      <c r="S1042" s="13"/>
      <c r="T1042" s="14"/>
      <c r="U1042" s="13"/>
      <c r="V1042" s="14"/>
      <c r="W1042" s="13"/>
      <c r="X1042" s="14"/>
      <c r="Y1042" s="13"/>
      <c r="Z1042" s="14"/>
    </row>
    <row r="1043" spans="1:26" x14ac:dyDescent="0.25">
      <c r="Q1043" s="13"/>
      <c r="R1043" s="14"/>
      <c r="S1043" s="13"/>
      <c r="T1043" s="14"/>
      <c r="U1043" s="13"/>
      <c r="V1043" s="14"/>
      <c r="W1043" s="13"/>
      <c r="X1043" s="14"/>
      <c r="Y1043" s="13"/>
      <c r="Z1043" s="14"/>
    </row>
    <row r="1044" spans="1:26" x14ac:dyDescent="0.25">
      <c r="Q1044" s="13"/>
      <c r="R1044" s="14"/>
      <c r="S1044" s="13"/>
      <c r="T1044" s="14"/>
      <c r="U1044" s="13"/>
      <c r="V1044" s="14"/>
      <c r="W1044" s="13"/>
      <c r="X1044" s="14"/>
      <c r="Y1044" s="13"/>
      <c r="Z1044" s="14"/>
    </row>
    <row r="1045" spans="1:26" x14ac:dyDescent="0.25">
      <c r="Q1045" s="13"/>
      <c r="R1045" s="14"/>
      <c r="S1045" s="13"/>
      <c r="T1045" s="14"/>
      <c r="U1045" s="13"/>
      <c r="V1045" s="14"/>
      <c r="W1045" s="13"/>
      <c r="X1045" s="14"/>
      <c r="Y1045" s="13"/>
      <c r="Z1045" s="14"/>
    </row>
    <row r="1046" spans="1:26" x14ac:dyDescent="0.25">
      <c r="Q1046" s="13"/>
      <c r="R1046" s="14"/>
      <c r="S1046" s="13"/>
      <c r="T1046" s="14"/>
      <c r="U1046" s="13"/>
      <c r="V1046" s="14"/>
      <c r="W1046" s="13"/>
      <c r="X1046" s="14"/>
      <c r="Y1046" s="13"/>
      <c r="Z1046" s="14"/>
    </row>
    <row r="1047" spans="1:26" x14ac:dyDescent="0.25">
      <c r="Q1047" s="13"/>
      <c r="R1047" s="14"/>
      <c r="S1047" s="13"/>
      <c r="T1047" s="14"/>
      <c r="U1047" s="13"/>
      <c r="V1047" s="14"/>
      <c r="W1047" s="13"/>
      <c r="X1047" s="14"/>
      <c r="Y1047" s="13"/>
      <c r="Z1047" s="14"/>
    </row>
    <row r="1048" spans="1:26" x14ac:dyDescent="0.25">
      <c r="Q1048" s="13"/>
      <c r="R1048" s="14"/>
      <c r="S1048" s="13"/>
      <c r="T1048" s="14"/>
      <c r="U1048" s="13"/>
      <c r="V1048" s="14"/>
      <c r="W1048" s="13"/>
      <c r="X1048" s="14"/>
      <c r="Y1048" s="13"/>
      <c r="Z1048" s="14"/>
    </row>
    <row r="1049" spans="1:26" x14ac:dyDescent="0.25">
      <c r="Q1049" s="13"/>
      <c r="R1049" s="14"/>
      <c r="S1049" s="13"/>
      <c r="T1049" s="14"/>
      <c r="U1049" s="13"/>
      <c r="V1049" s="14"/>
      <c r="W1049" s="13"/>
      <c r="X1049" s="14"/>
      <c r="Y1049" s="13"/>
      <c r="Z1049" s="14"/>
    </row>
    <row r="1050" spans="1:26" x14ac:dyDescent="0.25">
      <c r="Q1050" s="13"/>
      <c r="R1050" s="14"/>
      <c r="S1050" s="13"/>
      <c r="T1050" s="14"/>
      <c r="U1050" s="13"/>
      <c r="V1050" s="14"/>
      <c r="W1050" s="13"/>
      <c r="X1050" s="14"/>
      <c r="Y1050" s="13"/>
      <c r="Z1050" s="14"/>
    </row>
    <row r="1051" spans="1:26" x14ac:dyDescent="0.25">
      <c r="Q1051" s="13"/>
      <c r="R1051" s="14"/>
      <c r="S1051" s="13"/>
      <c r="T1051" s="14"/>
      <c r="U1051" s="13"/>
      <c r="V1051" s="14"/>
      <c r="W1051" s="13"/>
      <c r="X1051" s="14"/>
      <c r="Y1051" s="13"/>
      <c r="Z1051" s="14"/>
    </row>
    <row r="1052" spans="1:26" x14ac:dyDescent="0.25">
      <c r="Q1052" s="13"/>
      <c r="R1052" s="14"/>
      <c r="S1052" s="13"/>
      <c r="T1052" s="14"/>
      <c r="U1052" s="13"/>
      <c r="V1052" s="14"/>
      <c r="W1052" s="13"/>
      <c r="X1052" s="14"/>
      <c r="Y1052" s="13"/>
      <c r="Z1052" s="14"/>
    </row>
    <row r="1053" spans="1:26" x14ac:dyDescent="0.25">
      <c r="Q1053" s="13"/>
      <c r="R1053" s="14"/>
      <c r="S1053" s="13"/>
      <c r="T1053" s="14"/>
      <c r="U1053" s="13"/>
      <c r="V1053" s="14"/>
      <c r="W1053" s="13"/>
      <c r="X1053" s="14"/>
      <c r="Y1053" s="13"/>
      <c r="Z1053" s="14"/>
    </row>
    <row r="1054" spans="1:26" x14ac:dyDescent="0.25">
      <c r="Q1054" s="13"/>
      <c r="R1054" s="14"/>
      <c r="S1054" s="13"/>
      <c r="T1054" s="14"/>
      <c r="U1054" s="13"/>
      <c r="V1054" s="14"/>
      <c r="W1054" s="13"/>
      <c r="X1054" s="14"/>
      <c r="Y1054" s="13"/>
      <c r="Z1054" s="14"/>
    </row>
    <row r="1055" spans="1:26" x14ac:dyDescent="0.25">
      <c r="Q1055" s="13"/>
      <c r="R1055" s="14"/>
      <c r="S1055" s="13"/>
      <c r="T1055" s="14"/>
      <c r="U1055" s="13"/>
      <c r="V1055" s="14"/>
      <c r="W1055" s="13"/>
      <c r="X1055" s="14"/>
      <c r="Y1055" s="13"/>
      <c r="Z1055" s="14"/>
    </row>
    <row r="1056" spans="1:26" x14ac:dyDescent="0.25">
      <c r="Q1056" s="13"/>
      <c r="R1056" s="14"/>
      <c r="S1056" s="13"/>
      <c r="T1056" s="14"/>
      <c r="U1056" s="13"/>
      <c r="V1056" s="14"/>
      <c r="W1056" s="13"/>
      <c r="X1056" s="14"/>
      <c r="Y1056" s="13"/>
      <c r="Z1056" s="14"/>
    </row>
    <row r="1057" spans="1:26" x14ac:dyDescent="0.25">
      <c r="Q1057" s="13"/>
      <c r="R1057" s="14"/>
      <c r="S1057" s="13"/>
      <c r="T1057" s="14"/>
      <c r="U1057" s="13"/>
      <c r="V1057" s="14"/>
      <c r="W1057" s="13"/>
      <c r="X1057" s="14"/>
      <c r="Y1057" s="13"/>
      <c r="Z1057" s="14"/>
    </row>
    <row r="1058" spans="1:26" x14ac:dyDescent="0.25">
      <c r="Q1058" s="13"/>
      <c r="R1058" s="14"/>
      <c r="S1058" s="13"/>
      <c r="T1058" s="14"/>
      <c r="U1058" s="13"/>
      <c r="V1058" s="14"/>
      <c r="W1058" s="13"/>
      <c r="X1058" s="14"/>
      <c r="Y1058" s="13"/>
      <c r="Z1058" s="14"/>
    </row>
    <row r="1059" spans="1:26" x14ac:dyDescent="0.25">
      <c r="Q1059" s="13"/>
      <c r="R1059" s="14"/>
      <c r="S1059" s="13"/>
      <c r="T1059" s="14"/>
      <c r="U1059" s="13"/>
      <c r="V1059" s="14"/>
      <c r="W1059" s="13"/>
      <c r="X1059" s="14"/>
      <c r="Y1059" s="13"/>
      <c r="Z1059" s="14"/>
    </row>
    <row r="1060" spans="1:26" x14ac:dyDescent="0.25">
      <c r="Q1060" s="13"/>
      <c r="R1060" s="14"/>
      <c r="S1060" s="13"/>
      <c r="T1060" s="14"/>
      <c r="U1060" s="13"/>
      <c r="V1060" s="14"/>
      <c r="W1060" s="13"/>
      <c r="X1060" s="14"/>
      <c r="Y1060" s="13"/>
      <c r="Z1060" s="14"/>
    </row>
    <row r="1061" spans="1:26" x14ac:dyDescent="0.25">
      <c r="Q1061" s="13"/>
      <c r="R1061" s="14"/>
      <c r="S1061" s="13"/>
      <c r="T1061" s="14"/>
      <c r="U1061" s="13"/>
      <c r="V1061" s="14"/>
      <c r="W1061" s="13"/>
      <c r="X1061" s="14"/>
      <c r="Y1061" s="13"/>
      <c r="Z1061" s="14"/>
    </row>
    <row r="1062" spans="1:26" x14ac:dyDescent="0.25">
      <c r="Q1062" s="13"/>
      <c r="R1062" s="14"/>
      <c r="S1062" s="13"/>
      <c r="T1062" s="14"/>
      <c r="U1062" s="13"/>
      <c r="V1062" s="14"/>
      <c r="W1062" s="13"/>
      <c r="X1062" s="14"/>
      <c r="Y1062" s="13"/>
      <c r="Z1062" s="14"/>
    </row>
    <row r="1063" spans="1:26" x14ac:dyDescent="0.25">
      <c r="Q1063" s="13"/>
      <c r="R1063" s="14"/>
      <c r="S1063" s="13"/>
      <c r="T1063" s="14"/>
      <c r="U1063" s="13"/>
      <c r="V1063" s="14"/>
      <c r="W1063" s="13"/>
      <c r="X1063" s="14"/>
      <c r="Y1063" s="13"/>
      <c r="Z1063" s="14"/>
    </row>
    <row r="1064" spans="1:26" x14ac:dyDescent="0.25">
      <c r="Q1064" s="13"/>
      <c r="R1064" s="14"/>
      <c r="S1064" s="13"/>
      <c r="T1064" s="14"/>
      <c r="U1064" s="13"/>
      <c r="V1064" s="14"/>
      <c r="W1064" s="13"/>
      <c r="X1064" s="14"/>
      <c r="Y1064" s="13"/>
      <c r="Z1064" s="14"/>
    </row>
    <row r="1065" spans="1:26" x14ac:dyDescent="0.25">
      <c r="Q1065" s="13"/>
      <c r="R1065" s="14"/>
      <c r="S1065" s="13"/>
      <c r="T1065" s="14"/>
      <c r="U1065" s="13"/>
      <c r="V1065" s="14"/>
      <c r="W1065" s="13"/>
      <c r="X1065" s="14"/>
      <c r="Y1065" s="13"/>
      <c r="Z1065" s="14"/>
    </row>
    <row r="1066" spans="1:26" x14ac:dyDescent="0.25">
      <c r="Q1066" s="13"/>
      <c r="R1066" s="14"/>
      <c r="S1066" s="13"/>
      <c r="T1066" s="14"/>
      <c r="U1066" s="13"/>
      <c r="V1066" s="14"/>
      <c r="W1066" s="13"/>
      <c r="X1066" s="14"/>
      <c r="Y1066" s="13"/>
      <c r="Z1066" s="14"/>
    </row>
    <row r="1067" spans="1:26" x14ac:dyDescent="0.25">
      <c r="Q1067" s="13"/>
      <c r="R1067" s="14"/>
      <c r="S1067" s="13"/>
      <c r="T1067" s="14"/>
      <c r="U1067" s="13"/>
      <c r="V1067" s="14"/>
      <c r="W1067" s="13"/>
      <c r="X1067" s="14"/>
      <c r="Y1067" s="13"/>
      <c r="Z1067" s="14"/>
    </row>
    <row r="1068" spans="1:26" x14ac:dyDescent="0.25">
      <c r="Q1068" s="13"/>
      <c r="R1068" s="14"/>
      <c r="S1068" s="13"/>
      <c r="T1068" s="14"/>
      <c r="U1068" s="13"/>
      <c r="V1068" s="14"/>
      <c r="W1068" s="13"/>
      <c r="X1068" s="14"/>
      <c r="Y1068" s="13"/>
      <c r="Z1068" s="14"/>
    </row>
    <row r="1069" spans="1:26" x14ac:dyDescent="0.25">
      <c r="Q1069" s="13"/>
      <c r="R1069" s="14"/>
      <c r="S1069" s="13"/>
      <c r="T1069" s="14"/>
      <c r="U1069" s="13"/>
      <c r="V1069" s="14"/>
      <c r="W1069" s="13"/>
      <c r="X1069" s="14"/>
      <c r="Y1069" s="13"/>
      <c r="Z1069" s="14"/>
    </row>
    <row r="1070" spans="1:26" x14ac:dyDescent="0.25">
      <c r="Q1070" s="13"/>
      <c r="R1070" s="14"/>
      <c r="S1070" s="13"/>
      <c r="T1070" s="14"/>
      <c r="U1070" s="13"/>
      <c r="V1070" s="14"/>
      <c r="W1070" s="13"/>
      <c r="X1070" s="14"/>
      <c r="Y1070" s="13"/>
      <c r="Z1070" s="14"/>
    </row>
    <row r="1071" spans="1:26" x14ac:dyDescent="0.25">
      <c r="Q1071" s="13"/>
      <c r="R1071" s="14"/>
      <c r="S1071" s="13"/>
      <c r="T1071" s="14"/>
      <c r="U1071" s="13"/>
      <c r="V1071" s="14"/>
      <c r="W1071" s="13"/>
      <c r="X1071" s="14"/>
      <c r="Y1071" s="13"/>
      <c r="Z1071" s="14"/>
    </row>
    <row r="1072" spans="1:26" x14ac:dyDescent="0.25">
      <c r="Q1072" s="13"/>
      <c r="R1072" s="14"/>
      <c r="S1072" s="13"/>
      <c r="T1072" s="14"/>
      <c r="U1072" s="13"/>
      <c r="V1072" s="14"/>
      <c r="W1072" s="13"/>
      <c r="X1072" s="14"/>
      <c r="Y1072" s="13"/>
      <c r="Z1072" s="14"/>
    </row>
    <row r="1073" spans="1:26" x14ac:dyDescent="0.25">
      <c r="Q1073" s="13"/>
      <c r="R1073" s="14"/>
      <c r="S1073" s="13"/>
      <c r="T1073" s="14"/>
      <c r="U1073" s="13"/>
      <c r="V1073" s="14"/>
      <c r="W1073" s="13"/>
      <c r="X1073" s="14"/>
      <c r="Y1073" s="13"/>
      <c r="Z1073" s="14"/>
    </row>
    <row r="1074" spans="1:26" x14ac:dyDescent="0.25">
      <c r="Q1074" s="13"/>
      <c r="R1074" s="14"/>
      <c r="S1074" s="13"/>
      <c r="T1074" s="14"/>
      <c r="U1074" s="13"/>
      <c r="V1074" s="14"/>
      <c r="W1074" s="13"/>
      <c r="X1074" s="14"/>
      <c r="Y1074" s="13"/>
      <c r="Z1074" s="14"/>
    </row>
    <row r="1075" spans="1:26" x14ac:dyDescent="0.25">
      <c r="Q1075" s="13"/>
      <c r="R1075" s="14"/>
      <c r="S1075" s="13"/>
      <c r="T1075" s="14"/>
      <c r="U1075" s="13"/>
      <c r="V1075" s="14"/>
      <c r="W1075" s="13"/>
      <c r="X1075" s="14"/>
      <c r="Y1075" s="13"/>
      <c r="Z1075" s="14"/>
    </row>
    <row r="1076" spans="1:26" x14ac:dyDescent="0.25">
      <c r="Q1076" s="13"/>
      <c r="R1076" s="14"/>
      <c r="S1076" s="13"/>
      <c r="T1076" s="14"/>
      <c r="U1076" s="13"/>
      <c r="V1076" s="14"/>
      <c r="W1076" s="13"/>
      <c r="X1076" s="14"/>
      <c r="Y1076" s="13"/>
      <c r="Z1076" s="14"/>
    </row>
    <row r="1077" spans="1:26" x14ac:dyDescent="0.25">
      <c r="Q1077" s="13"/>
      <c r="R1077" s="14"/>
      <c r="S1077" s="13"/>
      <c r="T1077" s="14"/>
      <c r="U1077" s="13"/>
      <c r="V1077" s="14"/>
      <c r="W1077" s="13"/>
      <c r="X1077" s="14"/>
      <c r="Y1077" s="13"/>
      <c r="Z1077" s="14"/>
    </row>
    <row r="1078" spans="1:26" x14ac:dyDescent="0.25">
      <c r="Q1078" s="13"/>
      <c r="R1078" s="14"/>
      <c r="S1078" s="13"/>
      <c r="T1078" s="14"/>
      <c r="U1078" s="13"/>
      <c r="V1078" s="14"/>
      <c r="W1078" s="13"/>
      <c r="X1078" s="14"/>
      <c r="Y1078" s="13"/>
      <c r="Z1078" s="14"/>
    </row>
    <row r="1079" spans="1:26" x14ac:dyDescent="0.25">
      <c r="Q1079" s="13"/>
      <c r="R1079" s="14"/>
      <c r="S1079" s="13"/>
      <c r="T1079" s="14"/>
      <c r="U1079" s="13"/>
      <c r="V1079" s="14"/>
      <c r="W1079" s="13"/>
      <c r="X1079" s="14"/>
      <c r="Y1079" s="13"/>
      <c r="Z1079" s="14"/>
    </row>
    <row r="1080" spans="1:26" x14ac:dyDescent="0.25">
      <c r="Q1080" s="13"/>
      <c r="R1080" s="14"/>
      <c r="S1080" s="13"/>
      <c r="T1080" s="14"/>
      <c r="U1080" s="13"/>
      <c r="V1080" s="14"/>
      <c r="W1080" s="13"/>
      <c r="X1080" s="14"/>
      <c r="Y1080" s="13"/>
      <c r="Z1080" s="14"/>
    </row>
    <row r="1081" spans="1:26" x14ac:dyDescent="0.25">
      <c r="Q1081" s="13"/>
      <c r="R1081" s="14"/>
      <c r="S1081" s="13"/>
      <c r="T1081" s="14"/>
      <c r="U1081" s="13"/>
      <c r="V1081" s="14"/>
      <c r="W1081" s="13"/>
      <c r="X1081" s="14"/>
      <c r="Y1081" s="13"/>
      <c r="Z1081" s="14"/>
    </row>
    <row r="1082" spans="1:26" x14ac:dyDescent="0.25">
      <c r="Q1082" s="13"/>
      <c r="R1082" s="14"/>
      <c r="S1082" s="13"/>
      <c r="T1082" s="14"/>
      <c r="U1082" s="13"/>
      <c r="V1082" s="14"/>
      <c r="W1082" s="13"/>
      <c r="X1082" s="14"/>
      <c r="Y1082" s="13"/>
      <c r="Z1082" s="14"/>
    </row>
    <row r="1083" spans="1:26" x14ac:dyDescent="0.25">
      <c r="Q1083" s="13"/>
      <c r="R1083" s="14"/>
      <c r="S1083" s="13"/>
      <c r="T1083" s="14"/>
      <c r="U1083" s="13"/>
      <c r="V1083" s="14"/>
      <c r="W1083" s="13"/>
      <c r="X1083" s="14"/>
      <c r="Y1083" s="13"/>
      <c r="Z1083" s="14"/>
    </row>
    <row r="1084" spans="1:26" x14ac:dyDescent="0.25">
      <c r="Q1084" s="13"/>
      <c r="R1084" s="14"/>
      <c r="S1084" s="13"/>
      <c r="T1084" s="14"/>
      <c r="U1084" s="13"/>
      <c r="V1084" s="14"/>
      <c r="W1084" s="13"/>
      <c r="X1084" s="14"/>
      <c r="Y1084" s="13"/>
      <c r="Z1084" s="14"/>
    </row>
    <row r="1085" spans="1:26" x14ac:dyDescent="0.25">
      <c r="Q1085" s="13"/>
      <c r="R1085" s="14"/>
      <c r="S1085" s="13"/>
      <c r="T1085" s="14"/>
      <c r="U1085" s="13"/>
      <c r="V1085" s="14"/>
      <c r="W1085" s="13"/>
      <c r="X1085" s="14"/>
      <c r="Y1085" s="13"/>
      <c r="Z1085" s="14"/>
    </row>
    <row r="1086" spans="1:26" x14ac:dyDescent="0.25">
      <c r="Q1086" s="13"/>
      <c r="R1086" s="14"/>
      <c r="S1086" s="13"/>
      <c r="T1086" s="14"/>
      <c r="U1086" s="13"/>
      <c r="V1086" s="14"/>
      <c r="W1086" s="13"/>
      <c r="X1086" s="14"/>
      <c r="Y1086" s="13"/>
      <c r="Z1086" s="14"/>
    </row>
    <row r="1087" spans="1:26" x14ac:dyDescent="0.25">
      <c r="Q1087" s="13"/>
      <c r="R1087" s="14"/>
      <c r="S1087" s="13"/>
      <c r="T1087" s="14"/>
      <c r="U1087" s="13"/>
      <c r="V1087" s="14"/>
      <c r="W1087" s="13"/>
      <c r="X1087" s="14"/>
      <c r="Y1087" s="13"/>
      <c r="Z1087" s="14"/>
    </row>
    <row r="1088" spans="1:26" x14ac:dyDescent="0.25">
      <c r="Q1088" s="13"/>
      <c r="R1088" s="14"/>
      <c r="S1088" s="13"/>
      <c r="T1088" s="14"/>
      <c r="U1088" s="13"/>
      <c r="V1088" s="14"/>
      <c r="W1088" s="13"/>
      <c r="X1088" s="14"/>
      <c r="Y1088" s="13"/>
      <c r="Z1088" s="14"/>
    </row>
    <row r="1089" spans="1:26" x14ac:dyDescent="0.25">
      <c r="Q1089" s="13"/>
      <c r="R1089" s="14"/>
      <c r="S1089" s="13"/>
      <c r="T1089" s="14"/>
      <c r="U1089" s="13"/>
      <c r="V1089" s="14"/>
      <c r="W1089" s="13"/>
      <c r="X1089" s="14"/>
      <c r="Y1089" s="13"/>
      <c r="Z1089" s="14"/>
    </row>
    <row r="1090" spans="1:26" x14ac:dyDescent="0.25">
      <c r="Q1090" s="13"/>
      <c r="R1090" s="14"/>
      <c r="S1090" s="13"/>
      <c r="T1090" s="14"/>
      <c r="U1090" s="13"/>
      <c r="V1090" s="14"/>
      <c r="W1090" s="13"/>
      <c r="X1090" s="14"/>
      <c r="Y1090" s="13"/>
      <c r="Z1090" s="14"/>
    </row>
    <row r="1091" spans="1:26" x14ac:dyDescent="0.25">
      <c r="Q1091" s="13"/>
      <c r="R1091" s="14"/>
      <c r="S1091" s="13"/>
      <c r="T1091" s="14"/>
      <c r="U1091" s="13"/>
      <c r="V1091" s="14"/>
      <c r="W1091" s="13"/>
      <c r="X1091" s="14"/>
      <c r="Y1091" s="13"/>
      <c r="Z1091" s="14"/>
    </row>
    <row r="1092" spans="1:26" x14ac:dyDescent="0.25">
      <c r="Q1092" s="13"/>
      <c r="R1092" s="14"/>
      <c r="S1092" s="13"/>
      <c r="T1092" s="14"/>
      <c r="U1092" s="13"/>
      <c r="V1092" s="14"/>
      <c r="W1092" s="13"/>
      <c r="X1092" s="14"/>
      <c r="Y1092" s="13"/>
      <c r="Z1092" s="14"/>
    </row>
    <row r="1093" spans="1:26" x14ac:dyDescent="0.25">
      <c r="Q1093" s="13"/>
      <c r="R1093" s="14"/>
      <c r="S1093" s="13"/>
      <c r="T1093" s="14"/>
      <c r="U1093" s="13"/>
      <c r="V1093" s="14"/>
      <c r="W1093" s="13"/>
      <c r="X1093" s="14"/>
      <c r="Y1093" s="13"/>
      <c r="Z1093" s="14"/>
    </row>
    <row r="1094" spans="1:26" x14ac:dyDescent="0.25">
      <c r="Q1094" s="13"/>
      <c r="R1094" s="14"/>
      <c r="S1094" s="13"/>
      <c r="T1094" s="14"/>
      <c r="U1094" s="13"/>
      <c r="V1094" s="14"/>
      <c r="W1094" s="13"/>
      <c r="X1094" s="14"/>
      <c r="Y1094" s="13"/>
      <c r="Z1094" s="14"/>
    </row>
    <row r="1095" spans="1:26" x14ac:dyDescent="0.25">
      <c r="Q1095" s="13"/>
      <c r="R1095" s="14"/>
      <c r="S1095" s="13"/>
      <c r="T1095" s="14"/>
      <c r="U1095" s="13"/>
      <c r="V1095" s="14"/>
      <c r="W1095" s="13"/>
      <c r="X1095" s="14"/>
      <c r="Y1095" s="13"/>
      <c r="Z1095" s="14"/>
    </row>
    <row r="1096" spans="1:26" x14ac:dyDescent="0.25">
      <c r="Q1096" s="13"/>
      <c r="R1096" s="14"/>
      <c r="S1096" s="13"/>
      <c r="T1096" s="14"/>
      <c r="U1096" s="13"/>
      <c r="V1096" s="14"/>
      <c r="W1096" s="13"/>
      <c r="X1096" s="14"/>
      <c r="Y1096" s="13"/>
      <c r="Z1096" s="14"/>
    </row>
    <row r="1097" spans="1:26" x14ac:dyDescent="0.25">
      <c r="Q1097" s="13"/>
      <c r="R1097" s="14"/>
      <c r="S1097" s="13"/>
      <c r="T1097" s="14"/>
      <c r="U1097" s="13"/>
      <c r="V1097" s="14"/>
      <c r="W1097" s="13"/>
      <c r="X1097" s="14"/>
      <c r="Y1097" s="13"/>
      <c r="Z1097" s="14"/>
    </row>
    <row r="1098" spans="1:26" x14ac:dyDescent="0.25">
      <c r="Q1098" s="13"/>
      <c r="R1098" s="14"/>
      <c r="S1098" s="13"/>
      <c r="T1098" s="14"/>
      <c r="U1098" s="13"/>
      <c r="V1098" s="14"/>
      <c r="W1098" s="13"/>
      <c r="X1098" s="14"/>
      <c r="Y1098" s="13"/>
      <c r="Z1098" s="14"/>
    </row>
    <row r="1099" spans="1:26" x14ac:dyDescent="0.25">
      <c r="Q1099" s="13"/>
      <c r="R1099" s="14"/>
      <c r="S1099" s="13"/>
      <c r="T1099" s="14"/>
      <c r="U1099" s="13"/>
      <c r="V1099" s="14"/>
      <c r="W1099" s="13"/>
      <c r="X1099" s="14"/>
      <c r="Y1099" s="13"/>
      <c r="Z1099" s="14"/>
    </row>
    <row r="1100" spans="1:26" x14ac:dyDescent="0.25">
      <c r="Q1100" s="13"/>
      <c r="R1100" s="14"/>
      <c r="S1100" s="13"/>
      <c r="T1100" s="14"/>
      <c r="U1100" s="13"/>
      <c r="V1100" s="14"/>
      <c r="W1100" s="13"/>
      <c r="X1100" s="14"/>
      <c r="Y1100" s="13"/>
      <c r="Z1100" s="14"/>
    </row>
    <row r="1101" spans="1:26" x14ac:dyDescent="0.25">
      <c r="Q1101" s="13"/>
      <c r="R1101" s="14"/>
      <c r="S1101" s="13"/>
      <c r="T1101" s="14"/>
      <c r="U1101" s="13"/>
      <c r="V1101" s="14"/>
      <c r="W1101" s="13"/>
      <c r="X1101" s="14"/>
      <c r="Y1101" s="13"/>
      <c r="Z1101" s="14"/>
    </row>
    <row r="1102" spans="1:26" x14ac:dyDescent="0.25">
      <c r="Q1102" s="13"/>
      <c r="R1102" s="14"/>
      <c r="S1102" s="13"/>
      <c r="T1102" s="14"/>
      <c r="U1102" s="13"/>
      <c r="V1102" s="14"/>
      <c r="W1102" s="13"/>
      <c r="X1102" s="14"/>
      <c r="Y1102" s="13"/>
      <c r="Z1102" s="14"/>
    </row>
    <row r="1103" spans="1:26" x14ac:dyDescent="0.25">
      <c r="Q1103" s="13"/>
      <c r="R1103" s="14"/>
      <c r="S1103" s="13"/>
      <c r="T1103" s="14"/>
      <c r="U1103" s="13"/>
      <c r="V1103" s="14"/>
      <c r="W1103" s="13"/>
      <c r="X1103" s="14"/>
      <c r="Y1103" s="13"/>
      <c r="Z1103" s="14"/>
    </row>
    <row r="1104" spans="1:26" x14ac:dyDescent="0.25">
      <c r="Q1104" s="13"/>
      <c r="R1104" s="14"/>
      <c r="S1104" s="13"/>
      <c r="T1104" s="14"/>
      <c r="U1104" s="13"/>
      <c r="V1104" s="14"/>
      <c r="W1104" s="13"/>
      <c r="X1104" s="14"/>
      <c r="Y1104" s="13"/>
      <c r="Z1104" s="14"/>
    </row>
    <row r="1105" spans="1:26" x14ac:dyDescent="0.25">
      <c r="Q1105" s="13"/>
      <c r="R1105" s="14"/>
      <c r="S1105" s="13"/>
      <c r="T1105" s="14"/>
      <c r="U1105" s="13"/>
      <c r="V1105" s="14"/>
      <c r="W1105" s="13"/>
      <c r="X1105" s="14"/>
      <c r="Y1105" s="13"/>
      <c r="Z1105" s="14"/>
    </row>
    <row r="1106" spans="1:26" x14ac:dyDescent="0.25">
      <c r="Q1106" s="13"/>
      <c r="R1106" s="14"/>
      <c r="S1106" s="13"/>
      <c r="T1106" s="14"/>
      <c r="U1106" s="13"/>
      <c r="V1106" s="14"/>
      <c r="W1106" s="13"/>
      <c r="X1106" s="14"/>
      <c r="Y1106" s="13"/>
      <c r="Z1106" s="14"/>
    </row>
    <row r="1107" spans="1:26" x14ac:dyDescent="0.25">
      <c r="Q1107" s="13"/>
      <c r="R1107" s="14"/>
      <c r="S1107" s="13"/>
      <c r="T1107" s="14"/>
      <c r="U1107" s="13"/>
      <c r="V1107" s="14"/>
      <c r="W1107" s="13"/>
      <c r="X1107" s="14"/>
      <c r="Y1107" s="13"/>
      <c r="Z1107" s="14"/>
    </row>
    <row r="1108" spans="1:26" x14ac:dyDescent="0.25">
      <c r="Q1108" s="13"/>
      <c r="R1108" s="14"/>
      <c r="S1108" s="13"/>
      <c r="T1108" s="14"/>
      <c r="U1108" s="13"/>
      <c r="V1108" s="14"/>
      <c r="W1108" s="13"/>
      <c r="X1108" s="14"/>
      <c r="Y1108" s="13"/>
      <c r="Z1108" s="14"/>
    </row>
    <row r="1109" spans="1:26" x14ac:dyDescent="0.25">
      <c r="Q1109" s="13"/>
      <c r="R1109" s="14"/>
      <c r="S1109" s="13"/>
      <c r="T1109" s="14"/>
      <c r="U1109" s="13"/>
      <c r="V1109" s="14"/>
      <c r="W1109" s="13"/>
      <c r="X1109" s="14"/>
      <c r="Y1109" s="13"/>
      <c r="Z1109" s="14"/>
    </row>
    <row r="1110" spans="1:26" x14ac:dyDescent="0.25">
      <c r="Q1110" s="13"/>
      <c r="R1110" s="14"/>
      <c r="S1110" s="13"/>
      <c r="T1110" s="14"/>
      <c r="U1110" s="13"/>
      <c r="V1110" s="14"/>
      <c r="W1110" s="13"/>
      <c r="X1110" s="14"/>
      <c r="Y1110" s="13"/>
      <c r="Z1110" s="14"/>
    </row>
    <row r="1111" spans="1:26" x14ac:dyDescent="0.25">
      <c r="Q1111" s="13"/>
      <c r="R1111" s="14"/>
      <c r="S1111" s="13"/>
      <c r="T1111" s="14"/>
      <c r="U1111" s="13"/>
      <c r="V1111" s="14"/>
      <c r="W1111" s="13"/>
      <c r="X1111" s="14"/>
      <c r="Y1111" s="13"/>
      <c r="Z1111" s="14"/>
    </row>
    <row r="1112" spans="1:26" x14ac:dyDescent="0.25">
      <c r="Q1112" s="13"/>
      <c r="R1112" s="14"/>
      <c r="S1112" s="13"/>
      <c r="T1112" s="14"/>
      <c r="U1112" s="13"/>
      <c r="V1112" s="14"/>
      <c r="W1112" s="13"/>
      <c r="X1112" s="14"/>
      <c r="Y1112" s="13"/>
      <c r="Z1112" s="14"/>
    </row>
    <row r="1113" spans="1:26" x14ac:dyDescent="0.25">
      <c r="Q1113" s="13"/>
      <c r="R1113" s="14"/>
      <c r="S1113" s="13"/>
      <c r="T1113" s="14"/>
      <c r="U1113" s="13"/>
      <c r="V1113" s="14"/>
      <c r="W1113" s="13"/>
      <c r="X1113" s="14"/>
      <c r="Y1113" s="13"/>
      <c r="Z1113" s="14"/>
    </row>
    <row r="1114" spans="1:26" x14ac:dyDescent="0.25">
      <c r="Q1114" s="13"/>
      <c r="R1114" s="14"/>
      <c r="S1114" s="13"/>
      <c r="T1114" s="14"/>
      <c r="U1114" s="13"/>
      <c r="V1114" s="14"/>
      <c r="W1114" s="13"/>
      <c r="X1114" s="14"/>
      <c r="Y1114" s="13"/>
      <c r="Z1114" s="14"/>
    </row>
    <row r="1115" spans="1:26" x14ac:dyDescent="0.25">
      <c r="Q1115" s="13"/>
      <c r="R1115" s="14"/>
      <c r="S1115" s="13"/>
      <c r="T1115" s="14"/>
      <c r="U1115" s="13"/>
      <c r="V1115" s="14"/>
      <c r="W1115" s="13"/>
      <c r="X1115" s="14"/>
      <c r="Y1115" s="13"/>
      <c r="Z1115" s="14"/>
    </row>
    <row r="1116" spans="1:26" x14ac:dyDescent="0.25">
      <c r="Q1116" s="13"/>
      <c r="R1116" s="14"/>
      <c r="S1116" s="13"/>
      <c r="T1116" s="14"/>
      <c r="U1116" s="13"/>
      <c r="V1116" s="14"/>
      <c r="W1116" s="13"/>
      <c r="X1116" s="14"/>
      <c r="Y1116" s="13"/>
      <c r="Z1116" s="14"/>
    </row>
    <row r="1117" spans="1:26" x14ac:dyDescent="0.25">
      <c r="Q1117" s="13"/>
      <c r="R1117" s="14"/>
      <c r="S1117" s="13"/>
      <c r="T1117" s="14"/>
      <c r="U1117" s="13"/>
      <c r="V1117" s="14"/>
      <c r="W1117" s="13"/>
      <c r="X1117" s="14"/>
      <c r="Y1117" s="13"/>
      <c r="Z1117" s="14"/>
    </row>
    <row r="1118" spans="1:26" x14ac:dyDescent="0.25">
      <c r="Q1118" s="13"/>
      <c r="R1118" s="14"/>
      <c r="S1118" s="13"/>
      <c r="T1118" s="14"/>
      <c r="U1118" s="13"/>
      <c r="V1118" s="14"/>
      <c r="W1118" s="13"/>
      <c r="X1118" s="14"/>
      <c r="Y1118" s="13"/>
      <c r="Z1118" s="14"/>
    </row>
    <row r="1119" spans="1:26" x14ac:dyDescent="0.25">
      <c r="Q1119" s="13"/>
      <c r="R1119" s="14"/>
      <c r="S1119" s="13"/>
      <c r="T1119" s="14"/>
      <c r="U1119" s="13"/>
      <c r="V1119" s="14"/>
      <c r="W1119" s="13"/>
      <c r="X1119" s="14"/>
      <c r="Y1119" s="13"/>
      <c r="Z1119" s="14"/>
    </row>
    <row r="1120" spans="1:26" x14ac:dyDescent="0.25">
      <c r="Q1120" s="13"/>
      <c r="R1120" s="14"/>
      <c r="S1120" s="13"/>
      <c r="T1120" s="14"/>
      <c r="U1120" s="13"/>
      <c r="V1120" s="14"/>
      <c r="W1120" s="13"/>
      <c r="X1120" s="14"/>
      <c r="Y1120" s="13"/>
      <c r="Z1120" s="14"/>
    </row>
    <row r="1121" spans="1:26" x14ac:dyDescent="0.25">
      <c r="Q1121" s="13"/>
      <c r="R1121" s="14"/>
      <c r="S1121" s="13"/>
      <c r="T1121" s="14"/>
      <c r="U1121" s="13"/>
      <c r="V1121" s="14"/>
      <c r="W1121" s="13"/>
      <c r="X1121" s="14"/>
      <c r="Y1121" s="13"/>
      <c r="Z1121" s="14"/>
    </row>
    <row r="1122" spans="1:26" x14ac:dyDescent="0.25">
      <c r="Q1122" s="13"/>
      <c r="R1122" s="14"/>
      <c r="S1122" s="13"/>
      <c r="T1122" s="14"/>
      <c r="U1122" s="13"/>
      <c r="V1122" s="14"/>
      <c r="W1122" s="13"/>
      <c r="X1122" s="14"/>
      <c r="Y1122" s="13"/>
      <c r="Z1122" s="14"/>
    </row>
    <row r="1123" spans="1:26" x14ac:dyDescent="0.25">
      <c r="Q1123" s="13"/>
      <c r="R1123" s="14"/>
      <c r="S1123" s="13"/>
      <c r="T1123" s="14"/>
      <c r="U1123" s="13"/>
      <c r="V1123" s="14"/>
      <c r="W1123" s="13"/>
      <c r="X1123" s="14"/>
      <c r="Y1123" s="13"/>
      <c r="Z1123" s="14"/>
    </row>
    <row r="1124" spans="1:26" x14ac:dyDescent="0.25">
      <c r="Q1124" s="13"/>
      <c r="R1124" s="14"/>
      <c r="S1124" s="13"/>
      <c r="T1124" s="14"/>
      <c r="U1124" s="13"/>
      <c r="V1124" s="14"/>
      <c r="W1124" s="13"/>
      <c r="X1124" s="14"/>
      <c r="Y1124" s="13"/>
      <c r="Z1124" s="14"/>
    </row>
    <row r="1125" spans="1:26" x14ac:dyDescent="0.25">
      <c r="Q1125" s="13"/>
      <c r="R1125" s="14"/>
      <c r="S1125" s="13"/>
      <c r="T1125" s="14"/>
      <c r="U1125" s="13"/>
      <c r="V1125" s="14"/>
      <c r="W1125" s="13"/>
      <c r="X1125" s="14"/>
      <c r="Y1125" s="13"/>
      <c r="Z1125" s="14"/>
    </row>
    <row r="1126" spans="1:26" x14ac:dyDescent="0.25">
      <c r="Q1126" s="13"/>
      <c r="R1126" s="14"/>
      <c r="S1126" s="13"/>
      <c r="T1126" s="14"/>
      <c r="U1126" s="13"/>
      <c r="V1126" s="14"/>
      <c r="W1126" s="13"/>
      <c r="X1126" s="14"/>
      <c r="Y1126" s="13"/>
      <c r="Z1126" s="14"/>
    </row>
    <row r="1127" spans="1:26" x14ac:dyDescent="0.25">
      <c r="Q1127" s="13"/>
      <c r="R1127" s="14"/>
      <c r="S1127" s="13"/>
      <c r="T1127" s="14"/>
      <c r="U1127" s="13"/>
      <c r="V1127" s="14"/>
      <c r="W1127" s="13"/>
      <c r="X1127" s="14"/>
      <c r="Y1127" s="13"/>
      <c r="Z1127" s="14"/>
    </row>
    <row r="1128" spans="1:26" x14ac:dyDescent="0.25">
      <c r="Q1128" s="13"/>
      <c r="R1128" s="14"/>
      <c r="S1128" s="13"/>
      <c r="T1128" s="14"/>
      <c r="U1128" s="13"/>
      <c r="V1128" s="14"/>
      <c r="W1128" s="13"/>
      <c r="X1128" s="14"/>
      <c r="Y1128" s="13"/>
      <c r="Z1128" s="14"/>
    </row>
    <row r="1129" spans="1:26" x14ac:dyDescent="0.25">
      <c r="Q1129" s="13"/>
      <c r="R1129" s="14"/>
      <c r="S1129" s="13"/>
      <c r="T1129" s="14"/>
      <c r="U1129" s="13"/>
      <c r="V1129" s="14"/>
      <c r="W1129" s="13"/>
      <c r="X1129" s="14"/>
      <c r="Y1129" s="13"/>
      <c r="Z1129" s="14"/>
    </row>
    <row r="1130" spans="1:26" x14ac:dyDescent="0.25">
      <c r="Q1130" s="13"/>
      <c r="R1130" s="14"/>
      <c r="S1130" s="13"/>
      <c r="T1130" s="14"/>
      <c r="U1130" s="13"/>
      <c r="V1130" s="14"/>
      <c r="W1130" s="13"/>
      <c r="X1130" s="14"/>
      <c r="Y1130" s="13"/>
      <c r="Z1130" s="14"/>
    </row>
    <row r="1131" spans="1:26" x14ac:dyDescent="0.25">
      <c r="Q1131" s="13"/>
      <c r="R1131" s="14"/>
      <c r="S1131" s="13"/>
      <c r="T1131" s="14"/>
      <c r="U1131" s="13"/>
      <c r="V1131" s="14"/>
      <c r="W1131" s="13"/>
      <c r="X1131" s="14"/>
      <c r="Y1131" s="13"/>
      <c r="Z1131" s="14"/>
    </row>
    <row r="1132" spans="1:26" x14ac:dyDescent="0.25">
      <c r="Q1132" s="13"/>
      <c r="R1132" s="14"/>
      <c r="S1132" s="13"/>
      <c r="T1132" s="14"/>
      <c r="U1132" s="13"/>
      <c r="V1132" s="14"/>
      <c r="W1132" s="13"/>
      <c r="X1132" s="14"/>
      <c r="Y1132" s="13"/>
      <c r="Z1132" s="14"/>
    </row>
    <row r="1133" spans="1:26" x14ac:dyDescent="0.25">
      <c r="Q1133" s="13"/>
      <c r="R1133" s="14"/>
      <c r="S1133" s="13"/>
      <c r="T1133" s="14"/>
      <c r="U1133" s="13"/>
      <c r="V1133" s="14"/>
      <c r="W1133" s="13"/>
      <c r="X1133" s="14"/>
      <c r="Y1133" s="13"/>
      <c r="Z1133" s="14"/>
    </row>
    <row r="1134" spans="1:26" x14ac:dyDescent="0.25">
      <c r="Q1134" s="13"/>
      <c r="R1134" s="14"/>
      <c r="S1134" s="13"/>
      <c r="T1134" s="14"/>
      <c r="U1134" s="13"/>
      <c r="V1134" s="14"/>
      <c r="W1134" s="13"/>
      <c r="X1134" s="14"/>
      <c r="Y1134" s="13"/>
      <c r="Z1134" s="14"/>
    </row>
    <row r="1135" spans="1:26" x14ac:dyDescent="0.25">
      <c r="Q1135" s="13"/>
      <c r="R1135" s="14"/>
      <c r="S1135" s="13"/>
      <c r="T1135" s="14"/>
      <c r="U1135" s="13"/>
      <c r="V1135" s="14"/>
      <c r="W1135" s="13"/>
      <c r="X1135" s="14"/>
      <c r="Y1135" s="13"/>
      <c r="Z1135" s="14"/>
    </row>
    <row r="1136" spans="1:26" x14ac:dyDescent="0.25">
      <c r="Q1136" s="13"/>
      <c r="R1136" s="14"/>
      <c r="S1136" s="13"/>
      <c r="T1136" s="14"/>
      <c r="U1136" s="13"/>
      <c r="V1136" s="14"/>
      <c r="W1136" s="13"/>
      <c r="X1136" s="14"/>
      <c r="Y1136" s="13"/>
      <c r="Z1136" s="14"/>
    </row>
    <row r="1137" spans="1:26" x14ac:dyDescent="0.25">
      <c r="Q1137" s="13"/>
      <c r="R1137" s="14"/>
      <c r="S1137" s="13"/>
      <c r="T1137" s="14"/>
      <c r="U1137" s="13"/>
      <c r="V1137" s="14"/>
      <c r="W1137" s="13"/>
      <c r="X1137" s="14"/>
      <c r="Y1137" s="13"/>
      <c r="Z1137" s="14"/>
    </row>
    <row r="1138" spans="1:26" x14ac:dyDescent="0.25">
      <c r="Q1138" s="13"/>
      <c r="R1138" s="14"/>
      <c r="S1138" s="13"/>
      <c r="T1138" s="14"/>
      <c r="U1138" s="13"/>
      <c r="V1138" s="14"/>
      <c r="W1138" s="13"/>
      <c r="X1138" s="14"/>
      <c r="Y1138" s="13"/>
      <c r="Z1138" s="14"/>
    </row>
    <row r="1139" spans="1:26" x14ac:dyDescent="0.25">
      <c r="Q1139" s="13"/>
      <c r="R1139" s="14"/>
      <c r="S1139" s="13"/>
      <c r="T1139" s="14"/>
      <c r="U1139" s="13"/>
      <c r="V1139" s="14"/>
      <c r="W1139" s="13"/>
      <c r="X1139" s="14"/>
      <c r="Y1139" s="13"/>
      <c r="Z1139" s="14"/>
    </row>
    <row r="1140" spans="1:26" x14ac:dyDescent="0.25">
      <c r="Q1140" s="13"/>
      <c r="R1140" s="14"/>
      <c r="S1140" s="13"/>
      <c r="T1140" s="14"/>
      <c r="U1140" s="13"/>
      <c r="V1140" s="14"/>
      <c r="W1140" s="13"/>
      <c r="X1140" s="14"/>
      <c r="Y1140" s="13"/>
      <c r="Z1140" s="14"/>
    </row>
    <row r="1141" spans="1:26" x14ac:dyDescent="0.25">
      <c r="Q1141" s="13"/>
      <c r="R1141" s="14"/>
      <c r="S1141" s="13"/>
      <c r="T1141" s="14"/>
      <c r="U1141" s="13"/>
      <c r="V1141" s="14"/>
      <c r="W1141" s="13"/>
      <c r="X1141" s="14"/>
      <c r="Y1141" s="13"/>
      <c r="Z1141" s="14"/>
    </row>
    <row r="1142" spans="1:26" x14ac:dyDescent="0.25">
      <c r="Q1142" s="13"/>
      <c r="R1142" s="14"/>
      <c r="S1142" s="13"/>
      <c r="T1142" s="14"/>
      <c r="U1142" s="13"/>
      <c r="V1142" s="14"/>
      <c r="W1142" s="13"/>
      <c r="X1142" s="14"/>
      <c r="Y1142" s="13"/>
      <c r="Z1142" s="14"/>
    </row>
    <row r="1143" spans="1:26" x14ac:dyDescent="0.25">
      <c r="Q1143" s="13"/>
      <c r="R1143" s="14"/>
      <c r="S1143" s="13"/>
      <c r="T1143" s="14"/>
      <c r="U1143" s="13"/>
      <c r="V1143" s="14"/>
      <c r="W1143" s="13"/>
      <c r="X1143" s="14"/>
      <c r="Y1143" s="13"/>
      <c r="Z1143" s="14"/>
    </row>
    <row r="1144" spans="1:26" x14ac:dyDescent="0.25">
      <c r="Q1144" s="13"/>
      <c r="R1144" s="14"/>
      <c r="S1144" s="13"/>
      <c r="T1144" s="14"/>
      <c r="U1144" s="13"/>
      <c r="V1144" s="14"/>
      <c r="W1144" s="13"/>
      <c r="X1144" s="14"/>
      <c r="Y1144" s="13"/>
      <c r="Z1144" s="14"/>
    </row>
  </sheetData>
  <dataValidations count="14">
    <dataValidation type="list" allowBlank="1" sqref="L10:L1072">
      <formula1>"Must Have,Should Have,Could Have,Will not Have"</formula1>
    </dataValidation>
    <dataValidation type="list" allowBlank="1" sqref="L2:L1072">
      <formula1>"Must Have,Should Have,Could Have,Will not Have"</formula1>
    </dataValidation>
    <dataValidation type="list" allowBlank="1" sqref="Q10:Q1072">
      <formula1>"0,1,2,3,5,8,13,21,34,55,89"</formula1>
    </dataValidation>
    <dataValidation type="list" allowBlank="1" sqref="Q2:Q1072">
      <formula1>"0,1,2,3,5,8,13,21,34,55,89"</formula1>
    </dataValidation>
    <dataValidation type="list" allowBlank="1" sqref="S10:S1072">
      <formula1>"0,1,2,3,5,8,13,21,34,55,89"</formula1>
    </dataValidation>
    <dataValidation type="list" allowBlank="1" sqref="S2:S1072">
      <formula1>"0,1,2,3,5,8,13,21,34,55,89"</formula1>
    </dataValidation>
    <dataValidation type="list" allowBlank="1" sqref="U10:U1072">
      <formula1>"0,1,2,3,5,8,13,21,34,55,89"</formula1>
    </dataValidation>
    <dataValidation type="list" allowBlank="1" sqref="U2:U1072">
      <formula1>"0,1,2,3,5,8,13,21,34,55,89"</formula1>
    </dataValidation>
    <dataValidation type="list" allowBlank="1" sqref="W10:W1072">
      <formula1>"0,1,2,3,5,8,13,21,34,55,89"</formula1>
    </dataValidation>
    <dataValidation type="list" allowBlank="1" sqref="W2:W1072">
      <formula1>"0,1,2,3,5,8,13,21,34,55,89"</formula1>
    </dataValidation>
    <dataValidation type="list" allowBlank="1" sqref="Y10:Y24">
      <formula1>"0,1,2,3,5,8,13,21,34,55,89"</formula1>
    </dataValidation>
    <dataValidation type="list" allowBlank="1" sqref="Y100:Y1072">
      <formula1>"0,1,2,3,5,8,13,21,34,55,89"</formula1>
    </dataValidation>
    <dataValidation type="list" allowBlank="1" sqref="Y2:Y24">
      <formula1>"0,1,2,3,5,8,13,21,34,55,89"</formula1>
    </dataValidation>
    <dataValidation type="list" allowBlank="1" sqref="Y26:Y1072">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214</v>
      </c>
      <c r="B1" t="s">
        <v>3</v>
      </c>
      <c r="C1" t="s">
        <v>22</v>
      </c>
      <c r="D1" t="s">
        <v>215</v>
      </c>
      <c r="E1" t="s">
        <v>45</v>
      </c>
      <c r="F1" t="s">
        <v>216</v>
      </c>
      <c r="G1" t="s">
        <v>217</v>
      </c>
    </row>
    <row r="2" spans="1:1" s="1" customFormat="1" x14ac:dyDescent="0.25">
      <c r="A2" s="2" t="s">
        <v>218</v>
      </c>
    </row>
    <row r="3" spans="1:1" s="3" customFormat="1" x14ac:dyDescent="0.25">
      <c r="A3" s="4" t="s">
        <v>6</v>
      </c>
    </row>
    <row r="4" spans="1:1" s="5" customFormat="1" x14ac:dyDescent="0.25">
      <c r="A4" s="6" t="s">
        <v>219</v>
      </c>
    </row>
    <row r="9" spans="1:6" s="1" customFormat="1" x14ac:dyDescent="0.25">
      <c r="A9" s="2" t="s">
        <v>220</v>
      </c>
      <c r="B9" s="2"/>
      <c r="C9" s="2"/>
      <c r="D9" s="2"/>
      <c r="E9" s="2"/>
      <c r="F9" s="2"/>
    </row>
    <row r="10" spans="1:6" s="3" customFormat="1" x14ac:dyDescent="0.25">
      <c r="A10" s="4" t="s">
        <v>0</v>
      </c>
      <c r="B10" s="4" t="s">
        <v>86</v>
      </c>
      <c r="C10" s="4" t="s">
        <v>184</v>
      </c>
      <c r="D10" s="4" t="s">
        <v>221</v>
      </c>
      <c r="E10" s="4" t="s">
        <v>222</v>
      </c>
      <c r="F10" s="4" t="s">
        <v>9</v>
      </c>
    </row>
    <row r="11" spans="1:6" s="5" customFormat="1" x14ac:dyDescent="0.25">
      <c r="A11" s="7" t="s">
        <v>223</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224</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225</v>
      </c>
      <c r="B13" s="6">
        <f>ROUND((min(G33, F33) * (B$75/8)) * 40)</f>
      </c>
      <c r="C13" s="6">
        <f>ROUND((min(G34, F34) * (B$75/8)) * 40)</f>
      </c>
      <c r="D13" s="6">
        <f>ROUND((min(G35, F35) * (B$75/8)) * 40)</f>
      </c>
      <c r="E13" s="6">
        <f>ROUND((min(G36, F36) * (B$75/8)) * 40)</f>
      </c>
      <c r="F13" s="6">
        <f>SUM(B13:E13)</f>
      </c>
    </row>
    <row r="14" spans="1:6" s="5" customFormat="1" x14ac:dyDescent="0.25">
      <c r="A14" s="7" t="s">
        <v>226</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227</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228</v>
      </c>
      <c r="B21" s="6">
        <f>ROUND((min(C33, B33) * (B$67/8)) * 40)</f>
      </c>
      <c r="C21" s="6">
        <f>ROUND((min(C34, B34) * (B$67/8)) * 40)</f>
      </c>
      <c r="D21" s="6">
        <f>ROUND((min(C35, B35) * (B$67/8)) * 40)</f>
      </c>
      <c r="E21" s="6">
        <f>ROUND((min(C36, B36) * (B$67/8)) * 40)</f>
      </c>
      <c r="F21" s="6">
        <f>SUM(B21:E21)</f>
      </c>
    </row>
    <row r="22" spans="1:6" s="5" customFormat="1" x14ac:dyDescent="0.25">
      <c r="A22" s="7" t="s">
        <v>229</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230</v>
      </c>
      <c r="B26" s="9">
        <f>SUM(B11:B25)</f>
      </c>
      <c r="C26" s="9">
        <f>SUM(C11:C25)</f>
      </c>
      <c r="D26" s="9">
        <f>SUM(D11:D25)</f>
      </c>
      <c r="E26" s="9">
        <f>SUM(E11:E25)</f>
      </c>
      <c r="F26" s="9">
        <f>SUM(B26:E26)</f>
      </c>
    </row>
    <row r="31" spans="1:7" s="1" customFormat="1" x14ac:dyDescent="0.25">
      <c r="A31" s="2" t="s">
        <v>231</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86</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184</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221</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232</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233</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86</v>
      </c>
      <c r="B44" s="6">
        <f>ROUNDUP(B33 / 4)</f>
      </c>
      <c r="C44" s="6">
        <f>ROUNDUP(C33 / 4)</f>
      </c>
      <c r="D44" s="6">
        <f>ROUNDUP(D33 / 4)</f>
      </c>
      <c r="E44" s="6">
        <f>ROUNDUP(E33 / 4)</f>
      </c>
      <c r="F44" s="6">
        <f>ROUNDUP(F33 / 4)</f>
      </c>
      <c r="G44" s="6">
        <f>ROUNDUP(G33 / 4)</f>
      </c>
    </row>
    <row r="45" spans="1:7" s="5" customFormat="1" x14ac:dyDescent="0.25">
      <c r="A45" s="7" t="s">
        <v>184</v>
      </c>
      <c r="B45" s="6">
        <f>ROUNDUP(B34 / 4)</f>
      </c>
      <c r="C45" s="6">
        <f>ROUNDUP(C34 / 4)</f>
      </c>
      <c r="D45" s="6">
        <f>ROUNDUP(D34 / 4)</f>
      </c>
      <c r="E45" s="6">
        <f>ROUNDUP(E34 / 4)</f>
      </c>
      <c r="F45" s="6">
        <f>ROUNDUP(F34 / 4)</f>
      </c>
      <c r="G45" s="6">
        <f>ROUNDUP(G34 / 4)</f>
      </c>
    </row>
    <row r="46" spans="1:7" s="5" customFormat="1" x14ac:dyDescent="0.25">
      <c r="A46" s="7" t="s">
        <v>221</v>
      </c>
      <c r="B46" s="6">
        <f>ROUNDUP(B35 / 4)</f>
      </c>
      <c r="C46" s="6">
        <f>ROUNDUP(C35 / 4)</f>
      </c>
      <c r="D46" s="6">
        <f>ROUNDUP(D35 / 4)</f>
      </c>
      <c r="E46" s="6">
        <f>ROUNDUP(E35 / 4)</f>
      </c>
      <c r="F46" s="6">
        <f>ROUNDUP(F35 / 4)</f>
      </c>
      <c r="G46" s="6">
        <f>ROUNDUP(G35 / 4)</f>
      </c>
    </row>
    <row r="47" spans="1:7" s="5" customFormat="1" x14ac:dyDescent="0.25">
      <c r="A47" s="7" t="s">
        <v>232</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234</v>
      </c>
      <c r="B53" s="2"/>
      <c r="C53" s="2"/>
      <c r="D53" s="2"/>
    </row>
    <row r="54" spans="1:4" s="3" customFormat="1" x14ac:dyDescent="0.25">
      <c r="A54" s="4" t="s">
        <v>214</v>
      </c>
      <c r="B54" s="4" t="s">
        <v>3</v>
      </c>
      <c r="C54" s="4" t="s">
        <v>22</v>
      </c>
      <c r="D54" s="4" t="s">
        <v>215</v>
      </c>
    </row>
    <row r="55" spans="1:4" s="5" customFormat="1" x14ac:dyDescent="0.25">
      <c r="A55" s="6" t="s">
        <v>235</v>
      </c>
      <c r="B55" s="6" t="s">
        <v>235</v>
      </c>
      <c r="C55" s="6" t="s">
        <v>235</v>
      </c>
      <c r="D55" s="6" t="s">
        <v>235</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214</v>
      </c>
      <c r="B1" t="s">
        <v>3</v>
      </c>
      <c r="C1" t="s">
        <v>22</v>
      </c>
      <c r="D1" t="s">
        <v>215</v>
      </c>
      <c r="E1" t="s">
        <v>45</v>
      </c>
      <c r="F1" t="s">
        <v>216</v>
      </c>
      <c r="G1" t="s">
        <v>217</v>
      </c>
    </row>
    <row r="2" spans="1:1" s="1" customFormat="1" x14ac:dyDescent="0.25">
      <c r="A2" s="2" t="s">
        <v>218</v>
      </c>
    </row>
    <row r="3" spans="1:1" s="3" customFormat="1" x14ac:dyDescent="0.25">
      <c r="A3" s="4" t="s">
        <v>6</v>
      </c>
    </row>
    <row r="4" spans="1:1" s="5" customFormat="1" x14ac:dyDescent="0.25">
      <c r="A4" s="6" t="s">
        <v>236</v>
      </c>
    </row>
    <row r="9" spans="1:6" s="1" customFormat="1" x14ac:dyDescent="0.25">
      <c r="A9" s="2" t="s">
        <v>220</v>
      </c>
      <c r="B9" s="2"/>
      <c r="C9" s="2"/>
      <c r="D9" s="2"/>
      <c r="E9" s="2"/>
      <c r="F9" s="2"/>
    </row>
    <row r="10" spans="1:6" s="3" customFormat="1" x14ac:dyDescent="0.25">
      <c r="A10" s="4" t="s">
        <v>0</v>
      </c>
      <c r="B10" s="4" t="s">
        <v>86</v>
      </c>
      <c r="C10" s="4" t="s">
        <v>184</v>
      </c>
      <c r="D10" s="4" t="s">
        <v>221</v>
      </c>
      <c r="E10" s="4" t="s">
        <v>222</v>
      </c>
      <c r="F10" s="4" t="s">
        <v>9</v>
      </c>
    </row>
    <row r="11" spans="1:6" s="5" customFormat="1" x14ac:dyDescent="0.25">
      <c r="A11" s="7" t="s">
        <v>223</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224</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225</v>
      </c>
      <c r="B13" s="6">
        <f>ROUND((min(G33, F33) * (B$75/8)) * 40)</f>
      </c>
      <c r="C13" s="6">
        <f>ROUND((min(G34, F34) * (B$75/8)) * 40)</f>
      </c>
      <c r="D13" s="6">
        <f>ROUND((min(G35, F35) * (B$75/8)) * 40)</f>
      </c>
      <c r="E13" s="6">
        <f>ROUND((min(G36, F36) * (B$75/8)) * 40)</f>
      </c>
      <c r="F13" s="6">
        <f>SUM(B13:E13)</f>
      </c>
    </row>
    <row r="14" spans="1:6" s="5" customFormat="1" x14ac:dyDescent="0.25">
      <c r="A14" s="7" t="s">
        <v>226</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227</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228</v>
      </c>
      <c r="B21" s="6">
        <f>ROUND((min(C33, B33) * (B$67/8)) * 40)</f>
      </c>
      <c r="C21" s="6">
        <f>ROUND((min(C34, B34) * (B$67/8)) * 40)</f>
      </c>
      <c r="D21" s="6">
        <f>ROUND((min(C35, B35) * (B$67/8)) * 40)</f>
      </c>
      <c r="E21" s="6">
        <f>ROUND((min(C36, B36) * (B$67/8)) * 40)</f>
      </c>
      <c r="F21" s="6">
        <f>SUM(B21:E21)</f>
      </c>
    </row>
    <row r="22" spans="1:6" s="5" customFormat="1" x14ac:dyDescent="0.25">
      <c r="A22" s="7" t="s">
        <v>229</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230</v>
      </c>
      <c r="B26" s="9">
        <f>SUM(B11:B25)</f>
      </c>
      <c r="C26" s="9">
        <f>SUM(C11:C25)</f>
      </c>
      <c r="D26" s="9">
        <f>SUM(D11:D25)</f>
      </c>
      <c r="E26" s="9">
        <f>SUM(E11:E25)</f>
      </c>
      <c r="F26" s="9">
        <f>SUM(B26:E26)</f>
      </c>
    </row>
    <row r="31" spans="1:7" s="1" customFormat="1" x14ac:dyDescent="0.25">
      <c r="A31" s="2" t="s">
        <v>231</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86</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184</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221</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232</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233</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86</v>
      </c>
      <c r="B44" s="6">
        <f>ROUNDUP(B33 / 4)</f>
      </c>
      <c r="C44" s="6">
        <f>ROUNDUP(C33 / 4)</f>
      </c>
      <c r="D44" s="6">
        <f>ROUNDUP(D33 / 4)</f>
      </c>
      <c r="E44" s="6">
        <f>ROUNDUP(E33 / 4)</f>
      </c>
      <c r="F44" s="6">
        <f>ROUNDUP(F33 / 4)</f>
      </c>
      <c r="G44" s="6">
        <f>ROUNDUP(G33 / 4)</f>
      </c>
    </row>
    <row r="45" spans="1:7" s="5" customFormat="1" x14ac:dyDescent="0.25">
      <c r="A45" s="7" t="s">
        <v>184</v>
      </c>
      <c r="B45" s="6">
        <f>ROUNDUP(B34 / 4)</f>
      </c>
      <c r="C45" s="6">
        <f>ROUNDUP(C34 / 4)</f>
      </c>
      <c r="D45" s="6">
        <f>ROUNDUP(D34 / 4)</f>
      </c>
      <c r="E45" s="6">
        <f>ROUNDUP(E34 / 4)</f>
      </c>
      <c r="F45" s="6">
        <f>ROUNDUP(F34 / 4)</f>
      </c>
      <c r="G45" s="6">
        <f>ROUNDUP(G34 / 4)</f>
      </c>
    </row>
    <row r="46" spans="1:7" s="5" customFormat="1" x14ac:dyDescent="0.25">
      <c r="A46" s="7" t="s">
        <v>221</v>
      </c>
      <c r="B46" s="6">
        <f>ROUNDUP(B35 / 4)</f>
      </c>
      <c r="C46" s="6">
        <f>ROUNDUP(C35 / 4)</f>
      </c>
      <c r="D46" s="6">
        <f>ROUNDUP(D35 / 4)</f>
      </c>
      <c r="E46" s="6">
        <f>ROUNDUP(E35 / 4)</f>
      </c>
      <c r="F46" s="6">
        <f>ROUNDUP(F35 / 4)</f>
      </c>
      <c r="G46" s="6">
        <f>ROUNDUP(G35 / 4)</f>
      </c>
    </row>
    <row r="47" spans="1:7" s="5" customFormat="1" x14ac:dyDescent="0.25">
      <c r="A47" s="7" t="s">
        <v>232</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234</v>
      </c>
      <c r="B53" s="2"/>
      <c r="C53" s="2"/>
      <c r="D53" s="2"/>
    </row>
    <row r="54" spans="1:4" s="3" customFormat="1" x14ac:dyDescent="0.25">
      <c r="A54" s="4" t="s">
        <v>214</v>
      </c>
      <c r="B54" s="4" t="s">
        <v>3</v>
      </c>
      <c r="C54" s="4" t="s">
        <v>22</v>
      </c>
      <c r="D54" s="4" t="s">
        <v>215</v>
      </c>
    </row>
    <row r="55" spans="1:4" s="5" customFormat="1" x14ac:dyDescent="0.25">
      <c r="A55" s="6" t="s">
        <v>235</v>
      </c>
      <c r="B55" s="6" t="s">
        <v>235</v>
      </c>
      <c r="C55" s="6" t="s">
        <v>235</v>
      </c>
      <c r="D55" s="6" t="s">
        <v>235</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237</v>
      </c>
      <c r="B1" t="s">
        <v>238</v>
      </c>
      <c r="C1" t="s">
        <v>239</v>
      </c>
      <c r="D1" t="s">
        <v>240</v>
      </c>
      <c r="E1" t="s">
        <v>241</v>
      </c>
      <c r="F1" t="s">
        <v>242</v>
      </c>
      <c r="G1" t="s">
        <v>243</v>
      </c>
    </row>
    <row r="2" spans="1:7" s="1" customFormat="1" x14ac:dyDescent="0.25">
      <c r="A2" s="2" t="s">
        <v>244</v>
      </c>
      <c r="B2" s="2"/>
      <c r="C2" s="2"/>
      <c r="D2" s="2"/>
      <c r="E2" s="2"/>
      <c r="F2" s="2"/>
      <c r="G2" s="2"/>
    </row>
    <row r="3" spans="1:7" s="3" customFormat="1" x14ac:dyDescent="0.25">
      <c r="A3" s="4" t="s">
        <v>245</v>
      </c>
      <c r="B3" s="4" t="s">
        <v>246</v>
      </c>
      <c r="C3" s="4" t="s">
        <v>247</v>
      </c>
      <c r="D3" s="4" t="s">
        <v>240</v>
      </c>
      <c r="E3" s="4" t="s">
        <v>241</v>
      </c>
      <c r="F3" s="4" t="s">
        <v>242</v>
      </c>
      <c r="G3" s="4" t="s">
        <v>243</v>
      </c>
    </row>
    <row r="4" spans="1:7" s="5" customFormat="1" x14ac:dyDescent="0.25">
      <c r="A4" s="6">
        <v>1</v>
      </c>
      <c r="B4" s="6" t="s">
        <v>248</v>
      </c>
      <c r="C4" s="6">
        <v>0.5</v>
      </c>
      <c r="D4" s="6">
        <v>0.5</v>
      </c>
      <c r="E4" s="6">
        <v>1</v>
      </c>
      <c r="F4" s="6">
        <v>100</v>
      </c>
      <c r="G4" s="6">
        <v>100</v>
      </c>
    </row>
    <row r="5" spans="1:7" s="5" customFormat="1" x14ac:dyDescent="0.25">
      <c r="A5" s="6">
        <v>2</v>
      </c>
      <c r="B5" s="6" t="s">
        <v>249</v>
      </c>
      <c r="C5" s="6">
        <v>1</v>
      </c>
      <c r="D5" s="6">
        <v>0.5</v>
      </c>
      <c r="E5" s="6">
        <v>1</v>
      </c>
      <c r="F5" s="6">
        <v>50</v>
      </c>
      <c r="G5" s="6">
        <v>50</v>
      </c>
    </row>
    <row r="6" spans="1:7" s="5" customFormat="1" x14ac:dyDescent="0.25">
      <c r="A6" s="6">
        <v>3</v>
      </c>
      <c r="B6" s="6" t="s">
        <v>250</v>
      </c>
      <c r="C6" s="6">
        <v>2</v>
      </c>
      <c r="D6" s="6">
        <v>1</v>
      </c>
      <c r="E6" s="6">
        <v>1</v>
      </c>
      <c r="F6" s="6">
        <v>50</v>
      </c>
      <c r="G6" s="6">
        <v>33.34</v>
      </c>
    </row>
    <row r="7" spans="1:7" s="5" customFormat="1" x14ac:dyDescent="0.25">
      <c r="A7" s="6">
        <v>5</v>
      </c>
      <c r="B7" s="6" t="s">
        <v>251</v>
      </c>
      <c r="C7" s="6">
        <v>4</v>
      </c>
      <c r="D7" s="6">
        <v>2</v>
      </c>
      <c r="E7" s="6">
        <v>2</v>
      </c>
      <c r="F7" s="6">
        <v>50</v>
      </c>
      <c r="G7" s="6">
        <v>40</v>
      </c>
    </row>
    <row r="8" spans="1:7" s="5" customFormat="1" x14ac:dyDescent="0.25">
      <c r="A8" s="6">
        <v>8</v>
      </c>
      <c r="B8" s="6" t="s">
        <v>252</v>
      </c>
      <c r="C8" s="6">
        <v>7</v>
      </c>
      <c r="D8" s="6">
        <v>3</v>
      </c>
      <c r="E8" s="6">
        <v>3</v>
      </c>
      <c r="F8" s="6">
        <v>42.86</v>
      </c>
      <c r="G8" s="6">
        <v>37.5</v>
      </c>
    </row>
    <row r="9" spans="1:7" s="5" customFormat="1" x14ac:dyDescent="0.25">
      <c r="A9" s="6">
        <v>13</v>
      </c>
      <c r="B9" s="6" t="s">
        <v>253</v>
      </c>
      <c r="C9" s="6">
        <v>11</v>
      </c>
      <c r="D9" s="6">
        <v>4</v>
      </c>
      <c r="E9" s="6">
        <v>5</v>
      </c>
      <c r="F9" s="6">
        <v>36.37</v>
      </c>
      <c r="G9" s="6">
        <v>38.47</v>
      </c>
    </row>
    <row r="10" spans="1:7" s="5" customFormat="1" x14ac:dyDescent="0.25">
      <c r="A10" s="6">
        <v>21</v>
      </c>
      <c r="B10" s="6" t="s">
        <v>254</v>
      </c>
      <c r="C10" s="6">
        <v>16</v>
      </c>
      <c r="D10" s="6">
        <v>5</v>
      </c>
      <c r="E10" s="6">
        <v>8</v>
      </c>
      <c r="F10" s="6">
        <v>31.25</v>
      </c>
      <c r="G10" s="6">
        <v>38.1</v>
      </c>
    </row>
    <row r="11" spans="1:7" s="5" customFormat="1" x14ac:dyDescent="0.25">
      <c r="A11" s="6">
        <v>34</v>
      </c>
      <c r="B11" s="6" t="s">
        <v>255</v>
      </c>
      <c r="C11" s="6">
        <v>24</v>
      </c>
      <c r="D11" s="6">
        <v>8</v>
      </c>
      <c r="E11" s="6">
        <v>13</v>
      </c>
      <c r="F11" s="6">
        <v>33.34</v>
      </c>
      <c r="G11" s="6">
        <v>38.24</v>
      </c>
    </row>
    <row r="12" spans="1:7" s="5" customFormat="1" x14ac:dyDescent="0.25">
      <c r="A12" s="6">
        <v>55</v>
      </c>
      <c r="B12" s="6" t="s">
        <v>256</v>
      </c>
      <c r="C12" s="6">
        <v>40</v>
      </c>
      <c r="D12" s="6">
        <v>16</v>
      </c>
      <c r="E12" s="6">
        <v>21</v>
      </c>
      <c r="F12" s="6">
        <v>40</v>
      </c>
      <c r="G12" s="6">
        <v>38.19</v>
      </c>
    </row>
    <row r="13" spans="1:7" s="5" customFormat="1" x14ac:dyDescent="0.25">
      <c r="A13" s="6">
        <v>89</v>
      </c>
      <c r="B13" s="6" t="s">
        <v>257</v>
      </c>
      <c r="C13" s="6">
        <v>60</v>
      </c>
      <c r="D13" s="6">
        <v>20</v>
      </c>
      <c r="E13" s="6">
        <v>34</v>
      </c>
      <c r="F13" s="6">
        <v>33.34</v>
      </c>
      <c r="G13" s="6">
        <v>38.21</v>
      </c>
    </row>
    <row r="18" spans="1:3" s="1" customFormat="1" x14ac:dyDescent="0.25">
      <c r="A18" s="2" t="s">
        <v>258</v>
      </c>
      <c r="B18" s="2"/>
      <c r="C18" s="2"/>
    </row>
    <row r="19" spans="1:3" s="3" customFormat="1" x14ac:dyDescent="0.25">
      <c r="A19" s="4" t="s">
        <v>259</v>
      </c>
      <c r="B19" s="4" t="s">
        <v>238</v>
      </c>
      <c r="C19" s="4" t="s">
        <v>239</v>
      </c>
    </row>
    <row r="20" spans="1:3" s="5" customFormat="1" x14ac:dyDescent="0.25">
      <c r="A20" s="6" t="s">
        <v>260</v>
      </c>
      <c r="B20" s="6" t="s">
        <v>261</v>
      </c>
      <c r="C20" s="6">
        <v>32</v>
      </c>
    </row>
    <row r="21" spans="1:3" s="5" customFormat="1" x14ac:dyDescent="0.25">
      <c r="A21" s="6" t="s">
        <v>262</v>
      </c>
      <c r="B21" s="6" t="s">
        <v>263</v>
      </c>
      <c r="C21" s="6">
        <v>72</v>
      </c>
    </row>
    <row r="22" spans="1:3" s="5" customFormat="1" x14ac:dyDescent="0.25">
      <c r="A22" s="6" t="s">
        <v>264</v>
      </c>
      <c r="B22" s="6" t="s">
        <v>265</v>
      </c>
      <c r="C22" s="6">
        <v>73</v>
      </c>
    </row>
    <row r="27" spans="1:1" s="1" customFormat="1" x14ac:dyDescent="0.25">
      <c r="A27" s="2" t="s">
        <v>266</v>
      </c>
    </row>
    <row r="28" spans="1:1" s="3" customFormat="1" x14ac:dyDescent="0.25">
      <c r="A28" s="4" t="s">
        <v>237</v>
      </c>
    </row>
    <row r="29" spans="1:1" s="5" customFormat="1" x14ac:dyDescent="0.25">
      <c r="A29" s="6" t="s">
        <v>86</v>
      </c>
    </row>
    <row r="30" spans="1:1" s="5" customFormat="1" x14ac:dyDescent="0.25">
      <c r="A30" s="6" t="s">
        <v>221</v>
      </c>
    </row>
    <row r="31" spans="1:1" s="5" customFormat="1" x14ac:dyDescent="0.25">
      <c r="A31" s="6" t="s">
        <v>184</v>
      </c>
    </row>
    <row r="32" spans="1:1" s="5" customFormat="1" x14ac:dyDescent="0.25">
      <c r="A32" s="6" t="s">
        <v>222</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Summary</vt:lpstr>
      <vt:lpstr>Mobile App - CR - Dev</vt:lpstr>
      <vt:lpstr>Mobile App - Dev</vt:lpstr>
      <vt:lpstr>Mobile App - CR - Summary</vt:lpstr>
      <vt:lpstr>Mobile App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2026-02-26T18:47:07Z</dcterms:created>
  <dcterms:modified xsi:type="dcterms:W3CDTF">2026-02-26T18:47:07Z</dcterms:modified>
</cp:coreProperties>
</file>