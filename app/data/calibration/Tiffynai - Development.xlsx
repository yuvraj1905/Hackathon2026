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Mobile App - Dev" state="visible" r:id="rId5"/>
    <sheet sheetId="3" name="Admin - Dev" state="visible" r:id="rId6"/>
    <sheet sheetId="4" name="Mobile App - Summary" state="visible" r:id="rId7"/>
    <sheet sheetId="5" name="Admin - Summary" state="visible" r:id="rId8"/>
    <sheet sheetId="6" name="Points-Table" state="visible" r:id="rId9"/>
  </sheets>
  <calcPr calcId="171027"/>
</workbook>
</file>

<file path=xl/sharedStrings.xml><?xml version="1.0" encoding="utf-8"?>
<sst xmlns="http://schemas.openxmlformats.org/spreadsheetml/2006/main" count="2363" uniqueCount="459">
  <si>
    <t>Name</t>
  </si>
  <si>
    <t>Total Hours</t>
  </si>
  <si>
    <t>Visual Design</t>
  </si>
  <si>
    <t>Backend</t>
  </si>
  <si>
    <t>Web Mobile</t>
  </si>
  <si>
    <t>Wireframe</t>
  </si>
  <si>
    <t>Sheet Name</t>
  </si>
  <si>
    <t>Project  Management</t>
  </si>
  <si>
    <t>Team</t>
  </si>
  <si>
    <t>Overall</t>
  </si>
  <si>
    <t>UI/UX Lead</t>
  </si>
  <si>
    <t>UI/UX Review</t>
  </si>
  <si>
    <t>Design Hours (Wireframe + Visual Design)</t>
  </si>
  <si>
    <t>UI/UX BA</t>
  </si>
  <si>
    <t>UI/UX UAT</t>
  </si>
  <si>
    <t>UI/UX Documentation</t>
  </si>
  <si>
    <t>Development Hours (Web/Mobile + Backend)</t>
  </si>
  <si>
    <t>BA</t>
  </si>
  <si>
    <t>QA</t>
  </si>
  <si>
    <t>UAT</t>
  </si>
  <si>
    <t>Lead</t>
  </si>
  <si>
    <t>Documentation</t>
  </si>
  <si>
    <t>Deployment</t>
  </si>
  <si>
    <t>Team  Size</t>
  </si>
  <si>
    <t>Role</t>
  </si>
  <si>
    <t>Count</t>
  </si>
  <si>
    <t>Fe</t>
  </si>
  <si>
    <t>SE</t>
  </si>
  <si>
    <t>SSE</t>
  </si>
  <si>
    <t>Be</t>
  </si>
  <si>
    <t>Ux</t>
  </si>
  <si>
    <t>UIUX_DESIGNER</t>
  </si>
  <si>
    <t>Team  Hours</t>
  </si>
  <si>
    <t>Hr / Day</t>
  </si>
  <si>
    <t>ba</t>
  </si>
  <si>
    <t>lead</t>
  </si>
  <si>
    <t>qa</t>
  </si>
  <si>
    <t>uiux_ba</t>
  </si>
  <si>
    <t>uiux_lead</t>
  </si>
  <si>
    <t>Project  Development  Time  Line</t>
  </si>
  <si>
    <t>App Name</t>
  </si>
  <si>
    <t>FE Min</t>
  </si>
  <si>
    <t>FE Max</t>
  </si>
  <si>
    <t>BE Min</t>
  </si>
  <si>
    <t>BE Max</t>
  </si>
  <si>
    <t>Design Min</t>
  </si>
  <si>
    <t>Design Max</t>
  </si>
  <si>
    <t>Over All</t>
  </si>
  <si>
    <t>App  Wise  Phase  Estimation</t>
  </si>
  <si>
    <t>Web/Mobile</t>
  </si>
  <si>
    <t>Wireframes</t>
  </si>
  <si>
    <t>Mobile App</t>
  </si>
  <si>
    <t>Mobile App - Summary</t>
  </si>
  <si>
    <t>Admin</t>
  </si>
  <si>
    <t>Admin - Summary</t>
  </si>
  <si>
    <t>Sub Total</t>
  </si>
  <si>
    <t/>
  </si>
  <si>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</si>
  <si>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</si>
  <si>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</si>
  <si>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</si>
  <si>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</si>
  <si>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</si>
  <si>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</si>
  <si>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</si>
  <si>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</si>
  <si>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</si>
  <si>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</si>
  <si>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</si>
  <si>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</si>
  <si>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</si>
  <si>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</si>
  <si>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</si>
  <si>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</si>
  <si>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</si>
  <si>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</si>
  <si>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</si>
  <si>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</si>
  <si>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</si>
  <si>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</si>
  <si>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</si>
  <si>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</si>
  <si>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Splash Screen</t>
  </si>
  <si>
    <t>Simple</t>
  </si>
  <si>
    <t>Must Have</t>
  </si>
  <si>
    <t>Register</t>
  </si>
  <si>
    <t>Email/Phone Number + OTP Auth</t>
  </si>
  <si>
    <t>Resend Otp</t>
  </si>
  <si>
    <t>Check box for email updates</t>
  </si>
  <si>
    <t>Login</t>
  </si>
  <si>
    <t>Resend OTP</t>
  </si>
  <si>
    <t>Checkbox for email updates</t>
  </si>
  <si>
    <t>Permissions Screen - CR</t>
  </si>
  <si>
    <t>Push Notifications + location</t>
  </si>
  <si>
    <t>Onboarding</t>
  </si>
  <si>
    <t xml:space="preserve">Family members </t>
  </si>
  <si>
    <t>Add</t>
  </si>
  <si>
    <t>Name, Age, Allergies, Food Preference, Health Goal(Gain weight. Loose weight), Calorie Intake goal.</t>
  </si>
  <si>
    <t>Edit</t>
  </si>
  <si>
    <t>User can mention they if all the above inputs should be mapped to all the recipes.</t>
  </si>
  <si>
    <t>Delete</t>
  </si>
  <si>
    <t>List/view</t>
  </si>
  <si>
    <t>Inventory</t>
  </si>
  <si>
    <t>Select the ingredients from the given list.</t>
  </si>
  <si>
    <t>Edit list</t>
  </si>
  <si>
    <t>Add Quantity</t>
  </si>
  <si>
    <t>Equipments</t>
  </si>
  <si>
    <t>Add Available cooking equipments</t>
  </si>
  <si>
    <t>Mostly Selection Based UI</t>
  </si>
  <si>
    <t>List/View</t>
  </si>
  <si>
    <t>Basic Details</t>
  </si>
  <si>
    <t>DOB</t>
  </si>
  <si>
    <t>Gender</t>
  </si>
  <si>
    <t>Kitchen savvy</t>
  </si>
  <si>
    <t>Preferred diet</t>
  </si>
  <si>
    <t>Multi select, Info icon</t>
  </si>
  <si>
    <t>Allergens / Ingredients to avoid</t>
  </si>
  <si>
    <t>Search, Category (Vegetables, fruits, grains &amp; cereals, etc), warning</t>
  </si>
  <si>
    <t>Meal form</t>
  </si>
  <si>
    <t>About meal planning screen</t>
  </si>
  <si>
    <t>Select days of the week for meal plan</t>
  </si>
  <si>
    <t>Select meal type for meal planning</t>
  </si>
  <si>
    <t>Select cruisine for the week</t>
  </si>
  <si>
    <t>Select All</t>
  </si>
  <si>
    <t>Select ingredients</t>
  </si>
  <si>
    <t>Search</t>
  </si>
  <si>
    <t>View by category</t>
  </si>
  <si>
    <t>Vegetables, Fruits, etc</t>
  </si>
  <si>
    <t>Select equipments</t>
  </si>
  <si>
    <t>Pre-select/Default imp equipment</t>
  </si>
  <si>
    <t>Select no of family members at the table</t>
  </si>
  <si>
    <t>Add/remove no of children</t>
  </si>
  <si>
    <t>Add/remove no of adults</t>
  </si>
  <si>
    <t>Add/remove no of elders</t>
  </si>
  <si>
    <t>View Summary</t>
  </si>
  <si>
    <t>Landing page - App</t>
  </si>
  <si>
    <t>Top navigation</t>
  </si>
  <si>
    <t>View Menu</t>
  </si>
  <si>
    <t>Change recipe</t>
  </si>
  <si>
    <t>Bottom navigation</t>
  </si>
  <si>
    <t>Meal planning</t>
  </si>
  <si>
    <t>Favourites</t>
  </si>
  <si>
    <t>Explore quick recipes</t>
  </si>
  <si>
    <t>Smart grocery list</t>
  </si>
  <si>
    <t>Pantry</t>
  </si>
  <si>
    <t>Profile</t>
  </si>
  <si>
    <t>Meal Planning</t>
  </si>
  <si>
    <t>Update Inventory</t>
  </si>
  <si>
    <t>Select items and with quantity.</t>
  </si>
  <si>
    <t>Recipe page for no generated meal</t>
  </si>
  <si>
    <t>Make meal plan</t>
  </si>
  <si>
    <t>Review user preference</t>
  </si>
  <si>
    <t>confirm and Create</t>
  </si>
  <si>
    <t>Generate AI recommended meal plan for a week.</t>
  </si>
  <si>
    <t>Generate recipe page for no generated meal</t>
  </si>
  <si>
    <t>If the user has not generated a meal, he should be to generate the meals after reviewing the user preference</t>
  </si>
  <si>
    <t>Meal placeholder till the meals are generating</t>
  </si>
  <si>
    <t>Cancel generation</t>
  </si>
  <si>
    <t xml:space="preserve">View list of recipe cards per day for the week </t>
  </si>
  <si>
    <t>Veg/Egg/Non-veg indicator</t>
  </si>
  <si>
    <t>View rating of the recipe</t>
  </si>
  <si>
    <t>Days of week</t>
  </si>
  <si>
    <t>Meals list page</t>
  </si>
  <si>
    <t>User on free plan screen</t>
  </si>
  <si>
    <t>List of meal card per day</t>
  </si>
  <si>
    <t>Add to favorites</t>
  </si>
  <si>
    <t>View rating for eaten meal</t>
  </si>
  <si>
    <t>Mark as eaten</t>
  </si>
  <si>
    <t>Add rating for eaten meal</t>
  </si>
  <si>
    <t>view eaten meal</t>
  </si>
  <si>
    <t>Mark as skipped</t>
  </si>
  <si>
    <t>View skipped meal</t>
  </si>
  <si>
    <t xml:space="preserve">Drag and drop the recipes </t>
  </si>
  <si>
    <t>User should be able to to adjust the plan based on the ingredients I already have on hand.</t>
  </si>
  <si>
    <t>Calorie indicator</t>
  </si>
  <si>
    <t>Indicate the calories for each meal plan.</t>
  </si>
  <si>
    <t>Regenerate a recipe</t>
  </si>
  <si>
    <t>Feedback for recipes</t>
  </si>
  <si>
    <t>Star Ratings</t>
  </si>
  <si>
    <t>Comments</t>
  </si>
  <si>
    <t>Save a recipe as Favourite</t>
  </si>
  <si>
    <t>Info page</t>
  </si>
  <si>
    <t>This will be displayed once to the premium user</t>
  </si>
  <si>
    <t>Select meal to regenerate</t>
  </si>
  <si>
    <t>Regeneration left indicator</t>
  </si>
  <si>
    <t>21/28</t>
  </si>
  <si>
    <t>Review meal preference</t>
  </si>
  <si>
    <t>Change recipe from recipe details page</t>
  </si>
  <si>
    <t>Search box</t>
  </si>
  <si>
    <t>recently searched recipes</t>
  </si>
  <si>
    <t>Auto suggest a recipe</t>
  </si>
  <si>
    <t>Generate</t>
  </si>
  <si>
    <t>Cancel generate</t>
  </si>
  <si>
    <t>Recipe page after finish cooking</t>
  </si>
  <si>
    <t>Rate recipe</t>
  </si>
  <si>
    <t>View eaten and skipped tags on the recipe page</t>
  </si>
  <si>
    <t>Toast message</t>
  </si>
  <si>
    <t>Recipe meal generation for missed day</t>
  </si>
  <si>
    <t>Generate recipes</t>
  </si>
  <si>
    <t>View meal preference</t>
  </si>
  <si>
    <t>Confirm &amp; generate</t>
  </si>
  <si>
    <t>View placeholder for meal generation</t>
  </si>
  <si>
    <t>Re-order recipe</t>
  </si>
  <si>
    <t>Swap recipe</t>
  </si>
  <si>
    <t>Delete recipe</t>
  </si>
  <si>
    <t>View daily meals</t>
  </si>
  <si>
    <t>Generate recipe</t>
  </si>
  <si>
    <t>Recipe details page</t>
  </si>
  <si>
    <t>View basic detail</t>
  </si>
  <si>
    <t>View nutrition per serving</t>
  </si>
  <si>
    <t>Preparation screen (User journey)</t>
  </si>
  <si>
    <t>Step by step cooking screen</t>
  </si>
  <si>
    <t>Play Audio</t>
  </si>
  <si>
    <t>Add note</t>
  </si>
  <si>
    <t xml:space="preserve">Missing ingredients </t>
  </si>
  <si>
    <t>Add to favourites</t>
  </si>
  <si>
    <t>Each recipe should be explained.</t>
  </si>
  <si>
    <t>When ingredients are missing</t>
  </si>
  <si>
    <t>Restock</t>
  </si>
  <si>
    <t>Add to pantry</t>
  </si>
  <si>
    <t>Regenerate meal plan</t>
  </si>
  <si>
    <t xml:space="preserve">  Info page</t>
  </si>
  <si>
    <t>Indicator for no of regeneration left</t>
  </si>
  <si>
    <t>Confirm &amp; Regenerate CTA</t>
  </si>
  <si>
    <t>Change this recipe from details page</t>
  </si>
  <si>
    <t>Search bar</t>
  </si>
  <si>
    <t>Recently searched recipes</t>
  </si>
  <si>
    <t>List of favourites recipes</t>
  </si>
  <si>
    <t xml:space="preserve">If the end user is on a free plan, he won't be able to view the recipe details page
If he is on a premium plan, he will be able to view the recipe details page</t>
  </si>
  <si>
    <t>Delete recipe from fav</t>
  </si>
  <si>
    <t>Details page</t>
  </si>
  <si>
    <t>Add to meal plan</t>
  </si>
  <si>
    <t>Select day/date</t>
  </si>
  <si>
    <t>Select meal</t>
  </si>
  <si>
    <t>Remove from meal plan</t>
  </si>
  <si>
    <t>View toast message</t>
  </si>
  <si>
    <t>Animated Screens</t>
  </si>
  <si>
    <t>Splash, onboarding profile, meal form</t>
  </si>
  <si>
    <t>Unlock to premium</t>
  </si>
  <si>
    <t>premium plan ui screens</t>
  </si>
  <si>
    <t>Quick recipe</t>
  </si>
  <si>
    <t>Create quick recipe</t>
  </si>
  <si>
    <t>Need premium in order to create quick recipe</t>
  </si>
  <si>
    <t>View list of recipes by category</t>
  </si>
  <si>
    <t>Pantry management + grocery tracking</t>
  </si>
  <si>
    <t>global pantry dearch</t>
  </si>
  <si>
    <t>Ingredients</t>
  </si>
  <si>
    <t>View Ingredients list</t>
  </si>
  <si>
    <t>tab addition handling</t>
  </si>
  <si>
    <t>Add ingredient to list</t>
  </si>
  <si>
    <t>Adds items to smart grocery list</t>
  </si>
  <si>
    <t xml:space="preserve">Restock </t>
  </si>
  <si>
    <t>Add Ingredients</t>
  </si>
  <si>
    <t>Delete ingredient</t>
  </si>
  <si>
    <t>Filter</t>
  </si>
  <si>
    <t>Add Item</t>
  </si>
  <si>
    <t>Search, view by category</t>
  </si>
  <si>
    <t>Equipment</t>
  </si>
  <si>
    <t>Pre-select imp equipment</t>
  </si>
  <si>
    <t>?</t>
  </si>
  <si>
    <t>View equipment list</t>
  </si>
  <si>
    <t>Add equipment</t>
  </si>
  <si>
    <t>Delete equipment</t>
  </si>
  <si>
    <t>View grocery list</t>
  </si>
  <si>
    <t>Remove item from list</t>
  </si>
  <si>
    <t>Add items to list</t>
  </si>
  <si>
    <t>My Profile</t>
  </si>
  <si>
    <t>View Family Details</t>
  </si>
  <si>
    <t>View Equipment Details</t>
  </si>
  <si>
    <t>View Inventory Details</t>
  </si>
  <si>
    <t>Edit Family Details</t>
  </si>
  <si>
    <t>Edit Equipment Details</t>
  </si>
  <si>
    <t>View Basic details</t>
  </si>
  <si>
    <t>Email, Phone number, Name of the account holder</t>
  </si>
  <si>
    <t>Update Inventory Details</t>
  </si>
  <si>
    <t>This well be updated on weekly basis to create the meal plan.</t>
  </si>
  <si>
    <t>Edit Basic Details</t>
  </si>
  <si>
    <t>History of Subscriptions</t>
  </si>
  <si>
    <t>My subscription</t>
  </si>
  <si>
    <t>Considered this a separate module</t>
  </si>
  <si>
    <t>Favourite recipe</t>
  </si>
  <si>
    <t>Considered this as a separate module</t>
  </si>
  <si>
    <t>Meal preference</t>
  </si>
  <si>
    <t>View</t>
  </si>
  <si>
    <t>Rate Us</t>
  </si>
  <si>
    <t>Considered in CR module</t>
  </si>
  <si>
    <t>View T&amp;C and privacy policy</t>
  </si>
  <si>
    <t>Support</t>
  </si>
  <si>
    <t>Subscriptions</t>
  </si>
  <si>
    <t>List of subscriptions</t>
  </si>
  <si>
    <t>List of features in each plan</t>
  </si>
  <si>
    <t>Book Subscription Button</t>
  </si>
  <si>
    <t>Booking reconfirmation page</t>
  </si>
  <si>
    <t>Upgrade Plan button</t>
  </si>
  <si>
    <t>Generate and Download Invoice In</t>
  </si>
  <si>
    <t>View current subscription plan</t>
  </si>
  <si>
    <t>View payment history</t>
  </si>
  <si>
    <t>View all subscription plan</t>
  </si>
  <si>
    <t>View comparison b/w free vs premium</t>
  </si>
  <si>
    <t>Go premium CTA</t>
  </si>
  <si>
    <t>Payment Gateway Integration</t>
  </si>
  <si>
    <t>Confirmation screen</t>
  </si>
  <si>
    <t>CR</t>
  </si>
  <si>
    <t>Quick Recipes Generation</t>
  </si>
  <si>
    <t>Considered this as separate module</t>
  </si>
  <si>
    <t>Filter pantry by shelf-life, diet, quantity</t>
  </si>
  <si>
    <t>Add notes to each recipe</t>
  </si>
  <si>
    <t>AI recipe cover image + step by step cooking input generation</t>
  </si>
  <si>
    <t>One-click grocery quantity recommendation pill</t>
  </si>
  <si>
    <t>Rate us on googleplay/App store</t>
  </si>
  <si>
    <t>Delete account</t>
  </si>
  <si>
    <t>User Journey (Preparation screen)</t>
  </si>
  <si>
    <t>Recurring(Autopay/Pause) Subscription functional Handling  poc</t>
  </si>
  <si>
    <t>T&amp;C and Privacy Policy</t>
  </si>
  <si>
    <t>Permissions (Push notification, location)</t>
  </si>
  <si>
    <t>Search algo for recipe  match result</t>
  </si>
  <si>
    <t>provided above</t>
  </si>
  <si>
    <t>Logout</t>
  </si>
  <si>
    <t>Notifications</t>
  </si>
  <si>
    <t xml:space="preserve">List of notifications </t>
  </si>
  <si>
    <t>Indicator of the  unread notifications</t>
  </si>
  <si>
    <t>Push Notifications</t>
  </si>
  <si>
    <t>Analytics</t>
  </si>
  <si>
    <t>Analytics package integration</t>
  </si>
  <si>
    <t>Mixpanel is a good fit for the described case. Otherwise Google analytics can be considered next as Firebase is being used for push notifications</t>
  </si>
  <si>
    <t>Events integration</t>
  </si>
  <si>
    <t>41 events are shared as KPIs by the client</t>
  </si>
  <si>
    <t>Non-functional</t>
  </si>
  <si>
    <t>DB design &amp; project boiler plate setup</t>
  </si>
  <si>
    <t>CRON jobs</t>
  </si>
  <si>
    <t>use for push nudges</t>
  </si>
  <si>
    <t>Landing web page</t>
  </si>
  <si>
    <t>Smart Grocery List</t>
  </si>
  <si>
    <t>List of items</t>
  </si>
  <si>
    <t>Name, Quantity.</t>
  </si>
  <si>
    <t>Nutrition Report</t>
  </si>
  <si>
    <t>Show total weekly intake vs goals of calories.</t>
  </si>
  <si>
    <t>Style Guide</t>
  </si>
  <si>
    <t>UX Process</t>
  </si>
  <si>
    <t>Requirement Gathering</t>
  </si>
  <si>
    <t>Brainstorming &amp; Research</t>
  </si>
  <si>
    <t>User Flow</t>
  </si>
  <si>
    <t>Competitive Analysis</t>
  </si>
  <si>
    <t>Prototype</t>
  </si>
  <si>
    <t>Logo &amp; Branding</t>
  </si>
  <si>
    <t>Email + Password</t>
  </si>
  <si>
    <t>Forgot Password</t>
  </si>
  <si>
    <t>Email + OTP</t>
  </si>
  <si>
    <t>admin login should be email-otp login only</t>
  </si>
  <si>
    <t>Terms &amp; Condition</t>
  </si>
  <si>
    <t>User Management</t>
  </si>
  <si>
    <t xml:space="preserve">List of users </t>
  </si>
  <si>
    <t>View Details of the users</t>
  </si>
  <si>
    <t>User details with subscription history.</t>
  </si>
  <si>
    <t>user's subscription history</t>
  </si>
  <si>
    <t>design missing</t>
  </si>
  <si>
    <t>CMS</t>
  </si>
  <si>
    <t>List of Categories</t>
  </si>
  <si>
    <t>Add Categories</t>
  </si>
  <si>
    <t>Add Name</t>
  </si>
  <si>
    <t>Add Type</t>
  </si>
  <si>
    <t>Edit Categories</t>
  </si>
  <si>
    <t>Delete Categories</t>
  </si>
  <si>
    <t xml:space="preserve">Add Ingredients </t>
  </si>
  <si>
    <t>Category</t>
  </si>
  <si>
    <t>Edit Ingredients</t>
  </si>
  <si>
    <t>Delete Ingredients</t>
  </si>
  <si>
    <t>List Ingredients</t>
  </si>
  <si>
    <t>Add Equipments</t>
  </si>
  <si>
    <t>Edit Equipments</t>
  </si>
  <si>
    <t>Delete Equipments</t>
  </si>
  <si>
    <t>List of Equipments</t>
  </si>
  <si>
    <t>On all 3 tabs</t>
  </si>
  <si>
    <t xml:space="preserve">Feedbacks </t>
  </si>
  <si>
    <t>List of feedbacks and Ratings</t>
  </si>
  <si>
    <t>Edit Details</t>
  </si>
  <si>
    <t>Change Password</t>
  </si>
  <si>
    <t>Recipe</t>
  </si>
  <si>
    <t>List of recipes</t>
  </si>
  <si>
    <t>View recipe name</t>
  </si>
  <si>
    <t>View created date</t>
  </si>
  <si>
    <t>Seeder Upload for ingredients + equipment lists + recipe names</t>
  </si>
  <si>
    <t>Email (Sendgrid)+ SMS (Twillio) Provider Setup</t>
  </si>
  <si>
    <t>AI ingredients +  equipment image + recipe generation (as one time in background) for seeding the data and mapping it to actual ingredients/equipment inventory with updated s3 url</t>
  </si>
  <si>
    <t>Search algo for recipe and step image match result</t>
  </si>
  <si>
    <t>Recipe admin view</t>
  </si>
  <si>
    <t>Recipe generation failure alerts</t>
  </si>
  <si>
    <t>Dashboard</t>
  </si>
  <si>
    <t>App Installed</t>
  </si>
  <si>
    <t>First App Opened</t>
  </si>
  <si>
    <t>Account Created / Sign-Up Completed</t>
  </si>
  <si>
    <t>Profile Completed (Diet, Preferences, etc)</t>
  </si>
  <si>
    <t>Pantry Item Added</t>
  </si>
  <si>
    <t>Pantry Updated (edit/remove)</t>
  </si>
  <si>
    <t>Pantry Emptied / Cleared</t>
  </si>
  <si>
    <t>Recipe Browsed</t>
  </si>
  <si>
    <t>Recipe Filter Used</t>
  </si>
  <si>
    <t>Recipe Saved/Favorited</t>
  </si>
  <si>
    <t>Recipe Cooked / Marked as Made</t>
  </si>
  <si>
    <t>Recipe Rated/Reviewed</t>
  </si>
  <si>
    <t>Meal Plan Created</t>
  </si>
  <si>
    <t>Meal Plan Edited</t>
  </si>
  <si>
    <t>Meal Plan Completed</t>
  </si>
  <si>
    <t>Shopping List Generated</t>
  </si>
  <si>
    <t>Subscription Started</t>
  </si>
  <si>
    <t>Frontend</t>
  </si>
  <si>
    <t>General Assumption</t>
  </si>
  <si>
    <t>Fe Max</t>
  </si>
  <si>
    <t>Fe Min</t>
  </si>
  <si>
    <t>Development  Sheet</t>
  </si>
  <si>
    <t>Mobile App - Dev</t>
  </si>
  <si>
    <t>App  Summary</t>
  </si>
  <si>
    <t>Could Have</t>
  </si>
  <si>
    <t>Should Have</t>
  </si>
  <si>
    <t>Will not Have</t>
  </si>
  <si>
    <t>UX/UI WireFrame</t>
  </si>
  <si>
    <t>UX/UI Visual Design</t>
  </si>
  <si>
    <t>UX/UI Lead</t>
  </si>
  <si>
    <t>UX/UI Review</t>
  </si>
  <si>
    <t>Web / Mobile</t>
  </si>
  <si>
    <t>Qa</t>
  </si>
  <si>
    <t>Ba</t>
  </si>
  <si>
    <t>Total</t>
  </si>
  <si>
    <t>Development  Timeline ( Weeks)</t>
  </si>
  <si>
    <t>Will Not Have</t>
  </si>
  <si>
    <t>Development  Timeline ( Months)</t>
  </si>
  <si>
    <t>Tech  Details</t>
  </si>
  <si>
    <t>Not added yet</t>
  </si>
  <si>
    <t>Admin - Dev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</si>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</sst>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name val="Calibri"/>
    </font>
    <font>
      <b/>
      <color rgb="000000"/>
      <name val="Calibri"/>
    </font>
    <font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222222"/>
        <bgColor rgb="222222"/>
      </patternFill>
    </fill>
    <fill>
      <patternFill patternType="solid">
        <fgColor rgb="ead1dc"/>
        <bgColor rgb="ead1dc"/>
      </patternFill>
    </fill>
    <fill>
      <patternFill patternType="solid">
        <fgColor rgb="ffe599"/>
        <bgColor rgb="ffe599"/>
      </patternFill>
    </fill>
    <fill>
      <patternFill patternType="solid">
        <fgColor rgb="d7e8fc"/>
        <bgColor rgb="d7e8fc"/>
      </patternFill>
    </fill>
    <fill>
      <patternFill patternType="solid">
        <fgColor rgb="c9daf8"/>
        <bgColor rgb="c9daf8"/>
      </patternFill>
    </fill>
    <fill>
      <patternFill patternType="solid">
        <fgColor rgb="d9ead3"/>
        <bgColor rgb="d9ead3"/>
      </patternFill>
    </fill>
    <fill>
      <patternFill patternType="solid">
        <fgColor rgb="#f3cccb"/>
        <bgColor rgb="#f3cccb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1" width="40" customWidth="1"/>
    <col min="2" max="7" width="20" customWidth="1"/>
  </cols>
  <sheetData>
    <row r="1" hidden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 s="1" customFormat="1" x14ac:dyDescent="0.25">
      <c r="A2" s="2" t="s">
        <v>7</v>
      </c>
      <c r="B2" s="2"/>
    </row>
    <row r="3" spans="1:2" s="3" customFormat="1" x14ac:dyDescent="0.25">
      <c r="A3" s="4" t="s">
        <v>8</v>
      </c>
      <c r="B3" s="4" t="s">
        <v>9</v>
      </c>
    </row>
    <row r="4" spans="1:2" s="5" customFormat="1" x14ac:dyDescent="0.25">
      <c r="A4" s="6" t="s">
        <v>10</v>
      </c>
      <c r="B4" s="6">
        <f>ROUND((min(F46, G46) * (B$39 / 8)) * 40)</f>
      </c>
    </row>
    <row r="5" spans="1:2" s="5" customFormat="1" x14ac:dyDescent="0.25">
      <c r="A5" s="6" t="s">
        <v>11</v>
      </c>
      <c r="B5" s="6">
        <f>ROUND(B6 * 10%)</f>
      </c>
    </row>
    <row r="6" spans="1:2" s="5" customFormat="1" x14ac:dyDescent="0.25">
      <c r="A6" s="6" t="s">
        <v>12</v>
      </c>
      <c r="B6" s="6">
        <f>ROUND(SUM(E55,F55))</f>
      </c>
    </row>
    <row r="7" spans="1:2" s="5" customFormat="1" x14ac:dyDescent="0.25">
      <c r="A7" s="6" t="s">
        <v>13</v>
      </c>
      <c r="B7" s="6">
        <f>ROUND((min(F46, G46) * (B$38 / 8)) * 40)</f>
      </c>
    </row>
    <row r="8" spans="1:2" s="5" customFormat="1" x14ac:dyDescent="0.25">
      <c r="A8" s="6" t="s">
        <v>14</v>
      </c>
      <c r="B8" s="6">
        <f>(((min(F46, G46) / 2 ) / 2) * 40)</f>
      </c>
    </row>
    <row r="9" spans="1:2" s="5" customFormat="1" x14ac:dyDescent="0.25">
      <c r="A9" s="6" t="s">
        <v>15</v>
      </c>
      <c r="B9" s="6">
        <v>0</v>
      </c>
    </row>
    <row r="10" spans="1:2" s="5" customFormat="1" x14ac:dyDescent="0.25">
      <c r="A10" s="6" t="s">
        <v>16</v>
      </c>
      <c r="B10" s="6">
        <f>ROUND(SUM(C55,D55))</f>
      </c>
    </row>
    <row r="11" spans="1:2" s="5" customFormat="1" x14ac:dyDescent="0.25">
      <c r="A11" s="6" t="s">
        <v>17</v>
      </c>
      <c r="B11" s="6">
        <f>ROUND((max(min(B46, C46), min(D46, E46)) * (B$35 / 8)) * 40)</f>
      </c>
    </row>
    <row r="12" spans="1:2" s="5" customFormat="1" x14ac:dyDescent="0.25">
      <c r="A12" s="6" t="s">
        <v>18</v>
      </c>
      <c r="B12" s="6">
        <f>ROUND((max(min(B46, C46), min(D46, E46)) * (B$37 / 8)) * 40)</f>
      </c>
    </row>
    <row r="13" spans="1:2" s="5" customFormat="1" x14ac:dyDescent="0.25">
      <c r="A13" s="6" t="s">
        <v>19</v>
      </c>
      <c r="B13" s="6">
        <f>(((max(min(B46, C46), min(D46, E46)) / 2 ) / 2) * 40)</f>
      </c>
    </row>
    <row r="14" spans="1:2" s="5" customFormat="1" x14ac:dyDescent="0.25">
      <c r="A14" s="6" t="s">
        <v>20</v>
      </c>
      <c r="B14" s="6">
        <f>ROUND((max(min(B46, C46), min(D46, E46)) * (B$36 / 8)) * 40)</f>
      </c>
    </row>
    <row r="15" spans="1:2" s="5" customFormat="1" x14ac:dyDescent="0.25">
      <c r="A15" s="6" t="s">
        <v>21</v>
      </c>
      <c r="B15" s="6">
        <v>40</v>
      </c>
    </row>
    <row r="16" spans="1:2" s="5" customFormat="1" x14ac:dyDescent="0.25">
      <c r="A16" s="6" t="s">
        <v>22</v>
      </c>
      <c r="B16" s="6">
        <v>120</v>
      </c>
    </row>
    <row r="17" spans="1:2" s="5" customFormat="1" x14ac:dyDescent="0.25">
      <c r="A17" s="6" t="s">
        <v>9</v>
      </c>
      <c r="B17" s="6">
        <f>SUM(B4:B16)</f>
      </c>
    </row>
    <row r="22" spans="1:3" s="1" customFormat="1" x14ac:dyDescent="0.25">
      <c r="A22" s="2" t="s">
        <v>23</v>
      </c>
      <c r="B22" s="2"/>
      <c r="C22" s="2"/>
    </row>
    <row r="23" spans="1:3" s="3" customFormat="1" x14ac:dyDescent="0.25">
      <c r="A23" s="4" t="s">
        <v>0</v>
      </c>
      <c r="B23" s="4" t="s">
        <v>24</v>
      </c>
      <c r="C23" s="4" t="s">
        <v>25</v>
      </c>
    </row>
    <row r="24" spans="1:3" s="5" customFormat="1" x14ac:dyDescent="0.25">
      <c r="A24" s="7" t="s">
        <v>26</v>
      </c>
      <c r="B24" s="6" t="s">
        <v>27</v>
      </c>
      <c r="C24" s="6">
        <v>1</v>
      </c>
    </row>
    <row r="25" spans="1:3" s="5" customFormat="1" x14ac:dyDescent="0.25">
      <c r="A25" s="7" t="s">
        <v>26</v>
      </c>
      <c r="B25" s="6" t="s">
        <v>28</v>
      </c>
      <c r="C25" s="6">
        <v>1</v>
      </c>
    </row>
    <row r="26" spans="1:3" s="5" customFormat="1" x14ac:dyDescent="0.25">
      <c r="A26" s="7" t="s">
        <v>29</v>
      </c>
      <c r="B26" s="6" t="s">
        <v>28</v>
      </c>
      <c r="C26" s="6">
        <v>1</v>
      </c>
    </row>
    <row r="27" spans="1:3" s="5" customFormat="1" x14ac:dyDescent="0.25">
      <c r="A27" s="7" t="s">
        <v>29</v>
      </c>
      <c r="B27" s="6" t="s">
        <v>27</v>
      </c>
      <c r="C27" s="6">
        <v>1</v>
      </c>
    </row>
    <row r="28" spans="1:3" s="5" customFormat="1" x14ac:dyDescent="0.25">
      <c r="A28" s="7" t="s">
        <v>30</v>
      </c>
      <c r="B28" s="6" t="s">
        <v>31</v>
      </c>
      <c r="C28" s="6">
        <v>0</v>
      </c>
    </row>
    <row r="33" spans="1:2" s="1" customFormat="1" x14ac:dyDescent="0.25">
      <c r="A33" s="2" t="s">
        <v>32</v>
      </c>
      <c r="B33" s="2"/>
    </row>
    <row r="34" spans="1:2" s="3" customFormat="1" x14ac:dyDescent="0.25">
      <c r="A34" s="4" t="s">
        <v>8</v>
      </c>
      <c r="B34" s="4" t="s">
        <v>33</v>
      </c>
    </row>
    <row r="35" spans="1:2" s="5" customFormat="1" x14ac:dyDescent="0.25">
      <c r="A35" s="7" t="s">
        <v>34</v>
      </c>
      <c r="B35" s="6">
        <v>4</v>
      </c>
    </row>
    <row r="36" spans="1:2" s="5" customFormat="1" x14ac:dyDescent="0.25">
      <c r="A36" s="7" t="s">
        <v>35</v>
      </c>
      <c r="B36" s="6">
        <v>4</v>
      </c>
    </row>
    <row r="37" spans="1:2" s="5" customFormat="1" x14ac:dyDescent="0.25">
      <c r="A37" s="7" t="s">
        <v>36</v>
      </c>
      <c r="B37" s="6">
        <v>8</v>
      </c>
    </row>
    <row r="38" spans="1:2" s="5" customFormat="1" x14ac:dyDescent="0.25">
      <c r="A38" s="7" t="s">
        <v>37</v>
      </c>
      <c r="B38" s="6">
        <v>0</v>
      </c>
    </row>
    <row r="39" spans="1:2" s="5" customFormat="1" x14ac:dyDescent="0.25">
      <c r="A39" s="7" t="s">
        <v>38</v>
      </c>
      <c r="B39" s="6">
        <v>0</v>
      </c>
    </row>
    <row r="44" spans="1:7" s="1" customFormat="1" x14ac:dyDescent="0.25">
      <c r="A44" s="2" t="s">
        <v>39</v>
      </c>
      <c r="B44" s="2"/>
      <c r="C44" s="2"/>
      <c r="D44" s="2"/>
      <c r="E44" s="2"/>
      <c r="F44" s="2"/>
      <c r="G44" s="2"/>
    </row>
    <row r="45" spans="1:7" s="3" customFormat="1" x14ac:dyDescent="0.25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46</v>
      </c>
    </row>
    <row r="46" spans="1:7" s="5" customFormat="1" x14ac:dyDescent="0.25">
      <c r="A46" s="7" t="s">
        <v>47</v>
      </c>
      <c r="B46" s="6">
        <f>Round(IFERROR((SUM(C55)/ (SUM(C$24:C25) * 40))), 0)</f>
      </c>
      <c r="C46" s="6">
        <f>Round(IFERROR((SUM(C55)/ (SUM(C$24:C25) * 35))), 0)</f>
      </c>
      <c r="D46" s="6">
        <f>Round(IFERROR((SUM(D55)/ (SUM(C26:C27) * 40))), 0)</f>
      </c>
      <c r="E46" s="6">
        <f>Round(IFERROR((SUM(D55)/ (SUM(C26:C27) * 35))), 0)</f>
      </c>
      <c r="F46" s="6">
        <f>Round(IFERROR((SUM(E55:F55)/ (SUM(C28) * 40))), 0)</f>
      </c>
      <c r="G46" s="6">
        <f>Round(IFERROR((SUM(E55:F55)/ (SUM(C28) * 35))), 0)</f>
      </c>
    </row>
    <row r="51" spans="1:7" s="1" customFormat="1" x14ac:dyDescent="0.25">
      <c r="A51" s="2" t="s">
        <v>48</v>
      </c>
      <c r="B51" s="2"/>
      <c r="C51" s="2"/>
      <c r="D51" s="2"/>
      <c r="E51" s="2"/>
      <c r="F51" s="2"/>
      <c r="G51" s="2"/>
    </row>
    <row r="52" spans="1:7" s="3" customFormat="1" x14ac:dyDescent="0.25">
      <c r="A52" s="4" t="s">
        <v>0</v>
      </c>
      <c r="B52" s="4" t="s">
        <v>6</v>
      </c>
      <c r="C52" s="4" t="s">
        <v>49</v>
      </c>
      <c r="D52" s="4" t="s">
        <v>3</v>
      </c>
      <c r="E52" s="4" t="s">
        <v>2</v>
      </c>
      <c r="F52" s="4" t="s">
        <v>50</v>
      </c>
      <c r="G52" s="4" t="s">
        <v>1</v>
      </c>
    </row>
    <row r="53" spans="1:7" s="5" customFormat="1" x14ac:dyDescent="0.25">
      <c r="A53" s="7" t="s">
        <v>51</v>
      </c>
      <c r="B53" s="6" t="s">
        <v>52</v>
      </c>
      <c r="C53" s="6">
        <f>INDIRECT("'"&amp;B53&amp;"'!F18")</f>
      </c>
      <c r="D53" s="6">
        <f>INDIRECT("'"&amp;B53&amp;"'!F19")</f>
      </c>
      <c r="E53" s="6">
        <f>INDIRECT("'"&amp;B53&amp;"'!F12")</f>
      </c>
      <c r="F53" s="6">
        <f>INDIRECT("'"&amp;B53&amp;"'!F11")</f>
      </c>
      <c r="G53" s="6">
        <f>sum(C53:F53)</f>
      </c>
    </row>
    <row r="54" spans="1:7" s="5" customFormat="1" x14ac:dyDescent="0.25">
      <c r="A54" s="7" t="s">
        <v>53</v>
      </c>
      <c r="B54" s="6" t="s">
        <v>54</v>
      </c>
      <c r="C54" s="6">
        <f>INDIRECT("'"&amp;B54&amp;"'!F18")</f>
      </c>
      <c r="D54" s="6">
        <f>INDIRECT("'"&amp;B54&amp;"'!F19")</f>
      </c>
      <c r="E54" s="6">
        <f>INDIRECT("'"&amp;B54&amp;"'!F12")</f>
      </c>
      <c r="F54" s="6">
        <f>INDIRECT("'"&amp;B54&amp;"'!F11")</f>
      </c>
      <c r="G54" s="6">
        <f>sum(C54:F54)</f>
      </c>
    </row>
    <row r="55" spans="1:7" s="5" customFormat="1" x14ac:dyDescent="0.25">
      <c r="A55" s="8" t="s">
        <v>55</v>
      </c>
      <c r="B55" s="9" t="s">
        <v>56</v>
      </c>
      <c r="C55" s="9">
        <f>SUM(C48:C54)</f>
      </c>
      <c r="D55" s="9">
        <f>SUM(D48:D54)</f>
      </c>
      <c r="E55" s="9">
        <f>SUM(E48:E54)</f>
      </c>
      <c r="F55" s="9">
        <f>SUM(F48:F54)</f>
      </c>
      <c r="G55" s="9">
        <f>sum(C55:F55)</f>
      </c>
    </row>
  </sheetData>
  <mergeCells count="5">
    <mergeCell ref="A2:B2"/>
    <mergeCell ref="A22:C22"/>
    <mergeCell ref="A33:B33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22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10">
        <f>SUM(R2:R1006)</f>
      </c>
      <c r="S1" s="2" t="s">
        <v>74</v>
      </c>
      <c r="T1" s="10">
        <f>SUM(T2:T1006)</f>
      </c>
      <c r="U1" s="2" t="s">
        <v>75</v>
      </c>
      <c r="V1" s="10">
        <f>SUM(V2:V1006)</f>
      </c>
      <c r="W1" s="2" t="s">
        <v>76</v>
      </c>
      <c r="X1" s="10">
        <f>SUM(X2:X1006)</f>
      </c>
      <c r="Y1" s="2" t="s">
        <v>77</v>
      </c>
      <c r="Z1" s="10">
        <f>SUM(Z2:Z1006)</f>
      </c>
      <c r="AA1" s="10">
        <f>SUM(AA2:AA1006)</f>
      </c>
      <c r="AB1" s="2" t="s">
        <v>78</v>
      </c>
      <c r="AC1" s="2" t="s">
        <v>79</v>
      </c>
      <c r="AD1" s="2" t="s">
        <v>80</v>
      </c>
      <c r="AE1" s="2" t="s">
        <v>81</v>
      </c>
    </row>
    <row r="2" spans="1:31" s="6" customFormat="1" x14ac:dyDescent="0.25">
      <c r="A2" s="6" t="s">
        <v>82</v>
      </c>
      <c r="D2" s="6"/>
      <c r="E2" s="6"/>
      <c r="F2" s="6"/>
      <c r="G2" s="6"/>
      <c r="H2" s="6"/>
      <c r="I2" s="6"/>
      <c r="J2" s="6"/>
      <c r="K2" s="6" t="s">
        <v>83</v>
      </c>
      <c r="L2" s="6" t="s">
        <v>84</v>
      </c>
      <c r="M2" s="6"/>
      <c r="N2" s="6"/>
      <c r="O2" s="6"/>
      <c r="P2" s="6"/>
      <c r="Q2" s="11"/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/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8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0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0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56</v>
      </c>
      <c r="AD2" s="6" t="s">
        <v>56</v>
      </c>
      <c r="AE2" s="6" t="s">
        <v>56</v>
      </c>
    </row>
    <row r="3" spans="1:31" s="6" customFormat="1" x14ac:dyDescent="0.25">
      <c r="A3" s="6" t="s">
        <v>85</v>
      </c>
      <c r="B3" s="6" t="s">
        <v>86</v>
      </c>
      <c r="D3" s="6"/>
      <c r="E3" s="6"/>
      <c r="F3" s="6"/>
      <c r="G3" s="6"/>
      <c r="H3" s="6"/>
      <c r="I3" s="6"/>
      <c r="J3" s="6"/>
      <c r="K3" s="6" t="s">
        <v>83</v>
      </c>
      <c r="L3" s="6" t="s">
        <v>84</v>
      </c>
      <c r="M3" s="6"/>
      <c r="N3" s="6"/>
      <c r="O3" s="6"/>
      <c r="P3" s="6"/>
      <c r="Q3" s="11">
        <v>2</v>
      </c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>
        <v>2</v>
      </c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5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5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8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56</v>
      </c>
      <c r="AD3" s="6" t="s">
        <v>56</v>
      </c>
      <c r="AE3" s="6" t="s">
        <v>56</v>
      </c>
    </row>
    <row r="4" spans="1:31" s="6" customFormat="1" x14ac:dyDescent="0.25">
      <c r="A4" s="6" t="s">
        <v>85</v>
      </c>
      <c r="B4" s="6" t="s">
        <v>87</v>
      </c>
      <c r="D4" s="6"/>
      <c r="E4" s="6"/>
      <c r="F4" s="6"/>
      <c r="G4" s="6"/>
      <c r="H4" s="6"/>
      <c r="I4" s="6"/>
      <c r="J4" s="6"/>
      <c r="K4" s="6" t="s">
        <v>83</v>
      </c>
      <c r="L4" s="6" t="s">
        <v>84</v>
      </c>
      <c r="M4" s="6"/>
      <c r="N4" s="6"/>
      <c r="O4" s="6"/>
      <c r="P4" s="6"/>
      <c r="Q4" s="11"/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/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3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8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56</v>
      </c>
      <c r="AD4" s="6" t="s">
        <v>56</v>
      </c>
      <c r="AE4" s="6" t="s">
        <v>56</v>
      </c>
    </row>
    <row r="5" spans="1:31" s="6" customFormat="1" x14ac:dyDescent="0.25">
      <c r="A5" s="6" t="s">
        <v>85</v>
      </c>
      <c r="B5" s="6" t="s">
        <v>88</v>
      </c>
      <c r="D5" s="6"/>
      <c r="E5" s="6"/>
      <c r="F5" s="6"/>
      <c r="G5" s="6"/>
      <c r="H5" s="6"/>
      <c r="I5" s="6"/>
      <c r="J5" s="6"/>
      <c r="K5" s="6" t="s">
        <v>83</v>
      </c>
      <c r="L5" s="6" t="s">
        <v>84</v>
      </c>
      <c r="M5" s="6"/>
      <c r="N5" s="6"/>
      <c r="O5" s="6"/>
      <c r="P5" s="6"/>
      <c r="Q5" s="11"/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/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2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2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2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56</v>
      </c>
      <c r="AD5" s="6" t="s">
        <v>56</v>
      </c>
      <c r="AE5" s="6" t="s">
        <v>56</v>
      </c>
    </row>
    <row r="6" spans="1:31" s="6" customFormat="1" x14ac:dyDescent="0.25">
      <c r="A6" s="6" t="s">
        <v>89</v>
      </c>
      <c r="B6" s="6" t="s">
        <v>86</v>
      </c>
      <c r="D6" s="6"/>
      <c r="E6" s="6"/>
      <c r="F6" s="6"/>
      <c r="G6" s="6"/>
      <c r="H6" s="6"/>
      <c r="I6" s="6"/>
      <c r="J6" s="6"/>
      <c r="K6" s="6" t="s">
        <v>83</v>
      </c>
      <c r="L6" s="6" t="s">
        <v>84</v>
      </c>
      <c r="M6" s="6"/>
      <c r="N6" s="6"/>
      <c r="O6" s="6"/>
      <c r="P6" s="6"/>
      <c r="Q6" s="11"/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/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2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1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2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56</v>
      </c>
      <c r="AD6" s="6" t="s">
        <v>56</v>
      </c>
      <c r="AE6" s="6" t="s">
        <v>56</v>
      </c>
    </row>
    <row r="7" spans="1:31" s="6" customFormat="1" x14ac:dyDescent="0.25">
      <c r="A7" s="6" t="s">
        <v>89</v>
      </c>
      <c r="B7" s="6" t="s">
        <v>90</v>
      </c>
      <c r="D7" s="6"/>
      <c r="E7" s="6"/>
      <c r="F7" s="6"/>
      <c r="G7" s="6"/>
      <c r="H7" s="6"/>
      <c r="I7" s="6"/>
      <c r="J7" s="6"/>
      <c r="K7" s="6" t="s">
        <v>83</v>
      </c>
      <c r="L7" s="6" t="s">
        <v>84</v>
      </c>
      <c r="M7" s="6"/>
      <c r="N7" s="6"/>
      <c r="O7" s="6"/>
      <c r="P7" s="6"/>
      <c r="Q7" s="11"/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/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2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1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2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56</v>
      </c>
      <c r="AD7" s="6" t="s">
        <v>56</v>
      </c>
      <c r="AE7" s="6" t="s">
        <v>56</v>
      </c>
    </row>
    <row r="8" spans="1:31" s="6" customFormat="1" x14ac:dyDescent="0.25">
      <c r="A8" s="6" t="s">
        <v>89</v>
      </c>
      <c r="B8" s="6" t="s">
        <v>91</v>
      </c>
      <c r="D8" s="6"/>
      <c r="E8" s="6"/>
      <c r="F8" s="6"/>
      <c r="G8" s="6"/>
      <c r="H8" s="6"/>
      <c r="I8" s="6"/>
      <c r="J8" s="6"/>
      <c r="K8" s="6" t="s">
        <v>83</v>
      </c>
      <c r="L8" s="6" t="s">
        <v>84</v>
      </c>
      <c r="M8" s="6"/>
      <c r="N8" s="6"/>
      <c r="O8" s="6"/>
      <c r="P8" s="6"/>
      <c r="Q8" s="11"/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/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1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1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2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56</v>
      </c>
      <c r="AD8" s="6" t="s">
        <v>56</v>
      </c>
      <c r="AE8" s="6" t="s">
        <v>56</v>
      </c>
    </row>
    <row r="9" spans="1:31" s="13" customFormat="1" x14ac:dyDescent="0.25">
      <c r="A9" s="13" t="s">
        <v>92</v>
      </c>
      <c r="D9" s="13" t="s">
        <v>93</v>
      </c>
      <c r="E9" s="13"/>
      <c r="F9" s="13"/>
      <c r="G9" s="13"/>
      <c r="H9" s="13"/>
      <c r="I9" s="13"/>
      <c r="J9" s="13"/>
      <c r="K9" s="13" t="s">
        <v>83</v>
      </c>
      <c r="L9" s="13" t="s">
        <v>84</v>
      </c>
      <c r="M9" s="13"/>
      <c r="N9" s="13"/>
      <c r="O9" s="13"/>
      <c r="P9" s="13"/>
      <c r="Q9" s="13"/>
      <c r="R9" s="13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3"/>
      <c r="T9" s="13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3">
        <v>5</v>
      </c>
      <c r="V9" s="13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3">
        <v>8</v>
      </c>
      <c r="X9" s="13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3">
        <v>8</v>
      </c>
      <c r="Z9" s="13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13">
        <f>SUM(V9,X9,Z9)</f>
      </c>
      <c r="AB9" s="13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13" t="s">
        <v>56</v>
      </c>
      <c r="AD9" s="13" t="s">
        <v>56</v>
      </c>
      <c r="AE9" s="13" t="s">
        <v>56</v>
      </c>
    </row>
    <row r="10" spans="1:31" s="13" customFormat="1" x14ac:dyDescent="0.25">
      <c r="A10" s="13" t="s">
        <v>94</v>
      </c>
      <c r="B10" s="13" t="s">
        <v>95</v>
      </c>
      <c r="C10" s="13" t="s">
        <v>96</v>
      </c>
      <c r="D10" s="13" t="s">
        <v>97</v>
      </c>
      <c r="E10" s="13"/>
      <c r="F10" s="13"/>
      <c r="G10" s="13"/>
      <c r="H10" s="13"/>
      <c r="I10" s="13"/>
      <c r="J10" s="13"/>
      <c r="K10" s="13" t="s">
        <v>83</v>
      </c>
      <c r="L10" s="13" t="s">
        <v>84</v>
      </c>
      <c r="M10" s="13"/>
      <c r="N10" s="13"/>
      <c r="O10" s="13"/>
      <c r="P10" s="13"/>
      <c r="Q10" s="13">
        <v>3</v>
      </c>
      <c r="R10" s="13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3">
        <v>3</v>
      </c>
      <c r="T10" s="13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3">
        <v>8</v>
      </c>
      <c r="V10" s="13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3">
        <v>8</v>
      </c>
      <c r="X10" s="13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3">
        <v>8</v>
      </c>
      <c r="Z10" s="13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13">
        <f>SUM(V10,X10,Z10)</f>
      </c>
      <c r="AB10" s="13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13" t="s">
        <v>56</v>
      </c>
      <c r="AD10" s="13" t="s">
        <v>56</v>
      </c>
      <c r="AE10" s="13" t="s">
        <v>56</v>
      </c>
    </row>
    <row r="11" spans="1:31" s="13" customFormat="1" x14ac:dyDescent="0.25">
      <c r="A11" s="13" t="s">
        <v>94</v>
      </c>
      <c r="B11" s="13" t="s">
        <v>95</v>
      </c>
      <c r="C11" s="13" t="s">
        <v>98</v>
      </c>
      <c r="D11" s="13" t="s">
        <v>99</v>
      </c>
      <c r="E11" s="13"/>
      <c r="F11" s="13"/>
      <c r="G11" s="13"/>
      <c r="H11" s="13"/>
      <c r="I11" s="13"/>
      <c r="J11" s="13"/>
      <c r="K11" s="13" t="s">
        <v>83</v>
      </c>
      <c r="L11" s="13" t="s">
        <v>84</v>
      </c>
      <c r="M11" s="13"/>
      <c r="N11" s="13"/>
      <c r="O11" s="13"/>
      <c r="P11" s="13"/>
      <c r="Q11" s="13"/>
      <c r="R11" s="13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3"/>
      <c r="T11" s="13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3">
        <v>5</v>
      </c>
      <c r="V11" s="13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3">
        <v>5</v>
      </c>
      <c r="X11" s="13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3">
        <v>5</v>
      </c>
      <c r="Z11" s="13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13">
        <f>SUM(V11,X11,Z11)</f>
      </c>
      <c r="AB11" s="13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13" t="s">
        <v>56</v>
      </c>
      <c r="AD11" s="13" t="s">
        <v>56</v>
      </c>
      <c r="AE11" s="13" t="s">
        <v>56</v>
      </c>
    </row>
    <row r="12" spans="1:31" s="13" customFormat="1" x14ac:dyDescent="0.25">
      <c r="A12" s="13" t="s">
        <v>94</v>
      </c>
      <c r="B12" s="13" t="s">
        <v>95</v>
      </c>
      <c r="C12" s="13" t="s">
        <v>100</v>
      </c>
      <c r="D12" s="13"/>
      <c r="E12" s="13"/>
      <c r="F12" s="13"/>
      <c r="G12" s="13"/>
      <c r="H12" s="13"/>
      <c r="I12" s="13"/>
      <c r="J12" s="13"/>
      <c r="K12" s="13" t="s">
        <v>83</v>
      </c>
      <c r="L12" s="13" t="s">
        <v>84</v>
      </c>
      <c r="M12" s="13"/>
      <c r="N12" s="13"/>
      <c r="O12" s="13"/>
      <c r="P12" s="13"/>
      <c r="Q12" s="13"/>
      <c r="R12" s="13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3"/>
      <c r="T12" s="13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3">
        <v>3</v>
      </c>
      <c r="V12" s="13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3">
        <v>5</v>
      </c>
      <c r="X12" s="13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3">
        <v>5</v>
      </c>
      <c r="Z12" s="13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13">
        <f>SUM(V12,X12,Z12)</f>
      </c>
      <c r="AB12" s="13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13" t="s">
        <v>56</v>
      </c>
      <c r="AD12" s="13" t="s">
        <v>56</v>
      </c>
      <c r="AE12" s="13" t="s">
        <v>56</v>
      </c>
    </row>
    <row r="13" spans="1:31" s="13" customFormat="1" x14ac:dyDescent="0.25">
      <c r="A13" s="13" t="s">
        <v>94</v>
      </c>
      <c r="B13" s="13" t="s">
        <v>95</v>
      </c>
      <c r="C13" s="13" t="s">
        <v>101</v>
      </c>
      <c r="D13" s="13"/>
      <c r="E13" s="13"/>
      <c r="F13" s="13"/>
      <c r="G13" s="13"/>
      <c r="H13" s="13"/>
      <c r="I13" s="13"/>
      <c r="J13" s="13"/>
      <c r="K13" s="13" t="s">
        <v>83</v>
      </c>
      <c r="L13" s="13" t="s">
        <v>84</v>
      </c>
      <c r="M13" s="13"/>
      <c r="N13" s="13"/>
      <c r="O13" s="13"/>
      <c r="P13" s="13"/>
      <c r="Q13" s="13">
        <v>3</v>
      </c>
      <c r="R13" s="13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3">
        <v>3</v>
      </c>
      <c r="T13" s="13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3">
        <v>8</v>
      </c>
      <c r="V13" s="13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3">
        <v>5</v>
      </c>
      <c r="X13" s="13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3">
        <v>5</v>
      </c>
      <c r="Z13" s="13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13">
        <f>SUM(V13,X13,Z13)</f>
      </c>
      <c r="AB13" s="13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13" t="s">
        <v>56</v>
      </c>
      <c r="AD13" s="13" t="s">
        <v>56</v>
      </c>
      <c r="AE13" s="13" t="s">
        <v>56</v>
      </c>
    </row>
    <row r="14" spans="1:31" s="13" customFormat="1" x14ac:dyDescent="0.25">
      <c r="A14" s="13" t="s">
        <v>94</v>
      </c>
      <c r="B14" s="13" t="s">
        <v>102</v>
      </c>
      <c r="C14" s="13" t="s">
        <v>103</v>
      </c>
      <c r="D14" s="13"/>
      <c r="E14" s="13"/>
      <c r="F14" s="13"/>
      <c r="G14" s="13"/>
      <c r="H14" s="13"/>
      <c r="I14" s="13"/>
      <c r="J14" s="13"/>
      <c r="K14" s="13" t="s">
        <v>83</v>
      </c>
      <c r="L14" s="13" t="s">
        <v>84</v>
      </c>
      <c r="M14" s="13"/>
      <c r="N14" s="13"/>
      <c r="O14" s="13"/>
      <c r="P14" s="13"/>
      <c r="Q14" s="13">
        <v>3</v>
      </c>
      <c r="R14" s="13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3">
        <v>3</v>
      </c>
      <c r="T14" s="13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3">
        <v>8</v>
      </c>
      <c r="V14" s="13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3">
        <v>5</v>
      </c>
      <c r="X14" s="13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3">
        <v>8</v>
      </c>
      <c r="Z14" s="13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13">
        <f>SUM(V14,X14,Z14)</f>
      </c>
      <c r="AB14" s="13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13" t="s">
        <v>56</v>
      </c>
      <c r="AD14" s="13" t="s">
        <v>56</v>
      </c>
      <c r="AE14" s="13" t="s">
        <v>56</v>
      </c>
    </row>
    <row r="15" spans="1:31" s="13" customFormat="1" x14ac:dyDescent="0.25">
      <c r="A15" s="13" t="s">
        <v>94</v>
      </c>
      <c r="B15" s="13" t="s">
        <v>102</v>
      </c>
      <c r="C15" s="13" t="s">
        <v>104</v>
      </c>
      <c r="D15" s="13"/>
      <c r="E15" s="13"/>
      <c r="F15" s="13"/>
      <c r="G15" s="13"/>
      <c r="H15" s="13"/>
      <c r="I15" s="13"/>
      <c r="J15" s="13"/>
      <c r="K15" s="13" t="s">
        <v>83</v>
      </c>
      <c r="L15" s="13" t="s">
        <v>84</v>
      </c>
      <c r="M15" s="13"/>
      <c r="N15" s="13"/>
      <c r="O15" s="13"/>
      <c r="P15" s="13"/>
      <c r="Q15" s="13">
        <v>1</v>
      </c>
      <c r="R15" s="13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3">
        <v>1</v>
      </c>
      <c r="T15" s="13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3">
        <v>5</v>
      </c>
      <c r="V15" s="13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3">
        <v>3</v>
      </c>
      <c r="X15" s="13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3">
        <v>5</v>
      </c>
      <c r="Z15" s="13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13">
        <f>SUM(V15,X15,Z15)</f>
      </c>
      <c r="AB15" s="13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13" t="s">
        <v>56</v>
      </c>
      <c r="AD15" s="13" t="s">
        <v>56</v>
      </c>
      <c r="AE15" s="13" t="s">
        <v>56</v>
      </c>
    </row>
    <row r="16" spans="1:31" s="13" customFormat="1" x14ac:dyDescent="0.25">
      <c r="A16" s="13" t="s">
        <v>94</v>
      </c>
      <c r="B16" s="13" t="s">
        <v>102</v>
      </c>
      <c r="C16" s="13" t="s">
        <v>105</v>
      </c>
      <c r="D16" s="13"/>
      <c r="E16" s="13"/>
      <c r="F16" s="13"/>
      <c r="G16" s="13"/>
      <c r="H16" s="13"/>
      <c r="I16" s="13"/>
      <c r="J16" s="13"/>
      <c r="K16" s="13" t="s">
        <v>83</v>
      </c>
      <c r="L16" s="13" t="s">
        <v>84</v>
      </c>
      <c r="M16" s="13"/>
      <c r="N16" s="13"/>
      <c r="O16" s="13"/>
      <c r="P16" s="13"/>
      <c r="Q16" s="13">
        <v>3</v>
      </c>
      <c r="R16" s="13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3">
        <v>3</v>
      </c>
      <c r="T16" s="13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3">
        <v>3</v>
      </c>
      <c r="V16" s="13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3">
        <v>3</v>
      </c>
      <c r="X16" s="13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3">
        <v>5</v>
      </c>
      <c r="Z16" s="13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13">
        <f>SUM(V16,X16,Z16)</f>
      </c>
      <c r="AB16" s="13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13" t="s">
        <v>56</v>
      </c>
      <c r="AD16" s="13" t="s">
        <v>56</v>
      </c>
      <c r="AE16" s="13" t="s">
        <v>56</v>
      </c>
    </row>
    <row r="17" spans="1:31" s="13" customFormat="1" x14ac:dyDescent="0.25">
      <c r="A17" s="13" t="s">
        <v>94</v>
      </c>
      <c r="B17" s="13" t="s">
        <v>106</v>
      </c>
      <c r="C17" s="13" t="s">
        <v>107</v>
      </c>
      <c r="D17" s="13" t="s">
        <v>108</v>
      </c>
      <c r="E17" s="13"/>
      <c r="F17" s="13"/>
      <c r="G17" s="13"/>
      <c r="H17" s="13"/>
      <c r="I17" s="13"/>
      <c r="J17" s="13"/>
      <c r="K17" s="13" t="s">
        <v>83</v>
      </c>
      <c r="L17" s="13" t="s">
        <v>84</v>
      </c>
      <c r="M17" s="13"/>
      <c r="N17" s="13"/>
      <c r="O17" s="13"/>
      <c r="P17" s="13"/>
      <c r="Q17" s="13">
        <v>3</v>
      </c>
      <c r="R17" s="13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3">
        <v>3</v>
      </c>
      <c r="T17" s="13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3">
        <v>8</v>
      </c>
      <c r="V17" s="13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3">
        <v>5</v>
      </c>
      <c r="X17" s="13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3">
        <v>5</v>
      </c>
      <c r="Z17" s="13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13">
        <f>SUM(V17,X17,Z17)</f>
      </c>
      <c r="AB17" s="13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13" t="s">
        <v>56</v>
      </c>
      <c r="AD17" s="13" t="s">
        <v>56</v>
      </c>
      <c r="AE17" s="13" t="s">
        <v>56</v>
      </c>
    </row>
    <row r="18" spans="1:31" s="13" customFormat="1" x14ac:dyDescent="0.25">
      <c r="A18" s="13" t="s">
        <v>94</v>
      </c>
      <c r="B18" s="13" t="s">
        <v>106</v>
      </c>
      <c r="C18" s="13" t="s">
        <v>98</v>
      </c>
      <c r="D18" s="13"/>
      <c r="E18" s="13"/>
      <c r="F18" s="13"/>
      <c r="G18" s="13"/>
      <c r="H18" s="13"/>
      <c r="I18" s="13"/>
      <c r="J18" s="13"/>
      <c r="K18" s="13" t="s">
        <v>83</v>
      </c>
      <c r="L18" s="13" t="s">
        <v>84</v>
      </c>
      <c r="M18" s="13"/>
      <c r="N18" s="13"/>
      <c r="O18" s="13"/>
      <c r="P18" s="13"/>
      <c r="Q18" s="13"/>
      <c r="R18" s="13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3"/>
      <c r="T18" s="13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3">
        <v>5</v>
      </c>
      <c r="V18" s="13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3">
        <v>5</v>
      </c>
      <c r="X18" s="13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3">
        <v>5</v>
      </c>
      <c r="Z18" s="13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13">
        <f>SUM(V18,X18,Z18)</f>
      </c>
      <c r="AB18" s="13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13" t="s">
        <v>56</v>
      </c>
      <c r="AD18" s="13" t="s">
        <v>56</v>
      </c>
      <c r="AE18" s="13" t="s">
        <v>56</v>
      </c>
    </row>
    <row r="19" spans="1:31" s="13" customFormat="1" x14ac:dyDescent="0.25">
      <c r="A19" s="13" t="s">
        <v>94</v>
      </c>
      <c r="B19" s="13" t="s">
        <v>106</v>
      </c>
      <c r="C19" s="13" t="s">
        <v>100</v>
      </c>
      <c r="D19" s="13"/>
      <c r="E19" s="13"/>
      <c r="F19" s="13"/>
      <c r="G19" s="13"/>
      <c r="H19" s="13"/>
      <c r="I19" s="13"/>
      <c r="J19" s="13"/>
      <c r="K19" s="13" t="s">
        <v>83</v>
      </c>
      <c r="L19" s="13" t="s">
        <v>84</v>
      </c>
      <c r="M19" s="13"/>
      <c r="N19" s="13"/>
      <c r="O19" s="13"/>
      <c r="P19" s="13"/>
      <c r="Q19" s="13"/>
      <c r="R19" s="13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3"/>
      <c r="T19" s="13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3">
        <v>3</v>
      </c>
      <c r="V19" s="13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3">
        <v>5</v>
      </c>
      <c r="X19" s="13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3">
        <v>5</v>
      </c>
      <c r="Z19" s="13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13">
        <f>SUM(V19,X19,Z19)</f>
      </c>
      <c r="AB19" s="13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13" t="s">
        <v>56</v>
      </c>
      <c r="AD19" s="13" t="s">
        <v>56</v>
      </c>
      <c r="AE19" s="13" t="s">
        <v>56</v>
      </c>
    </row>
    <row r="20" spans="1:31" s="13" customFormat="1" x14ac:dyDescent="0.25">
      <c r="A20" s="13" t="s">
        <v>94</v>
      </c>
      <c r="B20" s="13" t="s">
        <v>106</v>
      </c>
      <c r="C20" s="13" t="s">
        <v>109</v>
      </c>
      <c r="D20" s="13"/>
      <c r="E20" s="13"/>
      <c r="F20" s="13"/>
      <c r="G20" s="13"/>
      <c r="H20" s="13"/>
      <c r="I20" s="13"/>
      <c r="J20" s="13"/>
      <c r="K20" s="13" t="s">
        <v>83</v>
      </c>
      <c r="L20" s="13" t="s">
        <v>84</v>
      </c>
      <c r="M20" s="13"/>
      <c r="N20" s="13"/>
      <c r="O20" s="13"/>
      <c r="P20" s="13"/>
      <c r="Q20" s="13">
        <v>3</v>
      </c>
      <c r="R20" s="13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3">
        <v>3</v>
      </c>
      <c r="T20" s="13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3">
        <v>5</v>
      </c>
      <c r="V20" s="13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3">
        <v>5</v>
      </c>
      <c r="X20" s="13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3">
        <v>5</v>
      </c>
      <c r="Z20" s="13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13">
        <f>SUM(V20,X20,Z20)</f>
      </c>
      <c r="AB20" s="13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13" t="s">
        <v>56</v>
      </c>
      <c r="AD20" s="13" t="s">
        <v>56</v>
      </c>
      <c r="AE20" s="13" t="s">
        <v>56</v>
      </c>
    </row>
    <row r="21" spans="1:31" s="6" customFormat="1" x14ac:dyDescent="0.25">
      <c r="A21" s="6" t="s">
        <v>94</v>
      </c>
      <c r="B21" s="6" t="s">
        <v>110</v>
      </c>
      <c r="C21" s="6" t="s">
        <v>111</v>
      </c>
      <c r="D21" s="6"/>
      <c r="E21" s="6"/>
      <c r="F21" s="6"/>
      <c r="G21" s="6"/>
      <c r="H21" s="6"/>
      <c r="I21" s="6"/>
      <c r="J21" s="6"/>
      <c r="K21" s="6" t="s">
        <v>83</v>
      </c>
      <c r="L21" s="6" t="s">
        <v>84</v>
      </c>
      <c r="M21" s="6"/>
      <c r="N21" s="6"/>
      <c r="O21" s="6"/>
      <c r="P21" s="6"/>
      <c r="Q21" s="11"/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/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8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2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3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56</v>
      </c>
      <c r="AD21" s="6" t="s">
        <v>56</v>
      </c>
      <c r="AE21" s="6" t="s">
        <v>56</v>
      </c>
    </row>
    <row r="22" spans="1:31" s="6" customFormat="1" x14ac:dyDescent="0.25">
      <c r="A22" s="6" t="s">
        <v>94</v>
      </c>
      <c r="B22" s="6" t="s">
        <v>110</v>
      </c>
      <c r="C22" s="6" t="s">
        <v>112</v>
      </c>
      <c r="D22" s="6"/>
      <c r="E22" s="6"/>
      <c r="F22" s="6"/>
      <c r="G22" s="6"/>
      <c r="H22" s="6"/>
      <c r="I22" s="6"/>
      <c r="J22" s="6"/>
      <c r="K22" s="6" t="s">
        <v>83</v>
      </c>
      <c r="L22" s="6" t="s">
        <v>84</v>
      </c>
      <c r="M22" s="6"/>
      <c r="N22" s="6"/>
      <c r="O22" s="6"/>
      <c r="P22" s="6"/>
      <c r="Q22" s="11"/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/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3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2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3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56</v>
      </c>
      <c r="AD22" s="6" t="s">
        <v>56</v>
      </c>
      <c r="AE22" s="6" t="s">
        <v>56</v>
      </c>
    </row>
    <row r="23" spans="1:31" s="6" customFormat="1" x14ac:dyDescent="0.25">
      <c r="A23" s="6" t="s">
        <v>94</v>
      </c>
      <c r="B23" s="6" t="s">
        <v>110</v>
      </c>
      <c r="C23" s="6" t="s">
        <v>113</v>
      </c>
      <c r="D23" s="6"/>
      <c r="E23" s="6"/>
      <c r="F23" s="6"/>
      <c r="G23" s="6"/>
      <c r="H23" s="6"/>
      <c r="I23" s="6"/>
      <c r="J23" s="6"/>
      <c r="K23" s="6" t="s">
        <v>83</v>
      </c>
      <c r="L23" s="6" t="s">
        <v>84</v>
      </c>
      <c r="M23" s="6"/>
      <c r="N23" s="6"/>
      <c r="O23" s="6"/>
      <c r="P23" s="6"/>
      <c r="Q23" s="11"/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/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3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2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3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56</v>
      </c>
      <c r="AD23" s="6" t="s">
        <v>56</v>
      </c>
      <c r="AE23" s="6" t="s">
        <v>56</v>
      </c>
    </row>
    <row r="24" spans="1:31" s="6" customFormat="1" x14ac:dyDescent="0.25">
      <c r="A24" s="6" t="s">
        <v>94</v>
      </c>
      <c r="B24" s="6" t="s">
        <v>110</v>
      </c>
      <c r="C24" s="6" t="s">
        <v>114</v>
      </c>
      <c r="D24" s="6" t="s">
        <v>115</v>
      </c>
      <c r="E24" s="6"/>
      <c r="F24" s="6"/>
      <c r="G24" s="6"/>
      <c r="H24" s="6"/>
      <c r="I24" s="6"/>
      <c r="J24" s="6"/>
      <c r="K24" s="6" t="s">
        <v>83</v>
      </c>
      <c r="L24" s="6" t="s">
        <v>84</v>
      </c>
      <c r="M24" s="6"/>
      <c r="N24" s="6"/>
      <c r="O24" s="6"/>
      <c r="P24" s="6"/>
      <c r="Q24" s="11"/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/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13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3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8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56</v>
      </c>
      <c r="AD24" s="6" t="s">
        <v>56</v>
      </c>
      <c r="AE24" s="6" t="s">
        <v>56</v>
      </c>
    </row>
    <row r="25" spans="1:31" s="6" customFormat="1" x14ac:dyDescent="0.25">
      <c r="A25" s="6" t="s">
        <v>94</v>
      </c>
      <c r="B25" s="6" t="s">
        <v>110</v>
      </c>
      <c r="C25" s="6" t="s">
        <v>116</v>
      </c>
      <c r="D25" s="6" t="s">
        <v>117</v>
      </c>
      <c r="E25" s="6"/>
      <c r="F25" s="6"/>
      <c r="G25" s="6"/>
      <c r="H25" s="6"/>
      <c r="I25" s="6"/>
      <c r="J25" s="6"/>
      <c r="K25" s="6" t="s">
        <v>83</v>
      </c>
      <c r="L25" s="6" t="s">
        <v>84</v>
      </c>
      <c r="M25" s="6"/>
      <c r="N25" s="6"/>
      <c r="O25" s="6"/>
      <c r="P25" s="6"/>
      <c r="Q25" s="11"/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/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13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5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21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56</v>
      </c>
      <c r="AD25" s="6" t="s">
        <v>56</v>
      </c>
      <c r="AE25" s="6" t="s">
        <v>56</v>
      </c>
    </row>
    <row r="26" spans="1:31" s="6" customFormat="1" x14ac:dyDescent="0.25">
      <c r="A26" s="6" t="s">
        <v>118</v>
      </c>
      <c r="B26" s="6" t="s">
        <v>119</v>
      </c>
      <c r="D26" s="6"/>
      <c r="E26" s="6"/>
      <c r="F26" s="6"/>
      <c r="G26" s="6"/>
      <c r="H26" s="6"/>
      <c r="I26" s="6"/>
      <c r="J26" s="6"/>
      <c r="K26" s="6" t="s">
        <v>83</v>
      </c>
      <c r="L26" s="6" t="s">
        <v>84</v>
      </c>
      <c r="M26" s="6"/>
      <c r="N26" s="6"/>
      <c r="O26" s="6"/>
      <c r="P26" s="6"/>
      <c r="Q26" s="11"/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/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5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0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2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56</v>
      </c>
      <c r="AD26" s="6" t="s">
        <v>56</v>
      </c>
      <c r="AE26" s="6" t="s">
        <v>56</v>
      </c>
    </row>
    <row r="27" spans="1:31" s="6" customFormat="1" x14ac:dyDescent="0.25">
      <c r="A27" s="6" t="s">
        <v>118</v>
      </c>
      <c r="B27" s="6" t="s">
        <v>120</v>
      </c>
      <c r="D27" s="6"/>
      <c r="E27" s="6"/>
      <c r="F27" s="6"/>
      <c r="G27" s="6"/>
      <c r="H27" s="6"/>
      <c r="I27" s="6"/>
      <c r="J27" s="6"/>
      <c r="K27" s="6" t="s">
        <v>83</v>
      </c>
      <c r="L27" s="6" t="s">
        <v>84</v>
      </c>
      <c r="M27" s="6"/>
      <c r="N27" s="6"/>
      <c r="O27" s="6"/>
      <c r="P27" s="6"/>
      <c r="Q27" s="11"/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/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5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0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2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56</v>
      </c>
      <c r="AD27" s="6" t="s">
        <v>56</v>
      </c>
      <c r="AE27" s="6" t="s">
        <v>56</v>
      </c>
    </row>
    <row r="28" spans="1:31" s="6" customFormat="1" x14ac:dyDescent="0.25">
      <c r="A28" s="6" t="s">
        <v>118</v>
      </c>
      <c r="B28" s="6" t="s">
        <v>121</v>
      </c>
      <c r="D28" s="6"/>
      <c r="E28" s="6"/>
      <c r="F28" s="6"/>
      <c r="G28" s="6"/>
      <c r="H28" s="6"/>
      <c r="I28" s="6"/>
      <c r="J28" s="6"/>
      <c r="K28" s="6" t="s">
        <v>83</v>
      </c>
      <c r="L28" s="6" t="s">
        <v>84</v>
      </c>
      <c r="M28" s="6"/>
      <c r="N28" s="6"/>
      <c r="O28" s="6"/>
      <c r="P28" s="6"/>
      <c r="Q28" s="11"/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/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5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0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2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56</v>
      </c>
      <c r="AD28" s="6" t="s">
        <v>56</v>
      </c>
      <c r="AE28" s="6" t="s">
        <v>56</v>
      </c>
    </row>
    <row r="29" spans="1:31" s="6" customFormat="1" x14ac:dyDescent="0.25">
      <c r="A29" s="6" t="s">
        <v>118</v>
      </c>
      <c r="B29" s="6" t="s">
        <v>122</v>
      </c>
      <c r="D29" s="6" t="s">
        <v>123</v>
      </c>
      <c r="E29" s="6"/>
      <c r="F29" s="6"/>
      <c r="G29" s="6"/>
      <c r="H29" s="6"/>
      <c r="I29" s="6"/>
      <c r="J29" s="6"/>
      <c r="K29" s="6" t="s">
        <v>83</v>
      </c>
      <c r="L29" s="6" t="s">
        <v>84</v>
      </c>
      <c r="M29" s="6"/>
      <c r="N29" s="6"/>
      <c r="O29" s="6"/>
      <c r="P29" s="6"/>
      <c r="Q29" s="11"/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/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5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1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2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56</v>
      </c>
      <c r="AD29" s="6" t="s">
        <v>56</v>
      </c>
      <c r="AE29" s="6" t="s">
        <v>56</v>
      </c>
    </row>
    <row r="30" spans="1:31" s="6" customFormat="1" x14ac:dyDescent="0.25">
      <c r="A30" s="6" t="s">
        <v>118</v>
      </c>
      <c r="B30" s="6" t="s">
        <v>124</v>
      </c>
      <c r="C30" s="6" t="s">
        <v>125</v>
      </c>
      <c r="D30" s="6"/>
      <c r="E30" s="6"/>
      <c r="F30" s="6"/>
      <c r="G30" s="6"/>
      <c r="H30" s="6"/>
      <c r="I30" s="6"/>
      <c r="J30" s="6"/>
      <c r="K30" s="6" t="s">
        <v>83</v>
      </c>
      <c r="L30" s="6" t="s">
        <v>84</v>
      </c>
      <c r="M30" s="6"/>
      <c r="N30" s="6"/>
      <c r="O30" s="6"/>
      <c r="P30" s="6"/>
      <c r="Q30" s="11"/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/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5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3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5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56</v>
      </c>
      <c r="AD30" s="6" t="s">
        <v>56</v>
      </c>
      <c r="AE30" s="6" t="s">
        <v>56</v>
      </c>
    </row>
    <row r="31" spans="1:31" s="6" customFormat="1" x14ac:dyDescent="0.25">
      <c r="A31" s="6" t="s">
        <v>118</v>
      </c>
      <c r="B31" s="6" t="s">
        <v>124</v>
      </c>
      <c r="C31" s="6" t="s">
        <v>126</v>
      </c>
      <c r="D31" s="6" t="s">
        <v>127</v>
      </c>
      <c r="E31" s="6"/>
      <c r="F31" s="6"/>
      <c r="G31" s="6"/>
      <c r="H31" s="6"/>
      <c r="I31" s="6"/>
      <c r="J31" s="6"/>
      <c r="K31" s="6" t="s">
        <v>83</v>
      </c>
      <c r="L31" s="6" t="s">
        <v>84</v>
      </c>
      <c r="M31" s="6"/>
      <c r="N31" s="6"/>
      <c r="O31" s="6"/>
      <c r="P31" s="6"/>
      <c r="Q31" s="11"/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/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2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5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56</v>
      </c>
      <c r="AD31" s="6" t="s">
        <v>56</v>
      </c>
      <c r="AE31" s="6" t="s">
        <v>56</v>
      </c>
    </row>
    <row r="32" spans="1:31" s="6" customFormat="1" x14ac:dyDescent="0.25">
      <c r="A32" s="6" t="s">
        <v>118</v>
      </c>
      <c r="B32" s="6" t="s">
        <v>128</v>
      </c>
      <c r="C32" s="6" t="s">
        <v>125</v>
      </c>
      <c r="D32" s="6"/>
      <c r="E32" s="6"/>
      <c r="F32" s="6"/>
      <c r="G32" s="6"/>
      <c r="H32" s="6"/>
      <c r="I32" s="6"/>
      <c r="J32" s="6"/>
      <c r="K32" s="6" t="s">
        <v>83</v>
      </c>
      <c r="L32" s="6" t="s">
        <v>84</v>
      </c>
      <c r="M32" s="6"/>
      <c r="N32" s="6"/>
      <c r="O32" s="6"/>
      <c r="P32" s="6"/>
      <c r="Q32" s="11"/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/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5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2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5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56</v>
      </c>
      <c r="AD32" s="6" t="s">
        <v>56</v>
      </c>
      <c r="AE32" s="6" t="s">
        <v>56</v>
      </c>
    </row>
    <row r="33" spans="1:31" s="6" customFormat="1" x14ac:dyDescent="0.25">
      <c r="A33" s="6" t="s">
        <v>118</v>
      </c>
      <c r="B33" s="6" t="s">
        <v>128</v>
      </c>
      <c r="C33" s="6" t="s">
        <v>129</v>
      </c>
      <c r="D33" s="6"/>
      <c r="E33" s="6"/>
      <c r="F33" s="6"/>
      <c r="G33" s="6"/>
      <c r="H33" s="6"/>
      <c r="I33" s="6"/>
      <c r="J33" s="6"/>
      <c r="K33" s="6" t="s">
        <v>83</v>
      </c>
      <c r="L33" s="6" t="s">
        <v>84</v>
      </c>
      <c r="M33" s="6"/>
      <c r="N33" s="6"/>
      <c r="O33" s="6"/>
      <c r="P33" s="6"/>
      <c r="Q33" s="11"/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/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3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2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>
        <v>5</v>
      </c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56</v>
      </c>
      <c r="AD33" s="6" t="s">
        <v>56</v>
      </c>
      <c r="AE33" s="6" t="s">
        <v>56</v>
      </c>
    </row>
    <row r="34" spans="1:31" s="6" customFormat="1" x14ac:dyDescent="0.25">
      <c r="A34" s="6" t="s">
        <v>118</v>
      </c>
      <c r="B34" s="6" t="s">
        <v>130</v>
      </c>
      <c r="C34" s="6" t="s">
        <v>131</v>
      </c>
      <c r="D34" s="6"/>
      <c r="E34" s="6"/>
      <c r="F34" s="6"/>
      <c r="G34" s="6"/>
      <c r="H34" s="6"/>
      <c r="I34" s="6"/>
      <c r="J34" s="6"/>
      <c r="K34" s="6" t="s">
        <v>83</v>
      </c>
      <c r="L34" s="6" t="s">
        <v>84</v>
      </c>
      <c r="M34" s="6"/>
      <c r="N34" s="6"/>
      <c r="O34" s="6"/>
      <c r="P34" s="6"/>
      <c r="Q34" s="11"/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/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5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2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>
        <v>3</v>
      </c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56</v>
      </c>
      <c r="AD34" s="6" t="s">
        <v>56</v>
      </c>
      <c r="AE34" s="6" t="s">
        <v>56</v>
      </c>
    </row>
    <row r="35" spans="1:31" s="6" customFormat="1" x14ac:dyDescent="0.25">
      <c r="A35" s="6" t="s">
        <v>118</v>
      </c>
      <c r="B35" s="6" t="s">
        <v>130</v>
      </c>
      <c r="C35" s="6" t="s">
        <v>132</v>
      </c>
      <c r="D35" s="6"/>
      <c r="E35" s="6"/>
      <c r="F35" s="6"/>
      <c r="G35" s="6"/>
      <c r="H35" s="6"/>
      <c r="I35" s="6"/>
      <c r="J35" s="6"/>
      <c r="K35" s="6" t="s">
        <v>83</v>
      </c>
      <c r="L35" s="6" t="s">
        <v>84</v>
      </c>
      <c r="M35" s="6"/>
      <c r="N35" s="6"/>
      <c r="O35" s="6"/>
      <c r="P35" s="6"/>
      <c r="Q35" s="11"/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/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3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2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3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56</v>
      </c>
      <c r="AD35" s="6" t="s">
        <v>56</v>
      </c>
      <c r="AE35" s="6" t="s">
        <v>56</v>
      </c>
    </row>
    <row r="36" spans="1:31" s="6" customFormat="1" x14ac:dyDescent="0.25">
      <c r="A36" s="6" t="s">
        <v>118</v>
      </c>
      <c r="B36" s="6" t="s">
        <v>130</v>
      </c>
      <c r="C36" s="6" t="s">
        <v>133</v>
      </c>
      <c r="D36" s="6"/>
      <c r="E36" s="6"/>
      <c r="F36" s="6"/>
      <c r="G36" s="6"/>
      <c r="H36" s="6"/>
      <c r="I36" s="6"/>
      <c r="J36" s="6"/>
      <c r="K36" s="6" t="s">
        <v>83</v>
      </c>
      <c r="L36" s="6" t="s">
        <v>84</v>
      </c>
      <c r="M36" s="6"/>
      <c r="N36" s="6"/>
      <c r="O36" s="6"/>
      <c r="P36" s="6"/>
      <c r="Q36" s="11"/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/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3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2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3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56</v>
      </c>
      <c r="AD36" s="6" t="s">
        <v>56</v>
      </c>
      <c r="AE36" s="6" t="s">
        <v>56</v>
      </c>
    </row>
    <row r="37" spans="1:31" s="6" customFormat="1" x14ac:dyDescent="0.25">
      <c r="A37" s="6" t="s">
        <v>118</v>
      </c>
      <c r="B37" s="6" t="s">
        <v>134</v>
      </c>
      <c r="D37" s="6"/>
      <c r="E37" s="6"/>
      <c r="F37" s="6"/>
      <c r="G37" s="6"/>
      <c r="H37" s="6"/>
      <c r="I37" s="6"/>
      <c r="J37" s="6"/>
      <c r="K37" s="6" t="s">
        <v>83</v>
      </c>
      <c r="L37" s="6" t="s">
        <v>84</v>
      </c>
      <c r="M37" s="6"/>
      <c r="N37" s="6"/>
      <c r="O37" s="6"/>
      <c r="P37" s="6"/>
      <c r="Q37" s="11"/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/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13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5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5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56</v>
      </c>
      <c r="AD37" s="6" t="s">
        <v>56</v>
      </c>
      <c r="AE37" s="6" t="s">
        <v>56</v>
      </c>
    </row>
    <row r="38" spans="1:31" s="6" customFormat="1" x14ac:dyDescent="0.25">
      <c r="A38" s="6" t="s">
        <v>135</v>
      </c>
      <c r="B38" s="6" t="s">
        <v>136</v>
      </c>
      <c r="C38" s="6" t="s">
        <v>137</v>
      </c>
      <c r="D38" s="6"/>
      <c r="E38" s="6"/>
      <c r="F38" s="6"/>
      <c r="G38" s="6"/>
      <c r="H38" s="6"/>
      <c r="I38" s="6"/>
      <c r="J38" s="6"/>
      <c r="K38" s="6" t="s">
        <v>83</v>
      </c>
      <c r="L38" s="6" t="s">
        <v>84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3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1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0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56</v>
      </c>
      <c r="AD38" s="6" t="s">
        <v>56</v>
      </c>
      <c r="AE38" s="6" t="s">
        <v>56</v>
      </c>
    </row>
    <row r="39" spans="1:31" s="6" customFormat="1" x14ac:dyDescent="0.25">
      <c r="A39" s="6" t="s">
        <v>135</v>
      </c>
      <c r="B39" s="6" t="s">
        <v>136</v>
      </c>
      <c r="C39" s="6" t="s">
        <v>138</v>
      </c>
      <c r="D39" s="6"/>
      <c r="E39" s="6"/>
      <c r="F39" s="6"/>
      <c r="G39" s="6"/>
      <c r="H39" s="6"/>
      <c r="I39" s="6"/>
      <c r="J39" s="6"/>
      <c r="K39" s="6" t="s">
        <v>83</v>
      </c>
      <c r="L39" s="6" t="s">
        <v>84</v>
      </c>
      <c r="M39" s="6"/>
      <c r="N39" s="6"/>
      <c r="O39" s="6"/>
      <c r="P39" s="6"/>
      <c r="Q39" s="11"/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/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1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0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56</v>
      </c>
      <c r="AD39" s="6" t="s">
        <v>56</v>
      </c>
      <c r="AE39" s="6" t="s">
        <v>56</v>
      </c>
    </row>
    <row r="40" spans="1:31" s="6" customFormat="1" x14ac:dyDescent="0.25">
      <c r="A40" s="6" t="s">
        <v>135</v>
      </c>
      <c r="B40" s="6" t="s">
        <v>139</v>
      </c>
      <c r="C40" s="6" t="s">
        <v>140</v>
      </c>
      <c r="D40" s="6"/>
      <c r="E40" s="6"/>
      <c r="F40" s="6"/>
      <c r="G40" s="6"/>
      <c r="H40" s="6"/>
      <c r="I40" s="6"/>
      <c r="J40" s="6"/>
      <c r="K40" s="6" t="s">
        <v>83</v>
      </c>
      <c r="L40" s="6" t="s">
        <v>84</v>
      </c>
      <c r="M40" s="6"/>
      <c r="N40" s="6"/>
      <c r="O40" s="6"/>
      <c r="P40" s="6"/>
      <c r="Q40" s="11"/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/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2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2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0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56</v>
      </c>
      <c r="AD40" s="6" t="s">
        <v>56</v>
      </c>
      <c r="AE40" s="6" t="s">
        <v>56</v>
      </c>
    </row>
    <row r="41" spans="1:31" s="6" customFormat="1" x14ac:dyDescent="0.25">
      <c r="A41" s="6" t="s">
        <v>135</v>
      </c>
      <c r="B41" s="6" t="s">
        <v>139</v>
      </c>
      <c r="C41" s="6" t="s">
        <v>141</v>
      </c>
      <c r="D41" s="6"/>
      <c r="E41" s="6"/>
      <c r="F41" s="6"/>
      <c r="G41" s="6"/>
      <c r="H41" s="6"/>
      <c r="I41" s="6"/>
      <c r="J41" s="6"/>
      <c r="K41" s="6" t="s">
        <v>83</v>
      </c>
      <c r="L41" s="6" t="s">
        <v>84</v>
      </c>
      <c r="M41" s="6"/>
      <c r="N41" s="6"/>
      <c r="O41" s="6"/>
      <c r="P41" s="6"/>
      <c r="Q41" s="11"/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/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2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2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0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56</v>
      </c>
      <c r="AD41" s="6" t="s">
        <v>56</v>
      </c>
      <c r="AE41" s="6" t="s">
        <v>56</v>
      </c>
    </row>
    <row r="42" spans="1:31" s="6" customFormat="1" x14ac:dyDescent="0.25">
      <c r="A42" s="6" t="s">
        <v>135</v>
      </c>
      <c r="B42" s="6" t="s">
        <v>139</v>
      </c>
      <c r="C42" s="6" t="s">
        <v>142</v>
      </c>
      <c r="D42" s="6"/>
      <c r="E42" s="6"/>
      <c r="F42" s="6"/>
      <c r="G42" s="6"/>
      <c r="H42" s="6"/>
      <c r="I42" s="6"/>
      <c r="J42" s="6"/>
      <c r="K42" s="6" t="s">
        <v>83</v>
      </c>
      <c r="L42" s="6" t="s">
        <v>84</v>
      </c>
      <c r="M42" s="6"/>
      <c r="N42" s="6"/>
      <c r="O42" s="6"/>
      <c r="P42" s="6"/>
      <c r="Q42" s="11"/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/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2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2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>
        <v>0</v>
      </c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56</v>
      </c>
      <c r="AD42" s="6" t="s">
        <v>56</v>
      </c>
      <c r="AE42" s="6" t="s">
        <v>56</v>
      </c>
    </row>
    <row r="43" spans="1:31" s="6" customFormat="1" x14ac:dyDescent="0.25">
      <c r="A43" s="6" t="s">
        <v>135</v>
      </c>
      <c r="B43" s="6" t="s">
        <v>139</v>
      </c>
      <c r="C43" s="6" t="s">
        <v>143</v>
      </c>
      <c r="D43" s="6"/>
      <c r="E43" s="6"/>
      <c r="F43" s="6"/>
      <c r="G43" s="6"/>
      <c r="H43" s="6"/>
      <c r="I43" s="6"/>
      <c r="J43" s="6"/>
      <c r="K43" s="6" t="s">
        <v>83</v>
      </c>
      <c r="L43" s="6" t="s">
        <v>84</v>
      </c>
      <c r="M43" s="6"/>
      <c r="N43" s="6"/>
      <c r="O43" s="6"/>
      <c r="P43" s="6"/>
      <c r="Q43" s="11"/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/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2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2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>
        <v>0</v>
      </c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56</v>
      </c>
      <c r="AD43" s="6" t="s">
        <v>56</v>
      </c>
      <c r="AE43" s="6" t="s">
        <v>56</v>
      </c>
    </row>
    <row r="44" spans="1:31" s="6" customFormat="1" x14ac:dyDescent="0.25">
      <c r="A44" s="6" t="s">
        <v>135</v>
      </c>
      <c r="B44" s="6" t="s">
        <v>139</v>
      </c>
      <c r="C44" s="6" t="s">
        <v>144</v>
      </c>
      <c r="D44" s="6"/>
      <c r="E44" s="6"/>
      <c r="F44" s="6"/>
      <c r="G44" s="6"/>
      <c r="H44" s="6"/>
      <c r="I44" s="6"/>
      <c r="J44" s="6"/>
      <c r="K44" s="6" t="s">
        <v>83</v>
      </c>
      <c r="L44" s="6" t="s">
        <v>84</v>
      </c>
      <c r="M44" s="6"/>
      <c r="N44" s="6"/>
      <c r="O44" s="6"/>
      <c r="P44" s="6"/>
      <c r="Q44" s="11"/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/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2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2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0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56</v>
      </c>
      <c r="AD44" s="6" t="s">
        <v>56</v>
      </c>
      <c r="AE44" s="6" t="s">
        <v>56</v>
      </c>
    </row>
    <row r="45" spans="1:31" s="6" customFormat="1" x14ac:dyDescent="0.25">
      <c r="A45" s="6" t="s">
        <v>135</v>
      </c>
      <c r="B45" s="6" t="s">
        <v>139</v>
      </c>
      <c r="C45" s="6" t="s">
        <v>145</v>
      </c>
      <c r="D45" s="6"/>
      <c r="E45" s="6"/>
      <c r="F45" s="6"/>
      <c r="G45" s="6"/>
      <c r="H45" s="6"/>
      <c r="I45" s="6"/>
      <c r="J45" s="6"/>
      <c r="K45" s="6" t="s">
        <v>83</v>
      </c>
      <c r="L45" s="6" t="s">
        <v>84</v>
      </c>
      <c r="M45" s="6"/>
      <c r="N45" s="6"/>
      <c r="O45" s="6"/>
      <c r="P45" s="6"/>
      <c r="Q45" s="11"/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/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1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2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0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56</v>
      </c>
      <c r="AD45" s="6" t="s">
        <v>56</v>
      </c>
      <c r="AE45" s="6" t="s">
        <v>56</v>
      </c>
    </row>
    <row r="46" spans="1:31" s="13" customFormat="1" x14ac:dyDescent="0.25">
      <c r="A46" s="13" t="s">
        <v>146</v>
      </c>
      <c r="B46" s="13" t="s">
        <v>147</v>
      </c>
      <c r="D46" s="13" t="s">
        <v>148</v>
      </c>
      <c r="E46" s="13"/>
      <c r="F46" s="13"/>
      <c r="G46" s="13"/>
      <c r="H46" s="13"/>
      <c r="I46" s="13"/>
      <c r="J46" s="13"/>
      <c r="K46" s="13" t="s">
        <v>83</v>
      </c>
      <c r="L46" s="13" t="s">
        <v>84</v>
      </c>
      <c r="M46" s="13"/>
      <c r="N46" s="13"/>
      <c r="O46" s="13"/>
      <c r="P46" s="13"/>
      <c r="Q46" s="13">
        <v>3</v>
      </c>
      <c r="R46" s="13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3">
        <v>3</v>
      </c>
      <c r="T46" s="13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3">
        <v>21</v>
      </c>
      <c r="V46" s="13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3">
        <v>21</v>
      </c>
      <c r="X46" s="13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3">
        <v>21</v>
      </c>
      <c r="Z46" s="13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13">
        <f>SUM(V46,X46,Z46)</f>
      </c>
      <c r="AB46" s="13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13" t="s">
        <v>56</v>
      </c>
      <c r="AD46" s="13" t="s">
        <v>56</v>
      </c>
      <c r="AE46" s="13" t="s">
        <v>56</v>
      </c>
    </row>
    <row r="47" spans="1:31" s="6" customFormat="1" x14ac:dyDescent="0.25">
      <c r="A47" s="6" t="s">
        <v>146</v>
      </c>
      <c r="B47" s="6" t="s">
        <v>149</v>
      </c>
      <c r="C47" s="6" t="s">
        <v>150</v>
      </c>
      <c r="D47" s="6"/>
      <c r="E47" s="6"/>
      <c r="F47" s="6"/>
      <c r="G47" s="6"/>
      <c r="H47" s="6"/>
      <c r="I47" s="6"/>
      <c r="J47" s="6"/>
      <c r="K47" s="6" t="s">
        <v>83</v>
      </c>
      <c r="L47" s="6" t="s">
        <v>84</v>
      </c>
      <c r="M47" s="6"/>
      <c r="N47" s="6"/>
      <c r="O47" s="6"/>
      <c r="P47" s="6"/>
      <c r="Q47" s="11"/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/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5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0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0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56</v>
      </c>
      <c r="AD47" s="6" t="s">
        <v>56</v>
      </c>
      <c r="AE47" s="6" t="s">
        <v>56</v>
      </c>
    </row>
    <row r="48" spans="1:31" s="6" customFormat="1" x14ac:dyDescent="0.25">
      <c r="A48" s="6" t="s">
        <v>146</v>
      </c>
      <c r="B48" s="6" t="s">
        <v>149</v>
      </c>
      <c r="C48" s="6" t="s">
        <v>151</v>
      </c>
      <c r="D48" s="6"/>
      <c r="E48" s="6"/>
      <c r="F48" s="6"/>
      <c r="G48" s="6"/>
      <c r="H48" s="6"/>
      <c r="I48" s="6"/>
      <c r="J48" s="6"/>
      <c r="K48" s="6" t="s">
        <v>83</v>
      </c>
      <c r="L48" s="6" t="s">
        <v>84</v>
      </c>
      <c r="M48" s="6"/>
      <c r="N48" s="6"/>
      <c r="O48" s="6"/>
      <c r="P48" s="6"/>
      <c r="Q48" s="11"/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/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3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0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>
        <v>0</v>
      </c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56</v>
      </c>
      <c r="AD48" s="6" t="s">
        <v>56</v>
      </c>
      <c r="AE48" s="6" t="s">
        <v>56</v>
      </c>
    </row>
    <row r="49" spans="1:31" s="6" customFormat="1" x14ac:dyDescent="0.25">
      <c r="A49" s="6" t="s">
        <v>146</v>
      </c>
      <c r="B49" s="6" t="s">
        <v>149</v>
      </c>
      <c r="C49" s="6" t="s">
        <v>152</v>
      </c>
      <c r="D49" s="6"/>
      <c r="E49" s="6"/>
      <c r="F49" s="6"/>
      <c r="G49" s="6"/>
      <c r="H49" s="6"/>
      <c r="I49" s="6"/>
      <c r="J49" s="6"/>
      <c r="K49" s="6" t="s">
        <v>83</v>
      </c>
      <c r="L49" s="6" t="s">
        <v>84</v>
      </c>
      <c r="M49" s="6"/>
      <c r="N49" s="6"/>
      <c r="O49" s="6"/>
      <c r="P49" s="6"/>
      <c r="Q49" s="11"/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/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5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3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>
        <v>5</v>
      </c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56</v>
      </c>
      <c r="AD49" s="6" t="s">
        <v>56</v>
      </c>
      <c r="AE49" s="6" t="s">
        <v>56</v>
      </c>
    </row>
    <row r="50" spans="1:31" s="13" customFormat="1" x14ac:dyDescent="0.25">
      <c r="A50" s="13" t="s">
        <v>146</v>
      </c>
      <c r="B50" s="13" t="s">
        <v>153</v>
      </c>
      <c r="C50" s="13" t="s">
        <v>154</v>
      </c>
      <c r="D50" s="13" t="s">
        <v>155</v>
      </c>
      <c r="E50" s="13"/>
      <c r="F50" s="13"/>
      <c r="G50" s="13"/>
      <c r="H50" s="13"/>
      <c r="I50" s="13"/>
      <c r="J50" s="13"/>
      <c r="K50" s="13" t="s">
        <v>83</v>
      </c>
      <c r="L50" s="13" t="s">
        <v>84</v>
      </c>
      <c r="M50" s="13"/>
      <c r="N50" s="13"/>
      <c r="O50" s="13"/>
      <c r="P50" s="13"/>
      <c r="Q50" s="13"/>
      <c r="R50" s="13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3"/>
      <c r="T50" s="13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3">
        <v>8</v>
      </c>
      <c r="V50" s="13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3">
        <v>0</v>
      </c>
      <c r="X50" s="13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3">
        <v>0</v>
      </c>
      <c r="Z50" s="13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13">
        <f>SUM(V50,X50,Z50)</f>
      </c>
      <c r="AB50" s="13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13" t="s">
        <v>56</v>
      </c>
      <c r="AD50" s="13" t="s">
        <v>56</v>
      </c>
      <c r="AE50" s="13" t="s">
        <v>56</v>
      </c>
    </row>
    <row r="51" spans="1:31" s="13" customFormat="1" x14ac:dyDescent="0.25">
      <c r="A51" s="13" t="s">
        <v>146</v>
      </c>
      <c r="B51" s="13" t="s">
        <v>153</v>
      </c>
      <c r="C51" s="13" t="s">
        <v>156</v>
      </c>
      <c r="D51" s="13"/>
      <c r="E51" s="13"/>
      <c r="F51" s="13"/>
      <c r="G51" s="13"/>
      <c r="H51" s="13"/>
      <c r="I51" s="13"/>
      <c r="J51" s="13"/>
      <c r="K51" s="13" t="s">
        <v>83</v>
      </c>
      <c r="L51" s="13" t="s">
        <v>84</v>
      </c>
      <c r="M51" s="13"/>
      <c r="N51" s="13"/>
      <c r="O51" s="13"/>
      <c r="P51" s="13"/>
      <c r="Q51" s="13"/>
      <c r="R51" s="13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3"/>
      <c r="T51" s="13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3"/>
      <c r="V51" s="13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3"/>
      <c r="X51" s="13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3"/>
      <c r="Z51" s="13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13">
        <f>SUM(V51,X51,Z51)</f>
      </c>
      <c r="AB51" s="13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13" t="s">
        <v>56</v>
      </c>
      <c r="AD51" s="13" t="s">
        <v>56</v>
      </c>
      <c r="AE51" s="13" t="s">
        <v>56</v>
      </c>
    </row>
    <row r="52" spans="1:31" s="13" customFormat="1" x14ac:dyDescent="0.25">
      <c r="A52" s="13" t="s">
        <v>146</v>
      </c>
      <c r="B52" s="13" t="s">
        <v>153</v>
      </c>
      <c r="C52" s="13" t="s">
        <v>157</v>
      </c>
      <c r="D52" s="13"/>
      <c r="E52" s="13"/>
      <c r="F52" s="13"/>
      <c r="G52" s="13"/>
      <c r="H52" s="13"/>
      <c r="I52" s="13"/>
      <c r="J52" s="13"/>
      <c r="K52" s="13" t="s">
        <v>83</v>
      </c>
      <c r="L52" s="13" t="s">
        <v>84</v>
      </c>
      <c r="M52" s="13"/>
      <c r="N52" s="13"/>
      <c r="O52" s="13"/>
      <c r="P52" s="13"/>
      <c r="Q52" s="13"/>
      <c r="R52" s="13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3"/>
      <c r="T52" s="13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3"/>
      <c r="V52" s="13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3"/>
      <c r="X52" s="13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3"/>
      <c r="Z52" s="13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13">
        <f>SUM(V52,X52,Z52)</f>
      </c>
      <c r="AB52" s="13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13" t="s">
        <v>56</v>
      </c>
      <c r="AD52" s="13" t="s">
        <v>56</v>
      </c>
      <c r="AE52" s="13" t="s">
        <v>56</v>
      </c>
    </row>
    <row r="53" spans="1:31" s="6" customFormat="1" x14ac:dyDescent="0.25">
      <c r="A53" s="6" t="s">
        <v>146</v>
      </c>
      <c r="B53" s="6" t="s">
        <v>153</v>
      </c>
      <c r="C53" s="6" t="s">
        <v>158</v>
      </c>
      <c r="D53" s="6"/>
      <c r="E53" s="6"/>
      <c r="F53" s="6"/>
      <c r="G53" s="6"/>
      <c r="H53" s="6"/>
      <c r="I53" s="6"/>
      <c r="J53" s="6"/>
      <c r="K53" s="6" t="s">
        <v>83</v>
      </c>
      <c r="L53" s="6" t="s">
        <v>84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5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1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>
        <v>5</v>
      </c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56</v>
      </c>
      <c r="AD53" s="6" t="s">
        <v>56</v>
      </c>
      <c r="AE53" s="6" t="s">
        <v>56</v>
      </c>
    </row>
    <row r="54" spans="1:31" s="6" customFormat="1" x14ac:dyDescent="0.25">
      <c r="A54" s="6" t="s">
        <v>146</v>
      </c>
      <c r="B54" s="6" t="s">
        <v>153</v>
      </c>
      <c r="C54" s="6" t="s">
        <v>159</v>
      </c>
      <c r="D54" s="6"/>
      <c r="E54" s="6"/>
      <c r="F54" s="6"/>
      <c r="G54" s="6"/>
      <c r="H54" s="6"/>
      <c r="I54" s="6"/>
      <c r="J54" s="6"/>
      <c r="K54" s="6" t="s">
        <v>83</v>
      </c>
      <c r="L54" s="6" t="s">
        <v>84</v>
      </c>
      <c r="M54" s="6"/>
      <c r="N54" s="6"/>
      <c r="O54" s="6"/>
      <c r="P54" s="6"/>
      <c r="Q54" s="11"/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/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2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1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>
        <v>3</v>
      </c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56</v>
      </c>
      <c r="AD54" s="6" t="s">
        <v>56</v>
      </c>
      <c r="AE54" s="6" t="s">
        <v>56</v>
      </c>
    </row>
    <row r="55" spans="1:31" s="6" customFormat="1" x14ac:dyDescent="0.25">
      <c r="A55" s="6" t="s">
        <v>146</v>
      </c>
      <c r="B55" s="6" t="s">
        <v>153</v>
      </c>
      <c r="C55" s="6" t="s">
        <v>160</v>
      </c>
      <c r="D55" s="6"/>
      <c r="E55" s="6"/>
      <c r="F55" s="6"/>
      <c r="G55" s="6"/>
      <c r="H55" s="6"/>
      <c r="I55" s="6"/>
      <c r="J55" s="6"/>
      <c r="K55" s="6" t="s">
        <v>83</v>
      </c>
      <c r="L55" s="6" t="s">
        <v>84</v>
      </c>
      <c r="M55" s="6"/>
      <c r="N55" s="6"/>
      <c r="O55" s="6"/>
      <c r="P55" s="6"/>
      <c r="Q55" s="11"/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/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>
        <v>2</v>
      </c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>
        <v>1</v>
      </c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>
        <v>5</v>
      </c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56</v>
      </c>
      <c r="AD55" s="6" t="s">
        <v>56</v>
      </c>
      <c r="AE55" s="6" t="s">
        <v>56</v>
      </c>
    </row>
    <row r="56" spans="1:31" s="13" customFormat="1" x14ac:dyDescent="0.25">
      <c r="A56" s="13" t="s">
        <v>146</v>
      </c>
      <c r="B56" s="13" t="s">
        <v>161</v>
      </c>
      <c r="D56" s="13"/>
      <c r="E56" s="13"/>
      <c r="F56" s="13"/>
      <c r="G56" s="13"/>
      <c r="H56" s="13"/>
      <c r="I56" s="13"/>
      <c r="J56" s="13"/>
      <c r="K56" s="13" t="s">
        <v>83</v>
      </c>
      <c r="L56" s="13" t="s">
        <v>84</v>
      </c>
      <c r="M56" s="13"/>
      <c r="N56" s="13"/>
      <c r="O56" s="13"/>
      <c r="P56" s="13"/>
      <c r="Q56" s="13"/>
      <c r="R56" s="13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3"/>
      <c r="T56" s="13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3"/>
      <c r="V56" s="13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3"/>
      <c r="X56" s="13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3"/>
      <c r="Z56" s="13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13">
        <f>SUM(V56,X56,Z56)</f>
      </c>
      <c r="AB56" s="13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13" t="s">
        <v>56</v>
      </c>
      <c r="AD56" s="13" t="s">
        <v>56</v>
      </c>
      <c r="AE56" s="13" t="s">
        <v>56</v>
      </c>
    </row>
    <row r="57" spans="1:31" s="13" customFormat="1" x14ac:dyDescent="0.25">
      <c r="A57" s="13" t="s">
        <v>146</v>
      </c>
      <c r="B57" s="13" t="s">
        <v>162</v>
      </c>
      <c r="C57" s="13" t="s">
        <v>163</v>
      </c>
      <c r="D57" s="13"/>
      <c r="E57" s="13"/>
      <c r="F57" s="13"/>
      <c r="G57" s="13"/>
      <c r="H57" s="13"/>
      <c r="I57" s="13"/>
      <c r="J57" s="13"/>
      <c r="K57" s="13" t="s">
        <v>83</v>
      </c>
      <c r="L57" s="13" t="s">
        <v>84</v>
      </c>
      <c r="M57" s="13"/>
      <c r="N57" s="13"/>
      <c r="O57" s="13"/>
      <c r="P57" s="13"/>
      <c r="Q57" s="13"/>
      <c r="R57" s="13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3"/>
      <c r="T57" s="13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3"/>
      <c r="V57" s="13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3"/>
      <c r="X57" s="13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3"/>
      <c r="Z57" s="13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13">
        <f>SUM(V57,X57,Z57)</f>
      </c>
      <c r="AB57" s="13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13" t="s">
        <v>56</v>
      </c>
      <c r="AD57" s="13" t="s">
        <v>56</v>
      </c>
      <c r="AE57" s="13" t="s">
        <v>56</v>
      </c>
    </row>
    <row r="58" spans="1:31" s="13" customFormat="1" x14ac:dyDescent="0.25">
      <c r="A58" s="13" t="s">
        <v>146</v>
      </c>
      <c r="B58" s="13" t="s">
        <v>162</v>
      </c>
      <c r="C58" s="13" t="s">
        <v>164</v>
      </c>
      <c r="D58" s="13"/>
      <c r="E58" s="13"/>
      <c r="F58" s="13"/>
      <c r="G58" s="13"/>
      <c r="H58" s="13"/>
      <c r="I58" s="13"/>
      <c r="J58" s="13"/>
      <c r="K58" s="13" t="s">
        <v>83</v>
      </c>
      <c r="L58" s="13" t="s">
        <v>84</v>
      </c>
      <c r="M58" s="13"/>
      <c r="N58" s="13"/>
      <c r="O58" s="13"/>
      <c r="P58" s="13"/>
      <c r="Q58" s="13"/>
      <c r="R58" s="13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3"/>
      <c r="T58" s="13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3"/>
      <c r="V58" s="13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3"/>
      <c r="X58" s="13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3"/>
      <c r="Z58" s="13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13">
        <f>SUM(V58,X58,Z58)</f>
      </c>
      <c r="AB58" s="13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13" t="s">
        <v>56</v>
      </c>
      <c r="AD58" s="13" t="s">
        <v>56</v>
      </c>
      <c r="AE58" s="13" t="s">
        <v>56</v>
      </c>
    </row>
    <row r="59" spans="1:31" s="13" customFormat="1" x14ac:dyDescent="0.25">
      <c r="A59" s="13" t="s">
        <v>146</v>
      </c>
      <c r="B59" s="13" t="s">
        <v>162</v>
      </c>
      <c r="C59" s="13" t="s">
        <v>159</v>
      </c>
      <c r="D59" s="13"/>
      <c r="E59" s="13"/>
      <c r="F59" s="13"/>
      <c r="G59" s="13"/>
      <c r="H59" s="13"/>
      <c r="I59" s="13"/>
      <c r="J59" s="13"/>
      <c r="K59" s="13" t="s">
        <v>83</v>
      </c>
      <c r="L59" s="13" t="s">
        <v>84</v>
      </c>
      <c r="M59" s="13"/>
      <c r="N59" s="13"/>
      <c r="O59" s="13"/>
      <c r="P59" s="13"/>
      <c r="Q59" s="13"/>
      <c r="R59" s="13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3"/>
      <c r="T59" s="13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3"/>
      <c r="V59" s="13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3"/>
      <c r="X59" s="13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3"/>
      <c r="Z59" s="13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13">
        <f>SUM(V59,X59,Z59)</f>
      </c>
      <c r="AB59" s="13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13" t="s">
        <v>56</v>
      </c>
      <c r="AD59" s="13" t="s">
        <v>56</v>
      </c>
      <c r="AE59" s="13" t="s">
        <v>56</v>
      </c>
    </row>
    <row r="60" spans="1:31" s="13" customFormat="1" x14ac:dyDescent="0.25">
      <c r="A60" s="13" t="s">
        <v>146</v>
      </c>
      <c r="B60" s="13" t="s">
        <v>162</v>
      </c>
      <c r="C60" s="13" t="s">
        <v>165</v>
      </c>
      <c r="D60" s="13"/>
      <c r="E60" s="13"/>
      <c r="F60" s="13"/>
      <c r="G60" s="13"/>
      <c r="H60" s="13"/>
      <c r="I60" s="13"/>
      <c r="J60" s="13"/>
      <c r="K60" s="13" t="s">
        <v>83</v>
      </c>
      <c r="L60" s="13" t="s">
        <v>84</v>
      </c>
      <c r="M60" s="13"/>
      <c r="N60" s="13"/>
      <c r="O60" s="13"/>
      <c r="P60" s="13"/>
      <c r="Q60" s="13"/>
      <c r="R60" s="13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3"/>
      <c r="T60" s="13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3"/>
      <c r="V60" s="13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3"/>
      <c r="X60" s="13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3"/>
      <c r="Z60" s="13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13">
        <f>SUM(V60,X60,Z60)</f>
      </c>
      <c r="AB60" s="13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13" t="s">
        <v>56</v>
      </c>
      <c r="AD60" s="13" t="s">
        <v>56</v>
      </c>
      <c r="AE60" s="13" t="s">
        <v>56</v>
      </c>
    </row>
    <row r="61" spans="1:31" s="13" customFormat="1" x14ac:dyDescent="0.25">
      <c r="A61" s="13" t="s">
        <v>146</v>
      </c>
      <c r="B61" s="13" t="s">
        <v>162</v>
      </c>
      <c r="C61" s="13" t="s">
        <v>166</v>
      </c>
      <c r="D61" s="13"/>
      <c r="E61" s="13"/>
      <c r="F61" s="13"/>
      <c r="G61" s="13"/>
      <c r="H61" s="13"/>
      <c r="I61" s="13"/>
      <c r="J61" s="13"/>
      <c r="K61" s="13" t="s">
        <v>83</v>
      </c>
      <c r="L61" s="13" t="s">
        <v>84</v>
      </c>
      <c r="M61" s="13"/>
      <c r="N61" s="13"/>
      <c r="O61" s="13"/>
      <c r="P61" s="13"/>
      <c r="Q61" s="13"/>
      <c r="R61" s="13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3"/>
      <c r="T61" s="13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3"/>
      <c r="V61" s="13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3"/>
      <c r="X61" s="13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3"/>
      <c r="Z61" s="13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13">
        <f>SUM(V61,X61,Z61)</f>
      </c>
      <c r="AB61" s="13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13" t="s">
        <v>56</v>
      </c>
      <c r="AD61" s="13" t="s">
        <v>56</v>
      </c>
      <c r="AE61" s="13" t="s">
        <v>56</v>
      </c>
    </row>
    <row r="62" spans="1:31" s="13" customFormat="1" x14ac:dyDescent="0.25">
      <c r="A62" s="13" t="s">
        <v>146</v>
      </c>
      <c r="B62" s="13" t="s">
        <v>162</v>
      </c>
      <c r="C62" s="13" t="s">
        <v>167</v>
      </c>
      <c r="D62" s="13"/>
      <c r="E62" s="13"/>
      <c r="F62" s="13"/>
      <c r="G62" s="13"/>
      <c r="H62" s="13"/>
      <c r="I62" s="13"/>
      <c r="J62" s="13"/>
      <c r="K62" s="13" t="s">
        <v>83</v>
      </c>
      <c r="L62" s="13" t="s">
        <v>84</v>
      </c>
      <c r="M62" s="13"/>
      <c r="N62" s="13"/>
      <c r="O62" s="13"/>
      <c r="P62" s="13"/>
      <c r="Q62" s="13"/>
      <c r="R62" s="13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3"/>
      <c r="T62" s="13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3"/>
      <c r="V62" s="13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3"/>
      <c r="X62" s="13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3"/>
      <c r="Z62" s="13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13">
        <f>SUM(V62,X62,Z62)</f>
      </c>
      <c r="AB62" s="13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13" t="s">
        <v>56</v>
      </c>
      <c r="AD62" s="13" t="s">
        <v>56</v>
      </c>
      <c r="AE62" s="13" t="s">
        <v>56</v>
      </c>
    </row>
    <row r="63" spans="1:31" s="13" customFormat="1" x14ac:dyDescent="0.25">
      <c r="A63" s="13" t="s">
        <v>146</v>
      </c>
      <c r="B63" s="13" t="s">
        <v>162</v>
      </c>
      <c r="C63" s="13" t="s">
        <v>168</v>
      </c>
      <c r="D63" s="13"/>
      <c r="E63" s="13"/>
      <c r="F63" s="13"/>
      <c r="G63" s="13"/>
      <c r="H63" s="13"/>
      <c r="I63" s="13"/>
      <c r="J63" s="13"/>
      <c r="K63" s="13" t="s">
        <v>83</v>
      </c>
      <c r="L63" s="13" t="s">
        <v>84</v>
      </c>
      <c r="M63" s="13"/>
      <c r="N63" s="13"/>
      <c r="O63" s="13"/>
      <c r="P63" s="13"/>
      <c r="Q63" s="13"/>
      <c r="R63" s="13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3"/>
      <c r="T63" s="13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3"/>
      <c r="V63" s="13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3"/>
      <c r="X63" s="13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3"/>
      <c r="Z63" s="13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13">
        <f>SUM(V63,X63,Z63)</f>
      </c>
      <c r="AB63" s="13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13" t="s">
        <v>56</v>
      </c>
      <c r="AD63" s="13" t="s">
        <v>56</v>
      </c>
      <c r="AE63" s="13" t="s">
        <v>56</v>
      </c>
    </row>
    <row r="64" spans="1:31" s="13" customFormat="1" x14ac:dyDescent="0.25">
      <c r="A64" s="13" t="s">
        <v>146</v>
      </c>
      <c r="B64" s="13" t="s">
        <v>162</v>
      </c>
      <c r="C64" s="13" t="s">
        <v>169</v>
      </c>
      <c r="D64" s="13"/>
      <c r="E64" s="13"/>
      <c r="F64" s="13"/>
      <c r="G64" s="13"/>
      <c r="H64" s="13"/>
      <c r="I64" s="13"/>
      <c r="J64" s="13"/>
      <c r="K64" s="13" t="s">
        <v>83</v>
      </c>
      <c r="L64" s="13" t="s">
        <v>84</v>
      </c>
      <c r="M64" s="13"/>
      <c r="N64" s="13"/>
      <c r="O64" s="13"/>
      <c r="P64" s="13"/>
      <c r="Q64" s="13"/>
      <c r="R64" s="13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3"/>
      <c r="T64" s="13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3"/>
      <c r="V64" s="13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3"/>
      <c r="X64" s="13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3"/>
      <c r="Z64" s="13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13">
        <f>SUM(V64,X64,Z64)</f>
      </c>
      <c r="AB64" s="13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13" t="s">
        <v>56</v>
      </c>
      <c r="AD64" s="13" t="s">
        <v>56</v>
      </c>
      <c r="AE64" s="13" t="s">
        <v>56</v>
      </c>
    </row>
    <row r="65" spans="1:31" s="13" customFormat="1" x14ac:dyDescent="0.25">
      <c r="A65" s="13" t="s">
        <v>146</v>
      </c>
      <c r="B65" s="13" t="s">
        <v>162</v>
      </c>
      <c r="C65" s="13" t="s">
        <v>170</v>
      </c>
      <c r="D65" s="13"/>
      <c r="E65" s="13"/>
      <c r="F65" s="13"/>
      <c r="G65" s="13"/>
      <c r="H65" s="13"/>
      <c r="I65" s="13"/>
      <c r="J65" s="13"/>
      <c r="K65" s="13" t="s">
        <v>83</v>
      </c>
      <c r="L65" s="13" t="s">
        <v>84</v>
      </c>
      <c r="M65" s="13"/>
      <c r="N65" s="13"/>
      <c r="O65" s="13"/>
      <c r="P65" s="13"/>
      <c r="Q65" s="13"/>
      <c r="R65" s="13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3"/>
      <c r="T65" s="13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3"/>
      <c r="V65" s="13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3"/>
      <c r="X65" s="13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3"/>
      <c r="Z65" s="13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13">
        <f>SUM(V65,X65,Z65)</f>
      </c>
      <c r="AB65" s="13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13" t="s">
        <v>56</v>
      </c>
      <c r="AD65" s="13" t="s">
        <v>56</v>
      </c>
      <c r="AE65" s="13" t="s">
        <v>56</v>
      </c>
    </row>
    <row r="66" spans="1:31" s="13" customFormat="1" x14ac:dyDescent="0.25">
      <c r="A66" s="13" t="s">
        <v>146</v>
      </c>
      <c r="B66" s="13" t="s">
        <v>162</v>
      </c>
      <c r="C66" s="13" t="s">
        <v>171</v>
      </c>
      <c r="D66" s="13"/>
      <c r="E66" s="13"/>
      <c r="F66" s="13"/>
      <c r="G66" s="13"/>
      <c r="H66" s="13"/>
      <c r="I66" s="13"/>
      <c r="J66" s="13"/>
      <c r="K66" s="13" t="s">
        <v>83</v>
      </c>
      <c r="L66" s="13" t="s">
        <v>84</v>
      </c>
      <c r="M66" s="13"/>
      <c r="N66" s="13"/>
      <c r="O66" s="13"/>
      <c r="P66" s="13"/>
      <c r="Q66" s="13"/>
      <c r="R66" s="13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3"/>
      <c r="T66" s="13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3"/>
      <c r="V66" s="13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3"/>
      <c r="X66" s="13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3"/>
      <c r="Z66" s="13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13">
        <f>SUM(V66,X66,Z66)</f>
      </c>
      <c r="AB66" s="13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13" t="s">
        <v>56</v>
      </c>
      <c r="AD66" s="13" t="s">
        <v>56</v>
      </c>
      <c r="AE66" s="13" t="s">
        <v>56</v>
      </c>
    </row>
    <row r="67" spans="1:31" s="13" customFormat="1" x14ac:dyDescent="0.25">
      <c r="A67" s="13" t="s">
        <v>146</v>
      </c>
      <c r="B67" s="13" t="s">
        <v>172</v>
      </c>
      <c r="D67" s="13" t="s">
        <v>173</v>
      </c>
      <c r="E67" s="13"/>
      <c r="F67" s="13"/>
      <c r="G67" s="13"/>
      <c r="H67" s="13"/>
      <c r="I67" s="13"/>
      <c r="J67" s="13"/>
      <c r="K67" s="13" t="s">
        <v>83</v>
      </c>
      <c r="L67" s="13" t="s">
        <v>84</v>
      </c>
      <c r="M67" s="13"/>
      <c r="N67" s="13"/>
      <c r="O67" s="13"/>
      <c r="P67" s="13"/>
      <c r="Q67" s="13">
        <v>2</v>
      </c>
      <c r="R67" s="13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3">
        <v>2</v>
      </c>
      <c r="T67" s="13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3">
        <v>8</v>
      </c>
      <c r="V67" s="13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3">
        <v>21</v>
      </c>
      <c r="X67" s="13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3">
        <v>5</v>
      </c>
      <c r="Z67" s="13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13">
        <f>SUM(V67,X67,Z67)</f>
      </c>
      <c r="AB67" s="13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13" t="s">
        <v>56</v>
      </c>
      <c r="AD67" s="13" t="s">
        <v>56</v>
      </c>
      <c r="AE67" s="13" t="s">
        <v>56</v>
      </c>
    </row>
    <row r="68" spans="1:31" s="13" customFormat="1" x14ac:dyDescent="0.25">
      <c r="A68" s="13" t="s">
        <v>146</v>
      </c>
      <c r="B68" s="13" t="s">
        <v>174</v>
      </c>
      <c r="D68" s="13" t="s">
        <v>175</v>
      </c>
      <c r="E68" s="13"/>
      <c r="F68" s="13"/>
      <c r="G68" s="13"/>
      <c r="H68" s="13"/>
      <c r="I68" s="13"/>
      <c r="J68" s="13"/>
      <c r="K68" s="13" t="s">
        <v>83</v>
      </c>
      <c r="L68" s="13" t="s">
        <v>84</v>
      </c>
      <c r="M68" s="13"/>
      <c r="N68" s="13"/>
      <c r="O68" s="13"/>
      <c r="P68" s="13"/>
      <c r="Q68" s="13">
        <v>2</v>
      </c>
      <c r="R68" s="13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3">
        <v>2</v>
      </c>
      <c r="T68" s="13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3">
        <v>5</v>
      </c>
      <c r="V68" s="13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3">
        <v>5</v>
      </c>
      <c r="X68" s="13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3">
        <v>5</v>
      </c>
      <c r="Z68" s="13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13">
        <f>SUM(V68,X68,Z68)</f>
      </c>
      <c r="AB68" s="13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13" t="s">
        <v>56</v>
      </c>
      <c r="AD68" s="13" t="s">
        <v>56</v>
      </c>
      <c r="AE68" s="13" t="s">
        <v>56</v>
      </c>
    </row>
    <row r="69" spans="1:31" s="13" customFormat="1" x14ac:dyDescent="0.25">
      <c r="A69" s="13" t="s">
        <v>146</v>
      </c>
      <c r="B69" s="13" t="s">
        <v>176</v>
      </c>
      <c r="D69" s="13"/>
      <c r="E69" s="13"/>
      <c r="F69" s="13"/>
      <c r="G69" s="13"/>
      <c r="H69" s="13"/>
      <c r="I69" s="13"/>
      <c r="J69" s="13"/>
      <c r="K69" s="13" t="s">
        <v>83</v>
      </c>
      <c r="L69" s="13" t="s">
        <v>84</v>
      </c>
      <c r="M69" s="13"/>
      <c r="N69" s="13"/>
      <c r="O69" s="13"/>
      <c r="P69" s="13"/>
      <c r="Q69" s="13">
        <v>3</v>
      </c>
      <c r="R69" s="13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3">
        <v>3</v>
      </c>
      <c r="T69" s="13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3">
        <v>3</v>
      </c>
      <c r="V69" s="13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3">
        <v>5</v>
      </c>
      <c r="X69" s="13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3">
        <v>8</v>
      </c>
      <c r="Z69" s="13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13">
        <f>SUM(V69,X69,Z69)</f>
      </c>
      <c r="AB69" s="13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13" t="s">
        <v>56</v>
      </c>
      <c r="AD69" s="13" t="s">
        <v>56</v>
      </c>
      <c r="AE69" s="13" t="s">
        <v>56</v>
      </c>
    </row>
    <row r="70" spans="1:31" s="13" customFormat="1" x14ac:dyDescent="0.25">
      <c r="A70" s="13" t="s">
        <v>146</v>
      </c>
      <c r="B70" s="13" t="s">
        <v>177</v>
      </c>
      <c r="C70" s="13" t="s">
        <v>178</v>
      </c>
      <c r="D70" s="13"/>
      <c r="E70" s="13"/>
      <c r="F70" s="13"/>
      <c r="G70" s="13"/>
      <c r="H70" s="13"/>
      <c r="I70" s="13"/>
      <c r="J70" s="13"/>
      <c r="K70" s="13" t="s">
        <v>83</v>
      </c>
      <c r="L70" s="13" t="s">
        <v>84</v>
      </c>
      <c r="M70" s="13"/>
      <c r="N70" s="13"/>
      <c r="O70" s="13"/>
      <c r="P70" s="13"/>
      <c r="Q70" s="13">
        <v>2</v>
      </c>
      <c r="R70" s="13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3">
        <v>2</v>
      </c>
      <c r="T70" s="13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3">
        <v>5</v>
      </c>
      <c r="V70" s="13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3">
        <v>5</v>
      </c>
      <c r="X70" s="13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3">
        <v>5</v>
      </c>
      <c r="Z70" s="13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13">
        <f>SUM(V70,X70,Z70)</f>
      </c>
      <c r="AB70" s="13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13" t="s">
        <v>56</v>
      </c>
      <c r="AD70" s="13" t="s">
        <v>56</v>
      </c>
      <c r="AE70" s="13" t="s">
        <v>56</v>
      </c>
    </row>
    <row r="71" spans="1:31" s="13" customFormat="1" x14ac:dyDescent="0.25">
      <c r="A71" s="13" t="s">
        <v>146</v>
      </c>
      <c r="B71" s="13" t="s">
        <v>177</v>
      </c>
      <c r="C71" s="13" t="s">
        <v>179</v>
      </c>
      <c r="D71" s="13"/>
      <c r="E71" s="13"/>
      <c r="F71" s="13"/>
      <c r="G71" s="13"/>
      <c r="H71" s="13"/>
      <c r="I71" s="13"/>
      <c r="J71" s="13"/>
      <c r="K71" s="13" t="s">
        <v>83</v>
      </c>
      <c r="L71" s="13" t="s">
        <v>84</v>
      </c>
      <c r="M71" s="13"/>
      <c r="N71" s="13"/>
      <c r="O71" s="13"/>
      <c r="P71" s="13"/>
      <c r="Q71" s="13">
        <v>2</v>
      </c>
      <c r="R71" s="13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</c>
      <c r="S71" s="13">
        <v>2</v>
      </c>
      <c r="T71" s="13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</c>
      <c r="U71" s="13">
        <v>3</v>
      </c>
      <c r="V71" s="13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</c>
      <c r="W71" s="13">
        <v>5</v>
      </c>
      <c r="X71" s="13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</c>
      <c r="Y71" s="13">
        <v>5</v>
      </c>
      <c r="Z71" s="13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</c>
      <c r="AA71" s="13">
        <f>SUM(V71,X71,Z71)</f>
      </c>
      <c r="AB71" s="13">
        <f>
      Ifs( 
        ISBETWEEN(AA71, 0, 'Points-Table'!C$20, TRUE, False), 'Points-Table'!A$20,
        ISBETWEEN(AA71, 'Points-Table'!C$20, 'Points-Table'!C$21, TRUE, False), 'Points-Table'!A$21,
        ISBETWEEN(AA71, 'Points-Table'!C$22, 10000, TRUE, TRUE), 'Points-Table'!A$22,
        true, 
        0)
      </f>
      </c>
      <c r="AC71" s="13" t="s">
        <v>56</v>
      </c>
      <c r="AD71" s="13" t="s">
        <v>56</v>
      </c>
      <c r="AE71" s="13" t="s">
        <v>56</v>
      </c>
    </row>
    <row r="72" spans="1:31" s="13" customFormat="1" x14ac:dyDescent="0.25">
      <c r="A72" s="13" t="s">
        <v>146</v>
      </c>
      <c r="B72" s="13" t="s">
        <v>180</v>
      </c>
      <c r="D72" s="13"/>
      <c r="E72" s="13"/>
      <c r="F72" s="13"/>
      <c r="G72" s="13"/>
      <c r="H72" s="13"/>
      <c r="I72" s="13"/>
      <c r="J72" s="13"/>
      <c r="K72" s="13" t="s">
        <v>83</v>
      </c>
      <c r="L72" s="13" t="s">
        <v>84</v>
      </c>
      <c r="M72" s="13"/>
      <c r="N72" s="13"/>
      <c r="O72" s="13"/>
      <c r="P72" s="13"/>
      <c r="Q72" s="13"/>
      <c r="R72" s="13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</c>
      <c r="S72" s="13"/>
      <c r="T72" s="13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</c>
      <c r="U72" s="13"/>
      <c r="V72" s="13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</c>
      <c r="W72" s="13"/>
      <c r="X72" s="13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</c>
      <c r="Y72" s="13"/>
      <c r="Z72" s="13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</c>
      <c r="AA72" s="13">
        <f>SUM(V72,X72,Z72)</f>
      </c>
      <c r="AB72" s="13">
        <f>
      Ifs( 
        ISBETWEEN(AA72, 0, 'Points-Table'!C$20, TRUE, False), 'Points-Table'!A$20,
        ISBETWEEN(AA72, 'Points-Table'!C$20, 'Points-Table'!C$21, TRUE, False), 'Points-Table'!A$21,
        ISBETWEEN(AA72, 'Points-Table'!C$22, 10000, TRUE, TRUE), 'Points-Table'!A$22,
        true, 
        0)
      </f>
      </c>
      <c r="AC72" s="13" t="s">
        <v>56</v>
      </c>
      <c r="AD72" s="13" t="s">
        <v>56</v>
      </c>
      <c r="AE72" s="13" t="s">
        <v>56</v>
      </c>
    </row>
    <row r="73" spans="1:31" s="13" customFormat="1" x14ac:dyDescent="0.25">
      <c r="A73" s="13" t="s">
        <v>146</v>
      </c>
      <c r="B73" s="13" t="s">
        <v>138</v>
      </c>
      <c r="C73" s="13" t="s">
        <v>181</v>
      </c>
      <c r="D73" s="13" t="s">
        <v>182</v>
      </c>
      <c r="E73" s="13"/>
      <c r="F73" s="13"/>
      <c r="G73" s="13"/>
      <c r="H73" s="13"/>
      <c r="I73" s="13"/>
      <c r="J73" s="13"/>
      <c r="K73" s="13" t="s">
        <v>83</v>
      </c>
      <c r="L73" s="13" t="s">
        <v>84</v>
      </c>
      <c r="M73" s="13"/>
      <c r="N73" s="13"/>
      <c r="O73" s="13"/>
      <c r="P73" s="13"/>
      <c r="Q73" s="13"/>
      <c r="R73" s="13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</c>
      <c r="S73" s="13"/>
      <c r="T73" s="13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</c>
      <c r="U73" s="13"/>
      <c r="V73" s="13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</c>
      <c r="W73" s="13"/>
      <c r="X73" s="13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</c>
      <c r="Y73" s="13"/>
      <c r="Z73" s="13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</c>
      <c r="AA73" s="13">
        <f>SUM(V73,X73,Z73)</f>
      </c>
      <c r="AB73" s="13">
        <f>
      Ifs( 
        ISBETWEEN(AA73, 0, 'Points-Table'!C$20, TRUE, False), 'Points-Table'!A$20,
        ISBETWEEN(AA73, 'Points-Table'!C$20, 'Points-Table'!C$21, TRUE, False), 'Points-Table'!A$21,
        ISBETWEEN(AA73, 'Points-Table'!C$22, 10000, TRUE, TRUE), 'Points-Table'!A$22,
        true, 
        0)
      </f>
      </c>
      <c r="AC73" s="13" t="s">
        <v>56</v>
      </c>
      <c r="AD73" s="13" t="s">
        <v>56</v>
      </c>
      <c r="AE73" s="13" t="s">
        <v>56</v>
      </c>
    </row>
    <row r="74" spans="1:31" s="13" customFormat="1" x14ac:dyDescent="0.25">
      <c r="A74" s="13" t="s">
        <v>146</v>
      </c>
      <c r="B74" s="13" t="s">
        <v>138</v>
      </c>
      <c r="C74" s="13" t="s">
        <v>183</v>
      </c>
      <c r="D74" s="13"/>
      <c r="E74" s="13"/>
      <c r="F74" s="13"/>
      <c r="G74" s="13"/>
      <c r="H74" s="13"/>
      <c r="I74" s="13"/>
      <c r="J74" s="13"/>
      <c r="K74" s="13" t="s">
        <v>83</v>
      </c>
      <c r="L74" s="13" t="s">
        <v>84</v>
      </c>
      <c r="M74" s="13"/>
      <c r="N74" s="13"/>
      <c r="O74" s="13"/>
      <c r="P74" s="13"/>
      <c r="Q74" s="13"/>
      <c r="R74" s="13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</c>
      <c r="S74" s="13"/>
      <c r="T74" s="13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</c>
      <c r="U74" s="13"/>
      <c r="V74" s="13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</c>
      <c r="W74" s="13"/>
      <c r="X74" s="13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</c>
      <c r="Y74" s="13"/>
      <c r="Z74" s="13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</c>
      <c r="AA74" s="13">
        <f>SUM(V74,X74,Z74)</f>
      </c>
      <c r="AB74" s="13">
        <f>
      Ifs( 
        ISBETWEEN(AA74, 0, 'Points-Table'!C$20, TRUE, False), 'Points-Table'!A$20,
        ISBETWEEN(AA74, 'Points-Table'!C$20, 'Points-Table'!C$21, TRUE, False), 'Points-Table'!A$21,
        ISBETWEEN(AA74, 'Points-Table'!C$22, 10000, TRUE, TRUE), 'Points-Table'!A$22,
        true, 
        0)
      </f>
      </c>
      <c r="AC74" s="13" t="s">
        <v>56</v>
      </c>
      <c r="AD74" s="13" t="s">
        <v>56</v>
      </c>
      <c r="AE74" s="13" t="s">
        <v>56</v>
      </c>
    </row>
    <row r="75" spans="1:31" s="13" customFormat="1" x14ac:dyDescent="0.25">
      <c r="A75" s="13" t="s">
        <v>146</v>
      </c>
      <c r="B75" s="13" t="s">
        <v>138</v>
      </c>
      <c r="C75" s="13" t="s">
        <v>184</v>
      </c>
      <c r="D75" s="13" t="s">
        <v>185</v>
      </c>
      <c r="E75" s="13"/>
      <c r="F75" s="13"/>
      <c r="G75" s="13"/>
      <c r="H75" s="13"/>
      <c r="I75" s="13"/>
      <c r="J75" s="13"/>
      <c r="K75" s="13" t="s">
        <v>83</v>
      </c>
      <c r="L75" s="13" t="s">
        <v>84</v>
      </c>
      <c r="M75" s="13"/>
      <c r="N75" s="13"/>
      <c r="O75" s="13"/>
      <c r="P75" s="13"/>
      <c r="Q75" s="13"/>
      <c r="R75" s="13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</c>
      <c r="S75" s="13"/>
      <c r="T75" s="13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</c>
      <c r="U75" s="13"/>
      <c r="V75" s="13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</c>
      <c r="W75" s="13"/>
      <c r="X75" s="13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</c>
      <c r="Y75" s="13"/>
      <c r="Z75" s="13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</c>
      <c r="AA75" s="13">
        <f>SUM(V75,X75,Z75)</f>
      </c>
      <c r="AB75" s="13">
        <f>
      Ifs( 
        ISBETWEEN(AA75, 0, 'Points-Table'!C$20, TRUE, False), 'Points-Table'!A$20,
        ISBETWEEN(AA75, 'Points-Table'!C$20, 'Points-Table'!C$21, TRUE, False), 'Points-Table'!A$21,
        ISBETWEEN(AA75, 'Points-Table'!C$22, 10000, TRUE, TRUE), 'Points-Table'!A$22,
        true, 
        0)
      </f>
      </c>
      <c r="AC75" s="13" t="s">
        <v>56</v>
      </c>
      <c r="AD75" s="13" t="s">
        <v>56</v>
      </c>
      <c r="AE75" s="13" t="s">
        <v>56</v>
      </c>
    </row>
    <row r="76" spans="1:31" s="13" customFormat="1" x14ac:dyDescent="0.25">
      <c r="A76" s="13" t="s">
        <v>146</v>
      </c>
      <c r="B76" s="13" t="s">
        <v>138</v>
      </c>
      <c r="C76" s="13" t="s">
        <v>186</v>
      </c>
      <c r="D76" s="13"/>
      <c r="E76" s="13"/>
      <c r="F76" s="13"/>
      <c r="G76" s="13"/>
      <c r="H76" s="13"/>
      <c r="I76" s="13"/>
      <c r="J76" s="13"/>
      <c r="K76" s="13" t="s">
        <v>83</v>
      </c>
      <c r="L76" s="13" t="s">
        <v>84</v>
      </c>
      <c r="M76" s="13"/>
      <c r="N76" s="13"/>
      <c r="O76" s="13"/>
      <c r="P76" s="13"/>
      <c r="Q76" s="13"/>
      <c r="R76" s="13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</c>
      <c r="S76" s="13"/>
      <c r="T76" s="13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</c>
      <c r="U76" s="13"/>
      <c r="V76" s="13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</c>
      <c r="W76" s="13"/>
      <c r="X76" s="13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</c>
      <c r="Y76" s="13"/>
      <c r="Z76" s="13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</c>
      <c r="AA76" s="13">
        <f>SUM(V76,X76,Z76)</f>
      </c>
      <c r="AB76" s="13">
        <f>
      Ifs( 
        ISBETWEEN(AA76, 0, 'Points-Table'!C$20, TRUE, False), 'Points-Table'!A$20,
        ISBETWEEN(AA76, 'Points-Table'!C$20, 'Points-Table'!C$21, TRUE, False), 'Points-Table'!A$21,
        ISBETWEEN(AA76, 'Points-Table'!C$22, 10000, TRUE, TRUE), 'Points-Table'!A$22,
        true, 
        0)
      </f>
      </c>
      <c r="AC76" s="13" t="s">
        <v>56</v>
      </c>
      <c r="AD76" s="13" t="s">
        <v>56</v>
      </c>
      <c r="AE76" s="13" t="s">
        <v>56</v>
      </c>
    </row>
    <row r="77" spans="1:31" s="13" customFormat="1" x14ac:dyDescent="0.25">
      <c r="A77" s="13" t="s">
        <v>146</v>
      </c>
      <c r="B77" s="13" t="s">
        <v>187</v>
      </c>
      <c r="C77" s="13" t="s">
        <v>188</v>
      </c>
      <c r="D77" s="13"/>
      <c r="E77" s="13"/>
      <c r="F77" s="13"/>
      <c r="G77" s="13"/>
      <c r="H77" s="13"/>
      <c r="I77" s="13"/>
      <c r="J77" s="13"/>
      <c r="K77" s="13" t="s">
        <v>83</v>
      </c>
      <c r="L77" s="13" t="s">
        <v>84</v>
      </c>
      <c r="M77" s="13"/>
      <c r="N77" s="13"/>
      <c r="O77" s="13"/>
      <c r="P77" s="13"/>
      <c r="Q77" s="13"/>
      <c r="R77" s="13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</c>
      <c r="S77" s="13"/>
      <c r="T77" s="13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</c>
      <c r="U77" s="13"/>
      <c r="V77" s="13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</c>
      <c r="W77" s="13"/>
      <c r="X77" s="13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</c>
      <c r="Y77" s="13"/>
      <c r="Z77" s="13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</c>
      <c r="AA77" s="13">
        <f>SUM(V77,X77,Z77)</f>
      </c>
      <c r="AB77" s="13">
        <f>
      Ifs( 
        ISBETWEEN(AA77, 0, 'Points-Table'!C$20, TRUE, False), 'Points-Table'!A$20,
        ISBETWEEN(AA77, 'Points-Table'!C$20, 'Points-Table'!C$21, TRUE, False), 'Points-Table'!A$21,
        ISBETWEEN(AA77, 'Points-Table'!C$22, 10000, TRUE, TRUE), 'Points-Table'!A$22,
        true, 
        0)
      </f>
      </c>
      <c r="AC77" s="13" t="s">
        <v>56</v>
      </c>
      <c r="AD77" s="13" t="s">
        <v>56</v>
      </c>
      <c r="AE77" s="13" t="s">
        <v>56</v>
      </c>
    </row>
    <row r="78" spans="1:31" s="13" customFormat="1" x14ac:dyDescent="0.25">
      <c r="A78" s="13" t="s">
        <v>146</v>
      </c>
      <c r="B78" s="13" t="s">
        <v>187</v>
      </c>
      <c r="C78" s="13" t="s">
        <v>189</v>
      </c>
      <c r="D78" s="13"/>
      <c r="E78" s="13"/>
      <c r="F78" s="13"/>
      <c r="G78" s="13"/>
      <c r="H78" s="13"/>
      <c r="I78" s="13"/>
      <c r="J78" s="13"/>
      <c r="K78" s="13" t="s">
        <v>83</v>
      </c>
      <c r="L78" s="13" t="s">
        <v>84</v>
      </c>
      <c r="M78" s="13"/>
      <c r="N78" s="13"/>
      <c r="O78" s="13"/>
      <c r="P78" s="13"/>
      <c r="Q78" s="13"/>
      <c r="R78" s="13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</c>
      <c r="S78" s="13"/>
      <c r="T78" s="13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</c>
      <c r="U78" s="13"/>
      <c r="V78" s="13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</c>
      <c r="W78" s="13"/>
      <c r="X78" s="13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</c>
      <c r="Y78" s="13"/>
      <c r="Z78" s="13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</c>
      <c r="AA78" s="13">
        <f>SUM(V78,X78,Z78)</f>
      </c>
      <c r="AB78" s="13">
        <f>
      Ifs( 
        ISBETWEEN(AA78, 0, 'Points-Table'!C$20, TRUE, False), 'Points-Table'!A$20,
        ISBETWEEN(AA78, 'Points-Table'!C$20, 'Points-Table'!C$21, TRUE, False), 'Points-Table'!A$21,
        ISBETWEEN(AA78, 'Points-Table'!C$22, 10000, TRUE, TRUE), 'Points-Table'!A$22,
        true, 
        0)
      </f>
      </c>
      <c r="AC78" s="13" t="s">
        <v>56</v>
      </c>
      <c r="AD78" s="13" t="s">
        <v>56</v>
      </c>
      <c r="AE78" s="13" t="s">
        <v>56</v>
      </c>
    </row>
    <row r="79" spans="1:31" s="13" customFormat="1" x14ac:dyDescent="0.25">
      <c r="A79" s="13" t="s">
        <v>146</v>
      </c>
      <c r="B79" s="13" t="s">
        <v>187</v>
      </c>
      <c r="C79" s="13" t="s">
        <v>190</v>
      </c>
      <c r="D79" s="13"/>
      <c r="E79" s="13"/>
      <c r="F79" s="13"/>
      <c r="G79" s="13"/>
      <c r="H79" s="13"/>
      <c r="I79" s="13"/>
      <c r="J79" s="13"/>
      <c r="K79" s="13" t="s">
        <v>83</v>
      </c>
      <c r="L79" s="13" t="s">
        <v>84</v>
      </c>
      <c r="M79" s="13"/>
      <c r="N79" s="13"/>
      <c r="O79" s="13"/>
      <c r="P79" s="13"/>
      <c r="Q79" s="13"/>
      <c r="R79" s="13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</c>
      <c r="S79" s="13"/>
      <c r="T79" s="13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</c>
      <c r="U79" s="13"/>
      <c r="V79" s="13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</c>
      <c r="W79" s="13"/>
      <c r="X79" s="13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</c>
      <c r="Y79" s="13"/>
      <c r="Z79" s="13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</c>
      <c r="AA79" s="13">
        <f>SUM(V79,X79,Z79)</f>
      </c>
      <c r="AB79" s="13">
        <f>
      Ifs( 
        ISBETWEEN(AA79, 0, 'Points-Table'!C$20, TRUE, False), 'Points-Table'!A$20,
        ISBETWEEN(AA79, 'Points-Table'!C$20, 'Points-Table'!C$21, TRUE, False), 'Points-Table'!A$21,
        ISBETWEEN(AA79, 'Points-Table'!C$22, 10000, TRUE, TRUE), 'Points-Table'!A$22,
        true, 
        0)
      </f>
      </c>
      <c r="AC79" s="13" t="s">
        <v>56</v>
      </c>
      <c r="AD79" s="13" t="s">
        <v>56</v>
      </c>
      <c r="AE79" s="13" t="s">
        <v>56</v>
      </c>
    </row>
    <row r="80" spans="1:31" s="13" customFormat="1" x14ac:dyDescent="0.25">
      <c r="A80" s="13" t="s">
        <v>146</v>
      </c>
      <c r="B80" s="13" t="s">
        <v>187</v>
      </c>
      <c r="C80" s="13" t="s">
        <v>191</v>
      </c>
      <c r="D80" s="13"/>
      <c r="E80" s="13"/>
      <c r="F80" s="13"/>
      <c r="G80" s="13"/>
      <c r="H80" s="13"/>
      <c r="I80" s="13"/>
      <c r="J80" s="13"/>
      <c r="K80" s="13" t="s">
        <v>83</v>
      </c>
      <c r="L80" s="13" t="s">
        <v>84</v>
      </c>
      <c r="M80" s="13"/>
      <c r="N80" s="13"/>
      <c r="O80" s="13"/>
      <c r="P80" s="13"/>
      <c r="Q80" s="13"/>
      <c r="R80" s="13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</c>
      <c r="S80" s="13"/>
      <c r="T80" s="13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</c>
      <c r="U80" s="13"/>
      <c r="V80" s="13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</c>
      <c r="W80" s="13"/>
      <c r="X80" s="13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</c>
      <c r="Y80" s="13"/>
      <c r="Z80" s="13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</c>
      <c r="AA80" s="13">
        <f>SUM(V80,X80,Z80)</f>
      </c>
      <c r="AB80" s="13">
        <f>
      Ifs( 
        ISBETWEEN(AA80, 0, 'Points-Table'!C$20, TRUE, False), 'Points-Table'!A$20,
        ISBETWEEN(AA80, 'Points-Table'!C$20, 'Points-Table'!C$21, TRUE, False), 'Points-Table'!A$21,
        ISBETWEEN(AA80, 'Points-Table'!C$22, 10000, TRUE, TRUE), 'Points-Table'!A$22,
        true, 
        0)
      </f>
      </c>
      <c r="AC80" s="13" t="s">
        <v>56</v>
      </c>
      <c r="AD80" s="13" t="s">
        <v>56</v>
      </c>
      <c r="AE80" s="13" t="s">
        <v>56</v>
      </c>
    </row>
    <row r="81" spans="1:31" s="13" customFormat="1" x14ac:dyDescent="0.25">
      <c r="A81" s="13" t="s">
        <v>146</v>
      </c>
      <c r="B81" s="13" t="s">
        <v>187</v>
      </c>
      <c r="C81" s="13" t="s">
        <v>192</v>
      </c>
      <c r="D81" s="13"/>
      <c r="E81" s="13"/>
      <c r="F81" s="13"/>
      <c r="G81" s="13"/>
      <c r="H81" s="13"/>
      <c r="I81" s="13"/>
      <c r="J81" s="13"/>
      <c r="K81" s="13" t="s">
        <v>83</v>
      </c>
      <c r="L81" s="13" t="s">
        <v>84</v>
      </c>
      <c r="M81" s="13"/>
      <c r="N81" s="13"/>
      <c r="O81" s="13"/>
      <c r="P81" s="13"/>
      <c r="Q81" s="13"/>
      <c r="R81" s="13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</c>
      <c r="S81" s="13"/>
      <c r="T81" s="13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</c>
      <c r="U81" s="13"/>
      <c r="V81" s="13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</c>
      <c r="W81" s="13"/>
      <c r="X81" s="13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</c>
      <c r="Y81" s="13"/>
      <c r="Z81" s="13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</c>
      <c r="AA81" s="13">
        <f>SUM(V81,X81,Z81)</f>
      </c>
      <c r="AB81" s="13">
        <f>
      Ifs( 
        ISBETWEEN(AA81, 0, 'Points-Table'!C$20, TRUE, False), 'Points-Table'!A$20,
        ISBETWEEN(AA81, 'Points-Table'!C$20, 'Points-Table'!C$21, TRUE, False), 'Points-Table'!A$21,
        ISBETWEEN(AA81, 'Points-Table'!C$22, 10000, TRUE, TRUE), 'Points-Table'!A$22,
        true, 
        0)
      </f>
      </c>
      <c r="AC81" s="13" t="s">
        <v>56</v>
      </c>
      <c r="AD81" s="13" t="s">
        <v>56</v>
      </c>
      <c r="AE81" s="13" t="s">
        <v>56</v>
      </c>
    </row>
    <row r="82" spans="1:31" s="6" customFormat="1" x14ac:dyDescent="0.25">
      <c r="A82" s="6" t="s">
        <v>146</v>
      </c>
      <c r="B82" s="6" t="s">
        <v>193</v>
      </c>
      <c r="C82" s="6" t="s">
        <v>167</v>
      </c>
      <c r="D82" s="6"/>
      <c r="E82" s="6"/>
      <c r="F82" s="6"/>
      <c r="G82" s="6"/>
      <c r="H82" s="6"/>
      <c r="I82" s="6"/>
      <c r="J82" s="6"/>
      <c r="K82" s="6" t="s">
        <v>83</v>
      </c>
      <c r="L82" s="6" t="s">
        <v>84</v>
      </c>
      <c r="M82" s="6"/>
      <c r="N82" s="6"/>
      <c r="O82" s="6"/>
      <c r="P82" s="6"/>
      <c r="Q82" s="11"/>
      <c r="R82" s="12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</c>
      <c r="S82" s="11"/>
      <c r="T82" s="12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</c>
      <c r="U82" s="11">
        <v>5</v>
      </c>
      <c r="V82" s="12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</c>
      <c r="W82" s="11">
        <v>1</v>
      </c>
      <c r="X82" s="12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</c>
      <c r="Y82" s="11">
        <v>3</v>
      </c>
      <c r="Z82" s="12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</c>
      <c r="AA82" s="6">
        <f>SUM(V82,X82,Z82)</f>
      </c>
      <c r="AB82" s="6">
        <f>
      Ifs( 
        ISBETWEEN(AA82, 0, 'Points-Table'!C$20, TRUE, False), 'Points-Table'!A$20,
        ISBETWEEN(AA82, 'Points-Table'!C$20, 'Points-Table'!C$21, TRUE, False), 'Points-Table'!A$21,
        ISBETWEEN(AA82, 'Points-Table'!C$22, 10000, TRUE, TRUE), 'Points-Table'!A$22,
        true, 
        0)
      </f>
      </c>
      <c r="AC82" s="6" t="s">
        <v>56</v>
      </c>
      <c r="AD82" s="6" t="s">
        <v>56</v>
      </c>
      <c r="AE82" s="6" t="s">
        <v>56</v>
      </c>
    </row>
    <row r="83" spans="1:31" s="6" customFormat="1" x14ac:dyDescent="0.25">
      <c r="A83" s="6" t="s">
        <v>146</v>
      </c>
      <c r="B83" s="6" t="s">
        <v>193</v>
      </c>
      <c r="C83" s="6" t="s">
        <v>194</v>
      </c>
      <c r="D83" s="6"/>
      <c r="E83" s="6"/>
      <c r="F83" s="6"/>
      <c r="G83" s="6"/>
      <c r="H83" s="6"/>
      <c r="I83" s="6"/>
      <c r="J83" s="6"/>
      <c r="K83" s="6" t="s">
        <v>83</v>
      </c>
      <c r="L83" s="6" t="s">
        <v>84</v>
      </c>
      <c r="M83" s="6"/>
      <c r="N83" s="6"/>
      <c r="O83" s="6"/>
      <c r="P83" s="6"/>
      <c r="Q83" s="11"/>
      <c r="R83" s="12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</c>
      <c r="S83" s="11"/>
      <c r="T83" s="12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</c>
      <c r="U83" s="11">
        <v>5</v>
      </c>
      <c r="V83" s="12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</c>
      <c r="W83" s="11">
        <v>1</v>
      </c>
      <c r="X83" s="12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</c>
      <c r="Y83" s="11">
        <v>5</v>
      </c>
      <c r="Z83" s="12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</c>
      <c r="AA83" s="6">
        <f>SUM(V83,X83,Z83)</f>
      </c>
      <c r="AB83" s="6">
        <f>
      Ifs( 
        ISBETWEEN(AA83, 0, 'Points-Table'!C$20, TRUE, False), 'Points-Table'!A$20,
        ISBETWEEN(AA83, 'Points-Table'!C$20, 'Points-Table'!C$21, TRUE, False), 'Points-Table'!A$21,
        ISBETWEEN(AA83, 'Points-Table'!C$22, 10000, TRUE, TRUE), 'Points-Table'!A$22,
        true, 
        0)
      </f>
      </c>
      <c r="AC83" s="6" t="s">
        <v>56</v>
      </c>
      <c r="AD83" s="6" t="s">
        <v>56</v>
      </c>
      <c r="AE83" s="6" t="s">
        <v>56</v>
      </c>
    </row>
    <row r="84" spans="1:31" s="6" customFormat="1" x14ac:dyDescent="0.25">
      <c r="A84" s="6" t="s">
        <v>146</v>
      </c>
      <c r="B84" s="6" t="s">
        <v>193</v>
      </c>
      <c r="C84" s="6" t="s">
        <v>170</v>
      </c>
      <c r="D84" s="6"/>
      <c r="E84" s="6"/>
      <c r="F84" s="6"/>
      <c r="G84" s="6"/>
      <c r="H84" s="6"/>
      <c r="I84" s="6"/>
      <c r="J84" s="6"/>
      <c r="K84" s="6" t="s">
        <v>83</v>
      </c>
      <c r="L84" s="6" t="s">
        <v>84</v>
      </c>
      <c r="M84" s="6"/>
      <c r="N84" s="6"/>
      <c r="O84" s="6"/>
      <c r="P84" s="6"/>
      <c r="Q84" s="11"/>
      <c r="R84" s="12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</c>
      <c r="S84" s="11"/>
      <c r="T84" s="12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</c>
      <c r="U84" s="11">
        <v>3</v>
      </c>
      <c r="V84" s="12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</c>
      <c r="W84" s="11">
        <v>1</v>
      </c>
      <c r="X84" s="12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</c>
      <c r="Y84" s="11">
        <v>3</v>
      </c>
      <c r="Z84" s="12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</c>
      <c r="AA84" s="6">
        <f>SUM(V84,X84,Z84)</f>
      </c>
      <c r="AB84" s="6">
        <f>
      Ifs( 
        ISBETWEEN(AA84, 0, 'Points-Table'!C$20, TRUE, False), 'Points-Table'!A$20,
        ISBETWEEN(AA84, 'Points-Table'!C$20, 'Points-Table'!C$21, TRUE, False), 'Points-Table'!A$21,
        ISBETWEEN(AA84, 'Points-Table'!C$22, 10000, TRUE, TRUE), 'Points-Table'!A$22,
        true, 
        0)
      </f>
      </c>
      <c r="AC84" s="6" t="s">
        <v>56</v>
      </c>
      <c r="AD84" s="6" t="s">
        <v>56</v>
      </c>
      <c r="AE84" s="6" t="s">
        <v>56</v>
      </c>
    </row>
    <row r="85" spans="1:31" s="13" customFormat="1" x14ac:dyDescent="0.25">
      <c r="A85" s="13" t="s">
        <v>146</v>
      </c>
      <c r="B85" s="13" t="s">
        <v>193</v>
      </c>
      <c r="C85" s="13" t="s">
        <v>195</v>
      </c>
      <c r="D85" s="13"/>
      <c r="E85" s="13"/>
      <c r="F85" s="13"/>
      <c r="G85" s="13"/>
      <c r="H85" s="13"/>
      <c r="I85" s="13"/>
      <c r="J85" s="13"/>
      <c r="K85" s="13" t="s">
        <v>83</v>
      </c>
      <c r="L85" s="13" t="s">
        <v>84</v>
      </c>
      <c r="M85" s="13"/>
      <c r="N85" s="13"/>
      <c r="O85" s="13"/>
      <c r="P85" s="13"/>
      <c r="Q85" s="13"/>
      <c r="R85" s="13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</c>
      <c r="S85" s="13"/>
      <c r="T85" s="13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</c>
      <c r="U85" s="13"/>
      <c r="V85" s="13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</c>
      <c r="W85" s="13"/>
      <c r="X85" s="13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</c>
      <c r="Y85" s="13"/>
      <c r="Z85" s="13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</c>
      <c r="AA85" s="13">
        <f>SUM(V85,X85,Z85)</f>
      </c>
      <c r="AB85" s="13">
        <f>
      Ifs( 
        ISBETWEEN(AA85, 0, 'Points-Table'!C$20, TRUE, False), 'Points-Table'!A$20,
        ISBETWEEN(AA85, 'Points-Table'!C$20, 'Points-Table'!C$21, TRUE, False), 'Points-Table'!A$21,
        ISBETWEEN(AA85, 'Points-Table'!C$22, 10000, TRUE, TRUE), 'Points-Table'!A$22,
        true, 
        0)
      </f>
      </c>
      <c r="AC85" s="13" t="s">
        <v>56</v>
      </c>
      <c r="AD85" s="13" t="s">
        <v>56</v>
      </c>
      <c r="AE85" s="13" t="s">
        <v>56</v>
      </c>
    </row>
    <row r="86" spans="1:31" s="6" customFormat="1" x14ac:dyDescent="0.25">
      <c r="A86" s="6" t="s">
        <v>146</v>
      </c>
      <c r="B86" s="6" t="s">
        <v>193</v>
      </c>
      <c r="C86" s="6" t="s">
        <v>196</v>
      </c>
      <c r="D86" s="6"/>
      <c r="E86" s="6"/>
      <c r="F86" s="6"/>
      <c r="G86" s="6"/>
      <c r="H86" s="6"/>
      <c r="I86" s="6"/>
      <c r="J86" s="6"/>
      <c r="K86" s="6" t="s">
        <v>83</v>
      </c>
      <c r="L86" s="6" t="s">
        <v>84</v>
      </c>
      <c r="M86" s="6"/>
      <c r="N86" s="6"/>
      <c r="O86" s="6"/>
      <c r="P86" s="6"/>
      <c r="Q86" s="11"/>
      <c r="R86" s="12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</c>
      <c r="S86" s="11"/>
      <c r="T86" s="12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</c>
      <c r="U86" s="11">
        <v>3</v>
      </c>
      <c r="V86" s="12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</c>
      <c r="W86" s="11">
        <v>0</v>
      </c>
      <c r="X86" s="12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</c>
      <c r="Y86" s="11">
        <v>0</v>
      </c>
      <c r="Z86" s="12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</c>
      <c r="AA86" s="6">
        <f>SUM(V86,X86,Z86)</f>
      </c>
      <c r="AB86" s="6">
        <f>
      Ifs( 
        ISBETWEEN(AA86, 0, 'Points-Table'!C$20, TRUE, False), 'Points-Table'!A$20,
        ISBETWEEN(AA86, 'Points-Table'!C$20, 'Points-Table'!C$21, TRUE, False), 'Points-Table'!A$21,
        ISBETWEEN(AA86, 'Points-Table'!C$22, 10000, TRUE, TRUE), 'Points-Table'!A$22,
        true, 
        0)
      </f>
      </c>
      <c r="AC86" s="6" t="s">
        <v>56</v>
      </c>
      <c r="AD86" s="6" t="s">
        <v>56</v>
      </c>
      <c r="AE86" s="6" t="s">
        <v>56</v>
      </c>
    </row>
    <row r="87" spans="1:31" s="6" customFormat="1" x14ac:dyDescent="0.25">
      <c r="A87" s="6" t="s">
        <v>146</v>
      </c>
      <c r="B87" s="6" t="s">
        <v>195</v>
      </c>
      <c r="D87" s="6"/>
      <c r="E87" s="6"/>
      <c r="F87" s="6"/>
      <c r="G87" s="6"/>
      <c r="H87" s="6"/>
      <c r="I87" s="6"/>
      <c r="J87" s="6"/>
      <c r="K87" s="6" t="s">
        <v>83</v>
      </c>
      <c r="L87" s="6" t="s">
        <v>84</v>
      </c>
      <c r="M87" s="6"/>
      <c r="N87" s="6"/>
      <c r="O87" s="6"/>
      <c r="P87" s="6"/>
      <c r="Q87" s="11"/>
      <c r="R87" s="12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</c>
      <c r="S87" s="11"/>
      <c r="T87" s="12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</c>
      <c r="U87" s="11">
        <v>2</v>
      </c>
      <c r="V87" s="12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</c>
      <c r="W87" s="11">
        <v>1</v>
      </c>
      <c r="X87" s="12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</c>
      <c r="Y87" s="11"/>
      <c r="Z87" s="12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</c>
      <c r="AA87" s="6">
        <f>SUM(V87,X87,Z87)</f>
      </c>
      <c r="AB87" s="6">
        <f>
      Ifs( 
        ISBETWEEN(AA87, 0, 'Points-Table'!C$20, TRUE, False), 'Points-Table'!A$20,
        ISBETWEEN(AA87, 'Points-Table'!C$20, 'Points-Table'!C$21, TRUE, False), 'Points-Table'!A$21,
        ISBETWEEN(AA87, 'Points-Table'!C$22, 10000, TRUE, TRUE), 'Points-Table'!A$22,
        true, 
        0)
      </f>
      </c>
      <c r="AC87" s="6" t="s">
        <v>56</v>
      </c>
      <c r="AD87" s="6" t="s">
        <v>56</v>
      </c>
      <c r="AE87" s="6" t="s">
        <v>56</v>
      </c>
    </row>
    <row r="88" spans="1:31" s="6" customFormat="1" x14ac:dyDescent="0.25">
      <c r="A88" s="6" t="s">
        <v>146</v>
      </c>
      <c r="B88" s="6" t="s">
        <v>197</v>
      </c>
      <c r="C88" s="6" t="s">
        <v>198</v>
      </c>
      <c r="D88" s="6"/>
      <c r="E88" s="6"/>
      <c r="F88" s="6"/>
      <c r="G88" s="6"/>
      <c r="H88" s="6"/>
      <c r="I88" s="6"/>
      <c r="J88" s="6"/>
      <c r="K88" s="6" t="s">
        <v>83</v>
      </c>
      <c r="L88" s="6" t="s">
        <v>84</v>
      </c>
      <c r="M88" s="6"/>
      <c r="N88" s="6"/>
      <c r="O88" s="6"/>
      <c r="P88" s="6"/>
      <c r="Q88" s="11"/>
      <c r="R88" s="12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</c>
      <c r="S88" s="11"/>
      <c r="T88" s="12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</c>
      <c r="U88" s="11">
        <v>5</v>
      </c>
      <c r="V88" s="12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</c>
      <c r="W88" s="11"/>
      <c r="X88" s="12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</c>
      <c r="Y88" s="11">
        <v>2</v>
      </c>
      <c r="Z88" s="12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</c>
      <c r="AA88" s="6">
        <f>SUM(V88,X88,Z88)</f>
      </c>
      <c r="AB88" s="6">
        <f>
      Ifs( 
        ISBETWEEN(AA88, 0, 'Points-Table'!C$20, TRUE, False), 'Points-Table'!A$20,
        ISBETWEEN(AA88, 'Points-Table'!C$20, 'Points-Table'!C$21, TRUE, False), 'Points-Table'!A$21,
        ISBETWEEN(AA88, 'Points-Table'!C$22, 10000, TRUE, TRUE), 'Points-Table'!A$22,
        true, 
        0)
      </f>
      </c>
      <c r="AC88" s="6" t="s">
        <v>56</v>
      </c>
      <c r="AD88" s="6" t="s">
        <v>56</v>
      </c>
      <c r="AE88" s="6" t="s">
        <v>56</v>
      </c>
    </row>
    <row r="89" spans="1:31" s="6" customFormat="1" x14ac:dyDescent="0.25">
      <c r="A89" s="6" t="s">
        <v>146</v>
      </c>
      <c r="B89" s="6" t="s">
        <v>197</v>
      </c>
      <c r="C89" s="6" t="s">
        <v>199</v>
      </c>
      <c r="D89" s="6"/>
      <c r="E89" s="6"/>
      <c r="F89" s="6"/>
      <c r="G89" s="6"/>
      <c r="H89" s="6"/>
      <c r="I89" s="6"/>
      <c r="J89" s="6"/>
      <c r="K89" s="6" t="s">
        <v>83</v>
      </c>
      <c r="L89" s="6" t="s">
        <v>84</v>
      </c>
      <c r="M89" s="6"/>
      <c r="N89" s="6"/>
      <c r="O89" s="6"/>
      <c r="P89" s="6"/>
      <c r="Q89" s="11"/>
      <c r="R89" s="12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</c>
      <c r="S89" s="11"/>
      <c r="T89" s="12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</c>
      <c r="U89" s="11"/>
      <c r="V89" s="12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</c>
      <c r="W89" s="11"/>
      <c r="X89" s="12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</c>
      <c r="Y89" s="11"/>
      <c r="Z89" s="12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</c>
      <c r="AA89" s="6">
        <f>SUM(V89,X89,Z89)</f>
      </c>
      <c r="AB89" s="6">
        <f>
      Ifs( 
        ISBETWEEN(AA89, 0, 'Points-Table'!C$20, TRUE, False), 'Points-Table'!A$20,
        ISBETWEEN(AA89, 'Points-Table'!C$20, 'Points-Table'!C$21, TRUE, False), 'Points-Table'!A$21,
        ISBETWEEN(AA89, 'Points-Table'!C$22, 10000, TRUE, TRUE), 'Points-Table'!A$22,
        true, 
        0)
      </f>
      </c>
      <c r="AC89" s="6" t="s">
        <v>56</v>
      </c>
      <c r="AD89" s="6" t="s">
        <v>56</v>
      </c>
      <c r="AE89" s="6" t="s">
        <v>56</v>
      </c>
    </row>
    <row r="90" spans="1:31" s="6" customFormat="1" x14ac:dyDescent="0.25">
      <c r="A90" s="6" t="s">
        <v>146</v>
      </c>
      <c r="B90" s="6" t="s">
        <v>197</v>
      </c>
      <c r="C90" s="6" t="s">
        <v>200</v>
      </c>
      <c r="D90" s="6"/>
      <c r="E90" s="6"/>
      <c r="F90" s="6"/>
      <c r="G90" s="6"/>
      <c r="H90" s="6"/>
      <c r="I90" s="6"/>
      <c r="J90" s="6"/>
      <c r="K90" s="6" t="s">
        <v>83</v>
      </c>
      <c r="L90" s="6" t="s">
        <v>84</v>
      </c>
      <c r="M90" s="6"/>
      <c r="N90" s="6"/>
      <c r="O90" s="6"/>
      <c r="P90" s="6"/>
      <c r="Q90" s="11"/>
      <c r="R90" s="12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</c>
      <c r="S90" s="11"/>
      <c r="T90" s="12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</c>
      <c r="U90" s="11"/>
      <c r="V90" s="12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</c>
      <c r="W90" s="11"/>
      <c r="X90" s="12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</c>
      <c r="Y90" s="11"/>
      <c r="Z90" s="12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</c>
      <c r="AA90" s="6">
        <f>SUM(V90,X90,Z90)</f>
      </c>
      <c r="AB90" s="6">
        <f>
      Ifs( 
        ISBETWEEN(AA90, 0, 'Points-Table'!C$20, TRUE, False), 'Points-Table'!A$20,
        ISBETWEEN(AA90, 'Points-Table'!C$20, 'Points-Table'!C$21, TRUE, False), 'Points-Table'!A$21,
        ISBETWEEN(AA90, 'Points-Table'!C$22, 10000, TRUE, TRUE), 'Points-Table'!A$22,
        true, 
        0)
      </f>
      </c>
      <c r="AC90" s="6" t="s">
        <v>56</v>
      </c>
      <c r="AD90" s="6" t="s">
        <v>56</v>
      </c>
      <c r="AE90" s="6" t="s">
        <v>56</v>
      </c>
    </row>
    <row r="91" spans="1:31" s="6" customFormat="1" x14ac:dyDescent="0.25">
      <c r="A91" s="6" t="s">
        <v>146</v>
      </c>
      <c r="B91" s="6" t="s">
        <v>201</v>
      </c>
      <c r="D91" s="6"/>
      <c r="E91" s="6"/>
      <c r="F91" s="6"/>
      <c r="G91" s="6"/>
      <c r="H91" s="6"/>
      <c r="I91" s="6"/>
      <c r="J91" s="6"/>
      <c r="K91" s="6" t="s">
        <v>83</v>
      </c>
      <c r="L91" s="6" t="s">
        <v>84</v>
      </c>
      <c r="M91" s="6"/>
      <c r="N91" s="6"/>
      <c r="O91" s="6"/>
      <c r="P91" s="6"/>
      <c r="Q91" s="11"/>
      <c r="R91" s="12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</c>
      <c r="S91" s="11"/>
      <c r="T91" s="12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</c>
      <c r="U91" s="11">
        <v>5</v>
      </c>
      <c r="V91" s="12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</c>
      <c r="W91" s="11"/>
      <c r="X91" s="12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</c>
      <c r="Y91" s="11"/>
      <c r="Z91" s="12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</c>
      <c r="AA91" s="6">
        <f>SUM(V91,X91,Z91)</f>
      </c>
      <c r="AB91" s="6">
        <f>
      Ifs( 
        ISBETWEEN(AA91, 0, 'Points-Table'!C$20, TRUE, False), 'Points-Table'!A$20,
        ISBETWEEN(AA91, 'Points-Table'!C$20, 'Points-Table'!C$21, TRUE, False), 'Points-Table'!A$21,
        ISBETWEEN(AA91, 'Points-Table'!C$22, 10000, TRUE, TRUE), 'Points-Table'!A$22,
        true, 
        0)
      </f>
      </c>
      <c r="AC91" s="6" t="s">
        <v>56</v>
      </c>
      <c r="AD91" s="6" t="s">
        <v>56</v>
      </c>
      <c r="AE91" s="6" t="s">
        <v>56</v>
      </c>
    </row>
    <row r="92" spans="1:31" s="6" customFormat="1" x14ac:dyDescent="0.25">
      <c r="A92" s="6" t="s">
        <v>146</v>
      </c>
      <c r="B92" s="6" t="s">
        <v>202</v>
      </c>
      <c r="C92" s="6" t="s">
        <v>203</v>
      </c>
      <c r="D92" s="6"/>
      <c r="E92" s="6"/>
      <c r="F92" s="6"/>
      <c r="G92" s="6"/>
      <c r="H92" s="6"/>
      <c r="I92" s="6"/>
      <c r="J92" s="6"/>
      <c r="K92" s="6" t="s">
        <v>83</v>
      </c>
      <c r="L92" s="6" t="s">
        <v>84</v>
      </c>
      <c r="M92" s="6"/>
      <c r="N92" s="6"/>
      <c r="O92" s="6"/>
      <c r="P92" s="6"/>
      <c r="Q92" s="11"/>
      <c r="R92" s="12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</c>
      <c r="S92" s="11"/>
      <c r="T92" s="12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</c>
      <c r="U92" s="11">
        <v>8</v>
      </c>
      <c r="V92" s="12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</c>
      <c r="W92" s="11">
        <v>3</v>
      </c>
      <c r="X92" s="12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</c>
      <c r="Y92" s="11">
        <v>5</v>
      </c>
      <c r="Z92" s="12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</c>
      <c r="AA92" s="6">
        <f>SUM(V92,X92,Z92)</f>
      </c>
      <c r="AB92" s="6">
        <f>
      Ifs( 
        ISBETWEEN(AA92, 0, 'Points-Table'!C$20, TRUE, False), 'Points-Table'!A$20,
        ISBETWEEN(AA92, 'Points-Table'!C$20, 'Points-Table'!C$21, TRUE, False), 'Points-Table'!A$21,
        ISBETWEEN(AA92, 'Points-Table'!C$22, 10000, TRUE, TRUE), 'Points-Table'!A$22,
        true, 
        0)
      </f>
      </c>
      <c r="AC92" s="6" t="s">
        <v>56</v>
      </c>
      <c r="AD92" s="6" t="s">
        <v>56</v>
      </c>
      <c r="AE92" s="6" t="s">
        <v>56</v>
      </c>
    </row>
    <row r="93" spans="1:31" s="6" customFormat="1" x14ac:dyDescent="0.25">
      <c r="A93" s="6" t="s">
        <v>146</v>
      </c>
      <c r="B93" s="6" t="s">
        <v>202</v>
      </c>
      <c r="C93" s="6" t="s">
        <v>204</v>
      </c>
      <c r="D93" s="6"/>
      <c r="E93" s="6"/>
      <c r="F93" s="6"/>
      <c r="G93" s="6"/>
      <c r="H93" s="6"/>
      <c r="I93" s="6"/>
      <c r="J93" s="6"/>
      <c r="K93" s="6" t="s">
        <v>83</v>
      </c>
      <c r="L93" s="6" t="s">
        <v>84</v>
      </c>
      <c r="M93" s="6"/>
      <c r="N93" s="6"/>
      <c r="O93" s="6"/>
      <c r="P93" s="6"/>
      <c r="Q93" s="11"/>
      <c r="R93" s="12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</c>
      <c r="S93" s="11"/>
      <c r="T93" s="12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</c>
      <c r="U93" s="11">
        <v>5</v>
      </c>
      <c r="V93" s="12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</c>
      <c r="W93" s="11">
        <v>2</v>
      </c>
      <c r="X93" s="12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</c>
      <c r="Y93" s="11">
        <v>3</v>
      </c>
      <c r="Z93" s="12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</c>
      <c r="AA93" s="6">
        <f>SUM(V93,X93,Z93)</f>
      </c>
      <c r="AB93" s="6">
        <f>
      Ifs( 
        ISBETWEEN(AA93, 0, 'Points-Table'!C$20, TRUE, False), 'Points-Table'!A$20,
        ISBETWEEN(AA93, 'Points-Table'!C$20, 'Points-Table'!C$21, TRUE, False), 'Points-Table'!A$21,
        ISBETWEEN(AA93, 'Points-Table'!C$22, 10000, TRUE, TRUE), 'Points-Table'!A$22,
        true, 
        0)
      </f>
      </c>
      <c r="AC93" s="6" t="s">
        <v>56</v>
      </c>
      <c r="AD93" s="6" t="s">
        <v>56</v>
      </c>
      <c r="AE93" s="6" t="s">
        <v>56</v>
      </c>
    </row>
    <row r="94" spans="1:31" s="6" customFormat="1" x14ac:dyDescent="0.25">
      <c r="A94" s="6" t="s">
        <v>146</v>
      </c>
      <c r="B94" s="6" t="s">
        <v>137</v>
      </c>
      <c r="C94" s="6" t="s">
        <v>205</v>
      </c>
      <c r="D94" s="6"/>
      <c r="E94" s="6"/>
      <c r="F94" s="6"/>
      <c r="G94" s="6"/>
      <c r="H94" s="6"/>
      <c r="I94" s="6"/>
      <c r="J94" s="6"/>
      <c r="K94" s="6" t="s">
        <v>83</v>
      </c>
      <c r="L94" s="6" t="s">
        <v>84</v>
      </c>
      <c r="M94" s="6"/>
      <c r="N94" s="6"/>
      <c r="O94" s="6"/>
      <c r="P94" s="6"/>
      <c r="Q94" s="11"/>
      <c r="R94" s="12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</c>
      <c r="S94" s="11"/>
      <c r="T94" s="12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</c>
      <c r="U94" s="11">
        <v>3</v>
      </c>
      <c r="V94" s="12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</c>
      <c r="W94" s="11">
        <v>2</v>
      </c>
      <c r="X94" s="12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</c>
      <c r="Y94" s="11">
        <v>3</v>
      </c>
      <c r="Z94" s="12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</c>
      <c r="AA94" s="6">
        <f>SUM(V94,X94,Z94)</f>
      </c>
      <c r="AB94" s="6">
        <f>
      Ifs( 
        ISBETWEEN(AA94, 0, 'Points-Table'!C$20, TRUE, False), 'Points-Table'!A$20,
        ISBETWEEN(AA94, 'Points-Table'!C$20, 'Points-Table'!C$21, TRUE, False), 'Points-Table'!A$21,
        ISBETWEEN(AA94, 'Points-Table'!C$22, 10000, TRUE, TRUE), 'Points-Table'!A$22,
        true, 
        0)
      </f>
      </c>
      <c r="AC94" s="6" t="s">
        <v>56</v>
      </c>
      <c r="AD94" s="6" t="s">
        <v>56</v>
      </c>
      <c r="AE94" s="6" t="s">
        <v>56</v>
      </c>
    </row>
    <row r="95" spans="1:31" s="6" customFormat="1" x14ac:dyDescent="0.25">
      <c r="A95" s="6" t="s">
        <v>146</v>
      </c>
      <c r="B95" s="6" t="s">
        <v>137</v>
      </c>
      <c r="C95" s="6" t="s">
        <v>206</v>
      </c>
      <c r="D95" s="6"/>
      <c r="E95" s="6"/>
      <c r="F95" s="6"/>
      <c r="G95" s="6"/>
      <c r="H95" s="6"/>
      <c r="I95" s="6"/>
      <c r="J95" s="6"/>
      <c r="K95" s="6" t="s">
        <v>83</v>
      </c>
      <c r="L95" s="6" t="s">
        <v>84</v>
      </c>
      <c r="M95" s="6"/>
      <c r="N95" s="6"/>
      <c r="O95" s="6"/>
      <c r="P95" s="6"/>
      <c r="Q95" s="11"/>
      <c r="R95" s="12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</c>
      <c r="S95" s="11"/>
      <c r="T95" s="12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</c>
      <c r="U95" s="11">
        <v>3</v>
      </c>
      <c r="V95" s="12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</c>
      <c r="W95" s="11">
        <v>2</v>
      </c>
      <c r="X95" s="12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</c>
      <c r="Y95" s="11">
        <v>3</v>
      </c>
      <c r="Z95" s="12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</c>
      <c r="AA95" s="6">
        <f>SUM(V95,X95,Z95)</f>
      </c>
      <c r="AB95" s="6">
        <f>
      Ifs( 
        ISBETWEEN(AA95, 0, 'Points-Table'!C$20, TRUE, False), 'Points-Table'!A$20,
        ISBETWEEN(AA95, 'Points-Table'!C$20, 'Points-Table'!C$21, TRUE, False), 'Points-Table'!A$21,
        ISBETWEEN(AA95, 'Points-Table'!C$22, 10000, TRUE, TRUE), 'Points-Table'!A$22,
        true, 
        0)
      </f>
      </c>
      <c r="AC95" s="6" t="s">
        <v>56</v>
      </c>
      <c r="AD95" s="6" t="s">
        <v>56</v>
      </c>
      <c r="AE95" s="6" t="s">
        <v>56</v>
      </c>
    </row>
    <row r="96" spans="1:31" s="6" customFormat="1" x14ac:dyDescent="0.25">
      <c r="A96" s="6" t="s">
        <v>146</v>
      </c>
      <c r="B96" s="6" t="s">
        <v>207</v>
      </c>
      <c r="C96" s="6" t="s">
        <v>208</v>
      </c>
      <c r="D96" s="6"/>
      <c r="E96" s="6"/>
      <c r="F96" s="6"/>
      <c r="G96" s="6"/>
      <c r="H96" s="6"/>
      <c r="I96" s="6"/>
      <c r="J96" s="6"/>
      <c r="K96" s="6" t="s">
        <v>83</v>
      </c>
      <c r="L96" s="6" t="s">
        <v>84</v>
      </c>
      <c r="M96" s="6"/>
      <c r="N96" s="6"/>
      <c r="O96" s="6"/>
      <c r="P96" s="6"/>
      <c r="Q96" s="11"/>
      <c r="R96" s="12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</c>
      <c r="S96" s="11"/>
      <c r="T96" s="12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</c>
      <c r="U96" s="11">
        <v>8</v>
      </c>
      <c r="V96" s="12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</c>
      <c r="W96" s="11">
        <v>3</v>
      </c>
      <c r="X96" s="12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</c>
      <c r="Y96" s="11">
        <v>13</v>
      </c>
      <c r="Z96" s="12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</c>
      <c r="AA96" s="6">
        <f>SUM(V96,X96,Z96)</f>
      </c>
      <c r="AB96" s="6">
        <f>
      Ifs( 
        ISBETWEEN(AA96, 0, 'Points-Table'!C$20, TRUE, False), 'Points-Table'!A$20,
        ISBETWEEN(AA96, 'Points-Table'!C$20, 'Points-Table'!C$21, TRUE, False), 'Points-Table'!A$21,
        ISBETWEEN(AA96, 'Points-Table'!C$22, 10000, TRUE, TRUE), 'Points-Table'!A$22,
        true, 
        0)
      </f>
      </c>
      <c r="AC96" s="6" t="s">
        <v>56</v>
      </c>
      <c r="AD96" s="6" t="s">
        <v>56</v>
      </c>
      <c r="AE96" s="6" t="s">
        <v>56</v>
      </c>
    </row>
    <row r="97" spans="1:31" s="6" customFormat="1" x14ac:dyDescent="0.25">
      <c r="A97" s="6" t="s">
        <v>146</v>
      </c>
      <c r="B97" s="6" t="s">
        <v>207</v>
      </c>
      <c r="C97" s="6" t="s">
        <v>209</v>
      </c>
      <c r="D97" s="6"/>
      <c r="E97" s="6"/>
      <c r="F97" s="6"/>
      <c r="G97" s="6"/>
      <c r="H97" s="6"/>
      <c r="I97" s="6"/>
      <c r="J97" s="6"/>
      <c r="K97" s="6" t="s">
        <v>83</v>
      </c>
      <c r="L97" s="6" t="s">
        <v>84</v>
      </c>
      <c r="M97" s="6"/>
      <c r="N97" s="6"/>
      <c r="O97" s="6"/>
      <c r="P97" s="6"/>
      <c r="Q97" s="11"/>
      <c r="R97" s="12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</c>
      <c r="S97" s="11"/>
      <c r="T97" s="12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</c>
      <c r="U97" s="11">
        <v>3</v>
      </c>
      <c r="V97" s="12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</c>
      <c r="W97" s="11">
        <v>0</v>
      </c>
      <c r="X97" s="12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</c>
      <c r="Y97" s="11">
        <v>0</v>
      </c>
      <c r="Z97" s="12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</c>
      <c r="AA97" s="6">
        <f>SUM(V97,X97,Z97)</f>
      </c>
      <c r="AB97" s="6">
        <f>
      Ifs( 
        ISBETWEEN(AA97, 0, 'Points-Table'!C$20, TRUE, False), 'Points-Table'!A$20,
        ISBETWEEN(AA97, 'Points-Table'!C$20, 'Points-Table'!C$21, TRUE, False), 'Points-Table'!A$21,
        ISBETWEEN(AA97, 'Points-Table'!C$22, 10000, TRUE, TRUE), 'Points-Table'!A$22,
        true, 
        0)
      </f>
      </c>
      <c r="AC97" s="6" t="s">
        <v>56</v>
      </c>
      <c r="AD97" s="6" t="s">
        <v>56</v>
      </c>
      <c r="AE97" s="6" t="s">
        <v>56</v>
      </c>
    </row>
    <row r="98" spans="1:31" s="13" customFormat="1" x14ac:dyDescent="0.25">
      <c r="A98" s="13" t="s">
        <v>146</v>
      </c>
      <c r="B98" s="13" t="s">
        <v>207</v>
      </c>
      <c r="C98" s="13" t="s">
        <v>210</v>
      </c>
      <c r="D98" s="13"/>
      <c r="E98" s="13"/>
      <c r="F98" s="13"/>
      <c r="G98" s="13"/>
      <c r="H98" s="13"/>
      <c r="I98" s="13"/>
      <c r="J98" s="13"/>
      <c r="K98" s="13" t="s">
        <v>83</v>
      </c>
      <c r="L98" s="13" t="s">
        <v>84</v>
      </c>
      <c r="M98" s="13"/>
      <c r="N98" s="13"/>
      <c r="O98" s="13"/>
      <c r="P98" s="13"/>
      <c r="Q98" s="13"/>
      <c r="R98" s="13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</c>
      <c r="S98" s="13"/>
      <c r="T98" s="13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</c>
      <c r="U98" s="13"/>
      <c r="V98" s="13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</c>
      <c r="W98" s="13"/>
      <c r="X98" s="13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</c>
      <c r="Y98" s="13"/>
      <c r="Z98" s="13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</c>
      <c r="AA98" s="13">
        <f>SUM(V98,X98,Z98)</f>
      </c>
      <c r="AB98" s="13">
        <f>
      Ifs( 
        ISBETWEEN(AA98, 0, 'Points-Table'!C$20, TRUE, False), 'Points-Table'!A$20,
        ISBETWEEN(AA98, 'Points-Table'!C$20, 'Points-Table'!C$21, TRUE, False), 'Points-Table'!A$21,
        ISBETWEEN(AA98, 'Points-Table'!C$22, 10000, TRUE, TRUE), 'Points-Table'!A$22,
        true, 
        0)
      </f>
      </c>
      <c r="AC98" s="13" t="s">
        <v>56</v>
      </c>
      <c r="AD98" s="13" t="s">
        <v>56</v>
      </c>
      <c r="AE98" s="13" t="s">
        <v>56</v>
      </c>
    </row>
    <row r="99" spans="1:31" s="6" customFormat="1" x14ac:dyDescent="0.25">
      <c r="A99" s="6" t="s">
        <v>146</v>
      </c>
      <c r="B99" s="6" t="s">
        <v>207</v>
      </c>
      <c r="C99" s="6" t="s">
        <v>138</v>
      </c>
      <c r="D99" s="6"/>
      <c r="E99" s="6"/>
      <c r="F99" s="6"/>
      <c r="G99" s="6"/>
      <c r="H99" s="6"/>
      <c r="I99" s="6"/>
      <c r="J99" s="6"/>
      <c r="K99" s="6" t="s">
        <v>83</v>
      </c>
      <c r="L99" s="6" t="s">
        <v>84</v>
      </c>
      <c r="M99" s="6"/>
      <c r="N99" s="6"/>
      <c r="O99" s="6"/>
      <c r="P99" s="6"/>
      <c r="Q99" s="11"/>
      <c r="R99" s="12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</c>
      <c r="S99" s="11"/>
      <c r="T99" s="12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</c>
      <c r="U99" s="11">
        <v>1</v>
      </c>
      <c r="V99" s="12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</c>
      <c r="W99" s="11">
        <v>0</v>
      </c>
      <c r="X99" s="12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</c>
      <c r="Y99" s="11">
        <v>0</v>
      </c>
      <c r="Z99" s="12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</c>
      <c r="AA99" s="6">
        <f>SUM(V99,X99,Z99)</f>
      </c>
      <c r="AB99" s="6">
        <f>
      Ifs( 
        ISBETWEEN(AA99, 0, 'Points-Table'!C$20, TRUE, False), 'Points-Table'!A$20,
        ISBETWEEN(AA99, 'Points-Table'!C$20, 'Points-Table'!C$21, TRUE, False), 'Points-Table'!A$21,
        ISBETWEEN(AA99, 'Points-Table'!C$22, 10000, TRUE, TRUE), 'Points-Table'!A$22,
        true, 
        0)
      </f>
      </c>
      <c r="AC99" s="6" t="s">
        <v>56</v>
      </c>
      <c r="AD99" s="6" t="s">
        <v>56</v>
      </c>
      <c r="AE99" s="6" t="s">
        <v>56</v>
      </c>
    </row>
    <row r="100" spans="1:31" s="13" customFormat="1" x14ac:dyDescent="0.25">
      <c r="A100" s="13" t="s">
        <v>146</v>
      </c>
      <c r="B100" s="13" t="s">
        <v>207</v>
      </c>
      <c r="C100" s="13" t="s">
        <v>211</v>
      </c>
      <c r="D100" s="13"/>
      <c r="E100" s="13"/>
      <c r="F100" s="13"/>
      <c r="G100" s="13"/>
      <c r="H100" s="13"/>
      <c r="I100" s="13"/>
      <c r="J100" s="13"/>
      <c r="K100" s="13" t="s">
        <v>83</v>
      </c>
      <c r="L100" s="13" t="s">
        <v>84</v>
      </c>
      <c r="M100" s="13"/>
      <c r="N100" s="13"/>
      <c r="O100" s="13"/>
      <c r="P100" s="13"/>
      <c r="Q100" s="13"/>
      <c r="R100" s="13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</c>
      <c r="S100" s="13"/>
      <c r="T100" s="13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</c>
      <c r="U100" s="13"/>
      <c r="V100" s="13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</c>
      <c r="W100" s="13"/>
      <c r="X100" s="13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</c>
      <c r="Y100" s="13"/>
      <c r="Z100" s="13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</c>
      <c r="AA100" s="13">
        <f>SUM(V100,X100,Z100)</f>
      </c>
      <c r="AB100" s="13">
        <f>
      Ifs( 
        ISBETWEEN(AA100, 0, 'Points-Table'!C$20, TRUE, False), 'Points-Table'!A$20,
        ISBETWEEN(AA100, 'Points-Table'!C$20, 'Points-Table'!C$21, TRUE, False), 'Points-Table'!A$21,
        ISBETWEEN(AA100, 'Points-Table'!C$22, 10000, TRUE, TRUE), 'Points-Table'!A$22,
        true, 
        0)
      </f>
      </c>
      <c r="AC100" s="13" t="s">
        <v>56</v>
      </c>
      <c r="AD100" s="13" t="s">
        <v>56</v>
      </c>
      <c r="AE100" s="13" t="s">
        <v>56</v>
      </c>
    </row>
    <row r="101" spans="1:31" s="13" customFormat="1" x14ac:dyDescent="0.25">
      <c r="A101" s="13" t="s">
        <v>146</v>
      </c>
      <c r="B101" s="13" t="s">
        <v>207</v>
      </c>
      <c r="C101" s="13" t="s">
        <v>212</v>
      </c>
      <c r="D101" s="13"/>
      <c r="E101" s="13"/>
      <c r="F101" s="13"/>
      <c r="G101" s="13"/>
      <c r="H101" s="13"/>
      <c r="I101" s="13"/>
      <c r="J101" s="13"/>
      <c r="K101" s="13" t="s">
        <v>83</v>
      </c>
      <c r="L101" s="13" t="s">
        <v>84</v>
      </c>
      <c r="M101" s="13"/>
      <c r="N101" s="13"/>
      <c r="O101" s="13"/>
      <c r="P101" s="13"/>
      <c r="Q101" s="13"/>
      <c r="R101" s="13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</c>
      <c r="S101" s="13"/>
      <c r="T101" s="13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</c>
      <c r="U101" s="13"/>
      <c r="V101" s="13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</c>
      <c r="W101" s="13"/>
      <c r="X101" s="13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</c>
      <c r="Y101" s="13"/>
      <c r="Z101" s="13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</c>
      <c r="AA101" s="13">
        <f>SUM(V101,X101,Z101)</f>
      </c>
      <c r="AB101" s="13">
        <f>
      Ifs( 
        ISBETWEEN(AA101, 0, 'Points-Table'!C$20, TRUE, False), 'Points-Table'!A$20,
        ISBETWEEN(AA101, 'Points-Table'!C$20, 'Points-Table'!C$21, TRUE, False), 'Points-Table'!A$21,
        ISBETWEEN(AA101, 'Points-Table'!C$22, 10000, TRUE, TRUE), 'Points-Table'!A$22,
        true, 
        0)
      </f>
      </c>
      <c r="AC101" s="13" t="s">
        <v>56</v>
      </c>
      <c r="AD101" s="13" t="s">
        <v>56</v>
      </c>
      <c r="AE101" s="13" t="s">
        <v>56</v>
      </c>
    </row>
    <row r="102" spans="1:31" s="13" customFormat="1" x14ac:dyDescent="0.25">
      <c r="A102" s="13" t="s">
        <v>146</v>
      </c>
      <c r="B102" s="13" t="s">
        <v>207</v>
      </c>
      <c r="C102" s="13" t="s">
        <v>213</v>
      </c>
      <c r="D102" s="13"/>
      <c r="E102" s="13"/>
      <c r="F102" s="13"/>
      <c r="G102" s="13"/>
      <c r="H102" s="13"/>
      <c r="I102" s="13"/>
      <c r="J102" s="13"/>
      <c r="K102" s="13" t="s">
        <v>83</v>
      </c>
      <c r="L102" s="13" t="s">
        <v>84</v>
      </c>
      <c r="M102" s="13"/>
      <c r="N102" s="13"/>
      <c r="O102" s="13"/>
      <c r="P102" s="13"/>
      <c r="Q102" s="13"/>
      <c r="R102" s="13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</c>
      <c r="S102" s="13"/>
      <c r="T102" s="13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</c>
      <c r="U102" s="13"/>
      <c r="V102" s="13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</c>
      <c r="W102" s="13"/>
      <c r="X102" s="13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</c>
      <c r="Y102" s="13"/>
      <c r="Z102" s="13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</c>
      <c r="AA102" s="13">
        <f>SUM(V102,X102,Z102)</f>
      </c>
      <c r="AB102" s="13">
        <f>
      Ifs( 
        ISBETWEEN(AA102, 0, 'Points-Table'!C$20, TRUE, False), 'Points-Table'!A$20,
        ISBETWEEN(AA102, 'Points-Table'!C$20, 'Points-Table'!C$21, TRUE, False), 'Points-Table'!A$21,
        ISBETWEEN(AA102, 'Points-Table'!C$22, 10000, TRUE, TRUE), 'Points-Table'!A$22,
        true, 
        0)
      </f>
      </c>
      <c r="AC102" s="13" t="s">
        <v>56</v>
      </c>
      <c r="AD102" s="13" t="s">
        <v>56</v>
      </c>
      <c r="AE102" s="13" t="s">
        <v>56</v>
      </c>
    </row>
    <row r="103" spans="1:31" s="6" customFormat="1" x14ac:dyDescent="0.25">
      <c r="A103" s="6" t="s">
        <v>146</v>
      </c>
      <c r="B103" s="6" t="s">
        <v>207</v>
      </c>
      <c r="C103" s="6" t="s">
        <v>214</v>
      </c>
      <c r="D103" s="6"/>
      <c r="E103" s="6"/>
      <c r="F103" s="6"/>
      <c r="G103" s="6"/>
      <c r="H103" s="6"/>
      <c r="I103" s="6"/>
      <c r="J103" s="6"/>
      <c r="K103" s="6" t="s">
        <v>83</v>
      </c>
      <c r="L103" s="6" t="s">
        <v>84</v>
      </c>
      <c r="M103" s="6"/>
      <c r="N103" s="6"/>
      <c r="O103" s="6"/>
      <c r="P103" s="6"/>
      <c r="Q103" s="11"/>
      <c r="R103" s="12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</c>
      <c r="S103" s="11"/>
      <c r="T103" s="12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</c>
      <c r="U103" s="11">
        <v>2</v>
      </c>
      <c r="V103" s="12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</c>
      <c r="W103" s="11">
        <v>0</v>
      </c>
      <c r="X103" s="12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</c>
      <c r="Y103" s="11">
        <v>0</v>
      </c>
      <c r="Z103" s="12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</c>
      <c r="AA103" s="6">
        <f>SUM(V103,X103,Z103)</f>
      </c>
      <c r="AB103" s="6">
        <f>
      Ifs( 
        ISBETWEEN(AA103, 0, 'Points-Table'!C$20, TRUE, False), 'Points-Table'!A$20,
        ISBETWEEN(AA103, 'Points-Table'!C$20, 'Points-Table'!C$21, TRUE, False), 'Points-Table'!A$21,
        ISBETWEEN(AA103, 'Points-Table'!C$22, 10000, TRUE, TRUE), 'Points-Table'!A$22,
        true, 
        0)
      </f>
      </c>
      <c r="AC103" s="6" t="s">
        <v>56</v>
      </c>
      <c r="AD103" s="6" t="s">
        <v>56</v>
      </c>
      <c r="AE103" s="6" t="s">
        <v>56</v>
      </c>
    </row>
    <row r="104" spans="1:31" s="6" customFormat="1" x14ac:dyDescent="0.25">
      <c r="A104" s="6" t="s">
        <v>146</v>
      </c>
      <c r="B104" s="6" t="s">
        <v>207</v>
      </c>
      <c r="C104" s="6" t="s">
        <v>204</v>
      </c>
      <c r="D104" s="6"/>
      <c r="E104" s="6"/>
      <c r="F104" s="6"/>
      <c r="G104" s="6"/>
      <c r="H104" s="6"/>
      <c r="I104" s="6"/>
      <c r="J104" s="6"/>
      <c r="K104" s="6" t="s">
        <v>83</v>
      </c>
      <c r="L104" s="6" t="s">
        <v>84</v>
      </c>
      <c r="M104" s="6"/>
      <c r="N104" s="6"/>
      <c r="O104" s="6"/>
      <c r="P104" s="6"/>
      <c r="Q104" s="11"/>
      <c r="R104" s="12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</c>
      <c r="S104" s="11"/>
      <c r="T104" s="12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</c>
      <c r="U104" s="11">
        <v>2</v>
      </c>
      <c r="V104" s="12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</c>
      <c r="W104" s="11">
        <v>0</v>
      </c>
      <c r="X104" s="12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</c>
      <c r="Y104" s="11">
        <v>0</v>
      </c>
      <c r="Z104" s="12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</c>
      <c r="AA104" s="6">
        <f>SUM(V104,X104,Z104)</f>
      </c>
      <c r="AB104" s="6">
        <f>
      Ifs( 
        ISBETWEEN(AA104, 0, 'Points-Table'!C$20, TRUE, False), 'Points-Table'!A$20,
        ISBETWEEN(AA104, 'Points-Table'!C$20, 'Points-Table'!C$21, TRUE, False), 'Points-Table'!A$21,
        ISBETWEEN(AA104, 'Points-Table'!C$22, 10000, TRUE, TRUE), 'Points-Table'!A$22,
        true, 
        0)
      </f>
      </c>
      <c r="AC104" s="6" t="s">
        <v>56</v>
      </c>
      <c r="AD104" s="6" t="s">
        <v>56</v>
      </c>
      <c r="AE104" s="6" t="s">
        <v>56</v>
      </c>
    </row>
    <row r="105" spans="1:31" s="6" customFormat="1" x14ac:dyDescent="0.25">
      <c r="A105" s="6" t="s">
        <v>146</v>
      </c>
      <c r="B105" s="6" t="s">
        <v>207</v>
      </c>
      <c r="C105" s="6" t="s">
        <v>215</v>
      </c>
      <c r="D105" s="6"/>
      <c r="E105" s="6"/>
      <c r="F105" s="6"/>
      <c r="G105" s="6"/>
      <c r="H105" s="6"/>
      <c r="I105" s="6"/>
      <c r="J105" s="6"/>
      <c r="K105" s="6" t="s">
        <v>83</v>
      </c>
      <c r="L105" s="6" t="s">
        <v>84</v>
      </c>
      <c r="M105" s="6"/>
      <c r="N105" s="6"/>
      <c r="O105" s="6"/>
      <c r="P105" s="6"/>
      <c r="Q105" s="11"/>
      <c r="R105" s="12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</c>
      <c r="S105" s="11"/>
      <c r="T105" s="12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</c>
      <c r="U105" s="11">
        <v>2</v>
      </c>
      <c r="V105" s="12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</c>
      <c r="W105" s="11">
        <v>0</v>
      </c>
      <c r="X105" s="12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</c>
      <c r="Y105" s="11">
        <v>0</v>
      </c>
      <c r="Z105" s="12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</c>
      <c r="AA105" s="6">
        <f>SUM(V105,X105,Z105)</f>
      </c>
      <c r="AB105" s="6">
        <f>
      Ifs( 
        ISBETWEEN(AA105, 0, 'Points-Table'!C$20, TRUE, False), 'Points-Table'!A$20,
        ISBETWEEN(AA105, 'Points-Table'!C$20, 'Points-Table'!C$21, TRUE, False), 'Points-Table'!A$21,
        ISBETWEEN(AA105, 'Points-Table'!C$22, 10000, TRUE, TRUE), 'Points-Table'!A$22,
        true, 
        0)
      </f>
      </c>
      <c r="AC105" s="6" t="s">
        <v>56</v>
      </c>
      <c r="AD105" s="6" t="s">
        <v>56</v>
      </c>
      <c r="AE105" s="6" t="s">
        <v>56</v>
      </c>
    </row>
    <row r="106" spans="1:31" s="6" customFormat="1" x14ac:dyDescent="0.25">
      <c r="A106" s="6" t="s">
        <v>146</v>
      </c>
      <c r="B106" s="6" t="s">
        <v>165</v>
      </c>
      <c r="D106" s="6"/>
      <c r="E106" s="6"/>
      <c r="F106" s="6"/>
      <c r="G106" s="6"/>
      <c r="H106" s="6"/>
      <c r="I106" s="6"/>
      <c r="J106" s="6"/>
      <c r="K106" s="6" t="s">
        <v>83</v>
      </c>
      <c r="L106" s="6" t="s">
        <v>84</v>
      </c>
      <c r="M106" s="6"/>
      <c r="N106" s="6"/>
      <c r="O106" s="6"/>
      <c r="P106" s="6"/>
      <c r="Q106" s="11"/>
      <c r="R106" s="12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</c>
      <c r="S106" s="11"/>
      <c r="T106" s="12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</c>
      <c r="U106" s="11">
        <v>3</v>
      </c>
      <c r="V106" s="12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</c>
      <c r="W106" s="11">
        <v>2</v>
      </c>
      <c r="X106" s="12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</c>
      <c r="Y106" s="11">
        <v>3</v>
      </c>
      <c r="Z106" s="12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</c>
      <c r="AA106" s="6">
        <f>SUM(V106,X106,Z106)</f>
      </c>
      <c r="AB106" s="6">
        <f>
      Ifs( 
        ISBETWEEN(AA106, 0, 'Points-Table'!C$20, TRUE, False), 'Points-Table'!A$20,
        ISBETWEEN(AA106, 'Points-Table'!C$20, 'Points-Table'!C$21, TRUE, False), 'Points-Table'!A$21,
        ISBETWEEN(AA106, 'Points-Table'!C$22, 10000, TRUE, TRUE), 'Points-Table'!A$22,
        true, 
        0)
      </f>
      </c>
      <c r="AC106" s="6" t="s">
        <v>56</v>
      </c>
      <c r="AD106" s="6" t="s">
        <v>56</v>
      </c>
      <c r="AE106" s="6" t="s">
        <v>56</v>
      </c>
    </row>
    <row r="107" spans="1:31" s="6" customFormat="1" x14ac:dyDescent="0.25">
      <c r="A107" s="6" t="s">
        <v>146</v>
      </c>
      <c r="B107" s="6" t="s">
        <v>212</v>
      </c>
      <c r="D107" s="6" t="s">
        <v>216</v>
      </c>
      <c r="E107" s="6"/>
      <c r="F107" s="6"/>
      <c r="G107" s="6"/>
      <c r="H107" s="6"/>
      <c r="I107" s="6"/>
      <c r="J107" s="6"/>
      <c r="K107" s="6" t="s">
        <v>83</v>
      </c>
      <c r="L107" s="6" t="s">
        <v>84</v>
      </c>
      <c r="M107" s="6"/>
      <c r="N107" s="6"/>
      <c r="O107" s="6"/>
      <c r="P107" s="6"/>
      <c r="Q107" s="11">
        <v>2</v>
      </c>
      <c r="R107" s="12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</c>
      <c r="S107" s="11">
        <v>2</v>
      </c>
      <c r="T107" s="12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</c>
      <c r="U107" s="11">
        <v>3</v>
      </c>
      <c r="V107" s="12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</c>
      <c r="W107" s="11">
        <v>13</v>
      </c>
      <c r="X107" s="12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</c>
      <c r="Y107" s="11">
        <v>0</v>
      </c>
      <c r="Z107" s="12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</c>
      <c r="AA107" s="6">
        <f>SUM(V107,X107,Z107)</f>
      </c>
      <c r="AB107" s="6">
        <f>
      Ifs( 
        ISBETWEEN(AA107, 0, 'Points-Table'!C$20, TRUE, False), 'Points-Table'!A$20,
        ISBETWEEN(AA107, 'Points-Table'!C$20, 'Points-Table'!C$21, TRUE, False), 'Points-Table'!A$21,
        ISBETWEEN(AA107, 'Points-Table'!C$22, 10000, TRUE, TRUE), 'Points-Table'!A$22,
        true, 
        0)
      </f>
      </c>
      <c r="AC107" s="6" t="s">
        <v>56</v>
      </c>
      <c r="AD107" s="6" t="s">
        <v>56</v>
      </c>
      <c r="AE107" s="6" t="s">
        <v>56</v>
      </c>
    </row>
    <row r="108" spans="1:31" s="6" customFormat="1" x14ac:dyDescent="0.25">
      <c r="A108" s="6" t="s">
        <v>146</v>
      </c>
      <c r="B108" s="6" t="s">
        <v>217</v>
      </c>
      <c r="C108" s="6" t="s">
        <v>218</v>
      </c>
      <c r="D108" s="6"/>
      <c r="E108" s="6"/>
      <c r="F108" s="6"/>
      <c r="G108" s="6"/>
      <c r="H108" s="6"/>
      <c r="I108" s="6"/>
      <c r="J108" s="6"/>
      <c r="K108" s="6" t="s">
        <v>83</v>
      </c>
      <c r="L108" s="6" t="s">
        <v>84</v>
      </c>
      <c r="M108" s="6"/>
      <c r="N108" s="6"/>
      <c r="O108" s="6"/>
      <c r="P108" s="6"/>
      <c r="Q108" s="11"/>
      <c r="R108" s="12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</c>
      <c r="S108" s="11"/>
      <c r="T108" s="12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</c>
      <c r="U108" s="11">
        <v>5</v>
      </c>
      <c r="V108" s="12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</c>
      <c r="W108" s="11">
        <v>2</v>
      </c>
      <c r="X108" s="12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</c>
      <c r="Y108" s="11">
        <v>2</v>
      </c>
      <c r="Z108" s="12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</c>
      <c r="AA108" s="6">
        <f>SUM(V108,X108,Z108)</f>
      </c>
      <c r="AB108" s="6">
        <f>
      Ifs( 
        ISBETWEEN(AA108, 0, 'Points-Table'!C$20, TRUE, False), 'Points-Table'!A$20,
        ISBETWEEN(AA108, 'Points-Table'!C$20, 'Points-Table'!C$21, TRUE, False), 'Points-Table'!A$21,
        ISBETWEEN(AA108, 'Points-Table'!C$22, 10000, TRUE, TRUE), 'Points-Table'!A$22,
        true, 
        0)
      </f>
      </c>
      <c r="AC108" s="6" t="s">
        <v>56</v>
      </c>
      <c r="AD108" s="6" t="s">
        <v>56</v>
      </c>
      <c r="AE108" s="6" t="s">
        <v>56</v>
      </c>
    </row>
    <row r="109" spans="1:31" s="6" customFormat="1" x14ac:dyDescent="0.25">
      <c r="A109" s="6" t="s">
        <v>146</v>
      </c>
      <c r="B109" s="6" t="s">
        <v>217</v>
      </c>
      <c r="C109" s="6" t="s">
        <v>219</v>
      </c>
      <c r="D109" s="6"/>
      <c r="E109" s="6"/>
      <c r="F109" s="6"/>
      <c r="G109" s="6"/>
      <c r="H109" s="6"/>
      <c r="I109" s="6"/>
      <c r="J109" s="6"/>
      <c r="K109" s="6" t="s">
        <v>83</v>
      </c>
      <c r="L109" s="6" t="s">
        <v>84</v>
      </c>
      <c r="M109" s="6"/>
      <c r="N109" s="6"/>
      <c r="O109" s="6"/>
      <c r="P109" s="6"/>
      <c r="Q109" s="11"/>
      <c r="R109" s="12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</c>
      <c r="S109" s="11"/>
      <c r="T109" s="12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</c>
      <c r="U109" s="11">
        <v>3</v>
      </c>
      <c r="V109" s="12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</c>
      <c r="W109" s="11">
        <v>2</v>
      </c>
      <c r="X109" s="12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</c>
      <c r="Y109" s="11">
        <v>5</v>
      </c>
      <c r="Z109" s="12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</c>
      <c r="AA109" s="6">
        <f>SUM(V109,X109,Z109)</f>
      </c>
      <c r="AB109" s="6">
        <f>
      Ifs( 
        ISBETWEEN(AA109, 0, 'Points-Table'!C$20, TRUE, False), 'Points-Table'!A$20,
        ISBETWEEN(AA109, 'Points-Table'!C$20, 'Points-Table'!C$21, TRUE, False), 'Points-Table'!A$21,
        ISBETWEEN(AA109, 'Points-Table'!C$22, 10000, TRUE, TRUE), 'Points-Table'!A$22,
        true, 
        0)
      </f>
      </c>
      <c r="AC109" s="6" t="s">
        <v>56</v>
      </c>
      <c r="AD109" s="6" t="s">
        <v>56</v>
      </c>
      <c r="AE109" s="6" t="s">
        <v>56</v>
      </c>
    </row>
    <row r="110" spans="1:31" s="6" customFormat="1" x14ac:dyDescent="0.25">
      <c r="A110" s="6" t="s">
        <v>138</v>
      </c>
      <c r="B110" s="6" t="s">
        <v>220</v>
      </c>
      <c r="C110" s="6" t="s">
        <v>221</v>
      </c>
      <c r="D110" s="6"/>
      <c r="E110" s="6"/>
      <c r="F110" s="6"/>
      <c r="G110" s="6"/>
      <c r="H110" s="6"/>
      <c r="I110" s="6"/>
      <c r="J110" s="6"/>
      <c r="K110" s="6" t="s">
        <v>83</v>
      </c>
      <c r="L110" s="6" t="s">
        <v>84</v>
      </c>
      <c r="M110" s="6"/>
      <c r="N110" s="6"/>
      <c r="O110" s="6"/>
      <c r="P110" s="6"/>
      <c r="Q110" s="11"/>
      <c r="R110" s="12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</c>
      <c r="S110" s="11"/>
      <c r="T110" s="12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</c>
      <c r="U110" s="11">
        <v>5</v>
      </c>
      <c r="V110" s="12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</c>
      <c r="W110" s="11">
        <v>2</v>
      </c>
      <c r="X110" s="12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</c>
      <c r="Y110" s="11">
        <v>5</v>
      </c>
      <c r="Z110" s="12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</c>
      <c r="AA110" s="6">
        <f>SUM(V110,X110,Z110)</f>
      </c>
      <c r="AB110" s="6">
        <f>
      Ifs( 
        ISBETWEEN(AA110, 0, 'Points-Table'!C$20, TRUE, False), 'Points-Table'!A$20,
        ISBETWEEN(AA110, 'Points-Table'!C$20, 'Points-Table'!C$21, TRUE, False), 'Points-Table'!A$21,
        ISBETWEEN(AA110, 'Points-Table'!C$22, 10000, TRUE, TRUE), 'Points-Table'!A$22,
        true, 
        0)
      </f>
      </c>
      <c r="AC110" s="6" t="s">
        <v>56</v>
      </c>
      <c r="AD110" s="6" t="s">
        <v>56</v>
      </c>
      <c r="AE110" s="6" t="s">
        <v>56</v>
      </c>
    </row>
    <row r="111" spans="1:31" s="6" customFormat="1" x14ac:dyDescent="0.25">
      <c r="A111" s="6" t="s">
        <v>138</v>
      </c>
      <c r="B111" s="6" t="s">
        <v>220</v>
      </c>
      <c r="C111" s="6" t="s">
        <v>183</v>
      </c>
      <c r="D111" s="6"/>
      <c r="E111" s="6"/>
      <c r="F111" s="6"/>
      <c r="G111" s="6"/>
      <c r="H111" s="6"/>
      <c r="I111" s="6"/>
      <c r="J111" s="6"/>
      <c r="K111" s="6" t="s">
        <v>83</v>
      </c>
      <c r="L111" s="6" t="s">
        <v>84</v>
      </c>
      <c r="M111" s="6"/>
      <c r="N111" s="6"/>
      <c r="O111" s="6"/>
      <c r="P111" s="6"/>
      <c r="Q111" s="11"/>
      <c r="R111" s="12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</c>
      <c r="S111" s="11"/>
      <c r="T111" s="12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</c>
      <c r="U111" s="11">
        <v>5</v>
      </c>
      <c r="V111" s="12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</c>
      <c r="W111" s="11">
        <v>0</v>
      </c>
      <c r="X111" s="12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</c>
      <c r="Y111" s="11">
        <v>0</v>
      </c>
      <c r="Z111" s="12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</c>
      <c r="AA111" s="6">
        <f>SUM(V111,X111,Z111)</f>
      </c>
      <c r="AB111" s="6">
        <f>
      Ifs( 
        ISBETWEEN(AA111, 0, 'Points-Table'!C$20, TRUE, False), 'Points-Table'!A$20,
        ISBETWEEN(AA111, 'Points-Table'!C$20, 'Points-Table'!C$21, TRUE, False), 'Points-Table'!A$21,
        ISBETWEEN(AA111, 'Points-Table'!C$22, 10000, TRUE, TRUE), 'Points-Table'!A$22,
        true, 
        0)
      </f>
      </c>
      <c r="AC111" s="6" t="s">
        <v>56</v>
      </c>
      <c r="AD111" s="6" t="s">
        <v>56</v>
      </c>
      <c r="AE111" s="6" t="s">
        <v>56</v>
      </c>
    </row>
    <row r="112" spans="1:31" s="6" customFormat="1" x14ac:dyDescent="0.25">
      <c r="A112" s="6" t="s">
        <v>138</v>
      </c>
      <c r="B112" s="6" t="s">
        <v>220</v>
      </c>
      <c r="C112" s="6" t="s">
        <v>186</v>
      </c>
      <c r="D112" s="6"/>
      <c r="E112" s="6"/>
      <c r="F112" s="6"/>
      <c r="G112" s="6"/>
      <c r="H112" s="6"/>
      <c r="I112" s="6"/>
      <c r="J112" s="6"/>
      <c r="K112" s="6" t="s">
        <v>83</v>
      </c>
      <c r="L112" s="6" t="s">
        <v>84</v>
      </c>
      <c r="M112" s="6"/>
      <c r="N112" s="6"/>
      <c r="O112" s="6"/>
      <c r="P112" s="6"/>
      <c r="Q112" s="11"/>
      <c r="R112" s="12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</c>
      <c r="S112" s="11"/>
      <c r="T112" s="12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</c>
      <c r="U112" s="11">
        <v>8</v>
      </c>
      <c r="V112" s="12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</c>
      <c r="W112" s="11">
        <v>3</v>
      </c>
      <c r="X112" s="12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</c>
      <c r="Y112" s="11">
        <v>3</v>
      </c>
      <c r="Z112" s="12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</c>
      <c r="AA112" s="6">
        <f>SUM(V112,X112,Z112)</f>
      </c>
      <c r="AB112" s="6">
        <f>
      Ifs( 
        ISBETWEEN(AA112, 0, 'Points-Table'!C$20, TRUE, False), 'Points-Table'!A$20,
        ISBETWEEN(AA112, 'Points-Table'!C$20, 'Points-Table'!C$21, TRUE, False), 'Points-Table'!A$21,
        ISBETWEEN(AA112, 'Points-Table'!C$22, 10000, TRUE, TRUE), 'Points-Table'!A$22,
        true, 
        0)
      </f>
      </c>
      <c r="AC112" s="6" t="s">
        <v>56</v>
      </c>
      <c r="AD112" s="6" t="s">
        <v>56</v>
      </c>
      <c r="AE112" s="6" t="s">
        <v>56</v>
      </c>
    </row>
    <row r="113" spans="1:31" s="6" customFormat="1" x14ac:dyDescent="0.25">
      <c r="A113" s="6" t="s">
        <v>138</v>
      </c>
      <c r="B113" s="6" t="s">
        <v>220</v>
      </c>
      <c r="C113" s="6" t="s">
        <v>222</v>
      </c>
      <c r="D113" s="6"/>
      <c r="E113" s="6"/>
      <c r="F113" s="6"/>
      <c r="G113" s="6"/>
      <c r="H113" s="6"/>
      <c r="I113" s="6"/>
      <c r="J113" s="6"/>
      <c r="K113" s="6" t="s">
        <v>83</v>
      </c>
      <c r="L113" s="6" t="s">
        <v>84</v>
      </c>
      <c r="M113" s="6"/>
      <c r="N113" s="6"/>
      <c r="O113" s="6"/>
      <c r="P113" s="6"/>
      <c r="Q113" s="11"/>
      <c r="R113" s="12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</c>
      <c r="S113" s="11"/>
      <c r="T113" s="12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</c>
      <c r="U113" s="11">
        <v>2</v>
      </c>
      <c r="V113" s="12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</c>
      <c r="W113" s="11">
        <v>0</v>
      </c>
      <c r="X113" s="12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</c>
      <c r="Y113" s="11">
        <v>0</v>
      </c>
      <c r="Z113" s="12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</c>
      <c r="AA113" s="6">
        <f>SUM(V113,X113,Z113)</f>
      </c>
      <c r="AB113" s="6">
        <f>
      Ifs( 
        ISBETWEEN(AA113, 0, 'Points-Table'!C$20, TRUE, False), 'Points-Table'!A$20,
        ISBETWEEN(AA113, 'Points-Table'!C$20, 'Points-Table'!C$21, TRUE, False), 'Points-Table'!A$21,
        ISBETWEEN(AA113, 'Points-Table'!C$22, 10000, TRUE, TRUE), 'Points-Table'!A$22,
        true, 
        0)
      </f>
      </c>
      <c r="AC113" s="6" t="s">
        <v>56</v>
      </c>
      <c r="AD113" s="6" t="s">
        <v>56</v>
      </c>
      <c r="AE113" s="6" t="s">
        <v>56</v>
      </c>
    </row>
    <row r="114" spans="1:31" s="6" customFormat="1" x14ac:dyDescent="0.25">
      <c r="A114" s="6" t="s">
        <v>138</v>
      </c>
      <c r="B114" s="6" t="s">
        <v>220</v>
      </c>
      <c r="C114" s="6" t="s">
        <v>223</v>
      </c>
      <c r="D114" s="6"/>
      <c r="E114" s="6"/>
      <c r="F114" s="6"/>
      <c r="G114" s="6"/>
      <c r="H114" s="6"/>
      <c r="I114" s="6"/>
      <c r="J114" s="6"/>
      <c r="K114" s="6" t="s">
        <v>83</v>
      </c>
      <c r="L114" s="6" t="s">
        <v>84</v>
      </c>
      <c r="M114" s="6"/>
      <c r="N114" s="6"/>
      <c r="O114" s="6"/>
      <c r="P114" s="6"/>
      <c r="Q114" s="11"/>
      <c r="R114" s="12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</c>
      <c r="S114" s="11"/>
      <c r="T114" s="12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</c>
      <c r="U114" s="11">
        <v>3</v>
      </c>
      <c r="V114" s="12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</c>
      <c r="W114" s="11">
        <v>5</v>
      </c>
      <c r="X114" s="12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</c>
      <c r="Y114" s="11">
        <v>8</v>
      </c>
      <c r="Z114" s="12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</c>
      <c r="AA114" s="6">
        <f>SUM(V114,X114,Z114)</f>
      </c>
      <c r="AB114" s="6">
        <f>
      Ifs( 
        ISBETWEEN(AA114, 0, 'Points-Table'!C$20, TRUE, False), 'Points-Table'!A$20,
        ISBETWEEN(AA114, 'Points-Table'!C$20, 'Points-Table'!C$21, TRUE, False), 'Points-Table'!A$21,
        ISBETWEEN(AA114, 'Points-Table'!C$22, 10000, TRUE, TRUE), 'Points-Table'!A$22,
        true, 
        0)
      </f>
      </c>
      <c r="AC114" s="6" t="s">
        <v>56</v>
      </c>
      <c r="AD114" s="6" t="s">
        <v>56</v>
      </c>
      <c r="AE114" s="6" t="s">
        <v>56</v>
      </c>
    </row>
    <row r="115" spans="1:31" s="6" customFormat="1" x14ac:dyDescent="0.25">
      <c r="A115" s="6" t="s">
        <v>138</v>
      </c>
      <c r="B115" s="6" t="s">
        <v>224</v>
      </c>
      <c r="C115" s="6" t="s">
        <v>225</v>
      </c>
      <c r="D115" s="6"/>
      <c r="E115" s="6"/>
      <c r="F115" s="6"/>
      <c r="G115" s="6"/>
      <c r="H115" s="6"/>
      <c r="I115" s="6"/>
      <c r="J115" s="6"/>
      <c r="K115" s="6" t="s">
        <v>83</v>
      </c>
      <c r="L115" s="6" t="s">
        <v>84</v>
      </c>
      <c r="M115" s="6"/>
      <c r="N115" s="6"/>
      <c r="O115" s="6"/>
      <c r="P115" s="6"/>
      <c r="Q115" s="11"/>
      <c r="R115" s="12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</c>
      <c r="S115" s="11"/>
      <c r="T115" s="12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</c>
      <c r="U115" s="11">
        <v>3</v>
      </c>
      <c r="V115" s="12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</c>
      <c r="W115" s="11">
        <v>3</v>
      </c>
      <c r="X115" s="12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</c>
      <c r="Y115" s="11">
        <v>5</v>
      </c>
      <c r="Z115" s="12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</c>
      <c r="AA115" s="6">
        <f>SUM(V115,X115,Z115)</f>
      </c>
      <c r="AB115" s="6">
        <f>
      Ifs( 
        ISBETWEEN(AA115, 0, 'Points-Table'!C$20, TRUE, False), 'Points-Table'!A$20,
        ISBETWEEN(AA115, 'Points-Table'!C$20, 'Points-Table'!C$21, TRUE, False), 'Points-Table'!A$21,
        ISBETWEEN(AA115, 'Points-Table'!C$22, 10000, TRUE, TRUE), 'Points-Table'!A$22,
        true, 
        0)
      </f>
      </c>
      <c r="AC115" s="6" t="s">
        <v>56</v>
      </c>
      <c r="AD115" s="6" t="s">
        <v>56</v>
      </c>
      <c r="AE115" s="6" t="s">
        <v>56</v>
      </c>
    </row>
    <row r="116" spans="1:31" s="6" customFormat="1" x14ac:dyDescent="0.25">
      <c r="A116" s="6" t="s">
        <v>138</v>
      </c>
      <c r="B116" s="6" t="s">
        <v>224</v>
      </c>
      <c r="C116" s="6" t="s">
        <v>226</v>
      </c>
      <c r="D116" s="6"/>
      <c r="E116" s="6"/>
      <c r="F116" s="6"/>
      <c r="G116" s="6"/>
      <c r="H116" s="6"/>
      <c r="I116" s="6"/>
      <c r="J116" s="6"/>
      <c r="K116" s="6" t="s">
        <v>83</v>
      </c>
      <c r="L116" s="6" t="s">
        <v>84</v>
      </c>
      <c r="M116" s="6"/>
      <c r="N116" s="6"/>
      <c r="O116" s="6"/>
      <c r="P116" s="6"/>
      <c r="Q116" s="11"/>
      <c r="R116" s="12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</c>
      <c r="S116" s="11"/>
      <c r="T116" s="12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</c>
      <c r="U116" s="11">
        <v>2</v>
      </c>
      <c r="V116" s="12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</c>
      <c r="W116" s="11">
        <v>2</v>
      </c>
      <c r="X116" s="12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</c>
      <c r="Y116" s="11">
        <v>5</v>
      </c>
      <c r="Z116" s="12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</c>
      <c r="AA116" s="6">
        <f>SUM(V116,X116,Z116)</f>
      </c>
      <c r="AB116" s="6">
        <f>
      Ifs( 
        ISBETWEEN(AA116, 0, 'Points-Table'!C$20, TRUE, False), 'Points-Table'!A$20,
        ISBETWEEN(AA116, 'Points-Table'!C$20, 'Points-Table'!C$21, TRUE, False), 'Points-Table'!A$21,
        ISBETWEEN(AA116, 'Points-Table'!C$22, 10000, TRUE, TRUE), 'Points-Table'!A$22,
        true, 
        0)
      </f>
      </c>
      <c r="AC116" s="6" t="s">
        <v>56</v>
      </c>
      <c r="AD116" s="6" t="s">
        <v>56</v>
      </c>
      <c r="AE116" s="6" t="s">
        <v>56</v>
      </c>
    </row>
    <row r="117" spans="1:31" s="6" customFormat="1" x14ac:dyDescent="0.25">
      <c r="A117" s="6" t="s">
        <v>138</v>
      </c>
      <c r="B117" s="6" t="s">
        <v>224</v>
      </c>
      <c r="C117" s="6" t="s">
        <v>222</v>
      </c>
      <c r="D117" s="6"/>
      <c r="E117" s="6"/>
      <c r="F117" s="6"/>
      <c r="G117" s="6"/>
      <c r="H117" s="6"/>
      <c r="I117" s="6"/>
      <c r="J117" s="6"/>
      <c r="K117" s="6" t="s">
        <v>83</v>
      </c>
      <c r="L117" s="6" t="s">
        <v>84</v>
      </c>
      <c r="M117" s="6"/>
      <c r="N117" s="6"/>
      <c r="O117" s="6"/>
      <c r="P117" s="6"/>
      <c r="Q117" s="11"/>
      <c r="R117" s="12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</c>
      <c r="S117" s="11"/>
      <c r="T117" s="12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</c>
      <c r="U117" s="11">
        <v>2</v>
      </c>
      <c r="V117" s="12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</c>
      <c r="W117" s="11">
        <v>0</v>
      </c>
      <c r="X117" s="12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</c>
      <c r="Y117" s="11">
        <v>0</v>
      </c>
      <c r="Z117" s="12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</c>
      <c r="AA117" s="6">
        <f>SUM(V117,X117,Z117)</f>
      </c>
      <c r="AB117" s="6">
        <f>
      Ifs( 
        ISBETWEEN(AA117, 0, 'Points-Table'!C$20, TRUE, False), 'Points-Table'!A$20,
        ISBETWEEN(AA117, 'Points-Table'!C$20, 'Points-Table'!C$21, TRUE, False), 'Points-Table'!A$21,
        ISBETWEEN(AA117, 'Points-Table'!C$22, 10000, TRUE, TRUE), 'Points-Table'!A$22,
        true, 
        0)
      </f>
      </c>
      <c r="AC117" s="6" t="s">
        <v>56</v>
      </c>
      <c r="AD117" s="6" t="s">
        <v>56</v>
      </c>
      <c r="AE117" s="6" t="s">
        <v>56</v>
      </c>
    </row>
    <row r="118" spans="1:31" s="6" customFormat="1" x14ac:dyDescent="0.25">
      <c r="A118" s="6" t="s">
        <v>138</v>
      </c>
      <c r="B118" s="6" t="s">
        <v>224</v>
      </c>
      <c r="C118" s="6" t="s">
        <v>190</v>
      </c>
      <c r="D118" s="6"/>
      <c r="E118" s="6"/>
      <c r="F118" s="6"/>
      <c r="G118" s="6"/>
      <c r="H118" s="6"/>
      <c r="I118" s="6"/>
      <c r="J118" s="6"/>
      <c r="K118" s="6" t="s">
        <v>83</v>
      </c>
      <c r="L118" s="6" t="s">
        <v>84</v>
      </c>
      <c r="M118" s="6"/>
      <c r="N118" s="6"/>
      <c r="O118" s="6"/>
      <c r="P118" s="6"/>
      <c r="Q118" s="11"/>
      <c r="R118" s="12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</c>
      <c r="S118" s="11"/>
      <c r="T118" s="12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</c>
      <c r="U118" s="11">
        <v>3</v>
      </c>
      <c r="V118" s="12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</c>
      <c r="W118" s="11">
        <v>2</v>
      </c>
      <c r="X118" s="12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</c>
      <c r="Y118" s="11">
        <v>8</v>
      </c>
      <c r="Z118" s="12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</c>
      <c r="AA118" s="6">
        <f>SUM(V118,X118,Z118)</f>
      </c>
      <c r="AB118" s="6">
        <f>
      Ifs( 
        ISBETWEEN(AA118, 0, 'Points-Table'!C$20, TRUE, False), 'Points-Table'!A$20,
        ISBETWEEN(AA118, 'Points-Table'!C$20, 'Points-Table'!C$21, TRUE, False), 'Points-Table'!A$21,
        ISBETWEEN(AA118, 'Points-Table'!C$22, 10000, TRUE, TRUE), 'Points-Table'!A$22,
        true, 
        0)
      </f>
      </c>
      <c r="AC118" s="6" t="s">
        <v>56</v>
      </c>
      <c r="AD118" s="6" t="s">
        <v>56</v>
      </c>
      <c r="AE118" s="6" t="s">
        <v>56</v>
      </c>
    </row>
    <row r="119" spans="1:31" s="6" customFormat="1" x14ac:dyDescent="0.25">
      <c r="A119" s="6" t="s">
        <v>138</v>
      </c>
      <c r="B119" s="6" t="s">
        <v>224</v>
      </c>
      <c r="C119" s="6" t="s">
        <v>191</v>
      </c>
      <c r="D119" s="6"/>
      <c r="E119" s="6"/>
      <c r="F119" s="6"/>
      <c r="G119" s="6"/>
      <c r="H119" s="6"/>
      <c r="I119" s="6"/>
      <c r="J119" s="6"/>
      <c r="K119" s="6" t="s">
        <v>83</v>
      </c>
      <c r="L119" s="6" t="s">
        <v>84</v>
      </c>
      <c r="M119" s="6"/>
      <c r="N119" s="6"/>
      <c r="O119" s="6"/>
      <c r="P119" s="6"/>
      <c r="Q119" s="11"/>
      <c r="R119" s="12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</c>
      <c r="S119" s="11"/>
      <c r="T119" s="12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</c>
      <c r="U119" s="11">
        <v>3</v>
      </c>
      <c r="V119" s="12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</c>
      <c r="W119" s="11">
        <v>2</v>
      </c>
      <c r="X119" s="12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</c>
      <c r="Y119" s="11">
        <v>3</v>
      </c>
      <c r="Z119" s="12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</c>
      <c r="AA119" s="6">
        <f>SUM(V119,X119,Z119)</f>
      </c>
      <c r="AB119" s="6">
        <f>
      Ifs( 
        ISBETWEEN(AA119, 0, 'Points-Table'!C$20, TRUE, False), 'Points-Table'!A$20,
        ISBETWEEN(AA119, 'Points-Table'!C$20, 'Points-Table'!C$21, TRUE, False), 'Points-Table'!A$21,
        ISBETWEEN(AA119, 'Points-Table'!C$22, 10000, TRUE, TRUE), 'Points-Table'!A$22,
        true, 
        0)
      </f>
      </c>
      <c r="AC119" s="6" t="s">
        <v>56</v>
      </c>
      <c r="AD119" s="6" t="s">
        <v>56</v>
      </c>
      <c r="AE119" s="6" t="s">
        <v>56</v>
      </c>
    </row>
    <row r="120" spans="1:31" s="6" customFormat="1" x14ac:dyDescent="0.25">
      <c r="A120" s="6" t="s">
        <v>141</v>
      </c>
      <c r="B120" s="6" t="s">
        <v>225</v>
      </c>
      <c r="D120" s="6"/>
      <c r="E120" s="6"/>
      <c r="F120" s="6"/>
      <c r="G120" s="6"/>
      <c r="H120" s="6"/>
      <c r="I120" s="6"/>
      <c r="J120" s="6"/>
      <c r="K120" s="6" t="s">
        <v>83</v>
      </c>
      <c r="L120" s="6" t="s">
        <v>84</v>
      </c>
      <c r="M120" s="6"/>
      <c r="N120" s="6"/>
      <c r="O120" s="6"/>
      <c r="P120" s="6"/>
      <c r="Q120" s="11"/>
      <c r="R120" s="12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</c>
      <c r="S120" s="11"/>
      <c r="T120" s="12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</c>
      <c r="U120" s="11">
        <v>3</v>
      </c>
      <c r="V120" s="12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</c>
      <c r="W120" s="11">
        <v>3</v>
      </c>
      <c r="X120" s="12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</c>
      <c r="Y120" s="11">
        <v>5</v>
      </c>
      <c r="Z120" s="12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</c>
      <c r="AA120" s="6">
        <f>SUM(V120,X120,Z120)</f>
      </c>
      <c r="AB120" s="6">
        <f>
      Ifs( 
        ISBETWEEN(AA120, 0, 'Points-Table'!C$20, TRUE, False), 'Points-Table'!A$20,
        ISBETWEEN(AA120, 'Points-Table'!C$20, 'Points-Table'!C$21, TRUE, False), 'Points-Table'!A$21,
        ISBETWEEN(AA120, 'Points-Table'!C$22, 10000, TRUE, TRUE), 'Points-Table'!A$22,
        true, 
        0)
      </f>
      </c>
      <c r="AC120" s="6" t="s">
        <v>56</v>
      </c>
      <c r="AD120" s="6" t="s">
        <v>56</v>
      </c>
      <c r="AE120" s="6" t="s">
        <v>56</v>
      </c>
    </row>
    <row r="121" spans="1:31" s="6" customFormat="1" x14ac:dyDescent="0.25">
      <c r="A121" s="6" t="s">
        <v>141</v>
      </c>
      <c r="B121" s="6" t="s">
        <v>227</v>
      </c>
      <c r="D121" s="6" t="s">
        <v>228</v>
      </c>
      <c r="E121" s="6"/>
      <c r="F121" s="6"/>
      <c r="G121" s="6"/>
      <c r="H121" s="6"/>
      <c r="I121" s="6"/>
      <c r="J121" s="6"/>
      <c r="K121" s="6" t="s">
        <v>83</v>
      </c>
      <c r="L121" s="6" t="s">
        <v>84</v>
      </c>
      <c r="M121" s="6"/>
      <c r="N121" s="6"/>
      <c r="O121" s="6"/>
      <c r="P121" s="6"/>
      <c r="Q121" s="11"/>
      <c r="R121" s="12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</c>
      <c r="S121" s="11"/>
      <c r="T121" s="12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</c>
      <c r="U121" s="11">
        <v>3</v>
      </c>
      <c r="V121" s="12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</c>
      <c r="W121" s="11">
        <v>2</v>
      </c>
      <c r="X121" s="12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</c>
      <c r="Y121" s="11">
        <v>5</v>
      </c>
      <c r="Z121" s="12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</c>
      <c r="AA121" s="6">
        <f>SUM(V121,X121,Z121)</f>
      </c>
      <c r="AB121" s="6">
        <f>
      Ifs( 
        ISBETWEEN(AA121, 0, 'Points-Table'!C$20, TRUE, False), 'Points-Table'!A$20,
        ISBETWEEN(AA121, 'Points-Table'!C$20, 'Points-Table'!C$21, TRUE, False), 'Points-Table'!A$21,
        ISBETWEEN(AA121, 'Points-Table'!C$22, 10000, TRUE, TRUE), 'Points-Table'!A$22,
        true, 
        0)
      </f>
      </c>
      <c r="AC121" s="6" t="s">
        <v>56</v>
      </c>
      <c r="AD121" s="6" t="s">
        <v>56</v>
      </c>
      <c r="AE121" s="6" t="s">
        <v>56</v>
      </c>
    </row>
    <row r="122" spans="1:31" s="6" customFormat="1" x14ac:dyDescent="0.25">
      <c r="A122" s="6" t="s">
        <v>141</v>
      </c>
      <c r="B122" s="6" t="s">
        <v>229</v>
      </c>
      <c r="D122" s="6"/>
      <c r="E122" s="6"/>
      <c r="F122" s="6"/>
      <c r="G122" s="6"/>
      <c r="H122" s="6"/>
      <c r="I122" s="6"/>
      <c r="J122" s="6"/>
      <c r="K122" s="6" t="s">
        <v>83</v>
      </c>
      <c r="L122" s="6" t="s">
        <v>84</v>
      </c>
      <c r="M122" s="6"/>
      <c r="N122" s="6"/>
      <c r="O122" s="6"/>
      <c r="P122" s="6"/>
      <c r="Q122" s="11"/>
      <c r="R122" s="12">
        <f>
              Ifs(
                (Q122 = 'Points-Table'!$A$4), 'Points-Table'!$C$4,
                (Q122 = 'Points-Table'!$A$5), 'Points-Table'!$C$5,
                (Q122 = 'Points-Table'!$A$6), 'Points-Table'!$C$6,
                (Q122 = 'Points-Table'!$A$7), 'Points-Table'!$C$7,
                (Q122 = 'Points-Table'!$A$8), 'Points-Table'!$C$8,
                (Q122 = 'Points-Table'!$A$9), 'Points-Table'!$C$9,
                (Q122 = 'Points-Table'!$A$10), 'Points-Table'!$C$10,
                (Q122 = 'Points-Table'!$A$11), 'Points-Table'!$C$11,
                (Q122 = 'Points-Table'!$A$12), 'Points-Table'!$C$12,
                (Q122 = 'Points-Table'!$A$13), 'Points-Table'!$C$13,
                true, 0
              )
            </f>
      </c>
      <c r="S122" s="11"/>
      <c r="T122" s="12">
        <f>
              Ifs(
                (S122 = 'Points-Table'!$A$4), 'Points-Table'!$C$4,
                (S122 = 'Points-Table'!$A$5), 'Points-Table'!$C$5,
                (S122 = 'Points-Table'!$A$6), 'Points-Table'!$C$6,
                (S122 = 'Points-Table'!$A$7), 'Points-Table'!$C$7,
                (S122 = 'Points-Table'!$A$8), 'Points-Table'!$C$8,
                (S122 = 'Points-Table'!$A$9), 'Points-Table'!$C$9,
                (S122 = 'Points-Table'!$A$10), 'Points-Table'!$C$10,
                (S122 = 'Points-Table'!$A$11), 'Points-Table'!$C$11,
                (S122 = 'Points-Table'!$A$12), 'Points-Table'!$C$12,
                (S122 = 'Points-Table'!$A$13), 'Points-Table'!$C$13,
                true, 0
              )
            </f>
      </c>
      <c r="U122" s="11">
        <v>3</v>
      </c>
      <c r="V122" s="12">
        <f>
              Ifs(
                (U122 = 'Points-Table'!$A$4), 'Points-Table'!$C$4,
                (U122 = 'Points-Table'!$A$5), 'Points-Table'!$C$5,
                (U122 = 'Points-Table'!$A$6), 'Points-Table'!$C$6,
                (U122 = 'Points-Table'!$A$7), 'Points-Table'!$C$7,
                (U122 = 'Points-Table'!$A$8), 'Points-Table'!$C$8,
                (U122 = 'Points-Table'!$A$9), 'Points-Table'!$C$9,
                (U122 = 'Points-Table'!$A$10), 'Points-Table'!$C$10,
                (U122 = 'Points-Table'!$A$11), 'Points-Table'!$C$11,
                (U122 = 'Points-Table'!$A$12), 'Points-Table'!$C$12,
                (U122 = 'Points-Table'!$A$13), 'Points-Table'!$C$13,
                true, 0
              )
            </f>
      </c>
      <c r="W122" s="11">
        <v>3</v>
      </c>
      <c r="X122" s="12">
        <f>
              Ifs(
                (W122 = 'Points-Table'!$A$4), 'Points-Table'!$C$4,
                (W122 = 'Points-Table'!$A$5), 'Points-Table'!$C$5,
                (W122 = 'Points-Table'!$A$6), 'Points-Table'!$C$6,
                (W122 = 'Points-Table'!$A$7), 'Points-Table'!$C$7,
                (W122 = 'Points-Table'!$A$8), 'Points-Table'!$C$8,
                (W122 = 'Points-Table'!$A$9), 'Points-Table'!$C$9,
                (W122 = 'Points-Table'!$A$10), 'Points-Table'!$C$10,
                (W122 = 'Points-Table'!$A$11), 'Points-Table'!$C$11,
                (W122 = 'Points-Table'!$A$12), 'Points-Table'!$C$12,
                (W122 = 'Points-Table'!$A$13), 'Points-Table'!$C$13,
                true, 0
              )
            </f>
      </c>
      <c r="Y122" s="11">
        <v>5</v>
      </c>
      <c r="Z122" s="12">
        <f>
              Ifs(
                (Y122 = 'Points-Table'!$A$4), 'Points-Table'!$C$4,
                (Y122 = 'Points-Table'!$A$5), 'Points-Table'!$C$5,
                (Y122 = 'Points-Table'!$A$6), 'Points-Table'!$C$6,
                (Y122 = 'Points-Table'!$A$7), 'Points-Table'!$C$7,
                (Y122 = 'Points-Table'!$A$8), 'Points-Table'!$C$8,
                (Y122 = 'Points-Table'!$A$9), 'Points-Table'!$C$9,
                (Y122 = 'Points-Table'!$A$10), 'Points-Table'!$C$10,
                (Y122 = 'Points-Table'!$A$11), 'Points-Table'!$C$11,
                (Y122 = 'Points-Table'!$A$12), 'Points-Table'!$C$12,
                (Y122 = 'Points-Table'!$A$13), 'Points-Table'!$C$13,
                true, 0
              )
            </f>
      </c>
      <c r="AA122" s="6">
        <f>SUM(V122,X122,Z122)</f>
      </c>
      <c r="AB122" s="6">
        <f>
      Ifs( 
        ISBETWEEN(AA122, 0, 'Points-Table'!C$20, TRUE, False), 'Points-Table'!A$20,
        ISBETWEEN(AA122, 'Points-Table'!C$20, 'Points-Table'!C$21, TRUE, False), 'Points-Table'!A$21,
        ISBETWEEN(AA122, 'Points-Table'!C$22, 10000, TRUE, TRUE), 'Points-Table'!A$22,
        true, 
        0)
      </f>
      </c>
      <c r="AC122" s="6" t="s">
        <v>56</v>
      </c>
      <c r="AD122" s="6" t="s">
        <v>56</v>
      </c>
      <c r="AE122" s="6" t="s">
        <v>56</v>
      </c>
    </row>
    <row r="123" spans="1:31" s="13" customFormat="1" x14ac:dyDescent="0.25">
      <c r="A123" s="13" t="s">
        <v>141</v>
      </c>
      <c r="B123" s="13" t="s">
        <v>230</v>
      </c>
      <c r="D123" s="13"/>
      <c r="E123" s="13"/>
      <c r="F123" s="13"/>
      <c r="G123" s="13"/>
      <c r="H123" s="13"/>
      <c r="I123" s="13"/>
      <c r="J123" s="13"/>
      <c r="K123" s="13" t="s">
        <v>83</v>
      </c>
      <c r="L123" s="13" t="s">
        <v>84</v>
      </c>
      <c r="M123" s="13"/>
      <c r="N123" s="13"/>
      <c r="O123" s="13"/>
      <c r="P123" s="13"/>
      <c r="Q123" s="13"/>
      <c r="R123" s="13">
        <f>
              Ifs(
                (Q123 = 'Points-Table'!$A$4), 'Points-Table'!$C$4,
                (Q123 = 'Points-Table'!$A$5), 'Points-Table'!$C$5,
                (Q123 = 'Points-Table'!$A$6), 'Points-Table'!$C$6,
                (Q123 = 'Points-Table'!$A$7), 'Points-Table'!$C$7,
                (Q123 = 'Points-Table'!$A$8), 'Points-Table'!$C$8,
                (Q123 = 'Points-Table'!$A$9), 'Points-Table'!$C$9,
                (Q123 = 'Points-Table'!$A$10), 'Points-Table'!$C$10,
                (Q123 = 'Points-Table'!$A$11), 'Points-Table'!$C$11,
                (Q123 = 'Points-Table'!$A$12), 'Points-Table'!$C$12,
                (Q123 = 'Points-Table'!$A$13), 'Points-Table'!$C$13,
                true, 0
              )
            </f>
      </c>
      <c r="S123" s="13"/>
      <c r="T123" s="13">
        <f>
              Ifs(
                (S123 = 'Points-Table'!$A$4), 'Points-Table'!$C$4,
                (S123 = 'Points-Table'!$A$5), 'Points-Table'!$C$5,
                (S123 = 'Points-Table'!$A$6), 'Points-Table'!$C$6,
                (S123 = 'Points-Table'!$A$7), 'Points-Table'!$C$7,
                (S123 = 'Points-Table'!$A$8), 'Points-Table'!$C$8,
                (S123 = 'Points-Table'!$A$9), 'Points-Table'!$C$9,
                (S123 = 'Points-Table'!$A$10), 'Points-Table'!$C$10,
                (S123 = 'Points-Table'!$A$11), 'Points-Table'!$C$11,
                (S123 = 'Points-Table'!$A$12), 'Points-Table'!$C$12,
                (S123 = 'Points-Table'!$A$13), 'Points-Table'!$C$13,
                true, 0
              )
            </f>
      </c>
      <c r="U123" s="13">
        <v>3</v>
      </c>
      <c r="V123" s="13">
        <f>
              Ifs(
                (U123 = 'Points-Table'!$A$4), 'Points-Table'!$C$4,
                (U123 = 'Points-Table'!$A$5), 'Points-Table'!$C$5,
                (U123 = 'Points-Table'!$A$6), 'Points-Table'!$C$6,
                (U123 = 'Points-Table'!$A$7), 'Points-Table'!$C$7,
                (U123 = 'Points-Table'!$A$8), 'Points-Table'!$C$8,
                (U123 = 'Points-Table'!$A$9), 'Points-Table'!$C$9,
                (U123 = 'Points-Table'!$A$10), 'Points-Table'!$C$10,
                (U123 = 'Points-Table'!$A$11), 'Points-Table'!$C$11,
                (U123 = 'Points-Table'!$A$12), 'Points-Table'!$C$12,
                (U123 = 'Points-Table'!$A$13), 'Points-Table'!$C$13,
                true, 0
              )
            </f>
      </c>
      <c r="W123" s="13">
        <v>2</v>
      </c>
      <c r="X123" s="13">
        <f>
              Ifs(
                (W123 = 'Points-Table'!$A$4), 'Points-Table'!$C$4,
                (W123 = 'Points-Table'!$A$5), 'Points-Table'!$C$5,
                (W123 = 'Points-Table'!$A$6), 'Points-Table'!$C$6,
                (W123 = 'Points-Table'!$A$7), 'Points-Table'!$C$7,
                (W123 = 'Points-Table'!$A$8), 'Points-Table'!$C$8,
                (W123 = 'Points-Table'!$A$9), 'Points-Table'!$C$9,
                (W123 = 'Points-Table'!$A$10), 'Points-Table'!$C$10,
                (W123 = 'Points-Table'!$A$11), 'Points-Table'!$C$11,
                (W123 = 'Points-Table'!$A$12), 'Points-Table'!$C$12,
                (W123 = 'Points-Table'!$A$13), 'Points-Table'!$C$13,
                true, 0
              )
            </f>
      </c>
      <c r="Y123" s="13">
        <v>3</v>
      </c>
      <c r="Z123" s="13">
        <f>
              Ifs(
                (Y123 = 'Points-Table'!$A$4), 'Points-Table'!$C$4,
                (Y123 = 'Points-Table'!$A$5), 'Points-Table'!$C$5,
                (Y123 = 'Points-Table'!$A$6), 'Points-Table'!$C$6,
                (Y123 = 'Points-Table'!$A$7), 'Points-Table'!$C$7,
                (Y123 = 'Points-Table'!$A$8), 'Points-Table'!$C$8,
                (Y123 = 'Points-Table'!$A$9), 'Points-Table'!$C$9,
                (Y123 = 'Points-Table'!$A$10), 'Points-Table'!$C$10,
                (Y123 = 'Points-Table'!$A$11), 'Points-Table'!$C$11,
                (Y123 = 'Points-Table'!$A$12), 'Points-Table'!$C$12,
                (Y123 = 'Points-Table'!$A$13), 'Points-Table'!$C$13,
                true, 0
              )
            </f>
      </c>
      <c r="AA123" s="13">
        <f>SUM(V123,X123,Z123)</f>
      </c>
      <c r="AB123" s="13">
        <f>
      Ifs( 
        ISBETWEEN(AA123, 0, 'Points-Table'!C$20, TRUE, False), 'Points-Table'!A$20,
        ISBETWEEN(AA123, 'Points-Table'!C$20, 'Points-Table'!C$21, TRUE, False), 'Points-Table'!A$21,
        ISBETWEEN(AA123, 'Points-Table'!C$22, 10000, TRUE, TRUE), 'Points-Table'!A$22,
        true, 
        0)
      </f>
      </c>
      <c r="AC123" s="13" t="s">
        <v>56</v>
      </c>
      <c r="AD123" s="13" t="s">
        <v>56</v>
      </c>
      <c r="AE123" s="13" t="s">
        <v>56</v>
      </c>
    </row>
    <row r="124" spans="1:31" s="6" customFormat="1" x14ac:dyDescent="0.25">
      <c r="A124" s="6" t="s">
        <v>231</v>
      </c>
      <c r="B124" s="6" t="s">
        <v>232</v>
      </c>
      <c r="D124" s="6"/>
      <c r="E124" s="6"/>
      <c r="F124" s="6"/>
      <c r="G124" s="6"/>
      <c r="H124" s="6"/>
      <c r="I124" s="6"/>
      <c r="J124" s="6"/>
      <c r="K124" s="6" t="s">
        <v>83</v>
      </c>
      <c r="L124" s="6" t="s">
        <v>84</v>
      </c>
      <c r="M124" s="6"/>
      <c r="N124" s="6"/>
      <c r="O124" s="6"/>
      <c r="P124" s="6"/>
      <c r="Q124" s="11"/>
      <c r="R124" s="12">
        <f>
              Ifs(
                (Q124 = 'Points-Table'!$A$4), 'Points-Table'!$C$4,
                (Q124 = 'Points-Table'!$A$5), 'Points-Table'!$C$5,
                (Q124 = 'Points-Table'!$A$6), 'Points-Table'!$C$6,
                (Q124 = 'Points-Table'!$A$7), 'Points-Table'!$C$7,
                (Q124 = 'Points-Table'!$A$8), 'Points-Table'!$C$8,
                (Q124 = 'Points-Table'!$A$9), 'Points-Table'!$C$9,
                (Q124 = 'Points-Table'!$A$10), 'Points-Table'!$C$10,
                (Q124 = 'Points-Table'!$A$11), 'Points-Table'!$C$11,
                (Q124 = 'Points-Table'!$A$12), 'Points-Table'!$C$12,
                (Q124 = 'Points-Table'!$A$13), 'Points-Table'!$C$13,
                true, 0
              )
            </f>
      </c>
      <c r="S124" s="11"/>
      <c r="T124" s="12">
        <f>
              Ifs(
                (S124 = 'Points-Table'!$A$4), 'Points-Table'!$C$4,
                (S124 = 'Points-Table'!$A$5), 'Points-Table'!$C$5,
                (S124 = 'Points-Table'!$A$6), 'Points-Table'!$C$6,
                (S124 = 'Points-Table'!$A$7), 'Points-Table'!$C$7,
                (S124 = 'Points-Table'!$A$8), 'Points-Table'!$C$8,
                (S124 = 'Points-Table'!$A$9), 'Points-Table'!$C$9,
                (S124 = 'Points-Table'!$A$10), 'Points-Table'!$C$10,
                (S124 = 'Points-Table'!$A$11), 'Points-Table'!$C$11,
                (S124 = 'Points-Table'!$A$12), 'Points-Table'!$C$12,
                (S124 = 'Points-Table'!$A$13), 'Points-Table'!$C$13,
                true, 0
              )
            </f>
      </c>
      <c r="U124" s="11">
        <v>5</v>
      </c>
      <c r="V124" s="12">
        <f>
              Ifs(
                (U124 = 'Points-Table'!$A$4), 'Points-Table'!$C$4,
                (U124 = 'Points-Table'!$A$5), 'Points-Table'!$C$5,
                (U124 = 'Points-Table'!$A$6), 'Points-Table'!$C$6,
                (U124 = 'Points-Table'!$A$7), 'Points-Table'!$C$7,
                (U124 = 'Points-Table'!$A$8), 'Points-Table'!$C$8,
                (U124 = 'Points-Table'!$A$9), 'Points-Table'!$C$9,
                (U124 = 'Points-Table'!$A$10), 'Points-Table'!$C$10,
                (U124 = 'Points-Table'!$A$11), 'Points-Table'!$C$11,
                (U124 = 'Points-Table'!$A$12), 'Points-Table'!$C$12,
                (U124 = 'Points-Table'!$A$13), 'Points-Table'!$C$13,
                true, 0
              )
            </f>
      </c>
      <c r="W124" s="11">
        <v>2</v>
      </c>
      <c r="X124" s="12">
        <f>
              Ifs(
                (W124 = 'Points-Table'!$A$4), 'Points-Table'!$C$4,
                (W124 = 'Points-Table'!$A$5), 'Points-Table'!$C$5,
                (W124 = 'Points-Table'!$A$6), 'Points-Table'!$C$6,
                (W124 = 'Points-Table'!$A$7), 'Points-Table'!$C$7,
                (W124 = 'Points-Table'!$A$8), 'Points-Table'!$C$8,
                (W124 = 'Points-Table'!$A$9), 'Points-Table'!$C$9,
                (W124 = 'Points-Table'!$A$10), 'Points-Table'!$C$10,
                (W124 = 'Points-Table'!$A$11), 'Points-Table'!$C$11,
                (W124 = 'Points-Table'!$A$12), 'Points-Table'!$C$12,
                (W124 = 'Points-Table'!$A$13), 'Points-Table'!$C$13,
                true, 0
              )
            </f>
      </c>
      <c r="Y124" s="11">
        <v>3</v>
      </c>
      <c r="Z124" s="12">
        <f>
              Ifs(
                (Y124 = 'Points-Table'!$A$4), 'Points-Table'!$C$4,
                (Y124 = 'Points-Table'!$A$5), 'Points-Table'!$C$5,
                (Y124 = 'Points-Table'!$A$6), 'Points-Table'!$C$6,
                (Y124 = 'Points-Table'!$A$7), 'Points-Table'!$C$7,
                (Y124 = 'Points-Table'!$A$8), 'Points-Table'!$C$8,
                (Y124 = 'Points-Table'!$A$9), 'Points-Table'!$C$9,
                (Y124 = 'Points-Table'!$A$10), 'Points-Table'!$C$10,
                (Y124 = 'Points-Table'!$A$11), 'Points-Table'!$C$11,
                (Y124 = 'Points-Table'!$A$12), 'Points-Table'!$C$12,
                (Y124 = 'Points-Table'!$A$13), 'Points-Table'!$C$13,
                true, 0
              )
            </f>
      </c>
      <c r="AA124" s="6">
        <f>SUM(V124,X124,Z124)</f>
      </c>
      <c r="AB124" s="6">
        <f>
      Ifs( 
        ISBETWEEN(AA124, 0, 'Points-Table'!C$20, TRUE, False), 'Points-Table'!A$20,
        ISBETWEEN(AA124, 'Points-Table'!C$20, 'Points-Table'!C$21, TRUE, False), 'Points-Table'!A$21,
        ISBETWEEN(AA124, 'Points-Table'!C$22, 10000, TRUE, TRUE), 'Points-Table'!A$22,
        true, 
        0)
      </f>
      </c>
      <c r="AC124" s="6" t="s">
        <v>56</v>
      </c>
      <c r="AD124" s="6" t="s">
        <v>56</v>
      </c>
      <c r="AE124" s="6" t="s">
        <v>56</v>
      </c>
    </row>
    <row r="125" spans="1:31" s="6" customFormat="1" x14ac:dyDescent="0.25">
      <c r="A125" s="6" t="s">
        <v>231</v>
      </c>
      <c r="B125" s="6" t="s">
        <v>233</v>
      </c>
      <c r="D125" s="6"/>
      <c r="E125" s="6"/>
      <c r="F125" s="6"/>
      <c r="G125" s="6"/>
      <c r="H125" s="6"/>
      <c r="I125" s="6"/>
      <c r="J125" s="6"/>
      <c r="K125" s="6" t="s">
        <v>83</v>
      </c>
      <c r="L125" s="6" t="s">
        <v>84</v>
      </c>
      <c r="M125" s="6"/>
      <c r="N125" s="6"/>
      <c r="O125" s="6"/>
      <c r="P125" s="6"/>
      <c r="Q125" s="11"/>
      <c r="R125" s="12">
        <f>
              Ifs(
                (Q125 = 'Points-Table'!$A$4), 'Points-Table'!$C$4,
                (Q125 = 'Points-Table'!$A$5), 'Points-Table'!$C$5,
                (Q125 = 'Points-Table'!$A$6), 'Points-Table'!$C$6,
                (Q125 = 'Points-Table'!$A$7), 'Points-Table'!$C$7,
                (Q125 = 'Points-Table'!$A$8), 'Points-Table'!$C$8,
                (Q125 = 'Points-Table'!$A$9), 'Points-Table'!$C$9,
                (Q125 = 'Points-Table'!$A$10), 'Points-Table'!$C$10,
                (Q125 = 'Points-Table'!$A$11), 'Points-Table'!$C$11,
                (Q125 = 'Points-Table'!$A$12), 'Points-Table'!$C$12,
                (Q125 = 'Points-Table'!$A$13), 'Points-Table'!$C$13,
                true, 0
              )
            </f>
      </c>
      <c r="S125" s="11"/>
      <c r="T125" s="12">
        <f>
              Ifs(
                (S125 = 'Points-Table'!$A$4), 'Points-Table'!$C$4,
                (S125 = 'Points-Table'!$A$5), 'Points-Table'!$C$5,
                (S125 = 'Points-Table'!$A$6), 'Points-Table'!$C$6,
                (S125 = 'Points-Table'!$A$7), 'Points-Table'!$C$7,
                (S125 = 'Points-Table'!$A$8), 'Points-Table'!$C$8,
                (S125 = 'Points-Table'!$A$9), 'Points-Table'!$C$9,
                (S125 = 'Points-Table'!$A$10), 'Points-Table'!$C$10,
                (S125 = 'Points-Table'!$A$11), 'Points-Table'!$C$11,
                (S125 = 'Points-Table'!$A$12), 'Points-Table'!$C$12,
                (S125 = 'Points-Table'!$A$13), 'Points-Table'!$C$13,
                true, 0
              )
            </f>
      </c>
      <c r="U125" s="11">
        <v>5</v>
      </c>
      <c r="V125" s="12">
        <f>
              Ifs(
                (U125 = 'Points-Table'!$A$4), 'Points-Table'!$C$4,
                (U125 = 'Points-Table'!$A$5), 'Points-Table'!$C$5,
                (U125 = 'Points-Table'!$A$6), 'Points-Table'!$C$6,
                (U125 = 'Points-Table'!$A$7), 'Points-Table'!$C$7,
                (U125 = 'Points-Table'!$A$8), 'Points-Table'!$C$8,
                (U125 = 'Points-Table'!$A$9), 'Points-Table'!$C$9,
                (U125 = 'Points-Table'!$A$10), 'Points-Table'!$C$10,
                (U125 = 'Points-Table'!$A$11), 'Points-Table'!$C$11,
                (U125 = 'Points-Table'!$A$12), 'Points-Table'!$C$12,
                (U125 = 'Points-Table'!$A$13), 'Points-Table'!$C$13,
                true, 0
              )
            </f>
      </c>
      <c r="W125" s="11">
        <v>2</v>
      </c>
      <c r="X125" s="12">
        <f>
              Ifs(
                (W125 = 'Points-Table'!$A$4), 'Points-Table'!$C$4,
                (W125 = 'Points-Table'!$A$5), 'Points-Table'!$C$5,
                (W125 = 'Points-Table'!$A$6), 'Points-Table'!$C$6,
                (W125 = 'Points-Table'!$A$7), 'Points-Table'!$C$7,
                (W125 = 'Points-Table'!$A$8), 'Points-Table'!$C$8,
                (W125 = 'Points-Table'!$A$9), 'Points-Table'!$C$9,
                (W125 = 'Points-Table'!$A$10), 'Points-Table'!$C$10,
                (W125 = 'Points-Table'!$A$11), 'Points-Table'!$C$11,
                (W125 = 'Points-Table'!$A$12), 'Points-Table'!$C$12,
                (W125 = 'Points-Table'!$A$13), 'Points-Table'!$C$13,
                true, 0
              )
            </f>
      </c>
      <c r="Y125" s="11">
        <v>3</v>
      </c>
      <c r="Z125" s="12">
        <f>
              Ifs(
                (Y125 = 'Points-Table'!$A$4), 'Points-Table'!$C$4,
                (Y125 = 'Points-Table'!$A$5), 'Points-Table'!$C$5,
                (Y125 = 'Points-Table'!$A$6), 'Points-Table'!$C$6,
                (Y125 = 'Points-Table'!$A$7), 'Points-Table'!$C$7,
                (Y125 = 'Points-Table'!$A$8), 'Points-Table'!$C$8,
                (Y125 = 'Points-Table'!$A$9), 'Points-Table'!$C$9,
                (Y125 = 'Points-Table'!$A$10), 'Points-Table'!$C$10,
                (Y125 = 'Points-Table'!$A$11), 'Points-Table'!$C$11,
                (Y125 = 'Points-Table'!$A$12), 'Points-Table'!$C$12,
                (Y125 = 'Points-Table'!$A$13), 'Points-Table'!$C$13,
                true, 0
              )
            </f>
      </c>
      <c r="AA125" s="6">
        <f>SUM(V125,X125,Z125)</f>
      </c>
      <c r="AB125" s="6">
        <f>
      Ifs( 
        ISBETWEEN(AA125, 0, 'Points-Table'!C$20, TRUE, False), 'Points-Table'!A$20,
        ISBETWEEN(AA125, 'Points-Table'!C$20, 'Points-Table'!C$21, TRUE, False), 'Points-Table'!A$21,
        ISBETWEEN(AA125, 'Points-Table'!C$22, 10000, TRUE, TRUE), 'Points-Table'!A$22,
        true, 
        0)
      </f>
      </c>
      <c r="AC125" s="6" t="s">
        <v>56</v>
      </c>
      <c r="AD125" s="6" t="s">
        <v>56</v>
      </c>
      <c r="AE125" s="6" t="s">
        <v>56</v>
      </c>
    </row>
    <row r="126" spans="1:31" s="6" customFormat="1" x14ac:dyDescent="0.25">
      <c r="A126" s="6" t="s">
        <v>231</v>
      </c>
      <c r="B126" s="6" t="s">
        <v>234</v>
      </c>
      <c r="D126" s="6"/>
      <c r="E126" s="6"/>
      <c r="F126" s="6"/>
      <c r="G126" s="6"/>
      <c r="H126" s="6"/>
      <c r="I126" s="6"/>
      <c r="J126" s="6"/>
      <c r="K126" s="6" t="s">
        <v>83</v>
      </c>
      <c r="L126" s="6" t="s">
        <v>84</v>
      </c>
      <c r="M126" s="6"/>
      <c r="N126" s="6"/>
      <c r="O126" s="6"/>
      <c r="P126" s="6"/>
      <c r="Q126" s="11"/>
      <c r="R126" s="12">
        <f>
              Ifs(
                (Q126 = 'Points-Table'!$A$4), 'Points-Table'!$C$4,
                (Q126 = 'Points-Table'!$A$5), 'Points-Table'!$C$5,
                (Q126 = 'Points-Table'!$A$6), 'Points-Table'!$C$6,
                (Q126 = 'Points-Table'!$A$7), 'Points-Table'!$C$7,
                (Q126 = 'Points-Table'!$A$8), 'Points-Table'!$C$8,
                (Q126 = 'Points-Table'!$A$9), 'Points-Table'!$C$9,
                (Q126 = 'Points-Table'!$A$10), 'Points-Table'!$C$10,
                (Q126 = 'Points-Table'!$A$11), 'Points-Table'!$C$11,
                (Q126 = 'Points-Table'!$A$12), 'Points-Table'!$C$12,
                (Q126 = 'Points-Table'!$A$13), 'Points-Table'!$C$13,
                true, 0
              )
            </f>
      </c>
      <c r="S126" s="11"/>
      <c r="T126" s="12">
        <f>
              Ifs(
                (S126 = 'Points-Table'!$A$4), 'Points-Table'!$C$4,
                (S126 = 'Points-Table'!$A$5), 'Points-Table'!$C$5,
                (S126 = 'Points-Table'!$A$6), 'Points-Table'!$C$6,
                (S126 = 'Points-Table'!$A$7), 'Points-Table'!$C$7,
                (S126 = 'Points-Table'!$A$8), 'Points-Table'!$C$8,
                (S126 = 'Points-Table'!$A$9), 'Points-Table'!$C$9,
                (S126 = 'Points-Table'!$A$10), 'Points-Table'!$C$10,
                (S126 = 'Points-Table'!$A$11), 'Points-Table'!$C$11,
                (S126 = 'Points-Table'!$A$12), 'Points-Table'!$C$12,
                (S126 = 'Points-Table'!$A$13), 'Points-Table'!$C$13,
                true, 0
              )
            </f>
      </c>
      <c r="U126" s="11">
        <v>3</v>
      </c>
      <c r="V126" s="12">
        <f>
              Ifs(
                (U126 = 'Points-Table'!$A$4), 'Points-Table'!$C$4,
                (U126 = 'Points-Table'!$A$5), 'Points-Table'!$C$5,
                (U126 = 'Points-Table'!$A$6), 'Points-Table'!$C$6,
                (U126 = 'Points-Table'!$A$7), 'Points-Table'!$C$7,
                (U126 = 'Points-Table'!$A$8), 'Points-Table'!$C$8,
                (U126 = 'Points-Table'!$A$9), 'Points-Table'!$C$9,
                (U126 = 'Points-Table'!$A$10), 'Points-Table'!$C$10,
                (U126 = 'Points-Table'!$A$11), 'Points-Table'!$C$11,
                (U126 = 'Points-Table'!$A$12), 'Points-Table'!$C$12,
                (U126 = 'Points-Table'!$A$13), 'Points-Table'!$C$13,
                true, 0
              )
            </f>
      </c>
      <c r="W126" s="11">
        <v>2</v>
      </c>
      <c r="X126" s="12">
        <f>
              Ifs(
                (W126 = 'Points-Table'!$A$4), 'Points-Table'!$C$4,
                (W126 = 'Points-Table'!$A$5), 'Points-Table'!$C$5,
                (W126 = 'Points-Table'!$A$6), 'Points-Table'!$C$6,
                (W126 = 'Points-Table'!$A$7), 'Points-Table'!$C$7,
                (W126 = 'Points-Table'!$A$8), 'Points-Table'!$C$8,
                (W126 = 'Points-Table'!$A$9), 'Points-Table'!$C$9,
                (W126 = 'Points-Table'!$A$10), 'Points-Table'!$C$10,
                (W126 = 'Points-Table'!$A$11), 'Points-Table'!$C$11,
                (W126 = 'Points-Table'!$A$12), 'Points-Table'!$C$12,
                (W126 = 'Points-Table'!$A$13), 'Points-Table'!$C$13,
                true, 0
              )
            </f>
      </c>
      <c r="Y126" s="11">
        <v>5</v>
      </c>
      <c r="Z126" s="12">
        <f>
              Ifs(
                (Y126 = 'Points-Table'!$A$4), 'Points-Table'!$C$4,
                (Y126 = 'Points-Table'!$A$5), 'Points-Table'!$C$5,
                (Y126 = 'Points-Table'!$A$6), 'Points-Table'!$C$6,
                (Y126 = 'Points-Table'!$A$7), 'Points-Table'!$C$7,
                (Y126 = 'Points-Table'!$A$8), 'Points-Table'!$C$8,
                (Y126 = 'Points-Table'!$A$9), 'Points-Table'!$C$9,
                (Y126 = 'Points-Table'!$A$10), 'Points-Table'!$C$10,
                (Y126 = 'Points-Table'!$A$11), 'Points-Table'!$C$11,
                (Y126 = 'Points-Table'!$A$12), 'Points-Table'!$C$12,
                (Y126 = 'Points-Table'!$A$13), 'Points-Table'!$C$13,
                true, 0
              )
            </f>
      </c>
      <c r="AA126" s="6">
        <f>SUM(V126,X126,Z126)</f>
      </c>
      <c r="AB126" s="6">
        <f>
      Ifs( 
        ISBETWEEN(AA126, 0, 'Points-Table'!C$20, TRUE, False), 'Points-Table'!A$20,
        ISBETWEEN(AA126, 'Points-Table'!C$20, 'Points-Table'!C$21, TRUE, False), 'Points-Table'!A$21,
        ISBETWEEN(AA126, 'Points-Table'!C$22, 10000, TRUE, TRUE), 'Points-Table'!A$22,
        true, 
        0)
      </f>
      </c>
      <c r="AC126" s="6" t="s">
        <v>56</v>
      </c>
      <c r="AD126" s="6" t="s">
        <v>56</v>
      </c>
      <c r="AE126" s="6" t="s">
        <v>56</v>
      </c>
    </row>
    <row r="127" spans="1:31" s="6" customFormat="1" x14ac:dyDescent="0.25">
      <c r="A127" s="6" t="s">
        <v>231</v>
      </c>
      <c r="B127" s="6" t="s">
        <v>235</v>
      </c>
      <c r="D127" s="6"/>
      <c r="E127" s="6"/>
      <c r="F127" s="6"/>
      <c r="G127" s="6"/>
      <c r="H127" s="6"/>
      <c r="I127" s="6"/>
      <c r="J127" s="6"/>
      <c r="K127" s="6" t="s">
        <v>83</v>
      </c>
      <c r="L127" s="6" t="s">
        <v>84</v>
      </c>
      <c r="M127" s="6"/>
      <c r="N127" s="6"/>
      <c r="O127" s="6"/>
      <c r="P127" s="6"/>
      <c r="Q127" s="11"/>
      <c r="R127" s="12">
        <f>
              Ifs(
                (Q127 = 'Points-Table'!$A$4), 'Points-Table'!$C$4,
                (Q127 = 'Points-Table'!$A$5), 'Points-Table'!$C$5,
                (Q127 = 'Points-Table'!$A$6), 'Points-Table'!$C$6,
                (Q127 = 'Points-Table'!$A$7), 'Points-Table'!$C$7,
                (Q127 = 'Points-Table'!$A$8), 'Points-Table'!$C$8,
                (Q127 = 'Points-Table'!$A$9), 'Points-Table'!$C$9,
                (Q127 = 'Points-Table'!$A$10), 'Points-Table'!$C$10,
                (Q127 = 'Points-Table'!$A$11), 'Points-Table'!$C$11,
                (Q127 = 'Points-Table'!$A$12), 'Points-Table'!$C$12,
                (Q127 = 'Points-Table'!$A$13), 'Points-Table'!$C$13,
                true, 0
              )
            </f>
      </c>
      <c r="S127" s="11"/>
      <c r="T127" s="12">
        <f>
              Ifs(
                (S127 = 'Points-Table'!$A$4), 'Points-Table'!$C$4,
                (S127 = 'Points-Table'!$A$5), 'Points-Table'!$C$5,
                (S127 = 'Points-Table'!$A$6), 'Points-Table'!$C$6,
                (S127 = 'Points-Table'!$A$7), 'Points-Table'!$C$7,
                (S127 = 'Points-Table'!$A$8), 'Points-Table'!$C$8,
                (S127 = 'Points-Table'!$A$9), 'Points-Table'!$C$9,
                (S127 = 'Points-Table'!$A$10), 'Points-Table'!$C$10,
                (S127 = 'Points-Table'!$A$11), 'Points-Table'!$C$11,
                (S127 = 'Points-Table'!$A$12), 'Points-Table'!$C$12,
                (S127 = 'Points-Table'!$A$13), 'Points-Table'!$C$13,
                true, 0
              )
            </f>
      </c>
      <c r="U127" s="11">
        <v>3</v>
      </c>
      <c r="V127" s="12">
        <f>
              Ifs(
                (U127 = 'Points-Table'!$A$4), 'Points-Table'!$C$4,
                (U127 = 'Points-Table'!$A$5), 'Points-Table'!$C$5,
                (U127 = 'Points-Table'!$A$6), 'Points-Table'!$C$6,
                (U127 = 'Points-Table'!$A$7), 'Points-Table'!$C$7,
                (U127 = 'Points-Table'!$A$8), 'Points-Table'!$C$8,
                (U127 = 'Points-Table'!$A$9), 'Points-Table'!$C$9,
                (U127 = 'Points-Table'!$A$10), 'Points-Table'!$C$10,
                (U127 = 'Points-Table'!$A$11), 'Points-Table'!$C$11,
                (U127 = 'Points-Table'!$A$12), 'Points-Table'!$C$12,
                (U127 = 'Points-Table'!$A$13), 'Points-Table'!$C$13,
                true, 0
              )
            </f>
      </c>
      <c r="W127" s="11">
        <v>0</v>
      </c>
      <c r="X127" s="12">
        <f>
              Ifs(
                (W127 = 'Points-Table'!$A$4), 'Points-Table'!$C$4,
                (W127 = 'Points-Table'!$A$5), 'Points-Table'!$C$5,
                (W127 = 'Points-Table'!$A$6), 'Points-Table'!$C$6,
                (W127 = 'Points-Table'!$A$7), 'Points-Table'!$C$7,
                (W127 = 'Points-Table'!$A$8), 'Points-Table'!$C$8,
                (W127 = 'Points-Table'!$A$9), 'Points-Table'!$C$9,
                (W127 = 'Points-Table'!$A$10), 'Points-Table'!$C$10,
                (W127 = 'Points-Table'!$A$11), 'Points-Table'!$C$11,
                (W127 = 'Points-Table'!$A$12), 'Points-Table'!$C$12,
                (W127 = 'Points-Table'!$A$13), 'Points-Table'!$C$13,
                true, 0
              )
            </f>
      </c>
      <c r="Y127" s="11">
        <v>0</v>
      </c>
      <c r="Z127" s="12">
        <f>
              Ifs(
                (Y127 = 'Points-Table'!$A$4), 'Points-Table'!$C$4,
                (Y127 = 'Points-Table'!$A$5), 'Points-Table'!$C$5,
                (Y127 = 'Points-Table'!$A$6), 'Points-Table'!$C$6,
                (Y127 = 'Points-Table'!$A$7), 'Points-Table'!$C$7,
                (Y127 = 'Points-Table'!$A$8), 'Points-Table'!$C$8,
                (Y127 = 'Points-Table'!$A$9), 'Points-Table'!$C$9,
                (Y127 = 'Points-Table'!$A$10), 'Points-Table'!$C$10,
                (Y127 = 'Points-Table'!$A$11), 'Points-Table'!$C$11,
                (Y127 = 'Points-Table'!$A$12), 'Points-Table'!$C$12,
                (Y127 = 'Points-Table'!$A$13), 'Points-Table'!$C$13,
                true, 0
              )
            </f>
      </c>
      <c r="AA127" s="6">
        <f>SUM(V127,X127,Z127)</f>
      </c>
      <c r="AB127" s="6">
        <f>
      Ifs( 
        ISBETWEEN(AA127, 0, 'Points-Table'!C$20, TRUE, False), 'Points-Table'!A$20,
        ISBETWEEN(AA127, 'Points-Table'!C$20, 'Points-Table'!C$21, TRUE, False), 'Points-Table'!A$21,
        ISBETWEEN(AA127, 'Points-Table'!C$22, 10000, TRUE, TRUE), 'Points-Table'!A$22,
        true, 
        0)
      </f>
      </c>
      <c r="AC127" s="6" t="s">
        <v>56</v>
      </c>
      <c r="AD127" s="6" t="s">
        <v>56</v>
      </c>
      <c r="AE127" s="6" t="s">
        <v>56</v>
      </c>
    </row>
    <row r="128" spans="1:31" s="6" customFormat="1" x14ac:dyDescent="0.25">
      <c r="A128" s="6" t="s">
        <v>236</v>
      </c>
      <c r="D128" s="6" t="s">
        <v>237</v>
      </c>
      <c r="E128" s="6"/>
      <c r="F128" s="6"/>
      <c r="G128" s="6"/>
      <c r="H128" s="6"/>
      <c r="I128" s="6"/>
      <c r="J128" s="6"/>
      <c r="K128" s="6" t="s">
        <v>83</v>
      </c>
      <c r="L128" s="6" t="s">
        <v>84</v>
      </c>
      <c r="M128" s="6"/>
      <c r="N128" s="6"/>
      <c r="O128" s="6"/>
      <c r="P128" s="6"/>
      <c r="Q128" s="11"/>
      <c r="R128" s="12">
        <f>
              Ifs(
                (Q128 = 'Points-Table'!$A$4), 'Points-Table'!$C$4,
                (Q128 = 'Points-Table'!$A$5), 'Points-Table'!$C$5,
                (Q128 = 'Points-Table'!$A$6), 'Points-Table'!$C$6,
                (Q128 = 'Points-Table'!$A$7), 'Points-Table'!$C$7,
                (Q128 = 'Points-Table'!$A$8), 'Points-Table'!$C$8,
                (Q128 = 'Points-Table'!$A$9), 'Points-Table'!$C$9,
                (Q128 = 'Points-Table'!$A$10), 'Points-Table'!$C$10,
                (Q128 = 'Points-Table'!$A$11), 'Points-Table'!$C$11,
                (Q128 = 'Points-Table'!$A$12), 'Points-Table'!$C$12,
                (Q128 = 'Points-Table'!$A$13), 'Points-Table'!$C$13,
                true, 0
              )
            </f>
      </c>
      <c r="S128" s="11"/>
      <c r="T128" s="12">
        <f>
              Ifs(
                (S128 = 'Points-Table'!$A$4), 'Points-Table'!$C$4,
                (S128 = 'Points-Table'!$A$5), 'Points-Table'!$C$5,
                (S128 = 'Points-Table'!$A$6), 'Points-Table'!$C$6,
                (S128 = 'Points-Table'!$A$7), 'Points-Table'!$C$7,
                (S128 = 'Points-Table'!$A$8), 'Points-Table'!$C$8,
                (S128 = 'Points-Table'!$A$9), 'Points-Table'!$C$9,
                (S128 = 'Points-Table'!$A$10), 'Points-Table'!$C$10,
                (S128 = 'Points-Table'!$A$11), 'Points-Table'!$C$11,
                (S128 = 'Points-Table'!$A$12), 'Points-Table'!$C$12,
                (S128 = 'Points-Table'!$A$13), 'Points-Table'!$C$13,
                true, 0
              )
            </f>
      </c>
      <c r="U128" s="11">
        <v>34</v>
      </c>
      <c r="V128" s="12">
        <f>
              Ifs(
                (U128 = 'Points-Table'!$A$4), 'Points-Table'!$C$4,
                (U128 = 'Points-Table'!$A$5), 'Points-Table'!$C$5,
                (U128 = 'Points-Table'!$A$6), 'Points-Table'!$C$6,
                (U128 = 'Points-Table'!$A$7), 'Points-Table'!$C$7,
                (U128 = 'Points-Table'!$A$8), 'Points-Table'!$C$8,
                (U128 = 'Points-Table'!$A$9), 'Points-Table'!$C$9,
                (U128 = 'Points-Table'!$A$10), 'Points-Table'!$C$10,
                (U128 = 'Points-Table'!$A$11), 'Points-Table'!$C$11,
                (U128 = 'Points-Table'!$A$12), 'Points-Table'!$C$12,
                (U128 = 'Points-Table'!$A$13), 'Points-Table'!$C$13,
                true, 0
              )
            </f>
      </c>
      <c r="W128" s="11">
        <v>8</v>
      </c>
      <c r="X128" s="12">
        <f>
              Ifs(
                (W128 = 'Points-Table'!$A$4), 'Points-Table'!$C$4,
                (W128 = 'Points-Table'!$A$5), 'Points-Table'!$C$5,
                (W128 = 'Points-Table'!$A$6), 'Points-Table'!$C$6,
                (W128 = 'Points-Table'!$A$7), 'Points-Table'!$C$7,
                (W128 = 'Points-Table'!$A$8), 'Points-Table'!$C$8,
                (W128 = 'Points-Table'!$A$9), 'Points-Table'!$C$9,
                (W128 = 'Points-Table'!$A$10), 'Points-Table'!$C$10,
                (W128 = 'Points-Table'!$A$11), 'Points-Table'!$C$11,
                (W128 = 'Points-Table'!$A$12), 'Points-Table'!$C$12,
                (W128 = 'Points-Table'!$A$13), 'Points-Table'!$C$13,
                true, 0
              )
            </f>
      </c>
      <c r="Y128" s="11">
        <v>0</v>
      </c>
      <c r="Z128" s="12">
        <f>
              Ifs(
                (Y128 = 'Points-Table'!$A$4), 'Points-Table'!$C$4,
                (Y128 = 'Points-Table'!$A$5), 'Points-Table'!$C$5,
                (Y128 = 'Points-Table'!$A$6), 'Points-Table'!$C$6,
                (Y128 = 'Points-Table'!$A$7), 'Points-Table'!$C$7,
                (Y128 = 'Points-Table'!$A$8), 'Points-Table'!$C$8,
                (Y128 = 'Points-Table'!$A$9), 'Points-Table'!$C$9,
                (Y128 = 'Points-Table'!$A$10), 'Points-Table'!$C$10,
                (Y128 = 'Points-Table'!$A$11), 'Points-Table'!$C$11,
                (Y128 = 'Points-Table'!$A$12), 'Points-Table'!$C$12,
                (Y128 = 'Points-Table'!$A$13), 'Points-Table'!$C$13,
                true, 0
              )
            </f>
      </c>
      <c r="AA128" s="6">
        <f>SUM(V128,X128,Z128)</f>
      </c>
      <c r="AB128" s="6">
        <f>
      Ifs( 
        ISBETWEEN(AA128, 0, 'Points-Table'!C$20, TRUE, False), 'Points-Table'!A$20,
        ISBETWEEN(AA128, 'Points-Table'!C$20, 'Points-Table'!C$21, TRUE, False), 'Points-Table'!A$21,
        ISBETWEEN(AA128, 'Points-Table'!C$22, 10000, TRUE, TRUE), 'Points-Table'!A$22,
        true, 
        0)
      </f>
      </c>
      <c r="AC128" s="6" t="s">
        <v>56</v>
      </c>
      <c r="AD128" s="6" t="s">
        <v>56</v>
      </c>
      <c r="AE128" s="6" t="s">
        <v>56</v>
      </c>
    </row>
    <row r="129" spans="1:31" s="6" customFormat="1" x14ac:dyDescent="0.25">
      <c r="A129" s="6" t="s">
        <v>238</v>
      </c>
      <c r="D129" s="6" t="s">
        <v>239</v>
      </c>
      <c r="E129" s="6"/>
      <c r="F129" s="6"/>
      <c r="G129" s="6"/>
      <c r="H129" s="6"/>
      <c r="I129" s="6"/>
      <c r="J129" s="6"/>
      <c r="K129" s="6" t="s">
        <v>83</v>
      </c>
      <c r="L129" s="6" t="s">
        <v>84</v>
      </c>
      <c r="M129" s="6"/>
      <c r="N129" s="6"/>
      <c r="O129" s="6"/>
      <c r="P129" s="6"/>
      <c r="Q129" s="11"/>
      <c r="R129" s="12">
        <f>
              Ifs(
                (Q129 = 'Points-Table'!$A$4), 'Points-Table'!$C$4,
                (Q129 = 'Points-Table'!$A$5), 'Points-Table'!$C$5,
                (Q129 = 'Points-Table'!$A$6), 'Points-Table'!$C$6,
                (Q129 = 'Points-Table'!$A$7), 'Points-Table'!$C$7,
                (Q129 = 'Points-Table'!$A$8), 'Points-Table'!$C$8,
                (Q129 = 'Points-Table'!$A$9), 'Points-Table'!$C$9,
                (Q129 = 'Points-Table'!$A$10), 'Points-Table'!$C$10,
                (Q129 = 'Points-Table'!$A$11), 'Points-Table'!$C$11,
                (Q129 = 'Points-Table'!$A$12), 'Points-Table'!$C$12,
                (Q129 = 'Points-Table'!$A$13), 'Points-Table'!$C$13,
                true, 0
              )
            </f>
      </c>
      <c r="S129" s="11"/>
      <c r="T129" s="12">
        <f>
              Ifs(
                (S129 = 'Points-Table'!$A$4), 'Points-Table'!$C$4,
                (S129 = 'Points-Table'!$A$5), 'Points-Table'!$C$5,
                (S129 = 'Points-Table'!$A$6), 'Points-Table'!$C$6,
                (S129 = 'Points-Table'!$A$7), 'Points-Table'!$C$7,
                (S129 = 'Points-Table'!$A$8), 'Points-Table'!$C$8,
                (S129 = 'Points-Table'!$A$9), 'Points-Table'!$C$9,
                (S129 = 'Points-Table'!$A$10), 'Points-Table'!$C$10,
                (S129 = 'Points-Table'!$A$11), 'Points-Table'!$C$11,
                (S129 = 'Points-Table'!$A$12), 'Points-Table'!$C$12,
                (S129 = 'Points-Table'!$A$13), 'Points-Table'!$C$13,
                true, 0
              )
            </f>
      </c>
      <c r="U129" s="11">
        <v>8</v>
      </c>
      <c r="V129" s="12">
        <f>
              Ifs(
                (U129 = 'Points-Table'!$A$4), 'Points-Table'!$C$4,
                (U129 = 'Points-Table'!$A$5), 'Points-Table'!$C$5,
                (U129 = 'Points-Table'!$A$6), 'Points-Table'!$C$6,
                (U129 = 'Points-Table'!$A$7), 'Points-Table'!$C$7,
                (U129 = 'Points-Table'!$A$8), 'Points-Table'!$C$8,
                (U129 = 'Points-Table'!$A$9), 'Points-Table'!$C$9,
                (U129 = 'Points-Table'!$A$10), 'Points-Table'!$C$10,
                (U129 = 'Points-Table'!$A$11), 'Points-Table'!$C$11,
                (U129 = 'Points-Table'!$A$12), 'Points-Table'!$C$12,
                (U129 = 'Points-Table'!$A$13), 'Points-Table'!$C$13,
                true, 0
              )
            </f>
      </c>
      <c r="W129" s="11">
        <v>2</v>
      </c>
      <c r="X129" s="12">
        <f>
              Ifs(
                (W129 = 'Points-Table'!$A$4), 'Points-Table'!$C$4,
                (W129 = 'Points-Table'!$A$5), 'Points-Table'!$C$5,
                (W129 = 'Points-Table'!$A$6), 'Points-Table'!$C$6,
                (W129 = 'Points-Table'!$A$7), 'Points-Table'!$C$7,
                (W129 = 'Points-Table'!$A$8), 'Points-Table'!$C$8,
                (W129 = 'Points-Table'!$A$9), 'Points-Table'!$C$9,
                (W129 = 'Points-Table'!$A$10), 'Points-Table'!$C$10,
                (W129 = 'Points-Table'!$A$11), 'Points-Table'!$C$11,
                (W129 = 'Points-Table'!$A$12), 'Points-Table'!$C$12,
                (W129 = 'Points-Table'!$A$13), 'Points-Table'!$C$13,
                true, 0
              )
            </f>
      </c>
      <c r="Y129" s="11">
        <v>0</v>
      </c>
      <c r="Z129" s="12">
        <f>
              Ifs(
                (Y129 = 'Points-Table'!$A$4), 'Points-Table'!$C$4,
                (Y129 = 'Points-Table'!$A$5), 'Points-Table'!$C$5,
                (Y129 = 'Points-Table'!$A$6), 'Points-Table'!$C$6,
                (Y129 = 'Points-Table'!$A$7), 'Points-Table'!$C$7,
                (Y129 = 'Points-Table'!$A$8), 'Points-Table'!$C$8,
                (Y129 = 'Points-Table'!$A$9), 'Points-Table'!$C$9,
                (Y129 = 'Points-Table'!$A$10), 'Points-Table'!$C$10,
                (Y129 = 'Points-Table'!$A$11), 'Points-Table'!$C$11,
                (Y129 = 'Points-Table'!$A$12), 'Points-Table'!$C$12,
                (Y129 = 'Points-Table'!$A$13), 'Points-Table'!$C$13,
                true, 0
              )
            </f>
      </c>
      <c r="AA129" s="6">
        <f>SUM(V129,X129,Z129)</f>
      </c>
      <c r="AB129" s="6">
        <f>
      Ifs( 
        ISBETWEEN(AA129, 0, 'Points-Table'!C$20, TRUE, False), 'Points-Table'!A$20,
        ISBETWEEN(AA129, 'Points-Table'!C$20, 'Points-Table'!C$21, TRUE, False), 'Points-Table'!A$21,
        ISBETWEEN(AA129, 'Points-Table'!C$22, 10000, TRUE, TRUE), 'Points-Table'!A$22,
        true, 
        0)
      </f>
      </c>
      <c r="AC129" s="6" t="s">
        <v>56</v>
      </c>
      <c r="AD129" s="6" t="s">
        <v>56</v>
      </c>
      <c r="AE129" s="6" t="s">
        <v>56</v>
      </c>
    </row>
    <row r="130" spans="1:31" s="6" customFormat="1" x14ac:dyDescent="0.25">
      <c r="A130" s="6" t="s">
        <v>240</v>
      </c>
      <c r="B130" s="6" t="s">
        <v>241</v>
      </c>
      <c r="D130" s="6" t="s">
        <v>242</v>
      </c>
      <c r="E130" s="6"/>
      <c r="F130" s="6"/>
      <c r="G130" s="6"/>
      <c r="H130" s="6"/>
      <c r="I130" s="6"/>
      <c r="J130" s="6"/>
      <c r="K130" s="6" t="s">
        <v>83</v>
      </c>
      <c r="L130" s="6" t="s">
        <v>84</v>
      </c>
      <c r="M130" s="6"/>
      <c r="N130" s="6"/>
      <c r="O130" s="6"/>
      <c r="P130" s="6"/>
      <c r="Q130" s="11"/>
      <c r="R130" s="12">
        <f>
              Ifs(
                (Q130 = 'Points-Table'!$A$4), 'Points-Table'!$C$4,
                (Q130 = 'Points-Table'!$A$5), 'Points-Table'!$C$5,
                (Q130 = 'Points-Table'!$A$6), 'Points-Table'!$C$6,
                (Q130 = 'Points-Table'!$A$7), 'Points-Table'!$C$7,
                (Q130 = 'Points-Table'!$A$8), 'Points-Table'!$C$8,
                (Q130 = 'Points-Table'!$A$9), 'Points-Table'!$C$9,
                (Q130 = 'Points-Table'!$A$10), 'Points-Table'!$C$10,
                (Q130 = 'Points-Table'!$A$11), 'Points-Table'!$C$11,
                (Q130 = 'Points-Table'!$A$12), 'Points-Table'!$C$12,
                (Q130 = 'Points-Table'!$A$13), 'Points-Table'!$C$13,
                true, 0
              )
            </f>
      </c>
      <c r="S130" s="11"/>
      <c r="T130" s="12">
        <f>
              Ifs(
                (S130 = 'Points-Table'!$A$4), 'Points-Table'!$C$4,
                (S130 = 'Points-Table'!$A$5), 'Points-Table'!$C$5,
                (S130 = 'Points-Table'!$A$6), 'Points-Table'!$C$6,
                (S130 = 'Points-Table'!$A$7), 'Points-Table'!$C$7,
                (S130 = 'Points-Table'!$A$8), 'Points-Table'!$C$8,
                (S130 = 'Points-Table'!$A$9), 'Points-Table'!$C$9,
                (S130 = 'Points-Table'!$A$10), 'Points-Table'!$C$10,
                (S130 = 'Points-Table'!$A$11), 'Points-Table'!$C$11,
                (S130 = 'Points-Table'!$A$12), 'Points-Table'!$C$12,
                (S130 = 'Points-Table'!$A$13), 'Points-Table'!$C$13,
                true, 0
              )
            </f>
      </c>
      <c r="U130" s="11">
        <v>5</v>
      </c>
      <c r="V130" s="12">
        <f>
              Ifs(
                (U130 = 'Points-Table'!$A$4), 'Points-Table'!$C$4,
                (U130 = 'Points-Table'!$A$5), 'Points-Table'!$C$5,
                (U130 = 'Points-Table'!$A$6), 'Points-Table'!$C$6,
                (U130 = 'Points-Table'!$A$7), 'Points-Table'!$C$7,
                (U130 = 'Points-Table'!$A$8), 'Points-Table'!$C$8,
                (U130 = 'Points-Table'!$A$9), 'Points-Table'!$C$9,
                (U130 = 'Points-Table'!$A$10), 'Points-Table'!$C$10,
                (U130 = 'Points-Table'!$A$11), 'Points-Table'!$C$11,
                (U130 = 'Points-Table'!$A$12), 'Points-Table'!$C$12,
                (U130 = 'Points-Table'!$A$13), 'Points-Table'!$C$13,
                true, 0
              )
            </f>
      </c>
      <c r="W130" s="11">
        <v>2</v>
      </c>
      <c r="X130" s="12">
        <f>
              Ifs(
                (W130 = 'Points-Table'!$A$4), 'Points-Table'!$C$4,
                (W130 = 'Points-Table'!$A$5), 'Points-Table'!$C$5,
                (W130 = 'Points-Table'!$A$6), 'Points-Table'!$C$6,
                (W130 = 'Points-Table'!$A$7), 'Points-Table'!$C$7,
                (W130 = 'Points-Table'!$A$8), 'Points-Table'!$C$8,
                (W130 = 'Points-Table'!$A$9), 'Points-Table'!$C$9,
                (W130 = 'Points-Table'!$A$10), 'Points-Table'!$C$10,
                (W130 = 'Points-Table'!$A$11), 'Points-Table'!$C$11,
                (W130 = 'Points-Table'!$A$12), 'Points-Table'!$C$12,
                (W130 = 'Points-Table'!$A$13), 'Points-Table'!$C$13,
                true, 0
              )
            </f>
      </c>
      <c r="Y130" s="11">
        <v>5</v>
      </c>
      <c r="Z130" s="12">
        <f>
              Ifs(
                (Y130 = 'Points-Table'!$A$4), 'Points-Table'!$C$4,
                (Y130 = 'Points-Table'!$A$5), 'Points-Table'!$C$5,
                (Y130 = 'Points-Table'!$A$6), 'Points-Table'!$C$6,
                (Y130 = 'Points-Table'!$A$7), 'Points-Table'!$C$7,
                (Y130 = 'Points-Table'!$A$8), 'Points-Table'!$C$8,
                (Y130 = 'Points-Table'!$A$9), 'Points-Table'!$C$9,
                (Y130 = 'Points-Table'!$A$10), 'Points-Table'!$C$10,
                (Y130 = 'Points-Table'!$A$11), 'Points-Table'!$C$11,
                (Y130 = 'Points-Table'!$A$12), 'Points-Table'!$C$12,
                (Y130 = 'Points-Table'!$A$13), 'Points-Table'!$C$13,
                true, 0
              )
            </f>
      </c>
      <c r="AA130" s="6">
        <f>SUM(V130,X130,Z130)</f>
      </c>
      <c r="AB130" s="6">
        <f>
      Ifs( 
        ISBETWEEN(AA130, 0, 'Points-Table'!C$20, TRUE, False), 'Points-Table'!A$20,
        ISBETWEEN(AA130, 'Points-Table'!C$20, 'Points-Table'!C$21, TRUE, False), 'Points-Table'!A$21,
        ISBETWEEN(AA130, 'Points-Table'!C$22, 10000, TRUE, TRUE), 'Points-Table'!A$22,
        true, 
        0)
      </f>
      </c>
      <c r="AC130" s="6" t="s">
        <v>56</v>
      </c>
      <c r="AD130" s="6" t="s">
        <v>56</v>
      </c>
      <c r="AE130" s="6" t="s">
        <v>56</v>
      </c>
    </row>
    <row r="131" spans="1:31" s="6" customFormat="1" x14ac:dyDescent="0.25">
      <c r="A131" s="6" t="s">
        <v>240</v>
      </c>
      <c r="B131" s="6" t="s">
        <v>243</v>
      </c>
      <c r="D131" s="6"/>
      <c r="E131" s="6"/>
      <c r="F131" s="6"/>
      <c r="G131" s="6"/>
      <c r="H131" s="6"/>
      <c r="I131" s="6"/>
      <c r="J131" s="6"/>
      <c r="K131" s="6" t="s">
        <v>83</v>
      </c>
      <c r="L131" s="6" t="s">
        <v>84</v>
      </c>
      <c r="M131" s="6"/>
      <c r="N131" s="6"/>
      <c r="O131" s="6"/>
      <c r="P131" s="6"/>
      <c r="Q131" s="11"/>
      <c r="R131" s="12">
        <f>
              Ifs(
                (Q131 = 'Points-Table'!$A$4), 'Points-Table'!$C$4,
                (Q131 = 'Points-Table'!$A$5), 'Points-Table'!$C$5,
                (Q131 = 'Points-Table'!$A$6), 'Points-Table'!$C$6,
                (Q131 = 'Points-Table'!$A$7), 'Points-Table'!$C$7,
                (Q131 = 'Points-Table'!$A$8), 'Points-Table'!$C$8,
                (Q131 = 'Points-Table'!$A$9), 'Points-Table'!$C$9,
                (Q131 = 'Points-Table'!$A$10), 'Points-Table'!$C$10,
                (Q131 = 'Points-Table'!$A$11), 'Points-Table'!$C$11,
                (Q131 = 'Points-Table'!$A$12), 'Points-Table'!$C$12,
                (Q131 = 'Points-Table'!$A$13), 'Points-Table'!$C$13,
                true, 0
              )
            </f>
      </c>
      <c r="S131" s="11"/>
      <c r="T131" s="12">
        <f>
              Ifs(
                (S131 = 'Points-Table'!$A$4), 'Points-Table'!$C$4,
                (S131 = 'Points-Table'!$A$5), 'Points-Table'!$C$5,
                (S131 = 'Points-Table'!$A$6), 'Points-Table'!$C$6,
                (S131 = 'Points-Table'!$A$7), 'Points-Table'!$C$7,
                (S131 = 'Points-Table'!$A$8), 'Points-Table'!$C$8,
                (S131 = 'Points-Table'!$A$9), 'Points-Table'!$C$9,
                (S131 = 'Points-Table'!$A$10), 'Points-Table'!$C$10,
                (S131 = 'Points-Table'!$A$11), 'Points-Table'!$C$11,
                (S131 = 'Points-Table'!$A$12), 'Points-Table'!$C$12,
                (S131 = 'Points-Table'!$A$13), 'Points-Table'!$C$13,
                true, 0
              )
            </f>
      </c>
      <c r="U131" s="11">
        <v>8</v>
      </c>
      <c r="V131" s="12">
        <f>
              Ifs(
                (U131 = 'Points-Table'!$A$4), 'Points-Table'!$C$4,
                (U131 = 'Points-Table'!$A$5), 'Points-Table'!$C$5,
                (U131 = 'Points-Table'!$A$6), 'Points-Table'!$C$6,
                (U131 = 'Points-Table'!$A$7), 'Points-Table'!$C$7,
                (U131 = 'Points-Table'!$A$8), 'Points-Table'!$C$8,
                (U131 = 'Points-Table'!$A$9), 'Points-Table'!$C$9,
                (U131 = 'Points-Table'!$A$10), 'Points-Table'!$C$10,
                (U131 = 'Points-Table'!$A$11), 'Points-Table'!$C$11,
                (U131 = 'Points-Table'!$A$12), 'Points-Table'!$C$12,
                (U131 = 'Points-Table'!$A$13), 'Points-Table'!$C$13,
                true, 0
              )
            </f>
      </c>
      <c r="W131" s="11">
        <v>2</v>
      </c>
      <c r="X131" s="12">
        <f>
              Ifs(
                (W131 = 'Points-Table'!$A$4), 'Points-Table'!$C$4,
                (W131 = 'Points-Table'!$A$5), 'Points-Table'!$C$5,
                (W131 = 'Points-Table'!$A$6), 'Points-Table'!$C$6,
                (W131 = 'Points-Table'!$A$7), 'Points-Table'!$C$7,
                (W131 = 'Points-Table'!$A$8), 'Points-Table'!$C$8,
                (W131 = 'Points-Table'!$A$9), 'Points-Table'!$C$9,
                (W131 = 'Points-Table'!$A$10), 'Points-Table'!$C$10,
                (W131 = 'Points-Table'!$A$11), 'Points-Table'!$C$11,
                (W131 = 'Points-Table'!$A$12), 'Points-Table'!$C$12,
                (W131 = 'Points-Table'!$A$13), 'Points-Table'!$C$13,
                true, 0
              )
            </f>
      </c>
      <c r="Y131" s="11">
        <v>5</v>
      </c>
      <c r="Z131" s="12">
        <f>
              Ifs(
                (Y131 = 'Points-Table'!$A$4), 'Points-Table'!$C$4,
                (Y131 = 'Points-Table'!$A$5), 'Points-Table'!$C$5,
                (Y131 = 'Points-Table'!$A$6), 'Points-Table'!$C$6,
                (Y131 = 'Points-Table'!$A$7), 'Points-Table'!$C$7,
                (Y131 = 'Points-Table'!$A$8), 'Points-Table'!$C$8,
                (Y131 = 'Points-Table'!$A$9), 'Points-Table'!$C$9,
                (Y131 = 'Points-Table'!$A$10), 'Points-Table'!$C$10,
                (Y131 = 'Points-Table'!$A$11), 'Points-Table'!$C$11,
                (Y131 = 'Points-Table'!$A$12), 'Points-Table'!$C$12,
                (Y131 = 'Points-Table'!$A$13), 'Points-Table'!$C$13,
                true, 0
              )
            </f>
      </c>
      <c r="AA131" s="6">
        <f>SUM(V131,X131,Z131)</f>
      </c>
      <c r="AB131" s="6">
        <f>
      Ifs( 
        ISBETWEEN(AA131, 0, 'Points-Table'!C$20, TRUE, False), 'Points-Table'!A$20,
        ISBETWEEN(AA131, 'Points-Table'!C$20, 'Points-Table'!C$21, TRUE, False), 'Points-Table'!A$21,
        ISBETWEEN(AA131, 'Points-Table'!C$22, 10000, TRUE, TRUE), 'Points-Table'!A$22,
        true, 
        0)
      </f>
      </c>
      <c r="AC131" s="6" t="s">
        <v>56</v>
      </c>
      <c r="AD131" s="6" t="s">
        <v>56</v>
      </c>
      <c r="AE131" s="6" t="s">
        <v>56</v>
      </c>
    </row>
    <row r="132" spans="1:31" s="13" customFormat="1" x14ac:dyDescent="0.25">
      <c r="A132" s="13" t="s">
        <v>240</v>
      </c>
      <c r="B132" s="13" t="s">
        <v>230</v>
      </c>
      <c r="D132" s="13"/>
      <c r="E132" s="13"/>
      <c r="F132" s="13"/>
      <c r="G132" s="13"/>
      <c r="H132" s="13"/>
      <c r="I132" s="13"/>
      <c r="J132" s="13"/>
      <c r="K132" s="13" t="s">
        <v>83</v>
      </c>
      <c r="L132" s="13" t="s">
        <v>84</v>
      </c>
      <c r="M132" s="13"/>
      <c r="N132" s="13"/>
      <c r="O132" s="13"/>
      <c r="P132" s="13"/>
      <c r="Q132" s="13"/>
      <c r="R132" s="13">
        <f>
              Ifs(
                (Q132 = 'Points-Table'!$A$4), 'Points-Table'!$C$4,
                (Q132 = 'Points-Table'!$A$5), 'Points-Table'!$C$5,
                (Q132 = 'Points-Table'!$A$6), 'Points-Table'!$C$6,
                (Q132 = 'Points-Table'!$A$7), 'Points-Table'!$C$7,
                (Q132 = 'Points-Table'!$A$8), 'Points-Table'!$C$8,
                (Q132 = 'Points-Table'!$A$9), 'Points-Table'!$C$9,
                (Q132 = 'Points-Table'!$A$10), 'Points-Table'!$C$10,
                (Q132 = 'Points-Table'!$A$11), 'Points-Table'!$C$11,
                (Q132 = 'Points-Table'!$A$12), 'Points-Table'!$C$12,
                (Q132 = 'Points-Table'!$A$13), 'Points-Table'!$C$13,
                true, 0
              )
            </f>
      </c>
      <c r="S132" s="13"/>
      <c r="T132" s="13">
        <f>
              Ifs(
                (S132 = 'Points-Table'!$A$4), 'Points-Table'!$C$4,
                (S132 = 'Points-Table'!$A$5), 'Points-Table'!$C$5,
                (S132 = 'Points-Table'!$A$6), 'Points-Table'!$C$6,
                (S132 = 'Points-Table'!$A$7), 'Points-Table'!$C$7,
                (S132 = 'Points-Table'!$A$8), 'Points-Table'!$C$8,
                (S132 = 'Points-Table'!$A$9), 'Points-Table'!$C$9,
                (S132 = 'Points-Table'!$A$10), 'Points-Table'!$C$10,
                (S132 = 'Points-Table'!$A$11), 'Points-Table'!$C$11,
                (S132 = 'Points-Table'!$A$12), 'Points-Table'!$C$12,
                (S132 = 'Points-Table'!$A$13), 'Points-Table'!$C$13,
                true, 0
              )
            </f>
      </c>
      <c r="U132" s="13">
        <v>2</v>
      </c>
      <c r="V132" s="13">
        <f>
              Ifs(
                (U132 = 'Points-Table'!$A$4), 'Points-Table'!$C$4,
                (U132 = 'Points-Table'!$A$5), 'Points-Table'!$C$5,
                (U132 = 'Points-Table'!$A$6), 'Points-Table'!$C$6,
                (U132 = 'Points-Table'!$A$7), 'Points-Table'!$C$7,
                (U132 = 'Points-Table'!$A$8), 'Points-Table'!$C$8,
                (U132 = 'Points-Table'!$A$9), 'Points-Table'!$C$9,
                (U132 = 'Points-Table'!$A$10), 'Points-Table'!$C$10,
                (U132 = 'Points-Table'!$A$11), 'Points-Table'!$C$11,
                (U132 = 'Points-Table'!$A$12), 'Points-Table'!$C$12,
                (U132 = 'Points-Table'!$A$13), 'Points-Table'!$C$13,
                true, 0
              )
            </f>
      </c>
      <c r="W132" s="13">
        <v>2</v>
      </c>
      <c r="X132" s="13">
        <f>
              Ifs(
                (W132 = 'Points-Table'!$A$4), 'Points-Table'!$C$4,
                (W132 = 'Points-Table'!$A$5), 'Points-Table'!$C$5,
                (W132 = 'Points-Table'!$A$6), 'Points-Table'!$C$6,
                (W132 = 'Points-Table'!$A$7), 'Points-Table'!$C$7,
                (W132 = 'Points-Table'!$A$8), 'Points-Table'!$C$8,
                (W132 = 'Points-Table'!$A$9), 'Points-Table'!$C$9,
                (W132 = 'Points-Table'!$A$10), 'Points-Table'!$C$10,
                (W132 = 'Points-Table'!$A$11), 'Points-Table'!$C$11,
                (W132 = 'Points-Table'!$A$12), 'Points-Table'!$C$12,
                (W132 = 'Points-Table'!$A$13), 'Points-Table'!$C$13,
                true, 0
              )
            </f>
      </c>
      <c r="Y132" s="13">
        <v>5</v>
      </c>
      <c r="Z132" s="13">
        <f>
              Ifs(
                (Y132 = 'Points-Table'!$A$4), 'Points-Table'!$C$4,
                (Y132 = 'Points-Table'!$A$5), 'Points-Table'!$C$5,
                (Y132 = 'Points-Table'!$A$6), 'Points-Table'!$C$6,
                (Y132 = 'Points-Table'!$A$7), 'Points-Table'!$C$7,
                (Y132 = 'Points-Table'!$A$8), 'Points-Table'!$C$8,
                (Y132 = 'Points-Table'!$A$9), 'Points-Table'!$C$9,
                (Y132 = 'Points-Table'!$A$10), 'Points-Table'!$C$10,
                (Y132 = 'Points-Table'!$A$11), 'Points-Table'!$C$11,
                (Y132 = 'Points-Table'!$A$12), 'Points-Table'!$C$12,
                (Y132 = 'Points-Table'!$A$13), 'Points-Table'!$C$13,
                true, 0
              )
            </f>
      </c>
      <c r="AA132" s="13">
        <f>SUM(V132,X132,Z132)</f>
      </c>
      <c r="AB132" s="13">
        <f>
      Ifs( 
        ISBETWEEN(AA132, 0, 'Points-Table'!C$20, TRUE, False), 'Points-Table'!A$20,
        ISBETWEEN(AA132, 'Points-Table'!C$20, 'Points-Table'!C$21, TRUE, False), 'Points-Table'!A$21,
        ISBETWEEN(AA132, 'Points-Table'!C$22, 10000, TRUE, TRUE), 'Points-Table'!A$22,
        true, 
        0)
      </f>
      </c>
      <c r="AC132" s="13" t="s">
        <v>56</v>
      </c>
      <c r="AD132" s="13" t="s">
        <v>56</v>
      </c>
      <c r="AE132" s="13" t="s">
        <v>56</v>
      </c>
    </row>
    <row r="133" spans="1:31" s="6" customFormat="1" x14ac:dyDescent="0.25">
      <c r="A133" s="6" t="s">
        <v>244</v>
      </c>
      <c r="B133" s="6" t="s">
        <v>125</v>
      </c>
      <c r="D133" s="6" t="s">
        <v>245</v>
      </c>
      <c r="E133" s="6"/>
      <c r="F133" s="6"/>
      <c r="G133" s="6"/>
      <c r="H133" s="6"/>
      <c r="I133" s="6"/>
      <c r="J133" s="6"/>
      <c r="K133" s="6" t="s">
        <v>83</v>
      </c>
      <c r="L133" s="6" t="s">
        <v>84</v>
      </c>
      <c r="M133" s="6"/>
      <c r="N133" s="6"/>
      <c r="O133" s="6"/>
      <c r="P133" s="6"/>
      <c r="Q133" s="11"/>
      <c r="R133" s="12">
        <f>
              Ifs(
                (Q133 = 'Points-Table'!$A$4), 'Points-Table'!$C$4,
                (Q133 = 'Points-Table'!$A$5), 'Points-Table'!$C$5,
                (Q133 = 'Points-Table'!$A$6), 'Points-Table'!$C$6,
                (Q133 = 'Points-Table'!$A$7), 'Points-Table'!$C$7,
                (Q133 = 'Points-Table'!$A$8), 'Points-Table'!$C$8,
                (Q133 = 'Points-Table'!$A$9), 'Points-Table'!$C$9,
                (Q133 = 'Points-Table'!$A$10), 'Points-Table'!$C$10,
                (Q133 = 'Points-Table'!$A$11), 'Points-Table'!$C$11,
                (Q133 = 'Points-Table'!$A$12), 'Points-Table'!$C$12,
                (Q133 = 'Points-Table'!$A$13), 'Points-Table'!$C$13,
                true, 0
              )
            </f>
      </c>
      <c r="S133" s="11"/>
      <c r="T133" s="12">
        <f>
              Ifs(
                (S133 = 'Points-Table'!$A$4), 'Points-Table'!$C$4,
                (S133 = 'Points-Table'!$A$5), 'Points-Table'!$C$5,
                (S133 = 'Points-Table'!$A$6), 'Points-Table'!$C$6,
                (S133 = 'Points-Table'!$A$7), 'Points-Table'!$C$7,
                (S133 = 'Points-Table'!$A$8), 'Points-Table'!$C$8,
                (S133 = 'Points-Table'!$A$9), 'Points-Table'!$C$9,
                (S133 = 'Points-Table'!$A$10), 'Points-Table'!$C$10,
                (S133 = 'Points-Table'!$A$11), 'Points-Table'!$C$11,
                (S133 = 'Points-Table'!$A$12), 'Points-Table'!$C$12,
                (S133 = 'Points-Table'!$A$13), 'Points-Table'!$C$13,
                true, 0
              )
            </f>
      </c>
      <c r="U133" s="11">
        <v>5</v>
      </c>
      <c r="V133" s="12">
        <f>
              Ifs(
                (U133 = 'Points-Table'!$A$4), 'Points-Table'!$C$4,
                (U133 = 'Points-Table'!$A$5), 'Points-Table'!$C$5,
                (U133 = 'Points-Table'!$A$6), 'Points-Table'!$C$6,
                (U133 = 'Points-Table'!$A$7), 'Points-Table'!$C$7,
                (U133 = 'Points-Table'!$A$8), 'Points-Table'!$C$8,
                (U133 = 'Points-Table'!$A$9), 'Points-Table'!$C$9,
                (U133 = 'Points-Table'!$A$10), 'Points-Table'!$C$10,
                (U133 = 'Points-Table'!$A$11), 'Points-Table'!$C$11,
                (U133 = 'Points-Table'!$A$12), 'Points-Table'!$C$12,
                (U133 = 'Points-Table'!$A$13), 'Points-Table'!$C$13,
                true, 0
              )
            </f>
      </c>
      <c r="W133" s="11">
        <v>5</v>
      </c>
      <c r="X133" s="12">
        <f>
              Ifs(
                (W133 = 'Points-Table'!$A$4), 'Points-Table'!$C$4,
                (W133 = 'Points-Table'!$A$5), 'Points-Table'!$C$5,
                (W133 = 'Points-Table'!$A$6), 'Points-Table'!$C$6,
                (W133 = 'Points-Table'!$A$7), 'Points-Table'!$C$7,
                (W133 = 'Points-Table'!$A$8), 'Points-Table'!$C$8,
                (W133 = 'Points-Table'!$A$9), 'Points-Table'!$C$9,
                (W133 = 'Points-Table'!$A$10), 'Points-Table'!$C$10,
                (W133 = 'Points-Table'!$A$11), 'Points-Table'!$C$11,
                (W133 = 'Points-Table'!$A$12), 'Points-Table'!$C$12,
                (W133 = 'Points-Table'!$A$13), 'Points-Table'!$C$13,
                true, 0
              )
            </f>
      </c>
      <c r="Y133" s="11">
        <v>8</v>
      </c>
      <c r="Z133" s="12">
        <f>
              Ifs(
                (Y133 = 'Points-Table'!$A$4), 'Points-Table'!$C$4,
                (Y133 = 'Points-Table'!$A$5), 'Points-Table'!$C$5,
                (Y133 = 'Points-Table'!$A$6), 'Points-Table'!$C$6,
                (Y133 = 'Points-Table'!$A$7), 'Points-Table'!$C$7,
                (Y133 = 'Points-Table'!$A$8), 'Points-Table'!$C$8,
                (Y133 = 'Points-Table'!$A$9), 'Points-Table'!$C$9,
                (Y133 = 'Points-Table'!$A$10), 'Points-Table'!$C$10,
                (Y133 = 'Points-Table'!$A$11), 'Points-Table'!$C$11,
                (Y133 = 'Points-Table'!$A$12), 'Points-Table'!$C$12,
                (Y133 = 'Points-Table'!$A$13), 'Points-Table'!$C$13,
                true, 0
              )
            </f>
      </c>
      <c r="AA133" s="6">
        <f>SUM(V133,X133,Z133)</f>
      </c>
      <c r="AB133" s="6">
        <f>
      Ifs( 
        ISBETWEEN(AA133, 0, 'Points-Table'!C$20, TRUE, False), 'Points-Table'!A$20,
        ISBETWEEN(AA133, 'Points-Table'!C$20, 'Points-Table'!C$21, TRUE, False), 'Points-Table'!A$21,
        ISBETWEEN(AA133, 'Points-Table'!C$22, 10000, TRUE, TRUE), 'Points-Table'!A$22,
        true, 
        0)
      </f>
      </c>
      <c r="AC133" s="6" t="s">
        <v>56</v>
      </c>
      <c r="AD133" s="6" t="s">
        <v>56</v>
      </c>
      <c r="AE133" s="6" t="s">
        <v>56</v>
      </c>
    </row>
    <row r="134" spans="1:31" s="13" customFormat="1" x14ac:dyDescent="0.25">
      <c r="A134" s="13" t="s">
        <v>244</v>
      </c>
      <c r="B134" s="13" t="s">
        <v>246</v>
      </c>
      <c r="C134" s="13" t="s">
        <v>125</v>
      </c>
      <c r="D134" s="13"/>
      <c r="E134" s="13"/>
      <c r="F134" s="13"/>
      <c r="G134" s="13"/>
      <c r="H134" s="13"/>
      <c r="I134" s="13"/>
      <c r="J134" s="13"/>
      <c r="K134" s="13" t="s">
        <v>83</v>
      </c>
      <c r="L134" s="13" t="s">
        <v>84</v>
      </c>
      <c r="M134" s="13"/>
      <c r="N134" s="13"/>
      <c r="O134" s="13"/>
      <c r="P134" s="13"/>
      <c r="Q134" s="13"/>
      <c r="R134" s="13">
        <f>
              Ifs(
                (Q134 = 'Points-Table'!$A$4), 'Points-Table'!$C$4,
                (Q134 = 'Points-Table'!$A$5), 'Points-Table'!$C$5,
                (Q134 = 'Points-Table'!$A$6), 'Points-Table'!$C$6,
                (Q134 = 'Points-Table'!$A$7), 'Points-Table'!$C$7,
                (Q134 = 'Points-Table'!$A$8), 'Points-Table'!$C$8,
                (Q134 = 'Points-Table'!$A$9), 'Points-Table'!$C$9,
                (Q134 = 'Points-Table'!$A$10), 'Points-Table'!$C$10,
                (Q134 = 'Points-Table'!$A$11), 'Points-Table'!$C$11,
                (Q134 = 'Points-Table'!$A$12), 'Points-Table'!$C$12,
                (Q134 = 'Points-Table'!$A$13), 'Points-Table'!$C$13,
                true, 0
              )
            </f>
      </c>
      <c r="S134" s="13"/>
      <c r="T134" s="13">
        <f>
              Ifs(
                (S134 = 'Points-Table'!$A$4), 'Points-Table'!$C$4,
                (S134 = 'Points-Table'!$A$5), 'Points-Table'!$C$5,
                (S134 = 'Points-Table'!$A$6), 'Points-Table'!$C$6,
                (S134 = 'Points-Table'!$A$7), 'Points-Table'!$C$7,
                (S134 = 'Points-Table'!$A$8), 'Points-Table'!$C$8,
                (S134 = 'Points-Table'!$A$9), 'Points-Table'!$C$9,
                (S134 = 'Points-Table'!$A$10), 'Points-Table'!$C$10,
                (S134 = 'Points-Table'!$A$11), 'Points-Table'!$C$11,
                (S134 = 'Points-Table'!$A$12), 'Points-Table'!$C$12,
                (S134 = 'Points-Table'!$A$13), 'Points-Table'!$C$13,
                true, 0
              )
            </f>
      </c>
      <c r="U134" s="13"/>
      <c r="V134" s="13">
        <f>
              Ifs(
                (U134 = 'Points-Table'!$A$4), 'Points-Table'!$C$4,
                (U134 = 'Points-Table'!$A$5), 'Points-Table'!$C$5,
                (U134 = 'Points-Table'!$A$6), 'Points-Table'!$C$6,
                (U134 = 'Points-Table'!$A$7), 'Points-Table'!$C$7,
                (U134 = 'Points-Table'!$A$8), 'Points-Table'!$C$8,
                (U134 = 'Points-Table'!$A$9), 'Points-Table'!$C$9,
                (U134 = 'Points-Table'!$A$10), 'Points-Table'!$C$10,
                (U134 = 'Points-Table'!$A$11), 'Points-Table'!$C$11,
                (U134 = 'Points-Table'!$A$12), 'Points-Table'!$C$12,
                (U134 = 'Points-Table'!$A$13), 'Points-Table'!$C$13,
                true, 0
              )
            </f>
      </c>
      <c r="W134" s="13"/>
      <c r="X134" s="13">
        <f>
              Ifs(
                (W134 = 'Points-Table'!$A$4), 'Points-Table'!$C$4,
                (W134 = 'Points-Table'!$A$5), 'Points-Table'!$C$5,
                (W134 = 'Points-Table'!$A$6), 'Points-Table'!$C$6,
                (W134 = 'Points-Table'!$A$7), 'Points-Table'!$C$7,
                (W134 = 'Points-Table'!$A$8), 'Points-Table'!$C$8,
                (W134 = 'Points-Table'!$A$9), 'Points-Table'!$C$9,
                (W134 = 'Points-Table'!$A$10), 'Points-Table'!$C$10,
                (W134 = 'Points-Table'!$A$11), 'Points-Table'!$C$11,
                (W134 = 'Points-Table'!$A$12), 'Points-Table'!$C$12,
                (W134 = 'Points-Table'!$A$13), 'Points-Table'!$C$13,
                true, 0
              )
            </f>
      </c>
      <c r="Y134" s="13"/>
      <c r="Z134" s="13">
        <f>
              Ifs(
                (Y134 = 'Points-Table'!$A$4), 'Points-Table'!$C$4,
                (Y134 = 'Points-Table'!$A$5), 'Points-Table'!$C$5,
                (Y134 = 'Points-Table'!$A$6), 'Points-Table'!$C$6,
                (Y134 = 'Points-Table'!$A$7), 'Points-Table'!$C$7,
                (Y134 = 'Points-Table'!$A$8), 'Points-Table'!$C$8,
                (Y134 = 'Points-Table'!$A$9), 'Points-Table'!$C$9,
                (Y134 = 'Points-Table'!$A$10), 'Points-Table'!$C$10,
                (Y134 = 'Points-Table'!$A$11), 'Points-Table'!$C$11,
                (Y134 = 'Points-Table'!$A$12), 'Points-Table'!$C$12,
                (Y134 = 'Points-Table'!$A$13), 'Points-Table'!$C$13,
                true, 0
              )
            </f>
      </c>
      <c r="AA134" s="13">
        <f>SUM(V134,X134,Z134)</f>
      </c>
      <c r="AB134" s="13">
        <f>
      Ifs( 
        ISBETWEEN(AA134, 0, 'Points-Table'!C$20, TRUE, False), 'Points-Table'!A$20,
        ISBETWEEN(AA134, 'Points-Table'!C$20, 'Points-Table'!C$21, TRUE, False), 'Points-Table'!A$21,
        ISBETWEEN(AA134, 'Points-Table'!C$22, 10000, TRUE, TRUE), 'Points-Table'!A$22,
        true, 
        0)
      </f>
      </c>
      <c r="AC134" s="13" t="s">
        <v>56</v>
      </c>
      <c r="AD134" s="13" t="s">
        <v>56</v>
      </c>
      <c r="AE134" s="13" t="s">
        <v>56</v>
      </c>
    </row>
    <row r="135" spans="1:31" s="6" customFormat="1" x14ac:dyDescent="0.25">
      <c r="A135" s="6" t="s">
        <v>244</v>
      </c>
      <c r="B135" s="6" t="s">
        <v>246</v>
      </c>
      <c r="C135" s="6" t="s">
        <v>247</v>
      </c>
      <c r="D135" s="6" t="s">
        <v>248</v>
      </c>
      <c r="E135" s="6"/>
      <c r="F135" s="6"/>
      <c r="G135" s="6"/>
      <c r="H135" s="6"/>
      <c r="I135" s="6"/>
      <c r="J135" s="6"/>
      <c r="K135" s="6" t="s">
        <v>83</v>
      </c>
      <c r="L135" s="6" t="s">
        <v>84</v>
      </c>
      <c r="M135" s="6"/>
      <c r="N135" s="6"/>
      <c r="O135" s="6"/>
      <c r="P135" s="6"/>
      <c r="Q135" s="11"/>
      <c r="R135" s="12">
        <f>
              Ifs(
                (Q135 = 'Points-Table'!$A$4), 'Points-Table'!$C$4,
                (Q135 = 'Points-Table'!$A$5), 'Points-Table'!$C$5,
                (Q135 = 'Points-Table'!$A$6), 'Points-Table'!$C$6,
                (Q135 = 'Points-Table'!$A$7), 'Points-Table'!$C$7,
                (Q135 = 'Points-Table'!$A$8), 'Points-Table'!$C$8,
                (Q135 = 'Points-Table'!$A$9), 'Points-Table'!$C$9,
                (Q135 = 'Points-Table'!$A$10), 'Points-Table'!$C$10,
                (Q135 = 'Points-Table'!$A$11), 'Points-Table'!$C$11,
                (Q135 = 'Points-Table'!$A$12), 'Points-Table'!$C$12,
                (Q135 = 'Points-Table'!$A$13), 'Points-Table'!$C$13,
                true, 0
              )
            </f>
      </c>
      <c r="S135" s="11"/>
      <c r="T135" s="12">
        <f>
              Ifs(
                (S135 = 'Points-Table'!$A$4), 'Points-Table'!$C$4,
                (S135 = 'Points-Table'!$A$5), 'Points-Table'!$C$5,
                (S135 = 'Points-Table'!$A$6), 'Points-Table'!$C$6,
                (S135 = 'Points-Table'!$A$7), 'Points-Table'!$C$7,
                (S135 = 'Points-Table'!$A$8), 'Points-Table'!$C$8,
                (S135 = 'Points-Table'!$A$9), 'Points-Table'!$C$9,
                (S135 = 'Points-Table'!$A$10), 'Points-Table'!$C$10,
                (S135 = 'Points-Table'!$A$11), 'Points-Table'!$C$11,
                (S135 = 'Points-Table'!$A$12), 'Points-Table'!$C$12,
                (S135 = 'Points-Table'!$A$13), 'Points-Table'!$C$13,
                true, 0
              )
            </f>
      </c>
      <c r="U135" s="11">
        <v>8</v>
      </c>
      <c r="V135" s="12">
        <f>
              Ifs(
                (U135 = 'Points-Table'!$A$4), 'Points-Table'!$C$4,
                (U135 = 'Points-Table'!$A$5), 'Points-Table'!$C$5,
                (U135 = 'Points-Table'!$A$6), 'Points-Table'!$C$6,
                (U135 = 'Points-Table'!$A$7), 'Points-Table'!$C$7,
                (U135 = 'Points-Table'!$A$8), 'Points-Table'!$C$8,
                (U135 = 'Points-Table'!$A$9), 'Points-Table'!$C$9,
                (U135 = 'Points-Table'!$A$10), 'Points-Table'!$C$10,
                (U135 = 'Points-Table'!$A$11), 'Points-Table'!$C$11,
                (U135 = 'Points-Table'!$A$12), 'Points-Table'!$C$12,
                (U135 = 'Points-Table'!$A$13), 'Points-Table'!$C$13,
                true, 0
              )
            </f>
      </c>
      <c r="W135" s="11">
        <v>2</v>
      </c>
      <c r="X135" s="12">
        <f>
              Ifs(
                (W135 = 'Points-Table'!$A$4), 'Points-Table'!$C$4,
                (W135 = 'Points-Table'!$A$5), 'Points-Table'!$C$5,
                (W135 = 'Points-Table'!$A$6), 'Points-Table'!$C$6,
                (W135 = 'Points-Table'!$A$7), 'Points-Table'!$C$7,
                (W135 = 'Points-Table'!$A$8), 'Points-Table'!$C$8,
                (W135 = 'Points-Table'!$A$9), 'Points-Table'!$C$9,
                (W135 = 'Points-Table'!$A$10), 'Points-Table'!$C$10,
                (W135 = 'Points-Table'!$A$11), 'Points-Table'!$C$11,
                (W135 = 'Points-Table'!$A$12), 'Points-Table'!$C$12,
                (W135 = 'Points-Table'!$A$13), 'Points-Table'!$C$13,
                true, 0
              )
            </f>
      </c>
      <c r="Y135" s="11">
        <v>8</v>
      </c>
      <c r="Z135" s="12">
        <f>
              Ifs(
                (Y135 = 'Points-Table'!$A$4), 'Points-Table'!$C$4,
                (Y135 = 'Points-Table'!$A$5), 'Points-Table'!$C$5,
                (Y135 = 'Points-Table'!$A$6), 'Points-Table'!$C$6,
                (Y135 = 'Points-Table'!$A$7), 'Points-Table'!$C$7,
                (Y135 = 'Points-Table'!$A$8), 'Points-Table'!$C$8,
                (Y135 = 'Points-Table'!$A$9), 'Points-Table'!$C$9,
                (Y135 = 'Points-Table'!$A$10), 'Points-Table'!$C$10,
                (Y135 = 'Points-Table'!$A$11), 'Points-Table'!$C$11,
                (Y135 = 'Points-Table'!$A$12), 'Points-Table'!$C$12,
                (Y135 = 'Points-Table'!$A$13), 'Points-Table'!$C$13,
                true, 0
              )
            </f>
      </c>
      <c r="AA135" s="6">
        <f>SUM(V135,X135,Z135)</f>
      </c>
      <c r="AB135" s="6">
        <f>
      Ifs( 
        ISBETWEEN(AA135, 0, 'Points-Table'!C$20, TRUE, False), 'Points-Table'!A$20,
        ISBETWEEN(AA135, 'Points-Table'!C$20, 'Points-Table'!C$21, TRUE, False), 'Points-Table'!A$21,
        ISBETWEEN(AA135, 'Points-Table'!C$22, 10000, TRUE, TRUE), 'Points-Table'!A$22,
        true, 
        0)
      </f>
      </c>
      <c r="AC135" s="6" t="s">
        <v>56</v>
      </c>
      <c r="AD135" s="6" t="s">
        <v>56</v>
      </c>
      <c r="AE135" s="6" t="s">
        <v>56</v>
      </c>
    </row>
    <row r="136" spans="1:31" s="6" customFormat="1" x14ac:dyDescent="0.25">
      <c r="A136" s="6" t="s">
        <v>244</v>
      </c>
      <c r="B136" s="6" t="s">
        <v>246</v>
      </c>
      <c r="C136" s="6" t="s">
        <v>249</v>
      </c>
      <c r="D136" s="6" t="s">
        <v>250</v>
      </c>
      <c r="E136" s="6"/>
      <c r="F136" s="6"/>
      <c r="G136" s="6"/>
      <c r="H136" s="6"/>
      <c r="I136" s="6"/>
      <c r="J136" s="6"/>
      <c r="K136" s="6" t="s">
        <v>83</v>
      </c>
      <c r="L136" s="6" t="s">
        <v>84</v>
      </c>
      <c r="M136" s="6"/>
      <c r="N136" s="6"/>
      <c r="O136" s="6"/>
      <c r="P136" s="6"/>
      <c r="Q136" s="11"/>
      <c r="R136" s="12">
        <f>
              Ifs(
                (Q136 = 'Points-Table'!$A$4), 'Points-Table'!$C$4,
                (Q136 = 'Points-Table'!$A$5), 'Points-Table'!$C$5,
                (Q136 = 'Points-Table'!$A$6), 'Points-Table'!$C$6,
                (Q136 = 'Points-Table'!$A$7), 'Points-Table'!$C$7,
                (Q136 = 'Points-Table'!$A$8), 'Points-Table'!$C$8,
                (Q136 = 'Points-Table'!$A$9), 'Points-Table'!$C$9,
                (Q136 = 'Points-Table'!$A$10), 'Points-Table'!$C$10,
                (Q136 = 'Points-Table'!$A$11), 'Points-Table'!$C$11,
                (Q136 = 'Points-Table'!$A$12), 'Points-Table'!$C$12,
                (Q136 = 'Points-Table'!$A$13), 'Points-Table'!$C$13,
                true, 0
              )
            </f>
      </c>
      <c r="S136" s="11"/>
      <c r="T136" s="12">
        <f>
              Ifs(
                (S136 = 'Points-Table'!$A$4), 'Points-Table'!$C$4,
                (S136 = 'Points-Table'!$A$5), 'Points-Table'!$C$5,
                (S136 = 'Points-Table'!$A$6), 'Points-Table'!$C$6,
                (S136 = 'Points-Table'!$A$7), 'Points-Table'!$C$7,
                (S136 = 'Points-Table'!$A$8), 'Points-Table'!$C$8,
                (S136 = 'Points-Table'!$A$9), 'Points-Table'!$C$9,
                (S136 = 'Points-Table'!$A$10), 'Points-Table'!$C$10,
                (S136 = 'Points-Table'!$A$11), 'Points-Table'!$C$11,
                (S136 = 'Points-Table'!$A$12), 'Points-Table'!$C$12,
                (S136 = 'Points-Table'!$A$13), 'Points-Table'!$C$13,
                true, 0
              )
            </f>
      </c>
      <c r="U136" s="11">
        <v>2</v>
      </c>
      <c r="V136" s="12">
        <f>
              Ifs(
                (U136 = 'Points-Table'!$A$4), 'Points-Table'!$C$4,
                (U136 = 'Points-Table'!$A$5), 'Points-Table'!$C$5,
                (U136 = 'Points-Table'!$A$6), 'Points-Table'!$C$6,
                (U136 = 'Points-Table'!$A$7), 'Points-Table'!$C$7,
                (U136 = 'Points-Table'!$A$8), 'Points-Table'!$C$8,
                (U136 = 'Points-Table'!$A$9), 'Points-Table'!$C$9,
                (U136 = 'Points-Table'!$A$10), 'Points-Table'!$C$10,
                (U136 = 'Points-Table'!$A$11), 'Points-Table'!$C$11,
                (U136 = 'Points-Table'!$A$12), 'Points-Table'!$C$12,
                (U136 = 'Points-Table'!$A$13), 'Points-Table'!$C$13,
                true, 0
              )
            </f>
      </c>
      <c r="W136" s="11">
        <v>2</v>
      </c>
      <c r="X136" s="12">
        <f>
              Ifs(
                (W136 = 'Points-Table'!$A$4), 'Points-Table'!$C$4,
                (W136 = 'Points-Table'!$A$5), 'Points-Table'!$C$5,
                (W136 = 'Points-Table'!$A$6), 'Points-Table'!$C$6,
                (W136 = 'Points-Table'!$A$7), 'Points-Table'!$C$7,
                (W136 = 'Points-Table'!$A$8), 'Points-Table'!$C$8,
                (W136 = 'Points-Table'!$A$9), 'Points-Table'!$C$9,
                (W136 = 'Points-Table'!$A$10), 'Points-Table'!$C$10,
                (W136 = 'Points-Table'!$A$11), 'Points-Table'!$C$11,
                (W136 = 'Points-Table'!$A$12), 'Points-Table'!$C$12,
                (W136 = 'Points-Table'!$A$13), 'Points-Table'!$C$13,
                true, 0
              )
            </f>
      </c>
      <c r="Y136" s="11">
        <v>5</v>
      </c>
      <c r="Z136" s="12">
        <f>
              Ifs(
                (Y136 = 'Points-Table'!$A$4), 'Points-Table'!$C$4,
                (Y136 = 'Points-Table'!$A$5), 'Points-Table'!$C$5,
                (Y136 = 'Points-Table'!$A$6), 'Points-Table'!$C$6,
                (Y136 = 'Points-Table'!$A$7), 'Points-Table'!$C$7,
                (Y136 = 'Points-Table'!$A$8), 'Points-Table'!$C$8,
                (Y136 = 'Points-Table'!$A$9), 'Points-Table'!$C$9,
                (Y136 = 'Points-Table'!$A$10), 'Points-Table'!$C$10,
                (Y136 = 'Points-Table'!$A$11), 'Points-Table'!$C$11,
                (Y136 = 'Points-Table'!$A$12), 'Points-Table'!$C$12,
                (Y136 = 'Points-Table'!$A$13), 'Points-Table'!$C$13,
                true, 0
              )
            </f>
      </c>
      <c r="AA136" s="6">
        <f>SUM(V136,X136,Z136)</f>
      </c>
      <c r="AB136" s="6">
        <f>
      Ifs( 
        ISBETWEEN(AA136, 0, 'Points-Table'!C$20, TRUE, False), 'Points-Table'!A$20,
        ISBETWEEN(AA136, 'Points-Table'!C$20, 'Points-Table'!C$21, TRUE, False), 'Points-Table'!A$21,
        ISBETWEEN(AA136, 'Points-Table'!C$22, 10000, TRUE, TRUE), 'Points-Table'!A$22,
        true, 
        0)
      </f>
      </c>
      <c r="AC136" s="6" t="s">
        <v>56</v>
      </c>
      <c r="AD136" s="6" t="s">
        <v>56</v>
      </c>
      <c r="AE136" s="6" t="s">
        <v>56</v>
      </c>
    </row>
    <row r="137" spans="1:31" s="6" customFormat="1" x14ac:dyDescent="0.25">
      <c r="A137" s="6" t="s">
        <v>244</v>
      </c>
      <c r="B137" s="6" t="s">
        <v>246</v>
      </c>
      <c r="C137" s="6" t="s">
        <v>251</v>
      </c>
      <c r="D137" s="6"/>
      <c r="E137" s="6"/>
      <c r="F137" s="6"/>
      <c r="G137" s="6"/>
      <c r="H137" s="6"/>
      <c r="I137" s="6"/>
      <c r="J137" s="6"/>
      <c r="K137" s="6" t="s">
        <v>83</v>
      </c>
      <c r="L137" s="6" t="s">
        <v>84</v>
      </c>
      <c r="M137" s="6"/>
      <c r="N137" s="6"/>
      <c r="O137" s="6"/>
      <c r="P137" s="6"/>
      <c r="Q137" s="11"/>
      <c r="R137" s="12">
        <f>
              Ifs(
                (Q137 = 'Points-Table'!$A$4), 'Points-Table'!$C$4,
                (Q137 = 'Points-Table'!$A$5), 'Points-Table'!$C$5,
                (Q137 = 'Points-Table'!$A$6), 'Points-Table'!$C$6,
                (Q137 = 'Points-Table'!$A$7), 'Points-Table'!$C$7,
                (Q137 = 'Points-Table'!$A$8), 'Points-Table'!$C$8,
                (Q137 = 'Points-Table'!$A$9), 'Points-Table'!$C$9,
                (Q137 = 'Points-Table'!$A$10), 'Points-Table'!$C$10,
                (Q137 = 'Points-Table'!$A$11), 'Points-Table'!$C$11,
                (Q137 = 'Points-Table'!$A$12), 'Points-Table'!$C$12,
                (Q137 = 'Points-Table'!$A$13), 'Points-Table'!$C$13,
                true, 0
              )
            </f>
      </c>
      <c r="S137" s="11"/>
      <c r="T137" s="12">
        <f>
              Ifs(
                (S137 = 'Points-Table'!$A$4), 'Points-Table'!$C$4,
                (S137 = 'Points-Table'!$A$5), 'Points-Table'!$C$5,
                (S137 = 'Points-Table'!$A$6), 'Points-Table'!$C$6,
                (S137 = 'Points-Table'!$A$7), 'Points-Table'!$C$7,
                (S137 = 'Points-Table'!$A$8), 'Points-Table'!$C$8,
                (S137 = 'Points-Table'!$A$9), 'Points-Table'!$C$9,
                (S137 = 'Points-Table'!$A$10), 'Points-Table'!$C$10,
                (S137 = 'Points-Table'!$A$11), 'Points-Table'!$C$11,
                (S137 = 'Points-Table'!$A$12), 'Points-Table'!$C$12,
                (S137 = 'Points-Table'!$A$13), 'Points-Table'!$C$13,
                true, 0
              )
            </f>
      </c>
      <c r="U137" s="11">
        <v>5</v>
      </c>
      <c r="V137" s="12">
        <f>
              Ifs(
                (U137 = 'Points-Table'!$A$4), 'Points-Table'!$C$4,
                (U137 = 'Points-Table'!$A$5), 'Points-Table'!$C$5,
                (U137 = 'Points-Table'!$A$6), 'Points-Table'!$C$6,
                (U137 = 'Points-Table'!$A$7), 'Points-Table'!$C$7,
                (U137 = 'Points-Table'!$A$8), 'Points-Table'!$C$8,
                (U137 = 'Points-Table'!$A$9), 'Points-Table'!$C$9,
                (U137 = 'Points-Table'!$A$10), 'Points-Table'!$C$10,
                (U137 = 'Points-Table'!$A$11), 'Points-Table'!$C$11,
                (U137 = 'Points-Table'!$A$12), 'Points-Table'!$C$12,
                (U137 = 'Points-Table'!$A$13), 'Points-Table'!$C$13,
                true, 0
              )
            </f>
      </c>
      <c r="W137" s="11">
        <v>1</v>
      </c>
      <c r="X137" s="12">
        <f>
              Ifs(
                (W137 = 'Points-Table'!$A$4), 'Points-Table'!$C$4,
                (W137 = 'Points-Table'!$A$5), 'Points-Table'!$C$5,
                (W137 = 'Points-Table'!$A$6), 'Points-Table'!$C$6,
                (W137 = 'Points-Table'!$A$7), 'Points-Table'!$C$7,
                (W137 = 'Points-Table'!$A$8), 'Points-Table'!$C$8,
                (W137 = 'Points-Table'!$A$9), 'Points-Table'!$C$9,
                (W137 = 'Points-Table'!$A$10), 'Points-Table'!$C$10,
                (W137 = 'Points-Table'!$A$11), 'Points-Table'!$C$11,
                (W137 = 'Points-Table'!$A$12), 'Points-Table'!$C$12,
                (W137 = 'Points-Table'!$A$13), 'Points-Table'!$C$13,
                true, 0
              )
            </f>
      </c>
      <c r="Y137" s="11">
        <v>3</v>
      </c>
      <c r="Z137" s="12">
        <f>
              Ifs(
                (Y137 = 'Points-Table'!$A$4), 'Points-Table'!$C$4,
                (Y137 = 'Points-Table'!$A$5), 'Points-Table'!$C$5,
                (Y137 = 'Points-Table'!$A$6), 'Points-Table'!$C$6,
                (Y137 = 'Points-Table'!$A$7), 'Points-Table'!$C$7,
                (Y137 = 'Points-Table'!$A$8), 'Points-Table'!$C$8,
                (Y137 = 'Points-Table'!$A$9), 'Points-Table'!$C$9,
                (Y137 = 'Points-Table'!$A$10), 'Points-Table'!$C$10,
                (Y137 = 'Points-Table'!$A$11), 'Points-Table'!$C$11,
                (Y137 = 'Points-Table'!$A$12), 'Points-Table'!$C$12,
                (Y137 = 'Points-Table'!$A$13), 'Points-Table'!$C$13,
                true, 0
              )
            </f>
      </c>
      <c r="AA137" s="6">
        <f>SUM(V137,X137,Z137)</f>
      </c>
      <c r="AB137" s="6">
        <f>
      Ifs( 
        ISBETWEEN(AA137, 0, 'Points-Table'!C$20, TRUE, False), 'Points-Table'!A$20,
        ISBETWEEN(AA137, 'Points-Table'!C$20, 'Points-Table'!C$21, TRUE, False), 'Points-Table'!A$21,
        ISBETWEEN(AA137, 'Points-Table'!C$22, 10000, TRUE, TRUE), 'Points-Table'!A$22,
        true, 
        0)
      </f>
      </c>
      <c r="AC137" s="6" t="s">
        <v>56</v>
      </c>
      <c r="AD137" s="6" t="s">
        <v>56</v>
      </c>
      <c r="AE137" s="6" t="s">
        <v>56</v>
      </c>
    </row>
    <row r="138" spans="1:31" s="6" customFormat="1" x14ac:dyDescent="0.25">
      <c r="A138" s="6" t="s">
        <v>244</v>
      </c>
      <c r="B138" s="6" t="s">
        <v>246</v>
      </c>
      <c r="C138" s="6" t="s">
        <v>252</v>
      </c>
      <c r="D138" s="6"/>
      <c r="E138" s="6"/>
      <c r="F138" s="6"/>
      <c r="G138" s="6"/>
      <c r="H138" s="6"/>
      <c r="I138" s="6"/>
      <c r="J138" s="6"/>
      <c r="K138" s="6" t="s">
        <v>83</v>
      </c>
      <c r="L138" s="6" t="s">
        <v>84</v>
      </c>
      <c r="M138" s="6"/>
      <c r="N138" s="6"/>
      <c r="O138" s="6"/>
      <c r="P138" s="6"/>
      <c r="Q138" s="11"/>
      <c r="R138" s="12">
        <f>
              Ifs(
                (Q138 = 'Points-Table'!$A$4), 'Points-Table'!$C$4,
                (Q138 = 'Points-Table'!$A$5), 'Points-Table'!$C$5,
                (Q138 = 'Points-Table'!$A$6), 'Points-Table'!$C$6,
                (Q138 = 'Points-Table'!$A$7), 'Points-Table'!$C$7,
                (Q138 = 'Points-Table'!$A$8), 'Points-Table'!$C$8,
                (Q138 = 'Points-Table'!$A$9), 'Points-Table'!$C$9,
                (Q138 = 'Points-Table'!$A$10), 'Points-Table'!$C$10,
                (Q138 = 'Points-Table'!$A$11), 'Points-Table'!$C$11,
                (Q138 = 'Points-Table'!$A$12), 'Points-Table'!$C$12,
                (Q138 = 'Points-Table'!$A$13), 'Points-Table'!$C$13,
                true, 0
              )
            </f>
      </c>
      <c r="S138" s="11"/>
      <c r="T138" s="12">
        <f>
              Ifs(
                (S138 = 'Points-Table'!$A$4), 'Points-Table'!$C$4,
                (S138 = 'Points-Table'!$A$5), 'Points-Table'!$C$5,
                (S138 = 'Points-Table'!$A$6), 'Points-Table'!$C$6,
                (S138 = 'Points-Table'!$A$7), 'Points-Table'!$C$7,
                (S138 = 'Points-Table'!$A$8), 'Points-Table'!$C$8,
                (S138 = 'Points-Table'!$A$9), 'Points-Table'!$C$9,
                (S138 = 'Points-Table'!$A$10), 'Points-Table'!$C$10,
                (S138 = 'Points-Table'!$A$11), 'Points-Table'!$C$11,
                (S138 = 'Points-Table'!$A$12), 'Points-Table'!$C$12,
                (S138 = 'Points-Table'!$A$13), 'Points-Table'!$C$13,
                true, 0
              )
            </f>
      </c>
      <c r="U138" s="11">
        <v>5</v>
      </c>
      <c r="V138" s="12">
        <f>
              Ifs(
                (U138 = 'Points-Table'!$A$4), 'Points-Table'!$C$4,
                (U138 = 'Points-Table'!$A$5), 'Points-Table'!$C$5,
                (U138 = 'Points-Table'!$A$6), 'Points-Table'!$C$6,
                (U138 = 'Points-Table'!$A$7), 'Points-Table'!$C$7,
                (U138 = 'Points-Table'!$A$8), 'Points-Table'!$C$8,
                (U138 = 'Points-Table'!$A$9), 'Points-Table'!$C$9,
                (U138 = 'Points-Table'!$A$10), 'Points-Table'!$C$10,
                (U138 = 'Points-Table'!$A$11), 'Points-Table'!$C$11,
                (U138 = 'Points-Table'!$A$12), 'Points-Table'!$C$12,
                (U138 = 'Points-Table'!$A$13), 'Points-Table'!$C$13,
                true, 0
              )
            </f>
      </c>
      <c r="W138" s="11">
        <v>2</v>
      </c>
      <c r="X138" s="12">
        <f>
              Ifs(
                (W138 = 'Points-Table'!$A$4), 'Points-Table'!$C$4,
                (W138 = 'Points-Table'!$A$5), 'Points-Table'!$C$5,
                (W138 = 'Points-Table'!$A$6), 'Points-Table'!$C$6,
                (W138 = 'Points-Table'!$A$7), 'Points-Table'!$C$7,
                (W138 = 'Points-Table'!$A$8), 'Points-Table'!$C$8,
                (W138 = 'Points-Table'!$A$9), 'Points-Table'!$C$9,
                (W138 = 'Points-Table'!$A$10), 'Points-Table'!$C$10,
                (W138 = 'Points-Table'!$A$11), 'Points-Table'!$C$11,
                (W138 = 'Points-Table'!$A$12), 'Points-Table'!$C$12,
                (W138 = 'Points-Table'!$A$13), 'Points-Table'!$C$13,
                true, 0
              )
            </f>
      </c>
      <c r="Y138" s="11">
        <v>5</v>
      </c>
      <c r="Z138" s="12">
        <f>
              Ifs(
                (Y138 = 'Points-Table'!$A$4), 'Points-Table'!$C$4,
                (Y138 = 'Points-Table'!$A$5), 'Points-Table'!$C$5,
                (Y138 = 'Points-Table'!$A$6), 'Points-Table'!$C$6,
                (Y138 = 'Points-Table'!$A$7), 'Points-Table'!$C$7,
                (Y138 = 'Points-Table'!$A$8), 'Points-Table'!$C$8,
                (Y138 = 'Points-Table'!$A$9), 'Points-Table'!$C$9,
                (Y138 = 'Points-Table'!$A$10), 'Points-Table'!$C$10,
                (Y138 = 'Points-Table'!$A$11), 'Points-Table'!$C$11,
                (Y138 = 'Points-Table'!$A$12), 'Points-Table'!$C$12,
                (Y138 = 'Points-Table'!$A$13), 'Points-Table'!$C$13,
                true, 0
              )
            </f>
      </c>
      <c r="AA138" s="6">
        <f>SUM(V138,X138,Z138)</f>
      </c>
      <c r="AB138" s="6">
        <f>
      Ifs( 
        ISBETWEEN(AA138, 0, 'Points-Table'!C$20, TRUE, False), 'Points-Table'!A$20,
        ISBETWEEN(AA138, 'Points-Table'!C$20, 'Points-Table'!C$21, TRUE, False), 'Points-Table'!A$21,
        ISBETWEEN(AA138, 'Points-Table'!C$22, 10000, TRUE, TRUE), 'Points-Table'!A$22,
        true, 
        0)
      </f>
      </c>
      <c r="AC138" s="6" t="s">
        <v>56</v>
      </c>
      <c r="AD138" s="6" t="s">
        <v>56</v>
      </c>
      <c r="AE138" s="6" t="s">
        <v>56</v>
      </c>
    </row>
    <row r="139" spans="1:31" s="6" customFormat="1" x14ac:dyDescent="0.25">
      <c r="A139" s="6" t="s">
        <v>244</v>
      </c>
      <c r="B139" s="6" t="s">
        <v>246</v>
      </c>
      <c r="C139" s="6" t="s">
        <v>253</v>
      </c>
      <c r="D139" s="6"/>
      <c r="E139" s="6"/>
      <c r="F139" s="6"/>
      <c r="G139" s="6"/>
      <c r="H139" s="6"/>
      <c r="I139" s="6"/>
      <c r="J139" s="6"/>
      <c r="K139" s="6" t="s">
        <v>83</v>
      </c>
      <c r="L139" s="6" t="s">
        <v>84</v>
      </c>
      <c r="M139" s="6"/>
      <c r="N139" s="6"/>
      <c r="O139" s="6"/>
      <c r="P139" s="6"/>
      <c r="Q139" s="11"/>
      <c r="R139" s="12">
        <f>
              Ifs(
                (Q139 = 'Points-Table'!$A$4), 'Points-Table'!$C$4,
                (Q139 = 'Points-Table'!$A$5), 'Points-Table'!$C$5,
                (Q139 = 'Points-Table'!$A$6), 'Points-Table'!$C$6,
                (Q139 = 'Points-Table'!$A$7), 'Points-Table'!$C$7,
                (Q139 = 'Points-Table'!$A$8), 'Points-Table'!$C$8,
                (Q139 = 'Points-Table'!$A$9), 'Points-Table'!$C$9,
                (Q139 = 'Points-Table'!$A$10), 'Points-Table'!$C$10,
                (Q139 = 'Points-Table'!$A$11), 'Points-Table'!$C$11,
                (Q139 = 'Points-Table'!$A$12), 'Points-Table'!$C$12,
                (Q139 = 'Points-Table'!$A$13), 'Points-Table'!$C$13,
                true, 0
              )
            </f>
      </c>
      <c r="S139" s="11"/>
      <c r="T139" s="12">
        <f>
              Ifs(
                (S139 = 'Points-Table'!$A$4), 'Points-Table'!$C$4,
                (S139 = 'Points-Table'!$A$5), 'Points-Table'!$C$5,
                (S139 = 'Points-Table'!$A$6), 'Points-Table'!$C$6,
                (S139 = 'Points-Table'!$A$7), 'Points-Table'!$C$7,
                (S139 = 'Points-Table'!$A$8), 'Points-Table'!$C$8,
                (S139 = 'Points-Table'!$A$9), 'Points-Table'!$C$9,
                (S139 = 'Points-Table'!$A$10), 'Points-Table'!$C$10,
                (S139 = 'Points-Table'!$A$11), 'Points-Table'!$C$11,
                (S139 = 'Points-Table'!$A$12), 'Points-Table'!$C$12,
                (S139 = 'Points-Table'!$A$13), 'Points-Table'!$C$13,
                true, 0
              )
            </f>
      </c>
      <c r="U139" s="11">
        <v>3</v>
      </c>
      <c r="V139" s="12">
        <f>
              Ifs(
                (U139 = 'Points-Table'!$A$4), 'Points-Table'!$C$4,
                (U139 = 'Points-Table'!$A$5), 'Points-Table'!$C$5,
                (U139 = 'Points-Table'!$A$6), 'Points-Table'!$C$6,
                (U139 = 'Points-Table'!$A$7), 'Points-Table'!$C$7,
                (U139 = 'Points-Table'!$A$8), 'Points-Table'!$C$8,
                (U139 = 'Points-Table'!$A$9), 'Points-Table'!$C$9,
                (U139 = 'Points-Table'!$A$10), 'Points-Table'!$C$10,
                (U139 = 'Points-Table'!$A$11), 'Points-Table'!$C$11,
                (U139 = 'Points-Table'!$A$12), 'Points-Table'!$C$12,
                (U139 = 'Points-Table'!$A$13), 'Points-Table'!$C$13,
                true, 0
              )
            </f>
      </c>
      <c r="W139" s="11">
        <v>2</v>
      </c>
      <c r="X139" s="12">
        <f>
              Ifs(
                (W139 = 'Points-Table'!$A$4), 'Points-Table'!$C$4,
                (W139 = 'Points-Table'!$A$5), 'Points-Table'!$C$5,
                (W139 = 'Points-Table'!$A$6), 'Points-Table'!$C$6,
                (W139 = 'Points-Table'!$A$7), 'Points-Table'!$C$7,
                (W139 = 'Points-Table'!$A$8), 'Points-Table'!$C$8,
                (W139 = 'Points-Table'!$A$9), 'Points-Table'!$C$9,
                (W139 = 'Points-Table'!$A$10), 'Points-Table'!$C$10,
                (W139 = 'Points-Table'!$A$11), 'Points-Table'!$C$11,
                (W139 = 'Points-Table'!$A$12), 'Points-Table'!$C$12,
                (W139 = 'Points-Table'!$A$13), 'Points-Table'!$C$13,
                true, 0
              )
            </f>
      </c>
      <c r="Y139" s="11">
        <v>5</v>
      </c>
      <c r="Z139" s="12">
        <f>
              Ifs(
                (Y139 = 'Points-Table'!$A$4), 'Points-Table'!$C$4,
                (Y139 = 'Points-Table'!$A$5), 'Points-Table'!$C$5,
                (Y139 = 'Points-Table'!$A$6), 'Points-Table'!$C$6,
                (Y139 = 'Points-Table'!$A$7), 'Points-Table'!$C$7,
                (Y139 = 'Points-Table'!$A$8), 'Points-Table'!$C$8,
                (Y139 = 'Points-Table'!$A$9), 'Points-Table'!$C$9,
                (Y139 = 'Points-Table'!$A$10), 'Points-Table'!$C$10,
                (Y139 = 'Points-Table'!$A$11), 'Points-Table'!$C$11,
                (Y139 = 'Points-Table'!$A$12), 'Points-Table'!$C$12,
                (Y139 = 'Points-Table'!$A$13), 'Points-Table'!$C$13,
                true, 0
              )
            </f>
      </c>
      <c r="AA139" s="6">
        <f>SUM(V139,X139,Z139)</f>
      </c>
      <c r="AB139" s="6">
        <f>
      Ifs( 
        ISBETWEEN(AA139, 0, 'Points-Table'!C$20, TRUE, False), 'Points-Table'!A$20,
        ISBETWEEN(AA139, 'Points-Table'!C$20, 'Points-Table'!C$21, TRUE, False), 'Points-Table'!A$21,
        ISBETWEEN(AA139, 'Points-Table'!C$22, 10000, TRUE, TRUE), 'Points-Table'!A$22,
        true, 
        0)
      </f>
      </c>
      <c r="AC139" s="6" t="s">
        <v>56</v>
      </c>
      <c r="AD139" s="6" t="s">
        <v>56</v>
      </c>
      <c r="AE139" s="6" t="s">
        <v>56</v>
      </c>
    </row>
    <row r="140" spans="1:31" s="13" customFormat="1" x14ac:dyDescent="0.25">
      <c r="A140" s="13" t="s">
        <v>244</v>
      </c>
      <c r="B140" s="13" t="s">
        <v>246</v>
      </c>
      <c r="C140" s="13" t="s">
        <v>254</v>
      </c>
      <c r="D140" s="13"/>
      <c r="E140" s="13"/>
      <c r="F140" s="13"/>
      <c r="G140" s="13"/>
      <c r="H140" s="13"/>
      <c r="I140" s="13"/>
      <c r="J140" s="13"/>
      <c r="K140" s="13" t="s">
        <v>83</v>
      </c>
      <c r="L140" s="13" t="s">
        <v>84</v>
      </c>
      <c r="M140" s="13"/>
      <c r="N140" s="13"/>
      <c r="O140" s="13"/>
      <c r="P140" s="13"/>
      <c r="Q140" s="13"/>
      <c r="R140" s="13">
        <f>
              Ifs(
                (Q140 = 'Points-Table'!$A$4), 'Points-Table'!$C$4,
                (Q140 = 'Points-Table'!$A$5), 'Points-Table'!$C$5,
                (Q140 = 'Points-Table'!$A$6), 'Points-Table'!$C$6,
                (Q140 = 'Points-Table'!$A$7), 'Points-Table'!$C$7,
                (Q140 = 'Points-Table'!$A$8), 'Points-Table'!$C$8,
                (Q140 = 'Points-Table'!$A$9), 'Points-Table'!$C$9,
                (Q140 = 'Points-Table'!$A$10), 'Points-Table'!$C$10,
                (Q140 = 'Points-Table'!$A$11), 'Points-Table'!$C$11,
                (Q140 = 'Points-Table'!$A$12), 'Points-Table'!$C$12,
                (Q140 = 'Points-Table'!$A$13), 'Points-Table'!$C$13,
                true, 0
              )
            </f>
      </c>
      <c r="S140" s="13"/>
      <c r="T140" s="13">
        <f>
              Ifs(
                (S140 = 'Points-Table'!$A$4), 'Points-Table'!$C$4,
                (S140 = 'Points-Table'!$A$5), 'Points-Table'!$C$5,
                (S140 = 'Points-Table'!$A$6), 'Points-Table'!$C$6,
                (S140 = 'Points-Table'!$A$7), 'Points-Table'!$C$7,
                (S140 = 'Points-Table'!$A$8), 'Points-Table'!$C$8,
                (S140 = 'Points-Table'!$A$9), 'Points-Table'!$C$9,
                (S140 = 'Points-Table'!$A$10), 'Points-Table'!$C$10,
                (S140 = 'Points-Table'!$A$11), 'Points-Table'!$C$11,
                (S140 = 'Points-Table'!$A$12), 'Points-Table'!$C$12,
                (S140 = 'Points-Table'!$A$13), 'Points-Table'!$C$13,
                true, 0
              )
            </f>
      </c>
      <c r="U140" s="13"/>
      <c r="V140" s="13">
        <f>
              Ifs(
                (U140 = 'Points-Table'!$A$4), 'Points-Table'!$C$4,
                (U140 = 'Points-Table'!$A$5), 'Points-Table'!$C$5,
                (U140 = 'Points-Table'!$A$6), 'Points-Table'!$C$6,
                (U140 = 'Points-Table'!$A$7), 'Points-Table'!$C$7,
                (U140 = 'Points-Table'!$A$8), 'Points-Table'!$C$8,
                (U140 = 'Points-Table'!$A$9), 'Points-Table'!$C$9,
                (U140 = 'Points-Table'!$A$10), 'Points-Table'!$C$10,
                (U140 = 'Points-Table'!$A$11), 'Points-Table'!$C$11,
                (U140 = 'Points-Table'!$A$12), 'Points-Table'!$C$12,
                (U140 = 'Points-Table'!$A$13), 'Points-Table'!$C$13,
                true, 0
              )
            </f>
      </c>
      <c r="W140" s="13"/>
      <c r="X140" s="13">
        <f>
              Ifs(
                (W140 = 'Points-Table'!$A$4), 'Points-Table'!$C$4,
                (W140 = 'Points-Table'!$A$5), 'Points-Table'!$C$5,
                (W140 = 'Points-Table'!$A$6), 'Points-Table'!$C$6,
                (W140 = 'Points-Table'!$A$7), 'Points-Table'!$C$7,
                (W140 = 'Points-Table'!$A$8), 'Points-Table'!$C$8,
                (W140 = 'Points-Table'!$A$9), 'Points-Table'!$C$9,
                (W140 = 'Points-Table'!$A$10), 'Points-Table'!$C$10,
                (W140 = 'Points-Table'!$A$11), 'Points-Table'!$C$11,
                (W140 = 'Points-Table'!$A$12), 'Points-Table'!$C$12,
                (W140 = 'Points-Table'!$A$13), 'Points-Table'!$C$13,
                true, 0
              )
            </f>
      </c>
      <c r="Y140" s="13"/>
      <c r="Z140" s="13">
        <f>
              Ifs(
                (Y140 = 'Points-Table'!$A$4), 'Points-Table'!$C$4,
                (Y140 = 'Points-Table'!$A$5), 'Points-Table'!$C$5,
                (Y140 = 'Points-Table'!$A$6), 'Points-Table'!$C$6,
                (Y140 = 'Points-Table'!$A$7), 'Points-Table'!$C$7,
                (Y140 = 'Points-Table'!$A$8), 'Points-Table'!$C$8,
                (Y140 = 'Points-Table'!$A$9), 'Points-Table'!$C$9,
                (Y140 = 'Points-Table'!$A$10), 'Points-Table'!$C$10,
                (Y140 = 'Points-Table'!$A$11), 'Points-Table'!$C$11,
                (Y140 = 'Points-Table'!$A$12), 'Points-Table'!$C$12,
                (Y140 = 'Points-Table'!$A$13), 'Points-Table'!$C$13,
                true, 0
              )
            </f>
      </c>
      <c r="AA140" s="13">
        <f>SUM(V140,X140,Z140)</f>
      </c>
      <c r="AB140" s="13">
        <f>
      Ifs( 
        ISBETWEEN(AA140, 0, 'Points-Table'!C$20, TRUE, False), 'Points-Table'!A$20,
        ISBETWEEN(AA140, 'Points-Table'!C$20, 'Points-Table'!C$21, TRUE, False), 'Points-Table'!A$21,
        ISBETWEEN(AA140, 'Points-Table'!C$22, 10000, TRUE, TRUE), 'Points-Table'!A$22,
        true, 
        0)
      </f>
      </c>
      <c r="AC140" s="13" t="s">
        <v>56</v>
      </c>
      <c r="AD140" s="13" t="s">
        <v>56</v>
      </c>
      <c r="AE140" s="13" t="s">
        <v>56</v>
      </c>
    </row>
    <row r="141" spans="1:31" s="13" customFormat="1" x14ac:dyDescent="0.25">
      <c r="A141" s="13" t="s">
        <v>244</v>
      </c>
      <c r="B141" s="13" t="s">
        <v>246</v>
      </c>
      <c r="C141" s="13" t="s">
        <v>100</v>
      </c>
      <c r="D141" s="13"/>
      <c r="E141" s="13"/>
      <c r="F141" s="13"/>
      <c r="G141" s="13"/>
      <c r="H141" s="13"/>
      <c r="I141" s="13"/>
      <c r="J141" s="13"/>
      <c r="K141" s="13" t="s">
        <v>83</v>
      </c>
      <c r="L141" s="13" t="s">
        <v>84</v>
      </c>
      <c r="M141" s="13"/>
      <c r="N141" s="13"/>
      <c r="O141" s="13"/>
      <c r="P141" s="13"/>
      <c r="Q141" s="13"/>
      <c r="R141" s="13">
        <f>
              Ifs(
                (Q141 = 'Points-Table'!$A$4), 'Points-Table'!$C$4,
                (Q141 = 'Points-Table'!$A$5), 'Points-Table'!$C$5,
                (Q141 = 'Points-Table'!$A$6), 'Points-Table'!$C$6,
                (Q141 = 'Points-Table'!$A$7), 'Points-Table'!$C$7,
                (Q141 = 'Points-Table'!$A$8), 'Points-Table'!$C$8,
                (Q141 = 'Points-Table'!$A$9), 'Points-Table'!$C$9,
                (Q141 = 'Points-Table'!$A$10), 'Points-Table'!$C$10,
                (Q141 = 'Points-Table'!$A$11), 'Points-Table'!$C$11,
                (Q141 = 'Points-Table'!$A$12), 'Points-Table'!$C$12,
                (Q141 = 'Points-Table'!$A$13), 'Points-Table'!$C$13,
                true, 0
              )
            </f>
      </c>
      <c r="S141" s="13"/>
      <c r="T141" s="13">
        <f>
              Ifs(
                (S141 = 'Points-Table'!$A$4), 'Points-Table'!$C$4,
                (S141 = 'Points-Table'!$A$5), 'Points-Table'!$C$5,
                (S141 = 'Points-Table'!$A$6), 'Points-Table'!$C$6,
                (S141 = 'Points-Table'!$A$7), 'Points-Table'!$C$7,
                (S141 = 'Points-Table'!$A$8), 'Points-Table'!$C$8,
                (S141 = 'Points-Table'!$A$9), 'Points-Table'!$C$9,
                (S141 = 'Points-Table'!$A$10), 'Points-Table'!$C$10,
                (S141 = 'Points-Table'!$A$11), 'Points-Table'!$C$11,
                (S141 = 'Points-Table'!$A$12), 'Points-Table'!$C$12,
                (S141 = 'Points-Table'!$A$13), 'Points-Table'!$C$13,
                true, 0
              )
            </f>
      </c>
      <c r="U141" s="13"/>
      <c r="V141" s="13">
        <f>
              Ifs(
                (U141 = 'Points-Table'!$A$4), 'Points-Table'!$C$4,
                (U141 = 'Points-Table'!$A$5), 'Points-Table'!$C$5,
                (U141 = 'Points-Table'!$A$6), 'Points-Table'!$C$6,
                (U141 = 'Points-Table'!$A$7), 'Points-Table'!$C$7,
                (U141 = 'Points-Table'!$A$8), 'Points-Table'!$C$8,
                (U141 = 'Points-Table'!$A$9), 'Points-Table'!$C$9,
                (U141 = 'Points-Table'!$A$10), 'Points-Table'!$C$10,
                (U141 = 'Points-Table'!$A$11), 'Points-Table'!$C$11,
                (U141 = 'Points-Table'!$A$12), 'Points-Table'!$C$12,
                (U141 = 'Points-Table'!$A$13), 'Points-Table'!$C$13,
                true, 0
              )
            </f>
      </c>
      <c r="W141" s="13"/>
      <c r="X141" s="13">
        <f>
              Ifs(
                (W141 = 'Points-Table'!$A$4), 'Points-Table'!$C$4,
                (W141 = 'Points-Table'!$A$5), 'Points-Table'!$C$5,
                (W141 = 'Points-Table'!$A$6), 'Points-Table'!$C$6,
                (W141 = 'Points-Table'!$A$7), 'Points-Table'!$C$7,
                (W141 = 'Points-Table'!$A$8), 'Points-Table'!$C$8,
                (W141 = 'Points-Table'!$A$9), 'Points-Table'!$C$9,
                (W141 = 'Points-Table'!$A$10), 'Points-Table'!$C$10,
                (W141 = 'Points-Table'!$A$11), 'Points-Table'!$C$11,
                (W141 = 'Points-Table'!$A$12), 'Points-Table'!$C$12,
                (W141 = 'Points-Table'!$A$13), 'Points-Table'!$C$13,
                true, 0
              )
            </f>
      </c>
      <c r="Y141" s="13"/>
      <c r="Z141" s="13">
        <f>
              Ifs(
                (Y141 = 'Points-Table'!$A$4), 'Points-Table'!$C$4,
                (Y141 = 'Points-Table'!$A$5), 'Points-Table'!$C$5,
                (Y141 = 'Points-Table'!$A$6), 'Points-Table'!$C$6,
                (Y141 = 'Points-Table'!$A$7), 'Points-Table'!$C$7,
                (Y141 = 'Points-Table'!$A$8), 'Points-Table'!$C$8,
                (Y141 = 'Points-Table'!$A$9), 'Points-Table'!$C$9,
                (Y141 = 'Points-Table'!$A$10), 'Points-Table'!$C$10,
                (Y141 = 'Points-Table'!$A$11), 'Points-Table'!$C$11,
                (Y141 = 'Points-Table'!$A$12), 'Points-Table'!$C$12,
                (Y141 = 'Points-Table'!$A$13), 'Points-Table'!$C$13,
                true, 0
              )
            </f>
      </c>
      <c r="AA141" s="13">
        <f>SUM(V141,X141,Z141)</f>
      </c>
      <c r="AB141" s="13">
        <f>
      Ifs( 
        ISBETWEEN(AA141, 0, 'Points-Table'!C$20, TRUE, False), 'Points-Table'!A$20,
        ISBETWEEN(AA141, 'Points-Table'!C$20, 'Points-Table'!C$21, TRUE, False), 'Points-Table'!A$21,
        ISBETWEEN(AA141, 'Points-Table'!C$22, 10000, TRUE, TRUE), 'Points-Table'!A$22,
        true, 
        0)
      </f>
      </c>
      <c r="AC141" s="13" t="s">
        <v>56</v>
      </c>
      <c r="AD141" s="13" t="s">
        <v>56</v>
      </c>
      <c r="AE141" s="13" t="s">
        <v>56</v>
      </c>
    </row>
    <row r="142" spans="1:31" s="13" customFormat="1" x14ac:dyDescent="0.25">
      <c r="A142" s="13" t="s">
        <v>244</v>
      </c>
      <c r="B142" s="13" t="s">
        <v>246</v>
      </c>
      <c r="C142" s="13" t="s">
        <v>255</v>
      </c>
      <c r="D142" s="13" t="s">
        <v>256</v>
      </c>
      <c r="E142" s="13"/>
      <c r="F142" s="13"/>
      <c r="G142" s="13"/>
      <c r="H142" s="13"/>
      <c r="I142" s="13"/>
      <c r="J142" s="13"/>
      <c r="K142" s="13" t="s">
        <v>83</v>
      </c>
      <c r="L142" s="13" t="s">
        <v>84</v>
      </c>
      <c r="M142" s="13"/>
      <c r="N142" s="13"/>
      <c r="O142" s="13"/>
      <c r="P142" s="13"/>
      <c r="Q142" s="13"/>
      <c r="R142" s="13">
        <f>
              Ifs(
                (Q142 = 'Points-Table'!$A$4), 'Points-Table'!$C$4,
                (Q142 = 'Points-Table'!$A$5), 'Points-Table'!$C$5,
                (Q142 = 'Points-Table'!$A$6), 'Points-Table'!$C$6,
                (Q142 = 'Points-Table'!$A$7), 'Points-Table'!$C$7,
                (Q142 = 'Points-Table'!$A$8), 'Points-Table'!$C$8,
                (Q142 = 'Points-Table'!$A$9), 'Points-Table'!$C$9,
                (Q142 = 'Points-Table'!$A$10), 'Points-Table'!$C$10,
                (Q142 = 'Points-Table'!$A$11), 'Points-Table'!$C$11,
                (Q142 = 'Points-Table'!$A$12), 'Points-Table'!$C$12,
                (Q142 = 'Points-Table'!$A$13), 'Points-Table'!$C$13,
                true, 0
              )
            </f>
      </c>
      <c r="S142" s="13"/>
      <c r="T142" s="13">
        <f>
              Ifs(
                (S142 = 'Points-Table'!$A$4), 'Points-Table'!$C$4,
                (S142 = 'Points-Table'!$A$5), 'Points-Table'!$C$5,
                (S142 = 'Points-Table'!$A$6), 'Points-Table'!$C$6,
                (S142 = 'Points-Table'!$A$7), 'Points-Table'!$C$7,
                (S142 = 'Points-Table'!$A$8), 'Points-Table'!$C$8,
                (S142 = 'Points-Table'!$A$9), 'Points-Table'!$C$9,
                (S142 = 'Points-Table'!$A$10), 'Points-Table'!$C$10,
                (S142 = 'Points-Table'!$A$11), 'Points-Table'!$C$11,
                (S142 = 'Points-Table'!$A$12), 'Points-Table'!$C$12,
                (S142 = 'Points-Table'!$A$13), 'Points-Table'!$C$13,
                true, 0
              )
            </f>
      </c>
      <c r="U142" s="13"/>
      <c r="V142" s="13">
        <f>
              Ifs(
                (U142 = 'Points-Table'!$A$4), 'Points-Table'!$C$4,
                (U142 = 'Points-Table'!$A$5), 'Points-Table'!$C$5,
                (U142 = 'Points-Table'!$A$6), 'Points-Table'!$C$6,
                (U142 = 'Points-Table'!$A$7), 'Points-Table'!$C$7,
                (U142 = 'Points-Table'!$A$8), 'Points-Table'!$C$8,
                (U142 = 'Points-Table'!$A$9), 'Points-Table'!$C$9,
                (U142 = 'Points-Table'!$A$10), 'Points-Table'!$C$10,
                (U142 = 'Points-Table'!$A$11), 'Points-Table'!$C$11,
                (U142 = 'Points-Table'!$A$12), 'Points-Table'!$C$12,
                (U142 = 'Points-Table'!$A$13), 'Points-Table'!$C$13,
                true, 0
              )
            </f>
      </c>
      <c r="W142" s="13"/>
      <c r="X142" s="13">
        <f>
              Ifs(
                (W142 = 'Points-Table'!$A$4), 'Points-Table'!$C$4,
                (W142 = 'Points-Table'!$A$5), 'Points-Table'!$C$5,
                (W142 = 'Points-Table'!$A$6), 'Points-Table'!$C$6,
                (W142 = 'Points-Table'!$A$7), 'Points-Table'!$C$7,
                (W142 = 'Points-Table'!$A$8), 'Points-Table'!$C$8,
                (W142 = 'Points-Table'!$A$9), 'Points-Table'!$C$9,
                (W142 = 'Points-Table'!$A$10), 'Points-Table'!$C$10,
                (W142 = 'Points-Table'!$A$11), 'Points-Table'!$C$11,
                (W142 = 'Points-Table'!$A$12), 'Points-Table'!$C$12,
                (W142 = 'Points-Table'!$A$13), 'Points-Table'!$C$13,
                true, 0
              )
            </f>
      </c>
      <c r="Y142" s="13"/>
      <c r="Z142" s="13">
        <f>
              Ifs(
                (Y142 = 'Points-Table'!$A$4), 'Points-Table'!$C$4,
                (Y142 = 'Points-Table'!$A$5), 'Points-Table'!$C$5,
                (Y142 = 'Points-Table'!$A$6), 'Points-Table'!$C$6,
                (Y142 = 'Points-Table'!$A$7), 'Points-Table'!$C$7,
                (Y142 = 'Points-Table'!$A$8), 'Points-Table'!$C$8,
                (Y142 = 'Points-Table'!$A$9), 'Points-Table'!$C$9,
                (Y142 = 'Points-Table'!$A$10), 'Points-Table'!$C$10,
                (Y142 = 'Points-Table'!$A$11), 'Points-Table'!$C$11,
                (Y142 = 'Points-Table'!$A$12), 'Points-Table'!$C$12,
                (Y142 = 'Points-Table'!$A$13), 'Points-Table'!$C$13,
                true, 0
              )
            </f>
      </c>
      <c r="AA142" s="13">
        <f>SUM(V142,X142,Z142)</f>
      </c>
      <c r="AB142" s="13">
        <f>
      Ifs( 
        ISBETWEEN(AA142, 0, 'Points-Table'!C$20, TRUE, False), 'Points-Table'!A$20,
        ISBETWEEN(AA142, 'Points-Table'!C$20, 'Points-Table'!C$21, TRUE, False), 'Points-Table'!A$21,
        ISBETWEEN(AA142, 'Points-Table'!C$22, 10000, TRUE, TRUE), 'Points-Table'!A$22,
        true, 
        0)
      </f>
      </c>
      <c r="AC142" s="13" t="s">
        <v>56</v>
      </c>
      <c r="AD142" s="13" t="s">
        <v>56</v>
      </c>
      <c r="AE142" s="13" t="s">
        <v>56</v>
      </c>
    </row>
    <row r="143" spans="1:31" s="6" customFormat="1" x14ac:dyDescent="0.25">
      <c r="A143" s="6" t="s">
        <v>244</v>
      </c>
      <c r="B143" s="6" t="s">
        <v>257</v>
      </c>
      <c r="C143" s="6" t="s">
        <v>258</v>
      </c>
      <c r="D143" s="6"/>
      <c r="E143" s="6"/>
      <c r="F143" s="6" t="s">
        <v>259</v>
      </c>
      <c r="G143" s="6"/>
      <c r="H143" s="6"/>
      <c r="I143" s="6"/>
      <c r="J143" s="6"/>
      <c r="K143" s="6" t="s">
        <v>83</v>
      </c>
      <c r="L143" s="6" t="s">
        <v>84</v>
      </c>
      <c r="M143" s="6"/>
      <c r="N143" s="6"/>
      <c r="O143" s="6"/>
      <c r="P143" s="6"/>
      <c r="Q143" s="11"/>
      <c r="R143" s="12">
        <f>
              Ifs(
                (Q143 = 'Points-Table'!$A$4), 'Points-Table'!$C$4,
                (Q143 = 'Points-Table'!$A$5), 'Points-Table'!$C$5,
                (Q143 = 'Points-Table'!$A$6), 'Points-Table'!$C$6,
                (Q143 = 'Points-Table'!$A$7), 'Points-Table'!$C$7,
                (Q143 = 'Points-Table'!$A$8), 'Points-Table'!$C$8,
                (Q143 = 'Points-Table'!$A$9), 'Points-Table'!$C$9,
                (Q143 = 'Points-Table'!$A$10), 'Points-Table'!$C$10,
                (Q143 = 'Points-Table'!$A$11), 'Points-Table'!$C$11,
                (Q143 = 'Points-Table'!$A$12), 'Points-Table'!$C$12,
                (Q143 = 'Points-Table'!$A$13), 'Points-Table'!$C$13,
                true, 0
              )
            </f>
      </c>
      <c r="S143" s="11"/>
      <c r="T143" s="12">
        <f>
              Ifs(
                (S143 = 'Points-Table'!$A$4), 'Points-Table'!$C$4,
                (S143 = 'Points-Table'!$A$5), 'Points-Table'!$C$5,
                (S143 = 'Points-Table'!$A$6), 'Points-Table'!$C$6,
                (S143 = 'Points-Table'!$A$7), 'Points-Table'!$C$7,
                (S143 = 'Points-Table'!$A$8), 'Points-Table'!$C$8,
                (S143 = 'Points-Table'!$A$9), 'Points-Table'!$C$9,
                (S143 = 'Points-Table'!$A$10), 'Points-Table'!$C$10,
                (S143 = 'Points-Table'!$A$11), 'Points-Table'!$C$11,
                (S143 = 'Points-Table'!$A$12), 'Points-Table'!$C$12,
                (S143 = 'Points-Table'!$A$13), 'Points-Table'!$C$13,
                true, 0
              )
            </f>
      </c>
      <c r="U143" s="11">
        <v>5</v>
      </c>
      <c r="V143" s="12">
        <f>
              Ifs(
                (U143 = 'Points-Table'!$A$4), 'Points-Table'!$C$4,
                (U143 = 'Points-Table'!$A$5), 'Points-Table'!$C$5,
                (U143 = 'Points-Table'!$A$6), 'Points-Table'!$C$6,
                (U143 = 'Points-Table'!$A$7), 'Points-Table'!$C$7,
                (U143 = 'Points-Table'!$A$8), 'Points-Table'!$C$8,
                (U143 = 'Points-Table'!$A$9), 'Points-Table'!$C$9,
                (U143 = 'Points-Table'!$A$10), 'Points-Table'!$C$10,
                (U143 = 'Points-Table'!$A$11), 'Points-Table'!$C$11,
                (U143 = 'Points-Table'!$A$12), 'Points-Table'!$C$12,
                (U143 = 'Points-Table'!$A$13), 'Points-Table'!$C$13,
                true, 0
              )
            </f>
      </c>
      <c r="W143" s="11">
        <v>1</v>
      </c>
      <c r="X143" s="12">
        <f>
              Ifs(
                (W143 = 'Points-Table'!$A$4), 'Points-Table'!$C$4,
                (W143 = 'Points-Table'!$A$5), 'Points-Table'!$C$5,
                (W143 = 'Points-Table'!$A$6), 'Points-Table'!$C$6,
                (W143 = 'Points-Table'!$A$7), 'Points-Table'!$C$7,
                (W143 = 'Points-Table'!$A$8), 'Points-Table'!$C$8,
                (W143 = 'Points-Table'!$A$9), 'Points-Table'!$C$9,
                (W143 = 'Points-Table'!$A$10), 'Points-Table'!$C$10,
                (W143 = 'Points-Table'!$A$11), 'Points-Table'!$C$11,
                (W143 = 'Points-Table'!$A$12), 'Points-Table'!$C$12,
                (W143 = 'Points-Table'!$A$13), 'Points-Table'!$C$13,
                true, 0
              )
            </f>
      </c>
      <c r="Y143" s="11">
        <v>5</v>
      </c>
      <c r="Z143" s="12">
        <f>
              Ifs(
                (Y143 = 'Points-Table'!$A$4), 'Points-Table'!$C$4,
                (Y143 = 'Points-Table'!$A$5), 'Points-Table'!$C$5,
                (Y143 = 'Points-Table'!$A$6), 'Points-Table'!$C$6,
                (Y143 = 'Points-Table'!$A$7), 'Points-Table'!$C$7,
                (Y143 = 'Points-Table'!$A$8), 'Points-Table'!$C$8,
                (Y143 = 'Points-Table'!$A$9), 'Points-Table'!$C$9,
                (Y143 = 'Points-Table'!$A$10), 'Points-Table'!$C$10,
                (Y143 = 'Points-Table'!$A$11), 'Points-Table'!$C$11,
                (Y143 = 'Points-Table'!$A$12), 'Points-Table'!$C$12,
                (Y143 = 'Points-Table'!$A$13), 'Points-Table'!$C$13,
                true, 0
              )
            </f>
      </c>
      <c r="AA143" s="6">
        <f>SUM(V143,X143,Z143)</f>
      </c>
      <c r="AB143" s="6">
        <f>
      Ifs( 
        ISBETWEEN(AA143, 0, 'Points-Table'!C$20, TRUE, False), 'Points-Table'!A$20,
        ISBETWEEN(AA143, 'Points-Table'!C$20, 'Points-Table'!C$21, TRUE, False), 'Points-Table'!A$21,
        ISBETWEEN(AA143, 'Points-Table'!C$22, 10000, TRUE, TRUE), 'Points-Table'!A$22,
        true, 
        0)
      </f>
      </c>
      <c r="AC143" s="6" t="s">
        <v>56</v>
      </c>
      <c r="AD143" s="6" t="s">
        <v>56</v>
      </c>
      <c r="AE143" s="6" t="s">
        <v>56</v>
      </c>
    </row>
    <row r="144" spans="1:31" s="6" customFormat="1" x14ac:dyDescent="0.25">
      <c r="A144" s="6" t="s">
        <v>244</v>
      </c>
      <c r="B144" s="6" t="s">
        <v>257</v>
      </c>
      <c r="C144" s="6" t="s">
        <v>260</v>
      </c>
      <c r="D144" s="6"/>
      <c r="E144" s="6"/>
      <c r="F144" s="6"/>
      <c r="G144" s="6"/>
      <c r="H144" s="6"/>
      <c r="I144" s="6"/>
      <c r="J144" s="6"/>
      <c r="K144" s="6" t="s">
        <v>83</v>
      </c>
      <c r="L144" s="6" t="s">
        <v>84</v>
      </c>
      <c r="M144" s="6"/>
      <c r="N144" s="6"/>
      <c r="O144" s="6"/>
      <c r="P144" s="6"/>
      <c r="Q144" s="11"/>
      <c r="R144" s="12">
        <f>
              Ifs(
                (Q144 = 'Points-Table'!$A$4), 'Points-Table'!$C$4,
                (Q144 = 'Points-Table'!$A$5), 'Points-Table'!$C$5,
                (Q144 = 'Points-Table'!$A$6), 'Points-Table'!$C$6,
                (Q144 = 'Points-Table'!$A$7), 'Points-Table'!$C$7,
                (Q144 = 'Points-Table'!$A$8), 'Points-Table'!$C$8,
                (Q144 = 'Points-Table'!$A$9), 'Points-Table'!$C$9,
                (Q144 = 'Points-Table'!$A$10), 'Points-Table'!$C$10,
                (Q144 = 'Points-Table'!$A$11), 'Points-Table'!$C$11,
                (Q144 = 'Points-Table'!$A$12), 'Points-Table'!$C$12,
                (Q144 = 'Points-Table'!$A$13), 'Points-Table'!$C$13,
                true, 0
              )
            </f>
      </c>
      <c r="S144" s="11"/>
      <c r="T144" s="12">
        <f>
              Ifs(
                (S144 = 'Points-Table'!$A$4), 'Points-Table'!$C$4,
                (S144 = 'Points-Table'!$A$5), 'Points-Table'!$C$5,
                (S144 = 'Points-Table'!$A$6), 'Points-Table'!$C$6,
                (S144 = 'Points-Table'!$A$7), 'Points-Table'!$C$7,
                (S144 = 'Points-Table'!$A$8), 'Points-Table'!$C$8,
                (S144 = 'Points-Table'!$A$9), 'Points-Table'!$C$9,
                (S144 = 'Points-Table'!$A$10), 'Points-Table'!$C$10,
                (S144 = 'Points-Table'!$A$11), 'Points-Table'!$C$11,
                (S144 = 'Points-Table'!$A$12), 'Points-Table'!$C$12,
                (S144 = 'Points-Table'!$A$13), 'Points-Table'!$C$13,
                true, 0
              )
            </f>
      </c>
      <c r="U144" s="11">
        <v>5</v>
      </c>
      <c r="V144" s="12">
        <f>
              Ifs(
                (U144 = 'Points-Table'!$A$4), 'Points-Table'!$C$4,
                (U144 = 'Points-Table'!$A$5), 'Points-Table'!$C$5,
                (U144 = 'Points-Table'!$A$6), 'Points-Table'!$C$6,
                (U144 = 'Points-Table'!$A$7), 'Points-Table'!$C$7,
                (U144 = 'Points-Table'!$A$8), 'Points-Table'!$C$8,
                (U144 = 'Points-Table'!$A$9), 'Points-Table'!$C$9,
                (U144 = 'Points-Table'!$A$10), 'Points-Table'!$C$10,
                (U144 = 'Points-Table'!$A$11), 'Points-Table'!$C$11,
                (U144 = 'Points-Table'!$A$12), 'Points-Table'!$C$12,
                (U144 = 'Points-Table'!$A$13), 'Points-Table'!$C$13,
                true, 0
              )
            </f>
      </c>
      <c r="W144" s="11">
        <v>1</v>
      </c>
      <c r="X144" s="12">
        <f>
              Ifs(
                (W144 = 'Points-Table'!$A$4), 'Points-Table'!$C$4,
                (W144 = 'Points-Table'!$A$5), 'Points-Table'!$C$5,
                (W144 = 'Points-Table'!$A$6), 'Points-Table'!$C$6,
                (W144 = 'Points-Table'!$A$7), 'Points-Table'!$C$7,
                (W144 = 'Points-Table'!$A$8), 'Points-Table'!$C$8,
                (W144 = 'Points-Table'!$A$9), 'Points-Table'!$C$9,
                (W144 = 'Points-Table'!$A$10), 'Points-Table'!$C$10,
                (W144 = 'Points-Table'!$A$11), 'Points-Table'!$C$11,
                (W144 = 'Points-Table'!$A$12), 'Points-Table'!$C$12,
                (W144 = 'Points-Table'!$A$13), 'Points-Table'!$C$13,
                true, 0
              )
            </f>
      </c>
      <c r="Y144" s="11">
        <v>5</v>
      </c>
      <c r="Z144" s="12">
        <f>
              Ifs(
                (Y144 = 'Points-Table'!$A$4), 'Points-Table'!$C$4,
                (Y144 = 'Points-Table'!$A$5), 'Points-Table'!$C$5,
                (Y144 = 'Points-Table'!$A$6), 'Points-Table'!$C$6,
                (Y144 = 'Points-Table'!$A$7), 'Points-Table'!$C$7,
                (Y144 = 'Points-Table'!$A$8), 'Points-Table'!$C$8,
                (Y144 = 'Points-Table'!$A$9), 'Points-Table'!$C$9,
                (Y144 = 'Points-Table'!$A$10), 'Points-Table'!$C$10,
                (Y144 = 'Points-Table'!$A$11), 'Points-Table'!$C$11,
                (Y144 = 'Points-Table'!$A$12), 'Points-Table'!$C$12,
                (Y144 = 'Points-Table'!$A$13), 'Points-Table'!$C$13,
                true, 0
              )
            </f>
      </c>
      <c r="AA144" s="6">
        <f>SUM(V144,X144,Z144)</f>
      </c>
      <c r="AB144" s="6">
        <f>
      Ifs( 
        ISBETWEEN(AA144, 0, 'Points-Table'!C$20, TRUE, False), 'Points-Table'!A$20,
        ISBETWEEN(AA144, 'Points-Table'!C$20, 'Points-Table'!C$21, TRUE, False), 'Points-Table'!A$21,
        ISBETWEEN(AA144, 'Points-Table'!C$22, 10000, TRUE, TRUE), 'Points-Table'!A$22,
        true, 
        0)
      </f>
      </c>
      <c r="AC144" s="6" t="s">
        <v>56</v>
      </c>
      <c r="AD144" s="6" t="s">
        <v>56</v>
      </c>
      <c r="AE144" s="6" t="s">
        <v>56</v>
      </c>
    </row>
    <row r="145" spans="1:31" s="6" customFormat="1" x14ac:dyDescent="0.25">
      <c r="A145" s="6" t="s">
        <v>244</v>
      </c>
      <c r="B145" s="6" t="s">
        <v>257</v>
      </c>
      <c r="C145" s="6" t="s">
        <v>261</v>
      </c>
      <c r="D145" s="6"/>
      <c r="E145" s="6"/>
      <c r="F145" s="6"/>
      <c r="G145" s="6"/>
      <c r="H145" s="6"/>
      <c r="I145" s="6"/>
      <c r="J145" s="6"/>
      <c r="K145" s="6" t="s">
        <v>83</v>
      </c>
      <c r="L145" s="6" t="s">
        <v>84</v>
      </c>
      <c r="M145" s="6"/>
      <c r="N145" s="6"/>
      <c r="O145" s="6"/>
      <c r="P145" s="6"/>
      <c r="Q145" s="11"/>
      <c r="R145" s="12">
        <f>
              Ifs(
                (Q145 = 'Points-Table'!$A$4), 'Points-Table'!$C$4,
                (Q145 = 'Points-Table'!$A$5), 'Points-Table'!$C$5,
                (Q145 = 'Points-Table'!$A$6), 'Points-Table'!$C$6,
                (Q145 = 'Points-Table'!$A$7), 'Points-Table'!$C$7,
                (Q145 = 'Points-Table'!$A$8), 'Points-Table'!$C$8,
                (Q145 = 'Points-Table'!$A$9), 'Points-Table'!$C$9,
                (Q145 = 'Points-Table'!$A$10), 'Points-Table'!$C$10,
                (Q145 = 'Points-Table'!$A$11), 'Points-Table'!$C$11,
                (Q145 = 'Points-Table'!$A$12), 'Points-Table'!$C$12,
                (Q145 = 'Points-Table'!$A$13), 'Points-Table'!$C$13,
                true, 0
              )
            </f>
      </c>
      <c r="S145" s="11"/>
      <c r="T145" s="12">
        <f>
              Ifs(
                (S145 = 'Points-Table'!$A$4), 'Points-Table'!$C$4,
                (S145 = 'Points-Table'!$A$5), 'Points-Table'!$C$5,
                (S145 = 'Points-Table'!$A$6), 'Points-Table'!$C$6,
                (S145 = 'Points-Table'!$A$7), 'Points-Table'!$C$7,
                (S145 = 'Points-Table'!$A$8), 'Points-Table'!$C$8,
                (S145 = 'Points-Table'!$A$9), 'Points-Table'!$C$9,
                (S145 = 'Points-Table'!$A$10), 'Points-Table'!$C$10,
                (S145 = 'Points-Table'!$A$11), 'Points-Table'!$C$11,
                (S145 = 'Points-Table'!$A$12), 'Points-Table'!$C$12,
                (S145 = 'Points-Table'!$A$13), 'Points-Table'!$C$13,
                true, 0
              )
            </f>
      </c>
      <c r="U145" s="11">
        <v>5</v>
      </c>
      <c r="V145" s="12">
        <f>
              Ifs(
                (U145 = 'Points-Table'!$A$4), 'Points-Table'!$C$4,
                (U145 = 'Points-Table'!$A$5), 'Points-Table'!$C$5,
                (U145 = 'Points-Table'!$A$6), 'Points-Table'!$C$6,
                (U145 = 'Points-Table'!$A$7), 'Points-Table'!$C$7,
                (U145 = 'Points-Table'!$A$8), 'Points-Table'!$C$8,
                (U145 = 'Points-Table'!$A$9), 'Points-Table'!$C$9,
                (U145 = 'Points-Table'!$A$10), 'Points-Table'!$C$10,
                (U145 = 'Points-Table'!$A$11), 'Points-Table'!$C$11,
                (U145 = 'Points-Table'!$A$12), 'Points-Table'!$C$12,
                (U145 = 'Points-Table'!$A$13), 'Points-Table'!$C$13,
                true, 0
              )
            </f>
      </c>
      <c r="W145" s="11">
        <v>3</v>
      </c>
      <c r="X145" s="12">
        <f>
              Ifs(
                (W145 = 'Points-Table'!$A$4), 'Points-Table'!$C$4,
                (W145 = 'Points-Table'!$A$5), 'Points-Table'!$C$5,
                (W145 = 'Points-Table'!$A$6), 'Points-Table'!$C$6,
                (W145 = 'Points-Table'!$A$7), 'Points-Table'!$C$7,
                (W145 = 'Points-Table'!$A$8), 'Points-Table'!$C$8,
                (W145 = 'Points-Table'!$A$9), 'Points-Table'!$C$9,
                (W145 = 'Points-Table'!$A$10), 'Points-Table'!$C$10,
                (W145 = 'Points-Table'!$A$11), 'Points-Table'!$C$11,
                (W145 = 'Points-Table'!$A$12), 'Points-Table'!$C$12,
                (W145 = 'Points-Table'!$A$13), 'Points-Table'!$C$13,
                true, 0
              )
            </f>
      </c>
      <c r="Y145" s="11">
        <v>5</v>
      </c>
      <c r="Z145" s="12">
        <f>
              Ifs(
                (Y145 = 'Points-Table'!$A$4), 'Points-Table'!$C$4,
                (Y145 = 'Points-Table'!$A$5), 'Points-Table'!$C$5,
                (Y145 = 'Points-Table'!$A$6), 'Points-Table'!$C$6,
                (Y145 = 'Points-Table'!$A$7), 'Points-Table'!$C$7,
                (Y145 = 'Points-Table'!$A$8), 'Points-Table'!$C$8,
                (Y145 = 'Points-Table'!$A$9), 'Points-Table'!$C$9,
                (Y145 = 'Points-Table'!$A$10), 'Points-Table'!$C$10,
                (Y145 = 'Points-Table'!$A$11), 'Points-Table'!$C$11,
                (Y145 = 'Points-Table'!$A$12), 'Points-Table'!$C$12,
                (Y145 = 'Points-Table'!$A$13), 'Points-Table'!$C$13,
                true, 0
              )
            </f>
      </c>
      <c r="AA145" s="6">
        <f>SUM(V145,X145,Z145)</f>
      </c>
      <c r="AB145" s="6">
        <f>
      Ifs( 
        ISBETWEEN(AA145, 0, 'Points-Table'!C$20, TRUE, False), 'Points-Table'!A$20,
        ISBETWEEN(AA145, 'Points-Table'!C$20, 'Points-Table'!C$21, TRUE, False), 'Points-Table'!A$21,
        ISBETWEEN(AA145, 'Points-Table'!C$22, 10000, TRUE, TRUE), 'Points-Table'!A$22,
        true, 
        0)
      </f>
      </c>
      <c r="AC145" s="6" t="s">
        <v>56</v>
      </c>
      <c r="AD145" s="6" t="s">
        <v>56</v>
      </c>
      <c r="AE145" s="6" t="s">
        <v>56</v>
      </c>
    </row>
    <row r="146" spans="1:31" s="6" customFormat="1" x14ac:dyDescent="0.25">
      <c r="A146" s="6" t="s">
        <v>244</v>
      </c>
      <c r="B146" s="6" t="s">
        <v>257</v>
      </c>
      <c r="C146" s="6" t="s">
        <v>262</v>
      </c>
      <c r="D146" s="6"/>
      <c r="E146" s="6"/>
      <c r="F146" s="6"/>
      <c r="G146" s="6"/>
      <c r="H146" s="6"/>
      <c r="I146" s="6"/>
      <c r="J146" s="6"/>
      <c r="K146" s="6" t="s">
        <v>83</v>
      </c>
      <c r="L146" s="6" t="s">
        <v>84</v>
      </c>
      <c r="M146" s="6"/>
      <c r="N146" s="6"/>
      <c r="O146" s="6"/>
      <c r="P146" s="6"/>
      <c r="Q146" s="11"/>
      <c r="R146" s="12">
        <f>
              Ifs(
                (Q146 = 'Points-Table'!$A$4), 'Points-Table'!$C$4,
                (Q146 = 'Points-Table'!$A$5), 'Points-Table'!$C$5,
                (Q146 = 'Points-Table'!$A$6), 'Points-Table'!$C$6,
                (Q146 = 'Points-Table'!$A$7), 'Points-Table'!$C$7,
                (Q146 = 'Points-Table'!$A$8), 'Points-Table'!$C$8,
                (Q146 = 'Points-Table'!$A$9), 'Points-Table'!$C$9,
                (Q146 = 'Points-Table'!$A$10), 'Points-Table'!$C$10,
                (Q146 = 'Points-Table'!$A$11), 'Points-Table'!$C$11,
                (Q146 = 'Points-Table'!$A$12), 'Points-Table'!$C$12,
                (Q146 = 'Points-Table'!$A$13), 'Points-Table'!$C$13,
                true, 0
              )
            </f>
      </c>
      <c r="S146" s="11"/>
      <c r="T146" s="12">
        <f>
              Ifs(
                (S146 = 'Points-Table'!$A$4), 'Points-Table'!$C$4,
                (S146 = 'Points-Table'!$A$5), 'Points-Table'!$C$5,
                (S146 = 'Points-Table'!$A$6), 'Points-Table'!$C$6,
                (S146 = 'Points-Table'!$A$7), 'Points-Table'!$C$7,
                (S146 = 'Points-Table'!$A$8), 'Points-Table'!$C$8,
                (S146 = 'Points-Table'!$A$9), 'Points-Table'!$C$9,
                (S146 = 'Points-Table'!$A$10), 'Points-Table'!$C$10,
                (S146 = 'Points-Table'!$A$11), 'Points-Table'!$C$11,
                (S146 = 'Points-Table'!$A$12), 'Points-Table'!$C$12,
                (S146 = 'Points-Table'!$A$13), 'Points-Table'!$C$13,
                true, 0
              )
            </f>
      </c>
      <c r="U146" s="11">
        <v>3</v>
      </c>
      <c r="V146" s="12">
        <f>
              Ifs(
                (U146 = 'Points-Table'!$A$4), 'Points-Table'!$C$4,
                (U146 = 'Points-Table'!$A$5), 'Points-Table'!$C$5,
                (U146 = 'Points-Table'!$A$6), 'Points-Table'!$C$6,
                (U146 = 'Points-Table'!$A$7), 'Points-Table'!$C$7,
                (U146 = 'Points-Table'!$A$8), 'Points-Table'!$C$8,
                (U146 = 'Points-Table'!$A$9), 'Points-Table'!$C$9,
                (U146 = 'Points-Table'!$A$10), 'Points-Table'!$C$10,
                (U146 = 'Points-Table'!$A$11), 'Points-Table'!$C$11,
                (U146 = 'Points-Table'!$A$12), 'Points-Table'!$C$12,
                (U146 = 'Points-Table'!$A$13), 'Points-Table'!$C$13,
                true, 0
              )
            </f>
      </c>
      <c r="W146" s="11">
        <v>2</v>
      </c>
      <c r="X146" s="12">
        <f>
              Ifs(
                (W146 = 'Points-Table'!$A$4), 'Points-Table'!$C$4,
                (W146 = 'Points-Table'!$A$5), 'Points-Table'!$C$5,
                (W146 = 'Points-Table'!$A$6), 'Points-Table'!$C$6,
                (W146 = 'Points-Table'!$A$7), 'Points-Table'!$C$7,
                (W146 = 'Points-Table'!$A$8), 'Points-Table'!$C$8,
                (W146 = 'Points-Table'!$A$9), 'Points-Table'!$C$9,
                (W146 = 'Points-Table'!$A$10), 'Points-Table'!$C$10,
                (W146 = 'Points-Table'!$A$11), 'Points-Table'!$C$11,
                (W146 = 'Points-Table'!$A$12), 'Points-Table'!$C$12,
                (W146 = 'Points-Table'!$A$13), 'Points-Table'!$C$13,
                true, 0
              )
            </f>
      </c>
      <c r="Y146" s="11">
        <v>5</v>
      </c>
      <c r="Z146" s="12">
        <f>
              Ifs(
                (Y146 = 'Points-Table'!$A$4), 'Points-Table'!$C$4,
                (Y146 = 'Points-Table'!$A$5), 'Points-Table'!$C$5,
                (Y146 = 'Points-Table'!$A$6), 'Points-Table'!$C$6,
                (Y146 = 'Points-Table'!$A$7), 'Points-Table'!$C$7,
                (Y146 = 'Points-Table'!$A$8), 'Points-Table'!$C$8,
                (Y146 = 'Points-Table'!$A$9), 'Points-Table'!$C$9,
                (Y146 = 'Points-Table'!$A$10), 'Points-Table'!$C$10,
                (Y146 = 'Points-Table'!$A$11), 'Points-Table'!$C$11,
                (Y146 = 'Points-Table'!$A$12), 'Points-Table'!$C$12,
                (Y146 = 'Points-Table'!$A$13), 'Points-Table'!$C$13,
                true, 0
              )
            </f>
      </c>
      <c r="AA146" s="6">
        <f>SUM(V146,X146,Z146)</f>
      </c>
      <c r="AB146" s="6">
        <f>
      Ifs( 
        ISBETWEEN(AA146, 0, 'Points-Table'!C$20, TRUE, False), 'Points-Table'!A$20,
        ISBETWEEN(AA146, 'Points-Table'!C$20, 'Points-Table'!C$21, TRUE, False), 'Points-Table'!A$21,
        ISBETWEEN(AA146, 'Points-Table'!C$22, 10000, TRUE, TRUE), 'Points-Table'!A$22,
        true, 
        0)
      </f>
      </c>
      <c r="AC146" s="6" t="s">
        <v>56</v>
      </c>
      <c r="AD146" s="6" t="s">
        <v>56</v>
      </c>
      <c r="AE146" s="6" t="s">
        <v>56</v>
      </c>
    </row>
    <row r="147" spans="1:31" s="6" customFormat="1" x14ac:dyDescent="0.25">
      <c r="A147" s="6" t="s">
        <v>244</v>
      </c>
      <c r="B147" s="6" t="s">
        <v>143</v>
      </c>
      <c r="C147" s="6" t="s">
        <v>263</v>
      </c>
      <c r="D147" s="6"/>
      <c r="E147" s="6"/>
      <c r="F147" s="6"/>
      <c r="G147" s="6"/>
      <c r="H147" s="6"/>
      <c r="I147" s="6"/>
      <c r="J147" s="6"/>
      <c r="K147" s="6" t="s">
        <v>83</v>
      </c>
      <c r="L147" s="6" t="s">
        <v>84</v>
      </c>
      <c r="M147" s="6"/>
      <c r="N147" s="6"/>
      <c r="O147" s="6"/>
      <c r="P147" s="6"/>
      <c r="Q147" s="11"/>
      <c r="R147" s="12">
        <f>
              Ifs(
                (Q147 = 'Points-Table'!$A$4), 'Points-Table'!$C$4,
                (Q147 = 'Points-Table'!$A$5), 'Points-Table'!$C$5,
                (Q147 = 'Points-Table'!$A$6), 'Points-Table'!$C$6,
                (Q147 = 'Points-Table'!$A$7), 'Points-Table'!$C$7,
                (Q147 = 'Points-Table'!$A$8), 'Points-Table'!$C$8,
                (Q147 = 'Points-Table'!$A$9), 'Points-Table'!$C$9,
                (Q147 = 'Points-Table'!$A$10), 'Points-Table'!$C$10,
                (Q147 = 'Points-Table'!$A$11), 'Points-Table'!$C$11,
                (Q147 = 'Points-Table'!$A$12), 'Points-Table'!$C$12,
                (Q147 = 'Points-Table'!$A$13), 'Points-Table'!$C$13,
                true, 0
              )
            </f>
      </c>
      <c r="S147" s="11"/>
      <c r="T147" s="12">
        <f>
              Ifs(
                (S147 = 'Points-Table'!$A$4), 'Points-Table'!$C$4,
                (S147 = 'Points-Table'!$A$5), 'Points-Table'!$C$5,
                (S147 = 'Points-Table'!$A$6), 'Points-Table'!$C$6,
                (S147 = 'Points-Table'!$A$7), 'Points-Table'!$C$7,
                (S147 = 'Points-Table'!$A$8), 'Points-Table'!$C$8,
                (S147 = 'Points-Table'!$A$9), 'Points-Table'!$C$9,
                (S147 = 'Points-Table'!$A$10), 'Points-Table'!$C$10,
                (S147 = 'Points-Table'!$A$11), 'Points-Table'!$C$11,
                (S147 = 'Points-Table'!$A$12), 'Points-Table'!$C$12,
                (S147 = 'Points-Table'!$A$13), 'Points-Table'!$C$13,
                true, 0
              )
            </f>
      </c>
      <c r="U147" s="11">
        <v>8</v>
      </c>
      <c r="V147" s="12">
        <f>
              Ifs(
                (U147 = 'Points-Table'!$A$4), 'Points-Table'!$C$4,
                (U147 = 'Points-Table'!$A$5), 'Points-Table'!$C$5,
                (U147 = 'Points-Table'!$A$6), 'Points-Table'!$C$6,
                (U147 = 'Points-Table'!$A$7), 'Points-Table'!$C$7,
                (U147 = 'Points-Table'!$A$8), 'Points-Table'!$C$8,
                (U147 = 'Points-Table'!$A$9), 'Points-Table'!$C$9,
                (U147 = 'Points-Table'!$A$10), 'Points-Table'!$C$10,
                (U147 = 'Points-Table'!$A$11), 'Points-Table'!$C$11,
                (U147 = 'Points-Table'!$A$12), 'Points-Table'!$C$12,
                (U147 = 'Points-Table'!$A$13), 'Points-Table'!$C$13,
                true, 0
              )
            </f>
      </c>
      <c r="W147" s="11">
        <v>2</v>
      </c>
      <c r="X147" s="12">
        <f>
              Ifs(
                (W147 = 'Points-Table'!$A$4), 'Points-Table'!$C$4,
                (W147 = 'Points-Table'!$A$5), 'Points-Table'!$C$5,
                (W147 = 'Points-Table'!$A$6), 'Points-Table'!$C$6,
                (W147 = 'Points-Table'!$A$7), 'Points-Table'!$C$7,
                (W147 = 'Points-Table'!$A$8), 'Points-Table'!$C$8,
                (W147 = 'Points-Table'!$A$9), 'Points-Table'!$C$9,
                (W147 = 'Points-Table'!$A$10), 'Points-Table'!$C$10,
                (W147 = 'Points-Table'!$A$11), 'Points-Table'!$C$11,
                (W147 = 'Points-Table'!$A$12), 'Points-Table'!$C$12,
                (W147 = 'Points-Table'!$A$13), 'Points-Table'!$C$13,
                true, 0
              )
            </f>
      </c>
      <c r="Y147" s="11">
        <v>8</v>
      </c>
      <c r="Z147" s="12">
        <f>
              Ifs(
                (Y147 = 'Points-Table'!$A$4), 'Points-Table'!$C$4,
                (Y147 = 'Points-Table'!$A$5), 'Points-Table'!$C$5,
                (Y147 = 'Points-Table'!$A$6), 'Points-Table'!$C$6,
                (Y147 = 'Points-Table'!$A$7), 'Points-Table'!$C$7,
                (Y147 = 'Points-Table'!$A$8), 'Points-Table'!$C$8,
                (Y147 = 'Points-Table'!$A$9), 'Points-Table'!$C$9,
                (Y147 = 'Points-Table'!$A$10), 'Points-Table'!$C$10,
                (Y147 = 'Points-Table'!$A$11), 'Points-Table'!$C$11,
                (Y147 = 'Points-Table'!$A$12), 'Points-Table'!$C$12,
                (Y147 = 'Points-Table'!$A$13), 'Points-Table'!$C$13,
                true, 0
              )
            </f>
      </c>
      <c r="AA147" s="6">
        <f>SUM(V147,X147,Z147)</f>
      </c>
      <c r="AB147" s="6">
        <f>
      Ifs( 
        ISBETWEEN(AA147, 0, 'Points-Table'!C$20, TRUE, False), 'Points-Table'!A$20,
        ISBETWEEN(AA147, 'Points-Table'!C$20, 'Points-Table'!C$21, TRUE, False), 'Points-Table'!A$21,
        ISBETWEEN(AA147, 'Points-Table'!C$22, 10000, TRUE, TRUE), 'Points-Table'!A$22,
        true, 
        0)
      </f>
      </c>
      <c r="AC147" s="6" t="s">
        <v>56</v>
      </c>
      <c r="AD147" s="6" t="s">
        <v>56</v>
      </c>
      <c r="AE147" s="6" t="s">
        <v>56</v>
      </c>
    </row>
    <row r="148" spans="1:31" s="6" customFormat="1" x14ac:dyDescent="0.25">
      <c r="A148" s="6" t="s">
        <v>244</v>
      </c>
      <c r="B148" s="6" t="s">
        <v>143</v>
      </c>
      <c r="C148" s="6" t="s">
        <v>264</v>
      </c>
      <c r="D148" s="6"/>
      <c r="E148" s="6"/>
      <c r="F148" s="6"/>
      <c r="G148" s="6"/>
      <c r="H148" s="6"/>
      <c r="I148" s="6"/>
      <c r="J148" s="6"/>
      <c r="K148" s="6" t="s">
        <v>83</v>
      </c>
      <c r="L148" s="6" t="s">
        <v>84</v>
      </c>
      <c r="M148" s="6"/>
      <c r="N148" s="6"/>
      <c r="O148" s="6"/>
      <c r="P148" s="6"/>
      <c r="Q148" s="11"/>
      <c r="R148" s="12">
        <f>
              Ifs(
                (Q148 = 'Points-Table'!$A$4), 'Points-Table'!$C$4,
                (Q148 = 'Points-Table'!$A$5), 'Points-Table'!$C$5,
                (Q148 = 'Points-Table'!$A$6), 'Points-Table'!$C$6,
                (Q148 = 'Points-Table'!$A$7), 'Points-Table'!$C$7,
                (Q148 = 'Points-Table'!$A$8), 'Points-Table'!$C$8,
                (Q148 = 'Points-Table'!$A$9), 'Points-Table'!$C$9,
                (Q148 = 'Points-Table'!$A$10), 'Points-Table'!$C$10,
                (Q148 = 'Points-Table'!$A$11), 'Points-Table'!$C$11,
                (Q148 = 'Points-Table'!$A$12), 'Points-Table'!$C$12,
                (Q148 = 'Points-Table'!$A$13), 'Points-Table'!$C$13,
                true, 0
              )
            </f>
      </c>
      <c r="S148" s="11"/>
      <c r="T148" s="12">
        <f>
              Ifs(
                (S148 = 'Points-Table'!$A$4), 'Points-Table'!$C$4,
                (S148 = 'Points-Table'!$A$5), 'Points-Table'!$C$5,
                (S148 = 'Points-Table'!$A$6), 'Points-Table'!$C$6,
                (S148 = 'Points-Table'!$A$7), 'Points-Table'!$C$7,
                (S148 = 'Points-Table'!$A$8), 'Points-Table'!$C$8,
                (S148 = 'Points-Table'!$A$9), 'Points-Table'!$C$9,
                (S148 = 'Points-Table'!$A$10), 'Points-Table'!$C$10,
                (S148 = 'Points-Table'!$A$11), 'Points-Table'!$C$11,
                (S148 = 'Points-Table'!$A$12), 'Points-Table'!$C$12,
                (S148 = 'Points-Table'!$A$13), 'Points-Table'!$C$13,
                true, 0
              )
            </f>
      </c>
      <c r="U148" s="11">
        <v>3</v>
      </c>
      <c r="V148" s="12">
        <f>
              Ifs(
                (U148 = 'Points-Table'!$A$4), 'Points-Table'!$C$4,
                (U148 = 'Points-Table'!$A$5), 'Points-Table'!$C$5,
                (U148 = 'Points-Table'!$A$6), 'Points-Table'!$C$6,
                (U148 = 'Points-Table'!$A$7), 'Points-Table'!$C$7,
                (U148 = 'Points-Table'!$A$8), 'Points-Table'!$C$8,
                (U148 = 'Points-Table'!$A$9), 'Points-Table'!$C$9,
                (U148 = 'Points-Table'!$A$10), 'Points-Table'!$C$10,
                (U148 = 'Points-Table'!$A$11), 'Points-Table'!$C$11,
                (U148 = 'Points-Table'!$A$12), 'Points-Table'!$C$12,
                (U148 = 'Points-Table'!$A$13), 'Points-Table'!$C$13,
                true, 0
              )
            </f>
      </c>
      <c r="W148" s="11">
        <v>2</v>
      </c>
      <c r="X148" s="12">
        <f>
              Ifs(
                (W148 = 'Points-Table'!$A$4), 'Points-Table'!$C$4,
                (W148 = 'Points-Table'!$A$5), 'Points-Table'!$C$5,
                (W148 = 'Points-Table'!$A$6), 'Points-Table'!$C$6,
                (W148 = 'Points-Table'!$A$7), 'Points-Table'!$C$7,
                (W148 = 'Points-Table'!$A$8), 'Points-Table'!$C$8,
                (W148 = 'Points-Table'!$A$9), 'Points-Table'!$C$9,
                (W148 = 'Points-Table'!$A$10), 'Points-Table'!$C$10,
                (W148 = 'Points-Table'!$A$11), 'Points-Table'!$C$11,
                (W148 = 'Points-Table'!$A$12), 'Points-Table'!$C$12,
                (W148 = 'Points-Table'!$A$13), 'Points-Table'!$C$13,
                true, 0
              )
            </f>
      </c>
      <c r="Y148" s="11">
        <v>5</v>
      </c>
      <c r="Z148" s="12">
        <f>
              Ifs(
                (Y148 = 'Points-Table'!$A$4), 'Points-Table'!$C$4,
                (Y148 = 'Points-Table'!$A$5), 'Points-Table'!$C$5,
                (Y148 = 'Points-Table'!$A$6), 'Points-Table'!$C$6,
                (Y148 = 'Points-Table'!$A$7), 'Points-Table'!$C$7,
                (Y148 = 'Points-Table'!$A$8), 'Points-Table'!$C$8,
                (Y148 = 'Points-Table'!$A$9), 'Points-Table'!$C$9,
                (Y148 = 'Points-Table'!$A$10), 'Points-Table'!$C$10,
                (Y148 = 'Points-Table'!$A$11), 'Points-Table'!$C$11,
                (Y148 = 'Points-Table'!$A$12), 'Points-Table'!$C$12,
                (Y148 = 'Points-Table'!$A$13), 'Points-Table'!$C$13,
                true, 0
              )
            </f>
      </c>
      <c r="AA148" s="6">
        <f>SUM(V148,X148,Z148)</f>
      </c>
      <c r="AB148" s="6">
        <f>
      Ifs( 
        ISBETWEEN(AA148, 0, 'Points-Table'!C$20, TRUE, False), 'Points-Table'!A$20,
        ISBETWEEN(AA148, 'Points-Table'!C$20, 'Points-Table'!C$21, TRUE, False), 'Points-Table'!A$21,
        ISBETWEEN(AA148, 'Points-Table'!C$22, 10000, TRUE, TRUE), 'Points-Table'!A$22,
        true, 
        0)
      </f>
      </c>
      <c r="AC148" s="6" t="s">
        <v>56</v>
      </c>
      <c r="AD148" s="6" t="s">
        <v>56</v>
      </c>
      <c r="AE148" s="6" t="s">
        <v>56</v>
      </c>
    </row>
    <row r="149" spans="1:31" s="6" customFormat="1" x14ac:dyDescent="0.25">
      <c r="A149" s="6" t="s">
        <v>244</v>
      </c>
      <c r="B149" s="6" t="s">
        <v>143</v>
      </c>
      <c r="C149" s="6" t="s">
        <v>265</v>
      </c>
      <c r="D149" s="6"/>
      <c r="E149" s="6"/>
      <c r="F149" s="6"/>
      <c r="G149" s="6"/>
      <c r="H149" s="6"/>
      <c r="I149" s="6"/>
      <c r="J149" s="6"/>
      <c r="K149" s="6" t="s">
        <v>83</v>
      </c>
      <c r="L149" s="6" t="s">
        <v>84</v>
      </c>
      <c r="M149" s="6"/>
      <c r="N149" s="6"/>
      <c r="O149" s="6"/>
      <c r="P149" s="6"/>
      <c r="Q149" s="11"/>
      <c r="R149" s="12">
        <f>
              Ifs(
                (Q149 = 'Points-Table'!$A$4), 'Points-Table'!$C$4,
                (Q149 = 'Points-Table'!$A$5), 'Points-Table'!$C$5,
                (Q149 = 'Points-Table'!$A$6), 'Points-Table'!$C$6,
                (Q149 = 'Points-Table'!$A$7), 'Points-Table'!$C$7,
                (Q149 = 'Points-Table'!$A$8), 'Points-Table'!$C$8,
                (Q149 = 'Points-Table'!$A$9), 'Points-Table'!$C$9,
                (Q149 = 'Points-Table'!$A$10), 'Points-Table'!$C$10,
                (Q149 = 'Points-Table'!$A$11), 'Points-Table'!$C$11,
                (Q149 = 'Points-Table'!$A$12), 'Points-Table'!$C$12,
                (Q149 = 'Points-Table'!$A$13), 'Points-Table'!$C$13,
                true, 0
              )
            </f>
      </c>
      <c r="S149" s="11"/>
      <c r="T149" s="12">
        <f>
              Ifs(
                (S149 = 'Points-Table'!$A$4), 'Points-Table'!$C$4,
                (S149 = 'Points-Table'!$A$5), 'Points-Table'!$C$5,
                (S149 = 'Points-Table'!$A$6), 'Points-Table'!$C$6,
                (S149 = 'Points-Table'!$A$7), 'Points-Table'!$C$7,
                (S149 = 'Points-Table'!$A$8), 'Points-Table'!$C$8,
                (S149 = 'Points-Table'!$A$9), 'Points-Table'!$C$9,
                (S149 = 'Points-Table'!$A$10), 'Points-Table'!$C$10,
                (S149 = 'Points-Table'!$A$11), 'Points-Table'!$C$11,
                (S149 = 'Points-Table'!$A$12), 'Points-Table'!$C$12,
                (S149 = 'Points-Table'!$A$13), 'Points-Table'!$C$13,
                true, 0
              )
            </f>
      </c>
      <c r="U149" s="11">
        <v>2</v>
      </c>
      <c r="V149" s="12">
        <f>
              Ifs(
                (U149 = 'Points-Table'!$A$4), 'Points-Table'!$C$4,
                (U149 = 'Points-Table'!$A$5), 'Points-Table'!$C$5,
                (U149 = 'Points-Table'!$A$6), 'Points-Table'!$C$6,
                (U149 = 'Points-Table'!$A$7), 'Points-Table'!$C$7,
                (U149 = 'Points-Table'!$A$8), 'Points-Table'!$C$8,
                (U149 = 'Points-Table'!$A$9), 'Points-Table'!$C$9,
                (U149 = 'Points-Table'!$A$10), 'Points-Table'!$C$10,
                (U149 = 'Points-Table'!$A$11), 'Points-Table'!$C$11,
                (U149 = 'Points-Table'!$A$12), 'Points-Table'!$C$12,
                (U149 = 'Points-Table'!$A$13), 'Points-Table'!$C$13,
                true, 0
              )
            </f>
      </c>
      <c r="W149" s="11">
        <v>1</v>
      </c>
      <c r="X149" s="12">
        <f>
              Ifs(
                (W149 = 'Points-Table'!$A$4), 'Points-Table'!$C$4,
                (W149 = 'Points-Table'!$A$5), 'Points-Table'!$C$5,
                (W149 = 'Points-Table'!$A$6), 'Points-Table'!$C$6,
                (W149 = 'Points-Table'!$A$7), 'Points-Table'!$C$7,
                (W149 = 'Points-Table'!$A$8), 'Points-Table'!$C$8,
                (W149 = 'Points-Table'!$A$9), 'Points-Table'!$C$9,
                (W149 = 'Points-Table'!$A$10), 'Points-Table'!$C$10,
                (W149 = 'Points-Table'!$A$11), 'Points-Table'!$C$11,
                (W149 = 'Points-Table'!$A$12), 'Points-Table'!$C$12,
                (W149 = 'Points-Table'!$A$13), 'Points-Table'!$C$13,
                true, 0
              )
            </f>
      </c>
      <c r="Y149" s="11">
        <v>5</v>
      </c>
      <c r="Z149" s="12">
        <f>
              Ifs(
                (Y149 = 'Points-Table'!$A$4), 'Points-Table'!$C$4,
                (Y149 = 'Points-Table'!$A$5), 'Points-Table'!$C$5,
                (Y149 = 'Points-Table'!$A$6), 'Points-Table'!$C$6,
                (Y149 = 'Points-Table'!$A$7), 'Points-Table'!$C$7,
                (Y149 = 'Points-Table'!$A$8), 'Points-Table'!$C$8,
                (Y149 = 'Points-Table'!$A$9), 'Points-Table'!$C$9,
                (Y149 = 'Points-Table'!$A$10), 'Points-Table'!$C$10,
                (Y149 = 'Points-Table'!$A$11), 'Points-Table'!$C$11,
                (Y149 = 'Points-Table'!$A$12), 'Points-Table'!$C$12,
                (Y149 = 'Points-Table'!$A$13), 'Points-Table'!$C$13,
                true, 0
              )
            </f>
      </c>
      <c r="AA149" s="6">
        <f>SUM(V149,X149,Z149)</f>
      </c>
      <c r="AB149" s="6">
        <f>
      Ifs( 
        ISBETWEEN(AA149, 0, 'Points-Table'!C$20, TRUE, False), 'Points-Table'!A$20,
        ISBETWEEN(AA149, 'Points-Table'!C$20, 'Points-Table'!C$21, TRUE, False), 'Points-Table'!A$21,
        ISBETWEEN(AA149, 'Points-Table'!C$22, 10000, TRUE, TRUE), 'Points-Table'!A$22,
        true, 
        0)
      </f>
      </c>
      <c r="AC149" s="6" t="s">
        <v>56</v>
      </c>
      <c r="AD149" s="6" t="s">
        <v>56</v>
      </c>
      <c r="AE149" s="6" t="s">
        <v>56</v>
      </c>
    </row>
    <row r="150" spans="1:31" s="13" customFormat="1" x14ac:dyDescent="0.25">
      <c r="A150" s="13" t="s">
        <v>244</v>
      </c>
      <c r="B150" s="13" t="s">
        <v>143</v>
      </c>
      <c r="C150" s="13" t="s">
        <v>126</v>
      </c>
      <c r="D150" s="13"/>
      <c r="E150" s="13"/>
      <c r="F150" s="13"/>
      <c r="G150" s="13"/>
      <c r="H150" s="13"/>
      <c r="I150" s="13"/>
      <c r="J150" s="13"/>
      <c r="K150" s="13" t="s">
        <v>83</v>
      </c>
      <c r="L150" s="13" t="s">
        <v>84</v>
      </c>
      <c r="M150" s="13"/>
      <c r="N150" s="13"/>
      <c r="O150" s="13"/>
      <c r="P150" s="13"/>
      <c r="Q150" s="13"/>
      <c r="R150" s="13">
        <f>
              Ifs(
                (Q150 = 'Points-Table'!$A$4), 'Points-Table'!$C$4,
                (Q150 = 'Points-Table'!$A$5), 'Points-Table'!$C$5,
                (Q150 = 'Points-Table'!$A$6), 'Points-Table'!$C$6,
                (Q150 = 'Points-Table'!$A$7), 'Points-Table'!$C$7,
                (Q150 = 'Points-Table'!$A$8), 'Points-Table'!$C$8,
                (Q150 = 'Points-Table'!$A$9), 'Points-Table'!$C$9,
                (Q150 = 'Points-Table'!$A$10), 'Points-Table'!$C$10,
                (Q150 = 'Points-Table'!$A$11), 'Points-Table'!$C$11,
                (Q150 = 'Points-Table'!$A$12), 'Points-Table'!$C$12,
                (Q150 = 'Points-Table'!$A$13), 'Points-Table'!$C$13,
                true, 0
              )
            </f>
      </c>
      <c r="S150" s="13"/>
      <c r="T150" s="13">
        <f>
              Ifs(
                (S150 = 'Points-Table'!$A$4), 'Points-Table'!$C$4,
                (S150 = 'Points-Table'!$A$5), 'Points-Table'!$C$5,
                (S150 = 'Points-Table'!$A$6), 'Points-Table'!$C$6,
                (S150 = 'Points-Table'!$A$7), 'Points-Table'!$C$7,
                (S150 = 'Points-Table'!$A$8), 'Points-Table'!$C$8,
                (S150 = 'Points-Table'!$A$9), 'Points-Table'!$C$9,
                (S150 = 'Points-Table'!$A$10), 'Points-Table'!$C$10,
                (S150 = 'Points-Table'!$A$11), 'Points-Table'!$C$11,
                (S150 = 'Points-Table'!$A$12), 'Points-Table'!$C$12,
                (S150 = 'Points-Table'!$A$13), 'Points-Table'!$C$13,
                true, 0
              )
            </f>
      </c>
      <c r="U150" s="13"/>
      <c r="V150" s="13">
        <f>
              Ifs(
                (U150 = 'Points-Table'!$A$4), 'Points-Table'!$C$4,
                (U150 = 'Points-Table'!$A$5), 'Points-Table'!$C$5,
                (U150 = 'Points-Table'!$A$6), 'Points-Table'!$C$6,
                (U150 = 'Points-Table'!$A$7), 'Points-Table'!$C$7,
                (U150 = 'Points-Table'!$A$8), 'Points-Table'!$C$8,
                (U150 = 'Points-Table'!$A$9), 'Points-Table'!$C$9,
                (U150 = 'Points-Table'!$A$10), 'Points-Table'!$C$10,
                (U150 = 'Points-Table'!$A$11), 'Points-Table'!$C$11,
                (U150 = 'Points-Table'!$A$12), 'Points-Table'!$C$12,
                (U150 = 'Points-Table'!$A$13), 'Points-Table'!$C$13,
                true, 0
              )
            </f>
      </c>
      <c r="W150" s="13"/>
      <c r="X150" s="13">
        <f>
              Ifs(
                (W150 = 'Points-Table'!$A$4), 'Points-Table'!$C$4,
                (W150 = 'Points-Table'!$A$5), 'Points-Table'!$C$5,
                (W150 = 'Points-Table'!$A$6), 'Points-Table'!$C$6,
                (W150 = 'Points-Table'!$A$7), 'Points-Table'!$C$7,
                (W150 = 'Points-Table'!$A$8), 'Points-Table'!$C$8,
                (W150 = 'Points-Table'!$A$9), 'Points-Table'!$C$9,
                (W150 = 'Points-Table'!$A$10), 'Points-Table'!$C$10,
                (W150 = 'Points-Table'!$A$11), 'Points-Table'!$C$11,
                (W150 = 'Points-Table'!$A$12), 'Points-Table'!$C$12,
                (W150 = 'Points-Table'!$A$13), 'Points-Table'!$C$13,
                true, 0
              )
            </f>
      </c>
      <c r="Y150" s="13"/>
      <c r="Z150" s="13">
        <f>
              Ifs(
                (Y150 = 'Points-Table'!$A$4), 'Points-Table'!$C$4,
                (Y150 = 'Points-Table'!$A$5), 'Points-Table'!$C$5,
                (Y150 = 'Points-Table'!$A$6), 'Points-Table'!$C$6,
                (Y150 = 'Points-Table'!$A$7), 'Points-Table'!$C$7,
                (Y150 = 'Points-Table'!$A$8), 'Points-Table'!$C$8,
                (Y150 = 'Points-Table'!$A$9), 'Points-Table'!$C$9,
                (Y150 = 'Points-Table'!$A$10), 'Points-Table'!$C$10,
                (Y150 = 'Points-Table'!$A$11), 'Points-Table'!$C$11,
                (Y150 = 'Points-Table'!$A$12), 'Points-Table'!$C$12,
                (Y150 = 'Points-Table'!$A$13), 'Points-Table'!$C$13,
                true, 0
              )
            </f>
      </c>
      <c r="AA150" s="13">
        <f>SUM(V150,X150,Z150)</f>
      </c>
      <c r="AB150" s="13">
        <f>
      Ifs( 
        ISBETWEEN(AA150, 0, 'Points-Table'!C$20, TRUE, False), 'Points-Table'!A$20,
        ISBETWEEN(AA150, 'Points-Table'!C$20, 'Points-Table'!C$21, TRUE, False), 'Points-Table'!A$21,
        ISBETWEEN(AA150, 'Points-Table'!C$22, 10000, TRUE, TRUE), 'Points-Table'!A$22,
        true, 
        0)
      </f>
      </c>
      <c r="AC150" s="13" t="s">
        <v>56</v>
      </c>
      <c r="AD150" s="13" t="s">
        <v>56</v>
      </c>
      <c r="AE150" s="13" t="s">
        <v>56</v>
      </c>
    </row>
    <row r="151" spans="1:31" s="6" customFormat="1" x14ac:dyDescent="0.25">
      <c r="A151" s="6" t="s">
        <v>244</v>
      </c>
      <c r="B151" s="6" t="s">
        <v>235</v>
      </c>
      <c r="D151" s="6"/>
      <c r="E151" s="6"/>
      <c r="F151" s="6"/>
      <c r="G151" s="6"/>
      <c r="H151" s="6"/>
      <c r="I151" s="6"/>
      <c r="J151" s="6"/>
      <c r="K151" s="6" t="s">
        <v>83</v>
      </c>
      <c r="L151" s="6" t="s">
        <v>84</v>
      </c>
      <c r="M151" s="6"/>
      <c r="N151" s="6"/>
      <c r="O151" s="6"/>
      <c r="P151" s="6"/>
      <c r="Q151" s="11"/>
      <c r="R151" s="12">
        <f>
              Ifs(
                (Q151 = 'Points-Table'!$A$4), 'Points-Table'!$C$4,
                (Q151 = 'Points-Table'!$A$5), 'Points-Table'!$C$5,
                (Q151 = 'Points-Table'!$A$6), 'Points-Table'!$C$6,
                (Q151 = 'Points-Table'!$A$7), 'Points-Table'!$C$7,
                (Q151 = 'Points-Table'!$A$8), 'Points-Table'!$C$8,
                (Q151 = 'Points-Table'!$A$9), 'Points-Table'!$C$9,
                (Q151 = 'Points-Table'!$A$10), 'Points-Table'!$C$10,
                (Q151 = 'Points-Table'!$A$11), 'Points-Table'!$C$11,
                (Q151 = 'Points-Table'!$A$12), 'Points-Table'!$C$12,
                (Q151 = 'Points-Table'!$A$13), 'Points-Table'!$C$13,
                true, 0
              )
            </f>
      </c>
      <c r="S151" s="11"/>
      <c r="T151" s="12">
        <f>
              Ifs(
                (S151 = 'Points-Table'!$A$4), 'Points-Table'!$C$4,
                (S151 = 'Points-Table'!$A$5), 'Points-Table'!$C$5,
                (S151 = 'Points-Table'!$A$6), 'Points-Table'!$C$6,
                (S151 = 'Points-Table'!$A$7), 'Points-Table'!$C$7,
                (S151 = 'Points-Table'!$A$8), 'Points-Table'!$C$8,
                (S151 = 'Points-Table'!$A$9), 'Points-Table'!$C$9,
                (S151 = 'Points-Table'!$A$10), 'Points-Table'!$C$10,
                (S151 = 'Points-Table'!$A$11), 'Points-Table'!$C$11,
                (S151 = 'Points-Table'!$A$12), 'Points-Table'!$C$12,
                (S151 = 'Points-Table'!$A$13), 'Points-Table'!$C$13,
                true, 0
              )
            </f>
      </c>
      <c r="U151" s="11">
        <v>2</v>
      </c>
      <c r="V151" s="12">
        <f>
              Ifs(
                (U151 = 'Points-Table'!$A$4), 'Points-Table'!$C$4,
                (U151 = 'Points-Table'!$A$5), 'Points-Table'!$C$5,
                (U151 = 'Points-Table'!$A$6), 'Points-Table'!$C$6,
                (U151 = 'Points-Table'!$A$7), 'Points-Table'!$C$7,
                (U151 = 'Points-Table'!$A$8), 'Points-Table'!$C$8,
                (U151 = 'Points-Table'!$A$9), 'Points-Table'!$C$9,
                (U151 = 'Points-Table'!$A$10), 'Points-Table'!$C$10,
                (U151 = 'Points-Table'!$A$11), 'Points-Table'!$C$11,
                (U151 = 'Points-Table'!$A$12), 'Points-Table'!$C$12,
                (U151 = 'Points-Table'!$A$13), 'Points-Table'!$C$13,
                true, 0
              )
            </f>
      </c>
      <c r="W151" s="11">
        <v>0</v>
      </c>
      <c r="X151" s="12">
        <f>
              Ifs(
                (W151 = 'Points-Table'!$A$4), 'Points-Table'!$C$4,
                (W151 = 'Points-Table'!$A$5), 'Points-Table'!$C$5,
                (W151 = 'Points-Table'!$A$6), 'Points-Table'!$C$6,
                (W151 = 'Points-Table'!$A$7), 'Points-Table'!$C$7,
                (W151 = 'Points-Table'!$A$8), 'Points-Table'!$C$8,
                (W151 = 'Points-Table'!$A$9), 'Points-Table'!$C$9,
                (W151 = 'Points-Table'!$A$10), 'Points-Table'!$C$10,
                (W151 = 'Points-Table'!$A$11), 'Points-Table'!$C$11,
                (W151 = 'Points-Table'!$A$12), 'Points-Table'!$C$12,
                (W151 = 'Points-Table'!$A$13), 'Points-Table'!$C$13,
                true, 0
              )
            </f>
      </c>
      <c r="Y151" s="11">
        <v>0</v>
      </c>
      <c r="Z151" s="12">
        <f>
              Ifs(
                (Y151 = 'Points-Table'!$A$4), 'Points-Table'!$C$4,
                (Y151 = 'Points-Table'!$A$5), 'Points-Table'!$C$5,
                (Y151 = 'Points-Table'!$A$6), 'Points-Table'!$C$6,
                (Y151 = 'Points-Table'!$A$7), 'Points-Table'!$C$7,
                (Y151 = 'Points-Table'!$A$8), 'Points-Table'!$C$8,
                (Y151 = 'Points-Table'!$A$9), 'Points-Table'!$C$9,
                (Y151 = 'Points-Table'!$A$10), 'Points-Table'!$C$10,
                (Y151 = 'Points-Table'!$A$11), 'Points-Table'!$C$11,
                (Y151 = 'Points-Table'!$A$12), 'Points-Table'!$C$12,
                (Y151 = 'Points-Table'!$A$13), 'Points-Table'!$C$13,
                true, 0
              )
            </f>
      </c>
      <c r="AA151" s="6">
        <f>SUM(V151,X151,Z151)</f>
      </c>
      <c r="AB151" s="6">
        <f>
      Ifs( 
        ISBETWEEN(AA151, 0, 'Points-Table'!C$20, TRUE, False), 'Points-Table'!A$20,
        ISBETWEEN(AA151, 'Points-Table'!C$20, 'Points-Table'!C$21, TRUE, False), 'Points-Table'!A$21,
        ISBETWEEN(AA151, 'Points-Table'!C$22, 10000, TRUE, TRUE), 'Points-Table'!A$22,
        true, 
        0)
      </f>
      </c>
      <c r="AC151" s="6" t="s">
        <v>56</v>
      </c>
      <c r="AD151" s="6" t="s">
        <v>56</v>
      </c>
      <c r="AE151" s="6" t="s">
        <v>56</v>
      </c>
    </row>
    <row r="152" spans="1:31" s="13" customFormat="1" x14ac:dyDescent="0.25">
      <c r="A152" s="13" t="s">
        <v>266</v>
      </c>
      <c r="B152" s="13" t="s">
        <v>267</v>
      </c>
      <c r="D152" s="13"/>
      <c r="E152" s="13"/>
      <c r="F152" s="13"/>
      <c r="G152" s="13"/>
      <c r="H152" s="13"/>
      <c r="I152" s="13"/>
      <c r="J152" s="13"/>
      <c r="K152" s="13" t="s">
        <v>83</v>
      </c>
      <c r="L152" s="13" t="s">
        <v>84</v>
      </c>
      <c r="M152" s="13"/>
      <c r="N152" s="13"/>
      <c r="O152" s="13"/>
      <c r="P152" s="13"/>
      <c r="Q152" s="13">
        <v>3</v>
      </c>
      <c r="R152" s="13">
        <f>
              Ifs(
                (Q152 = 'Points-Table'!$A$4), 'Points-Table'!$C$4,
                (Q152 = 'Points-Table'!$A$5), 'Points-Table'!$C$5,
                (Q152 = 'Points-Table'!$A$6), 'Points-Table'!$C$6,
                (Q152 = 'Points-Table'!$A$7), 'Points-Table'!$C$7,
                (Q152 = 'Points-Table'!$A$8), 'Points-Table'!$C$8,
                (Q152 = 'Points-Table'!$A$9), 'Points-Table'!$C$9,
                (Q152 = 'Points-Table'!$A$10), 'Points-Table'!$C$10,
                (Q152 = 'Points-Table'!$A$11), 'Points-Table'!$C$11,
                (Q152 = 'Points-Table'!$A$12), 'Points-Table'!$C$12,
                (Q152 = 'Points-Table'!$A$13), 'Points-Table'!$C$13,
                true, 0
              )
            </f>
      </c>
      <c r="S152" s="13">
        <v>3</v>
      </c>
      <c r="T152" s="13">
        <f>
              Ifs(
                (S152 = 'Points-Table'!$A$4), 'Points-Table'!$C$4,
                (S152 = 'Points-Table'!$A$5), 'Points-Table'!$C$5,
                (S152 = 'Points-Table'!$A$6), 'Points-Table'!$C$6,
                (S152 = 'Points-Table'!$A$7), 'Points-Table'!$C$7,
                (S152 = 'Points-Table'!$A$8), 'Points-Table'!$C$8,
                (S152 = 'Points-Table'!$A$9), 'Points-Table'!$C$9,
                (S152 = 'Points-Table'!$A$10), 'Points-Table'!$C$10,
                (S152 = 'Points-Table'!$A$11), 'Points-Table'!$C$11,
                (S152 = 'Points-Table'!$A$12), 'Points-Table'!$C$12,
                (S152 = 'Points-Table'!$A$13), 'Points-Table'!$C$13,
                true, 0
              )
            </f>
      </c>
      <c r="U152" s="13">
        <v>8</v>
      </c>
      <c r="V152" s="13">
        <f>
              Ifs(
                (U152 = 'Points-Table'!$A$4), 'Points-Table'!$C$4,
                (U152 = 'Points-Table'!$A$5), 'Points-Table'!$C$5,
                (U152 = 'Points-Table'!$A$6), 'Points-Table'!$C$6,
                (U152 = 'Points-Table'!$A$7), 'Points-Table'!$C$7,
                (U152 = 'Points-Table'!$A$8), 'Points-Table'!$C$8,
                (U152 = 'Points-Table'!$A$9), 'Points-Table'!$C$9,
                (U152 = 'Points-Table'!$A$10), 'Points-Table'!$C$10,
                (U152 = 'Points-Table'!$A$11), 'Points-Table'!$C$11,
                (U152 = 'Points-Table'!$A$12), 'Points-Table'!$C$12,
                (U152 = 'Points-Table'!$A$13), 'Points-Table'!$C$13,
                true, 0
              )
            </f>
      </c>
      <c r="W152" s="13">
        <v>5</v>
      </c>
      <c r="X152" s="13">
        <f>
              Ifs(
                (W152 = 'Points-Table'!$A$4), 'Points-Table'!$C$4,
                (W152 = 'Points-Table'!$A$5), 'Points-Table'!$C$5,
                (W152 = 'Points-Table'!$A$6), 'Points-Table'!$C$6,
                (W152 = 'Points-Table'!$A$7), 'Points-Table'!$C$7,
                (W152 = 'Points-Table'!$A$8), 'Points-Table'!$C$8,
                (W152 = 'Points-Table'!$A$9), 'Points-Table'!$C$9,
                (W152 = 'Points-Table'!$A$10), 'Points-Table'!$C$10,
                (W152 = 'Points-Table'!$A$11), 'Points-Table'!$C$11,
                (W152 = 'Points-Table'!$A$12), 'Points-Table'!$C$12,
                (W152 = 'Points-Table'!$A$13), 'Points-Table'!$C$13,
                true, 0
              )
            </f>
      </c>
      <c r="Y152" s="13">
        <v>8</v>
      </c>
      <c r="Z152" s="13">
        <f>
              Ifs(
                (Y152 = 'Points-Table'!$A$4), 'Points-Table'!$C$4,
                (Y152 = 'Points-Table'!$A$5), 'Points-Table'!$C$5,
                (Y152 = 'Points-Table'!$A$6), 'Points-Table'!$C$6,
                (Y152 = 'Points-Table'!$A$7), 'Points-Table'!$C$7,
                (Y152 = 'Points-Table'!$A$8), 'Points-Table'!$C$8,
                (Y152 = 'Points-Table'!$A$9), 'Points-Table'!$C$9,
                (Y152 = 'Points-Table'!$A$10), 'Points-Table'!$C$10,
                (Y152 = 'Points-Table'!$A$11), 'Points-Table'!$C$11,
                (Y152 = 'Points-Table'!$A$12), 'Points-Table'!$C$12,
                (Y152 = 'Points-Table'!$A$13), 'Points-Table'!$C$13,
                true, 0
              )
            </f>
      </c>
      <c r="AA152" s="13">
        <f>SUM(V152,X152,Z152)</f>
      </c>
      <c r="AB152" s="13">
        <f>
      Ifs( 
        ISBETWEEN(AA152, 0, 'Points-Table'!C$20, TRUE, False), 'Points-Table'!A$20,
        ISBETWEEN(AA152, 'Points-Table'!C$20, 'Points-Table'!C$21, TRUE, False), 'Points-Table'!A$21,
        ISBETWEEN(AA152, 'Points-Table'!C$22, 10000, TRUE, TRUE), 'Points-Table'!A$22,
        true, 
        0)
      </f>
      </c>
      <c r="AC152" s="13" t="s">
        <v>56</v>
      </c>
      <c r="AD152" s="13" t="s">
        <v>56</v>
      </c>
      <c r="AE152" s="13" t="s">
        <v>56</v>
      </c>
    </row>
    <row r="153" spans="1:31" s="13" customFormat="1" x14ac:dyDescent="0.25">
      <c r="A153" s="13" t="s">
        <v>266</v>
      </c>
      <c r="B153" s="13" t="s">
        <v>268</v>
      </c>
      <c r="D153" s="13"/>
      <c r="E153" s="13"/>
      <c r="F153" s="13"/>
      <c r="G153" s="13"/>
      <c r="H153" s="13"/>
      <c r="I153" s="13"/>
      <c r="J153" s="13"/>
      <c r="K153" s="13" t="s">
        <v>83</v>
      </c>
      <c r="L153" s="13" t="s">
        <v>84</v>
      </c>
      <c r="M153" s="13"/>
      <c r="N153" s="13"/>
      <c r="O153" s="13"/>
      <c r="P153" s="13"/>
      <c r="Q153" s="13">
        <v>3</v>
      </c>
      <c r="R153" s="13">
        <f>
              Ifs(
                (Q153 = 'Points-Table'!$A$4), 'Points-Table'!$C$4,
                (Q153 = 'Points-Table'!$A$5), 'Points-Table'!$C$5,
                (Q153 = 'Points-Table'!$A$6), 'Points-Table'!$C$6,
                (Q153 = 'Points-Table'!$A$7), 'Points-Table'!$C$7,
                (Q153 = 'Points-Table'!$A$8), 'Points-Table'!$C$8,
                (Q153 = 'Points-Table'!$A$9), 'Points-Table'!$C$9,
                (Q153 = 'Points-Table'!$A$10), 'Points-Table'!$C$10,
                (Q153 = 'Points-Table'!$A$11), 'Points-Table'!$C$11,
                (Q153 = 'Points-Table'!$A$12), 'Points-Table'!$C$12,
                (Q153 = 'Points-Table'!$A$13), 'Points-Table'!$C$13,
                true, 0
              )
            </f>
      </c>
      <c r="S153" s="13">
        <v>3</v>
      </c>
      <c r="T153" s="13">
        <f>
              Ifs(
                (S153 = 'Points-Table'!$A$4), 'Points-Table'!$C$4,
                (S153 = 'Points-Table'!$A$5), 'Points-Table'!$C$5,
                (S153 = 'Points-Table'!$A$6), 'Points-Table'!$C$6,
                (S153 = 'Points-Table'!$A$7), 'Points-Table'!$C$7,
                (S153 = 'Points-Table'!$A$8), 'Points-Table'!$C$8,
                (S153 = 'Points-Table'!$A$9), 'Points-Table'!$C$9,
                (S153 = 'Points-Table'!$A$10), 'Points-Table'!$C$10,
                (S153 = 'Points-Table'!$A$11), 'Points-Table'!$C$11,
                (S153 = 'Points-Table'!$A$12), 'Points-Table'!$C$12,
                (S153 = 'Points-Table'!$A$13), 'Points-Table'!$C$13,
                true, 0
              )
            </f>
      </c>
      <c r="U153" s="13">
        <v>8</v>
      </c>
      <c r="V153" s="13">
        <f>
              Ifs(
                (U153 = 'Points-Table'!$A$4), 'Points-Table'!$C$4,
                (U153 = 'Points-Table'!$A$5), 'Points-Table'!$C$5,
                (U153 = 'Points-Table'!$A$6), 'Points-Table'!$C$6,
                (U153 = 'Points-Table'!$A$7), 'Points-Table'!$C$7,
                (U153 = 'Points-Table'!$A$8), 'Points-Table'!$C$8,
                (U153 = 'Points-Table'!$A$9), 'Points-Table'!$C$9,
                (U153 = 'Points-Table'!$A$10), 'Points-Table'!$C$10,
                (U153 = 'Points-Table'!$A$11), 'Points-Table'!$C$11,
                (U153 = 'Points-Table'!$A$12), 'Points-Table'!$C$12,
                (U153 = 'Points-Table'!$A$13), 'Points-Table'!$C$13,
                true, 0
              )
            </f>
      </c>
      <c r="W153" s="13">
        <v>5</v>
      </c>
      <c r="X153" s="13">
        <f>
              Ifs(
                (W153 = 'Points-Table'!$A$4), 'Points-Table'!$C$4,
                (W153 = 'Points-Table'!$A$5), 'Points-Table'!$C$5,
                (W153 = 'Points-Table'!$A$6), 'Points-Table'!$C$6,
                (W153 = 'Points-Table'!$A$7), 'Points-Table'!$C$7,
                (W153 = 'Points-Table'!$A$8), 'Points-Table'!$C$8,
                (W153 = 'Points-Table'!$A$9), 'Points-Table'!$C$9,
                (W153 = 'Points-Table'!$A$10), 'Points-Table'!$C$10,
                (W153 = 'Points-Table'!$A$11), 'Points-Table'!$C$11,
                (W153 = 'Points-Table'!$A$12), 'Points-Table'!$C$12,
                (W153 = 'Points-Table'!$A$13), 'Points-Table'!$C$13,
                true, 0
              )
            </f>
      </c>
      <c r="Y153" s="13">
        <v>8</v>
      </c>
      <c r="Z153" s="13">
        <f>
              Ifs(
                (Y153 = 'Points-Table'!$A$4), 'Points-Table'!$C$4,
                (Y153 = 'Points-Table'!$A$5), 'Points-Table'!$C$5,
                (Y153 = 'Points-Table'!$A$6), 'Points-Table'!$C$6,
                (Y153 = 'Points-Table'!$A$7), 'Points-Table'!$C$7,
                (Y153 = 'Points-Table'!$A$8), 'Points-Table'!$C$8,
                (Y153 = 'Points-Table'!$A$9), 'Points-Table'!$C$9,
                (Y153 = 'Points-Table'!$A$10), 'Points-Table'!$C$10,
                (Y153 = 'Points-Table'!$A$11), 'Points-Table'!$C$11,
                (Y153 = 'Points-Table'!$A$12), 'Points-Table'!$C$12,
                (Y153 = 'Points-Table'!$A$13), 'Points-Table'!$C$13,
                true, 0
              )
            </f>
      </c>
      <c r="AA153" s="13">
        <f>SUM(V153,X153,Z153)</f>
      </c>
      <c r="AB153" s="13">
        <f>
      Ifs( 
        ISBETWEEN(AA153, 0, 'Points-Table'!C$20, TRUE, False), 'Points-Table'!A$20,
        ISBETWEEN(AA153, 'Points-Table'!C$20, 'Points-Table'!C$21, TRUE, False), 'Points-Table'!A$21,
        ISBETWEEN(AA153, 'Points-Table'!C$22, 10000, TRUE, TRUE), 'Points-Table'!A$22,
        true, 
        0)
      </f>
      </c>
      <c r="AC153" s="13" t="s">
        <v>56</v>
      </c>
      <c r="AD153" s="13" t="s">
        <v>56</v>
      </c>
      <c r="AE153" s="13" t="s">
        <v>56</v>
      </c>
    </row>
    <row r="154" spans="1:31" s="13" customFormat="1" x14ac:dyDescent="0.25">
      <c r="A154" s="13" t="s">
        <v>266</v>
      </c>
      <c r="B154" s="13" t="s">
        <v>269</v>
      </c>
      <c r="D154" s="13"/>
      <c r="E154" s="13"/>
      <c r="F154" s="13"/>
      <c r="G154" s="13"/>
      <c r="H154" s="13"/>
      <c r="I154" s="13"/>
      <c r="J154" s="13"/>
      <c r="K154" s="13" t="s">
        <v>83</v>
      </c>
      <c r="L154" s="13" t="s">
        <v>84</v>
      </c>
      <c r="M154" s="13"/>
      <c r="N154" s="13"/>
      <c r="O154" s="13"/>
      <c r="P154" s="13"/>
      <c r="Q154" s="13">
        <v>3</v>
      </c>
      <c r="R154" s="13">
        <f>
              Ifs(
                (Q154 = 'Points-Table'!$A$4), 'Points-Table'!$C$4,
                (Q154 = 'Points-Table'!$A$5), 'Points-Table'!$C$5,
                (Q154 = 'Points-Table'!$A$6), 'Points-Table'!$C$6,
                (Q154 = 'Points-Table'!$A$7), 'Points-Table'!$C$7,
                (Q154 = 'Points-Table'!$A$8), 'Points-Table'!$C$8,
                (Q154 = 'Points-Table'!$A$9), 'Points-Table'!$C$9,
                (Q154 = 'Points-Table'!$A$10), 'Points-Table'!$C$10,
                (Q154 = 'Points-Table'!$A$11), 'Points-Table'!$C$11,
                (Q154 = 'Points-Table'!$A$12), 'Points-Table'!$C$12,
                (Q154 = 'Points-Table'!$A$13), 'Points-Table'!$C$13,
                true, 0
              )
            </f>
      </c>
      <c r="S154" s="13">
        <v>3</v>
      </c>
      <c r="T154" s="13">
        <f>
              Ifs(
                (S154 = 'Points-Table'!$A$4), 'Points-Table'!$C$4,
                (S154 = 'Points-Table'!$A$5), 'Points-Table'!$C$5,
                (S154 = 'Points-Table'!$A$6), 'Points-Table'!$C$6,
                (S154 = 'Points-Table'!$A$7), 'Points-Table'!$C$7,
                (S154 = 'Points-Table'!$A$8), 'Points-Table'!$C$8,
                (S154 = 'Points-Table'!$A$9), 'Points-Table'!$C$9,
                (S154 = 'Points-Table'!$A$10), 'Points-Table'!$C$10,
                (S154 = 'Points-Table'!$A$11), 'Points-Table'!$C$11,
                (S154 = 'Points-Table'!$A$12), 'Points-Table'!$C$12,
                (S154 = 'Points-Table'!$A$13), 'Points-Table'!$C$13,
                true, 0
              )
            </f>
      </c>
      <c r="U154" s="13">
        <v>21</v>
      </c>
      <c r="V154" s="13">
        <f>
              Ifs(
                (U154 = 'Points-Table'!$A$4), 'Points-Table'!$C$4,
                (U154 = 'Points-Table'!$A$5), 'Points-Table'!$C$5,
                (U154 = 'Points-Table'!$A$6), 'Points-Table'!$C$6,
                (U154 = 'Points-Table'!$A$7), 'Points-Table'!$C$7,
                (U154 = 'Points-Table'!$A$8), 'Points-Table'!$C$8,
                (U154 = 'Points-Table'!$A$9), 'Points-Table'!$C$9,
                (U154 = 'Points-Table'!$A$10), 'Points-Table'!$C$10,
                (U154 = 'Points-Table'!$A$11), 'Points-Table'!$C$11,
                (U154 = 'Points-Table'!$A$12), 'Points-Table'!$C$12,
                (U154 = 'Points-Table'!$A$13), 'Points-Table'!$C$13,
                true, 0
              )
            </f>
      </c>
      <c r="W154" s="13">
        <v>13</v>
      </c>
      <c r="X154" s="13">
        <f>
              Ifs(
                (W154 = 'Points-Table'!$A$4), 'Points-Table'!$C$4,
                (W154 = 'Points-Table'!$A$5), 'Points-Table'!$C$5,
                (W154 = 'Points-Table'!$A$6), 'Points-Table'!$C$6,
                (W154 = 'Points-Table'!$A$7), 'Points-Table'!$C$7,
                (W154 = 'Points-Table'!$A$8), 'Points-Table'!$C$8,
                (W154 = 'Points-Table'!$A$9), 'Points-Table'!$C$9,
                (W154 = 'Points-Table'!$A$10), 'Points-Table'!$C$10,
                (W154 = 'Points-Table'!$A$11), 'Points-Table'!$C$11,
                (W154 = 'Points-Table'!$A$12), 'Points-Table'!$C$12,
                (W154 = 'Points-Table'!$A$13), 'Points-Table'!$C$13,
                true, 0
              )
            </f>
      </c>
      <c r="Y154" s="13">
        <v>13</v>
      </c>
      <c r="Z154" s="13">
        <f>
              Ifs(
                (Y154 = 'Points-Table'!$A$4), 'Points-Table'!$C$4,
                (Y154 = 'Points-Table'!$A$5), 'Points-Table'!$C$5,
                (Y154 = 'Points-Table'!$A$6), 'Points-Table'!$C$6,
                (Y154 = 'Points-Table'!$A$7), 'Points-Table'!$C$7,
                (Y154 = 'Points-Table'!$A$8), 'Points-Table'!$C$8,
                (Y154 = 'Points-Table'!$A$9), 'Points-Table'!$C$9,
                (Y154 = 'Points-Table'!$A$10), 'Points-Table'!$C$10,
                (Y154 = 'Points-Table'!$A$11), 'Points-Table'!$C$11,
                (Y154 = 'Points-Table'!$A$12), 'Points-Table'!$C$12,
                (Y154 = 'Points-Table'!$A$13), 'Points-Table'!$C$13,
                true, 0
              )
            </f>
      </c>
      <c r="AA154" s="13">
        <f>SUM(V154,X154,Z154)</f>
      </c>
      <c r="AB154" s="13">
        <f>
      Ifs( 
        ISBETWEEN(AA154, 0, 'Points-Table'!C$20, TRUE, False), 'Points-Table'!A$20,
        ISBETWEEN(AA154, 'Points-Table'!C$20, 'Points-Table'!C$21, TRUE, False), 'Points-Table'!A$21,
        ISBETWEEN(AA154, 'Points-Table'!C$22, 10000, TRUE, TRUE), 'Points-Table'!A$22,
        true, 
        0)
      </f>
      </c>
      <c r="AC154" s="13" t="s">
        <v>56</v>
      </c>
      <c r="AD154" s="13" t="s">
        <v>56</v>
      </c>
      <c r="AE154" s="13" t="s">
        <v>56</v>
      </c>
    </row>
    <row r="155" spans="1:31" s="13" customFormat="1" x14ac:dyDescent="0.25">
      <c r="A155" s="13" t="s">
        <v>266</v>
      </c>
      <c r="B155" s="13" t="s">
        <v>270</v>
      </c>
      <c r="D155" s="13"/>
      <c r="E155" s="13"/>
      <c r="F155" s="13"/>
      <c r="G155" s="13"/>
      <c r="H155" s="13"/>
      <c r="I155" s="13"/>
      <c r="J155" s="13"/>
      <c r="K155" s="13" t="s">
        <v>83</v>
      </c>
      <c r="L155" s="13" t="s">
        <v>84</v>
      </c>
      <c r="M155" s="13"/>
      <c r="N155" s="13"/>
      <c r="O155" s="13"/>
      <c r="P155" s="13"/>
      <c r="Q155" s="13"/>
      <c r="R155" s="13">
        <f>
              Ifs(
                (Q155 = 'Points-Table'!$A$4), 'Points-Table'!$C$4,
                (Q155 = 'Points-Table'!$A$5), 'Points-Table'!$C$5,
                (Q155 = 'Points-Table'!$A$6), 'Points-Table'!$C$6,
                (Q155 = 'Points-Table'!$A$7), 'Points-Table'!$C$7,
                (Q155 = 'Points-Table'!$A$8), 'Points-Table'!$C$8,
                (Q155 = 'Points-Table'!$A$9), 'Points-Table'!$C$9,
                (Q155 = 'Points-Table'!$A$10), 'Points-Table'!$C$10,
                (Q155 = 'Points-Table'!$A$11), 'Points-Table'!$C$11,
                (Q155 = 'Points-Table'!$A$12), 'Points-Table'!$C$12,
                (Q155 = 'Points-Table'!$A$13), 'Points-Table'!$C$13,
                true, 0
              )
            </f>
      </c>
      <c r="S155" s="13"/>
      <c r="T155" s="13">
        <f>
              Ifs(
                (S155 = 'Points-Table'!$A$4), 'Points-Table'!$C$4,
                (S155 = 'Points-Table'!$A$5), 'Points-Table'!$C$5,
                (S155 = 'Points-Table'!$A$6), 'Points-Table'!$C$6,
                (S155 = 'Points-Table'!$A$7), 'Points-Table'!$C$7,
                (S155 = 'Points-Table'!$A$8), 'Points-Table'!$C$8,
                (S155 = 'Points-Table'!$A$9), 'Points-Table'!$C$9,
                (S155 = 'Points-Table'!$A$10), 'Points-Table'!$C$10,
                (S155 = 'Points-Table'!$A$11), 'Points-Table'!$C$11,
                (S155 = 'Points-Table'!$A$12), 'Points-Table'!$C$12,
                (S155 = 'Points-Table'!$A$13), 'Points-Table'!$C$13,
                true, 0
              )
            </f>
      </c>
      <c r="U155" s="13">
        <v>5</v>
      </c>
      <c r="V155" s="13">
        <f>
              Ifs(
                (U155 = 'Points-Table'!$A$4), 'Points-Table'!$C$4,
                (U155 = 'Points-Table'!$A$5), 'Points-Table'!$C$5,
                (U155 = 'Points-Table'!$A$6), 'Points-Table'!$C$6,
                (U155 = 'Points-Table'!$A$7), 'Points-Table'!$C$7,
                (U155 = 'Points-Table'!$A$8), 'Points-Table'!$C$8,
                (U155 = 'Points-Table'!$A$9), 'Points-Table'!$C$9,
                (U155 = 'Points-Table'!$A$10), 'Points-Table'!$C$10,
                (U155 = 'Points-Table'!$A$11), 'Points-Table'!$C$11,
                (U155 = 'Points-Table'!$A$12), 'Points-Table'!$C$12,
                (U155 = 'Points-Table'!$A$13), 'Points-Table'!$C$13,
                true, 0
              )
            </f>
      </c>
      <c r="W155" s="13">
        <v>5</v>
      </c>
      <c r="X155" s="13">
        <f>
              Ifs(
                (W155 = 'Points-Table'!$A$4), 'Points-Table'!$C$4,
                (W155 = 'Points-Table'!$A$5), 'Points-Table'!$C$5,
                (W155 = 'Points-Table'!$A$6), 'Points-Table'!$C$6,
                (W155 = 'Points-Table'!$A$7), 'Points-Table'!$C$7,
                (W155 = 'Points-Table'!$A$8), 'Points-Table'!$C$8,
                (W155 = 'Points-Table'!$A$9), 'Points-Table'!$C$9,
                (W155 = 'Points-Table'!$A$10), 'Points-Table'!$C$10,
                (W155 = 'Points-Table'!$A$11), 'Points-Table'!$C$11,
                (W155 = 'Points-Table'!$A$12), 'Points-Table'!$C$12,
                (W155 = 'Points-Table'!$A$13), 'Points-Table'!$C$13,
                true, 0
              )
            </f>
      </c>
      <c r="Y155" s="13">
        <v>5</v>
      </c>
      <c r="Z155" s="13">
        <f>
              Ifs(
                (Y155 = 'Points-Table'!$A$4), 'Points-Table'!$C$4,
                (Y155 = 'Points-Table'!$A$5), 'Points-Table'!$C$5,
                (Y155 = 'Points-Table'!$A$6), 'Points-Table'!$C$6,
                (Y155 = 'Points-Table'!$A$7), 'Points-Table'!$C$7,
                (Y155 = 'Points-Table'!$A$8), 'Points-Table'!$C$8,
                (Y155 = 'Points-Table'!$A$9), 'Points-Table'!$C$9,
                (Y155 = 'Points-Table'!$A$10), 'Points-Table'!$C$10,
                (Y155 = 'Points-Table'!$A$11), 'Points-Table'!$C$11,
                (Y155 = 'Points-Table'!$A$12), 'Points-Table'!$C$12,
                (Y155 = 'Points-Table'!$A$13), 'Points-Table'!$C$13,
                true, 0
              )
            </f>
      </c>
      <c r="AA155" s="13">
        <f>SUM(V155,X155,Z155)</f>
      </c>
      <c r="AB155" s="13">
        <f>
      Ifs( 
        ISBETWEEN(AA155, 0, 'Points-Table'!C$20, TRUE, False), 'Points-Table'!A$20,
        ISBETWEEN(AA155, 'Points-Table'!C$20, 'Points-Table'!C$21, TRUE, False), 'Points-Table'!A$21,
        ISBETWEEN(AA155, 'Points-Table'!C$22, 10000, TRUE, TRUE), 'Points-Table'!A$22,
        true, 
        0)
      </f>
      </c>
      <c r="AC155" s="13" t="s">
        <v>56</v>
      </c>
      <c r="AD155" s="13" t="s">
        <v>56</v>
      </c>
      <c r="AE155" s="13" t="s">
        <v>56</v>
      </c>
    </row>
    <row r="156" spans="1:31" s="13" customFormat="1" x14ac:dyDescent="0.25">
      <c r="A156" s="13" t="s">
        <v>266</v>
      </c>
      <c r="B156" s="13" t="s">
        <v>271</v>
      </c>
      <c r="D156" s="13"/>
      <c r="E156" s="13"/>
      <c r="F156" s="13"/>
      <c r="G156" s="13"/>
      <c r="H156" s="13"/>
      <c r="I156" s="13"/>
      <c r="J156" s="13"/>
      <c r="K156" s="13" t="s">
        <v>83</v>
      </c>
      <c r="L156" s="13" t="s">
        <v>84</v>
      </c>
      <c r="M156" s="13"/>
      <c r="N156" s="13"/>
      <c r="O156" s="13"/>
      <c r="P156" s="13"/>
      <c r="Q156" s="13"/>
      <c r="R156" s="13">
        <f>
              Ifs(
                (Q156 = 'Points-Table'!$A$4), 'Points-Table'!$C$4,
                (Q156 = 'Points-Table'!$A$5), 'Points-Table'!$C$5,
                (Q156 = 'Points-Table'!$A$6), 'Points-Table'!$C$6,
                (Q156 = 'Points-Table'!$A$7), 'Points-Table'!$C$7,
                (Q156 = 'Points-Table'!$A$8), 'Points-Table'!$C$8,
                (Q156 = 'Points-Table'!$A$9), 'Points-Table'!$C$9,
                (Q156 = 'Points-Table'!$A$10), 'Points-Table'!$C$10,
                (Q156 = 'Points-Table'!$A$11), 'Points-Table'!$C$11,
                (Q156 = 'Points-Table'!$A$12), 'Points-Table'!$C$12,
                (Q156 = 'Points-Table'!$A$13), 'Points-Table'!$C$13,
                true, 0
              )
            </f>
      </c>
      <c r="S156" s="13"/>
      <c r="T156" s="13">
        <f>
              Ifs(
                (S156 = 'Points-Table'!$A$4), 'Points-Table'!$C$4,
                (S156 = 'Points-Table'!$A$5), 'Points-Table'!$C$5,
                (S156 = 'Points-Table'!$A$6), 'Points-Table'!$C$6,
                (S156 = 'Points-Table'!$A$7), 'Points-Table'!$C$7,
                (S156 = 'Points-Table'!$A$8), 'Points-Table'!$C$8,
                (S156 = 'Points-Table'!$A$9), 'Points-Table'!$C$9,
                (S156 = 'Points-Table'!$A$10), 'Points-Table'!$C$10,
                (S156 = 'Points-Table'!$A$11), 'Points-Table'!$C$11,
                (S156 = 'Points-Table'!$A$12), 'Points-Table'!$C$12,
                (S156 = 'Points-Table'!$A$13), 'Points-Table'!$C$13,
                true, 0
              )
            </f>
      </c>
      <c r="U156" s="13">
        <v>5</v>
      </c>
      <c r="V156" s="13">
        <f>
              Ifs(
                (U156 = 'Points-Table'!$A$4), 'Points-Table'!$C$4,
                (U156 = 'Points-Table'!$A$5), 'Points-Table'!$C$5,
                (U156 = 'Points-Table'!$A$6), 'Points-Table'!$C$6,
                (U156 = 'Points-Table'!$A$7), 'Points-Table'!$C$7,
                (U156 = 'Points-Table'!$A$8), 'Points-Table'!$C$8,
                (U156 = 'Points-Table'!$A$9), 'Points-Table'!$C$9,
                (U156 = 'Points-Table'!$A$10), 'Points-Table'!$C$10,
                (U156 = 'Points-Table'!$A$11), 'Points-Table'!$C$11,
                (U156 = 'Points-Table'!$A$12), 'Points-Table'!$C$12,
                (U156 = 'Points-Table'!$A$13), 'Points-Table'!$C$13,
                true, 0
              )
            </f>
      </c>
      <c r="W156" s="13">
        <v>5</v>
      </c>
      <c r="X156" s="13">
        <f>
              Ifs(
                (W156 = 'Points-Table'!$A$4), 'Points-Table'!$C$4,
                (W156 = 'Points-Table'!$A$5), 'Points-Table'!$C$5,
                (W156 = 'Points-Table'!$A$6), 'Points-Table'!$C$6,
                (W156 = 'Points-Table'!$A$7), 'Points-Table'!$C$7,
                (W156 = 'Points-Table'!$A$8), 'Points-Table'!$C$8,
                (W156 = 'Points-Table'!$A$9), 'Points-Table'!$C$9,
                (W156 = 'Points-Table'!$A$10), 'Points-Table'!$C$10,
                (W156 = 'Points-Table'!$A$11), 'Points-Table'!$C$11,
                (W156 = 'Points-Table'!$A$12), 'Points-Table'!$C$12,
                (W156 = 'Points-Table'!$A$13), 'Points-Table'!$C$13,
                true, 0
              )
            </f>
      </c>
      <c r="Y156" s="13">
        <v>5</v>
      </c>
      <c r="Z156" s="13">
        <f>
              Ifs(
                (Y156 = 'Points-Table'!$A$4), 'Points-Table'!$C$4,
                (Y156 = 'Points-Table'!$A$5), 'Points-Table'!$C$5,
                (Y156 = 'Points-Table'!$A$6), 'Points-Table'!$C$6,
                (Y156 = 'Points-Table'!$A$7), 'Points-Table'!$C$7,
                (Y156 = 'Points-Table'!$A$8), 'Points-Table'!$C$8,
                (Y156 = 'Points-Table'!$A$9), 'Points-Table'!$C$9,
                (Y156 = 'Points-Table'!$A$10), 'Points-Table'!$C$10,
                (Y156 = 'Points-Table'!$A$11), 'Points-Table'!$C$11,
                (Y156 = 'Points-Table'!$A$12), 'Points-Table'!$C$12,
                (Y156 = 'Points-Table'!$A$13), 'Points-Table'!$C$13,
                true, 0
              )
            </f>
      </c>
      <c r="AA156" s="13">
        <f>SUM(V156,X156,Z156)</f>
      </c>
      <c r="AB156" s="13">
        <f>
      Ifs( 
        ISBETWEEN(AA156, 0, 'Points-Table'!C$20, TRUE, False), 'Points-Table'!A$20,
        ISBETWEEN(AA156, 'Points-Table'!C$20, 'Points-Table'!C$21, TRUE, False), 'Points-Table'!A$21,
        ISBETWEEN(AA156, 'Points-Table'!C$22, 10000, TRUE, TRUE), 'Points-Table'!A$22,
        true, 
        0)
      </f>
      </c>
      <c r="AC156" s="13" t="s">
        <v>56</v>
      </c>
      <c r="AD156" s="13" t="s">
        <v>56</v>
      </c>
      <c r="AE156" s="13" t="s">
        <v>56</v>
      </c>
    </row>
    <row r="157" spans="1:31" s="6" customFormat="1" x14ac:dyDescent="0.25">
      <c r="A157" s="6" t="s">
        <v>266</v>
      </c>
      <c r="B157" s="6" t="s">
        <v>272</v>
      </c>
      <c r="D157" s="6" t="s">
        <v>273</v>
      </c>
      <c r="E157" s="6"/>
      <c r="F157" s="6"/>
      <c r="G157" s="6"/>
      <c r="H157" s="6"/>
      <c r="I157" s="6"/>
      <c r="J157" s="6"/>
      <c r="K157" s="6" t="s">
        <v>83</v>
      </c>
      <c r="L157" s="6" t="s">
        <v>84</v>
      </c>
      <c r="M157" s="6"/>
      <c r="N157" s="6"/>
      <c r="O157" s="6"/>
      <c r="P157" s="6"/>
      <c r="Q157" s="11">
        <v>2</v>
      </c>
      <c r="R157" s="12">
        <f>
              Ifs(
                (Q157 = 'Points-Table'!$A$4), 'Points-Table'!$C$4,
                (Q157 = 'Points-Table'!$A$5), 'Points-Table'!$C$5,
                (Q157 = 'Points-Table'!$A$6), 'Points-Table'!$C$6,
                (Q157 = 'Points-Table'!$A$7), 'Points-Table'!$C$7,
                (Q157 = 'Points-Table'!$A$8), 'Points-Table'!$C$8,
                (Q157 = 'Points-Table'!$A$9), 'Points-Table'!$C$9,
                (Q157 = 'Points-Table'!$A$10), 'Points-Table'!$C$10,
                (Q157 = 'Points-Table'!$A$11), 'Points-Table'!$C$11,
                (Q157 = 'Points-Table'!$A$12), 'Points-Table'!$C$12,
                (Q157 = 'Points-Table'!$A$13), 'Points-Table'!$C$13,
                true, 0
              )
            </f>
      </c>
      <c r="S157" s="11">
        <v>2</v>
      </c>
      <c r="T157" s="12">
        <f>
              Ifs(
                (S157 = 'Points-Table'!$A$4), 'Points-Table'!$C$4,
                (S157 = 'Points-Table'!$A$5), 'Points-Table'!$C$5,
                (S157 = 'Points-Table'!$A$6), 'Points-Table'!$C$6,
                (S157 = 'Points-Table'!$A$7), 'Points-Table'!$C$7,
                (S157 = 'Points-Table'!$A$8), 'Points-Table'!$C$8,
                (S157 = 'Points-Table'!$A$9), 'Points-Table'!$C$9,
                (S157 = 'Points-Table'!$A$10), 'Points-Table'!$C$10,
                (S157 = 'Points-Table'!$A$11), 'Points-Table'!$C$11,
                (S157 = 'Points-Table'!$A$12), 'Points-Table'!$C$12,
                (S157 = 'Points-Table'!$A$13), 'Points-Table'!$C$13,
                true, 0
              )
            </f>
      </c>
      <c r="U157" s="11">
        <v>5</v>
      </c>
      <c r="V157" s="12">
        <f>
              Ifs(
                (U157 = 'Points-Table'!$A$4), 'Points-Table'!$C$4,
                (U157 = 'Points-Table'!$A$5), 'Points-Table'!$C$5,
                (U157 = 'Points-Table'!$A$6), 'Points-Table'!$C$6,
                (U157 = 'Points-Table'!$A$7), 'Points-Table'!$C$7,
                (U157 = 'Points-Table'!$A$8), 'Points-Table'!$C$8,
                (U157 = 'Points-Table'!$A$9), 'Points-Table'!$C$9,
                (U157 = 'Points-Table'!$A$10), 'Points-Table'!$C$10,
                (U157 = 'Points-Table'!$A$11), 'Points-Table'!$C$11,
                (U157 = 'Points-Table'!$A$12), 'Points-Table'!$C$12,
                (U157 = 'Points-Table'!$A$13), 'Points-Table'!$C$13,
                true, 0
              )
            </f>
      </c>
      <c r="W157" s="11">
        <v>3</v>
      </c>
      <c r="X157" s="12">
        <f>
              Ifs(
                (W157 = 'Points-Table'!$A$4), 'Points-Table'!$C$4,
                (W157 = 'Points-Table'!$A$5), 'Points-Table'!$C$5,
                (W157 = 'Points-Table'!$A$6), 'Points-Table'!$C$6,
                (W157 = 'Points-Table'!$A$7), 'Points-Table'!$C$7,
                (W157 = 'Points-Table'!$A$8), 'Points-Table'!$C$8,
                (W157 = 'Points-Table'!$A$9), 'Points-Table'!$C$9,
                (W157 = 'Points-Table'!$A$10), 'Points-Table'!$C$10,
                (W157 = 'Points-Table'!$A$11), 'Points-Table'!$C$11,
                (W157 = 'Points-Table'!$A$12), 'Points-Table'!$C$12,
                (W157 = 'Points-Table'!$A$13), 'Points-Table'!$C$13,
                true, 0
              )
            </f>
      </c>
      <c r="Y157" s="11">
        <v>8</v>
      </c>
      <c r="Z157" s="12">
        <f>
              Ifs(
                (Y157 = 'Points-Table'!$A$4), 'Points-Table'!$C$4,
                (Y157 = 'Points-Table'!$A$5), 'Points-Table'!$C$5,
                (Y157 = 'Points-Table'!$A$6), 'Points-Table'!$C$6,
                (Y157 = 'Points-Table'!$A$7), 'Points-Table'!$C$7,
                (Y157 = 'Points-Table'!$A$8), 'Points-Table'!$C$8,
                (Y157 = 'Points-Table'!$A$9), 'Points-Table'!$C$9,
                (Y157 = 'Points-Table'!$A$10), 'Points-Table'!$C$10,
                (Y157 = 'Points-Table'!$A$11), 'Points-Table'!$C$11,
                (Y157 = 'Points-Table'!$A$12), 'Points-Table'!$C$12,
                (Y157 = 'Points-Table'!$A$13), 'Points-Table'!$C$13,
                true, 0
              )
            </f>
      </c>
      <c r="AA157" s="6">
        <f>SUM(V157,X157,Z157)</f>
      </c>
      <c r="AB157" s="6">
        <f>
      Ifs( 
        ISBETWEEN(AA157, 0, 'Points-Table'!C$20, TRUE, False), 'Points-Table'!A$20,
        ISBETWEEN(AA157, 'Points-Table'!C$20, 'Points-Table'!C$21, TRUE, False), 'Points-Table'!A$21,
        ISBETWEEN(AA157, 'Points-Table'!C$22, 10000, TRUE, TRUE), 'Points-Table'!A$22,
        true, 
        0)
      </f>
      </c>
      <c r="AC157" s="6" t="s">
        <v>56</v>
      </c>
      <c r="AD157" s="6" t="s">
        <v>56</v>
      </c>
      <c r="AE157" s="6" t="s">
        <v>56</v>
      </c>
    </row>
    <row r="158" spans="1:31" s="13" customFormat="1" x14ac:dyDescent="0.25">
      <c r="A158" s="13" t="s">
        <v>266</v>
      </c>
      <c r="B158" s="13" t="s">
        <v>274</v>
      </c>
      <c r="D158" s="13" t="s">
        <v>275</v>
      </c>
      <c r="E158" s="13"/>
      <c r="F158" s="13"/>
      <c r="G158" s="13"/>
      <c r="H158" s="13"/>
      <c r="I158" s="13"/>
      <c r="J158" s="13"/>
      <c r="K158" s="13" t="s">
        <v>83</v>
      </c>
      <c r="L158" s="13" t="s">
        <v>84</v>
      </c>
      <c r="M158" s="13"/>
      <c r="N158" s="13"/>
      <c r="O158" s="13"/>
      <c r="P158" s="13"/>
      <c r="Q158" s="13">
        <v>0</v>
      </c>
      <c r="R158" s="13">
        <f>
              Ifs(
                (Q158 = 'Points-Table'!$A$4), 'Points-Table'!$C$4,
                (Q158 = 'Points-Table'!$A$5), 'Points-Table'!$C$5,
                (Q158 = 'Points-Table'!$A$6), 'Points-Table'!$C$6,
                (Q158 = 'Points-Table'!$A$7), 'Points-Table'!$C$7,
                (Q158 = 'Points-Table'!$A$8), 'Points-Table'!$C$8,
                (Q158 = 'Points-Table'!$A$9), 'Points-Table'!$C$9,
                (Q158 = 'Points-Table'!$A$10), 'Points-Table'!$C$10,
                (Q158 = 'Points-Table'!$A$11), 'Points-Table'!$C$11,
                (Q158 = 'Points-Table'!$A$12), 'Points-Table'!$C$12,
                (Q158 = 'Points-Table'!$A$13), 'Points-Table'!$C$13,
                true, 0
              )
            </f>
      </c>
      <c r="S158" s="13">
        <v>0</v>
      </c>
      <c r="T158" s="13">
        <f>
              Ifs(
                (S158 = 'Points-Table'!$A$4), 'Points-Table'!$C$4,
                (S158 = 'Points-Table'!$A$5), 'Points-Table'!$C$5,
                (S158 = 'Points-Table'!$A$6), 'Points-Table'!$C$6,
                (S158 = 'Points-Table'!$A$7), 'Points-Table'!$C$7,
                (S158 = 'Points-Table'!$A$8), 'Points-Table'!$C$8,
                (S158 = 'Points-Table'!$A$9), 'Points-Table'!$C$9,
                (S158 = 'Points-Table'!$A$10), 'Points-Table'!$C$10,
                (S158 = 'Points-Table'!$A$11), 'Points-Table'!$C$11,
                (S158 = 'Points-Table'!$A$12), 'Points-Table'!$C$12,
                (S158 = 'Points-Table'!$A$13), 'Points-Table'!$C$13,
                true, 0
              )
            </f>
      </c>
      <c r="U158" s="13">
        <v>5</v>
      </c>
      <c r="V158" s="13">
        <f>
              Ifs(
                (U158 = 'Points-Table'!$A$4), 'Points-Table'!$C$4,
                (U158 = 'Points-Table'!$A$5), 'Points-Table'!$C$5,
                (U158 = 'Points-Table'!$A$6), 'Points-Table'!$C$6,
                (U158 = 'Points-Table'!$A$7), 'Points-Table'!$C$7,
                (U158 = 'Points-Table'!$A$8), 'Points-Table'!$C$8,
                (U158 = 'Points-Table'!$A$9), 'Points-Table'!$C$9,
                (U158 = 'Points-Table'!$A$10), 'Points-Table'!$C$10,
                (U158 = 'Points-Table'!$A$11), 'Points-Table'!$C$11,
                (U158 = 'Points-Table'!$A$12), 'Points-Table'!$C$12,
                (U158 = 'Points-Table'!$A$13), 'Points-Table'!$C$13,
                true, 0
              )
            </f>
      </c>
      <c r="W158" s="13">
        <v>5</v>
      </c>
      <c r="X158" s="13">
        <f>
              Ifs(
                (W158 = 'Points-Table'!$A$4), 'Points-Table'!$C$4,
                (W158 = 'Points-Table'!$A$5), 'Points-Table'!$C$5,
                (W158 = 'Points-Table'!$A$6), 'Points-Table'!$C$6,
                (W158 = 'Points-Table'!$A$7), 'Points-Table'!$C$7,
                (W158 = 'Points-Table'!$A$8), 'Points-Table'!$C$8,
                (W158 = 'Points-Table'!$A$9), 'Points-Table'!$C$9,
                (W158 = 'Points-Table'!$A$10), 'Points-Table'!$C$10,
                (W158 = 'Points-Table'!$A$11), 'Points-Table'!$C$11,
                (W158 = 'Points-Table'!$A$12), 'Points-Table'!$C$12,
                (W158 = 'Points-Table'!$A$13), 'Points-Table'!$C$13,
                true, 0
              )
            </f>
      </c>
      <c r="Y158" s="13">
        <v>5</v>
      </c>
      <c r="Z158" s="13">
        <f>
              Ifs(
                (Y158 = 'Points-Table'!$A$4), 'Points-Table'!$C$4,
                (Y158 = 'Points-Table'!$A$5), 'Points-Table'!$C$5,
                (Y158 = 'Points-Table'!$A$6), 'Points-Table'!$C$6,
                (Y158 = 'Points-Table'!$A$7), 'Points-Table'!$C$7,
                (Y158 = 'Points-Table'!$A$8), 'Points-Table'!$C$8,
                (Y158 = 'Points-Table'!$A$9), 'Points-Table'!$C$9,
                (Y158 = 'Points-Table'!$A$10), 'Points-Table'!$C$10,
                (Y158 = 'Points-Table'!$A$11), 'Points-Table'!$C$11,
                (Y158 = 'Points-Table'!$A$12), 'Points-Table'!$C$12,
                (Y158 = 'Points-Table'!$A$13), 'Points-Table'!$C$13,
                true, 0
              )
            </f>
      </c>
      <c r="AA158" s="13">
        <f>SUM(V158,X158,Z158)</f>
      </c>
      <c r="AB158" s="13">
        <f>
      Ifs( 
        ISBETWEEN(AA158, 0, 'Points-Table'!C$20, TRUE, False), 'Points-Table'!A$20,
        ISBETWEEN(AA158, 'Points-Table'!C$20, 'Points-Table'!C$21, TRUE, False), 'Points-Table'!A$21,
        ISBETWEEN(AA158, 'Points-Table'!C$22, 10000, TRUE, TRUE), 'Points-Table'!A$22,
        true, 
        0)
      </f>
      </c>
      <c r="AC158" s="13" t="s">
        <v>56</v>
      </c>
      <c r="AD158" s="13" t="s">
        <v>56</v>
      </c>
      <c r="AE158" s="13" t="s">
        <v>56</v>
      </c>
    </row>
    <row r="159" spans="1:31" s="6" customFormat="1" x14ac:dyDescent="0.25">
      <c r="A159" s="6" t="s">
        <v>266</v>
      </c>
      <c r="B159" s="6" t="s">
        <v>276</v>
      </c>
      <c r="D159" s="6" t="s">
        <v>273</v>
      </c>
      <c r="E159" s="6"/>
      <c r="F159" s="6"/>
      <c r="G159" s="6"/>
      <c r="H159" s="6"/>
      <c r="I159" s="6"/>
      <c r="J159" s="6"/>
      <c r="K159" s="6" t="s">
        <v>83</v>
      </c>
      <c r="L159" s="6" t="s">
        <v>84</v>
      </c>
      <c r="M159" s="6"/>
      <c r="N159" s="6"/>
      <c r="O159" s="6"/>
      <c r="P159" s="6"/>
      <c r="Q159" s="11"/>
      <c r="R159" s="12">
        <f>
              Ifs(
                (Q159 = 'Points-Table'!$A$4), 'Points-Table'!$C$4,
                (Q159 = 'Points-Table'!$A$5), 'Points-Table'!$C$5,
                (Q159 = 'Points-Table'!$A$6), 'Points-Table'!$C$6,
                (Q159 = 'Points-Table'!$A$7), 'Points-Table'!$C$7,
                (Q159 = 'Points-Table'!$A$8), 'Points-Table'!$C$8,
                (Q159 = 'Points-Table'!$A$9), 'Points-Table'!$C$9,
                (Q159 = 'Points-Table'!$A$10), 'Points-Table'!$C$10,
                (Q159 = 'Points-Table'!$A$11), 'Points-Table'!$C$11,
                (Q159 = 'Points-Table'!$A$12), 'Points-Table'!$C$12,
                (Q159 = 'Points-Table'!$A$13), 'Points-Table'!$C$13,
                true, 0
              )
            </f>
      </c>
      <c r="S159" s="11"/>
      <c r="T159" s="12">
        <f>
              Ifs(
                (S159 = 'Points-Table'!$A$4), 'Points-Table'!$C$4,
                (S159 = 'Points-Table'!$A$5), 'Points-Table'!$C$5,
                (S159 = 'Points-Table'!$A$6), 'Points-Table'!$C$6,
                (S159 = 'Points-Table'!$A$7), 'Points-Table'!$C$7,
                (S159 = 'Points-Table'!$A$8), 'Points-Table'!$C$8,
                (S159 = 'Points-Table'!$A$9), 'Points-Table'!$C$9,
                (S159 = 'Points-Table'!$A$10), 'Points-Table'!$C$10,
                (S159 = 'Points-Table'!$A$11), 'Points-Table'!$C$11,
                (S159 = 'Points-Table'!$A$12), 'Points-Table'!$C$12,
                (S159 = 'Points-Table'!$A$13), 'Points-Table'!$C$13,
                true, 0
              )
            </f>
      </c>
      <c r="U159" s="11">
        <v>5</v>
      </c>
      <c r="V159" s="12">
        <f>
              Ifs(
                (U159 = 'Points-Table'!$A$4), 'Points-Table'!$C$4,
                (U159 = 'Points-Table'!$A$5), 'Points-Table'!$C$5,
                (U159 = 'Points-Table'!$A$6), 'Points-Table'!$C$6,
                (U159 = 'Points-Table'!$A$7), 'Points-Table'!$C$7,
                (U159 = 'Points-Table'!$A$8), 'Points-Table'!$C$8,
                (U159 = 'Points-Table'!$A$9), 'Points-Table'!$C$9,
                (U159 = 'Points-Table'!$A$10), 'Points-Table'!$C$10,
                (U159 = 'Points-Table'!$A$11), 'Points-Table'!$C$11,
                (U159 = 'Points-Table'!$A$12), 'Points-Table'!$C$12,
                (U159 = 'Points-Table'!$A$13), 'Points-Table'!$C$13,
                true, 0
              )
            </f>
      </c>
      <c r="W159" s="11">
        <v>5</v>
      </c>
      <c r="X159" s="12">
        <f>
              Ifs(
                (W159 = 'Points-Table'!$A$4), 'Points-Table'!$C$4,
                (W159 = 'Points-Table'!$A$5), 'Points-Table'!$C$5,
                (W159 = 'Points-Table'!$A$6), 'Points-Table'!$C$6,
                (W159 = 'Points-Table'!$A$7), 'Points-Table'!$C$7,
                (W159 = 'Points-Table'!$A$8), 'Points-Table'!$C$8,
                (W159 = 'Points-Table'!$A$9), 'Points-Table'!$C$9,
                (W159 = 'Points-Table'!$A$10), 'Points-Table'!$C$10,
                (W159 = 'Points-Table'!$A$11), 'Points-Table'!$C$11,
                (W159 = 'Points-Table'!$A$12), 'Points-Table'!$C$12,
                (W159 = 'Points-Table'!$A$13), 'Points-Table'!$C$13,
                true, 0
              )
            </f>
      </c>
      <c r="Y159" s="11">
        <v>8</v>
      </c>
      <c r="Z159" s="12">
        <f>
              Ifs(
                (Y159 = 'Points-Table'!$A$4), 'Points-Table'!$C$4,
                (Y159 = 'Points-Table'!$A$5), 'Points-Table'!$C$5,
                (Y159 = 'Points-Table'!$A$6), 'Points-Table'!$C$6,
                (Y159 = 'Points-Table'!$A$7), 'Points-Table'!$C$7,
                (Y159 = 'Points-Table'!$A$8), 'Points-Table'!$C$8,
                (Y159 = 'Points-Table'!$A$9), 'Points-Table'!$C$9,
                (Y159 = 'Points-Table'!$A$10), 'Points-Table'!$C$10,
                (Y159 = 'Points-Table'!$A$11), 'Points-Table'!$C$11,
                (Y159 = 'Points-Table'!$A$12), 'Points-Table'!$C$12,
                (Y159 = 'Points-Table'!$A$13), 'Points-Table'!$C$13,
                true, 0
              )
            </f>
      </c>
      <c r="AA159" s="6">
        <f>SUM(V159,X159,Z159)</f>
      </c>
      <c r="AB159" s="6">
        <f>
      Ifs( 
        ISBETWEEN(AA159, 0, 'Points-Table'!C$20, TRUE, False), 'Points-Table'!A$20,
        ISBETWEEN(AA159, 'Points-Table'!C$20, 'Points-Table'!C$21, TRUE, False), 'Points-Table'!A$21,
        ISBETWEEN(AA159, 'Points-Table'!C$22, 10000, TRUE, TRUE), 'Points-Table'!A$22,
        true, 
        0)
      </f>
      </c>
      <c r="AC159" s="6" t="s">
        <v>56</v>
      </c>
      <c r="AD159" s="6" t="s">
        <v>56</v>
      </c>
      <c r="AE159" s="6" t="s">
        <v>56</v>
      </c>
    </row>
    <row r="160" spans="1:31" s="13" customFormat="1" x14ac:dyDescent="0.25">
      <c r="A160" s="13" t="s">
        <v>266</v>
      </c>
      <c r="B160" s="13" t="s">
        <v>277</v>
      </c>
      <c r="D160" s="13"/>
      <c r="E160" s="13"/>
      <c r="F160" s="13"/>
      <c r="G160" s="13"/>
      <c r="H160" s="13"/>
      <c r="I160" s="13"/>
      <c r="J160" s="13"/>
      <c r="K160" s="13" t="s">
        <v>83</v>
      </c>
      <c r="L160" s="13" t="s">
        <v>84</v>
      </c>
      <c r="M160" s="13"/>
      <c r="N160" s="13"/>
      <c r="O160" s="13"/>
      <c r="P160" s="13"/>
      <c r="Q160" s="13">
        <v>2</v>
      </c>
      <c r="R160" s="13">
        <f>
              Ifs(
                (Q160 = 'Points-Table'!$A$4), 'Points-Table'!$C$4,
                (Q160 = 'Points-Table'!$A$5), 'Points-Table'!$C$5,
                (Q160 = 'Points-Table'!$A$6), 'Points-Table'!$C$6,
                (Q160 = 'Points-Table'!$A$7), 'Points-Table'!$C$7,
                (Q160 = 'Points-Table'!$A$8), 'Points-Table'!$C$8,
                (Q160 = 'Points-Table'!$A$9), 'Points-Table'!$C$9,
                (Q160 = 'Points-Table'!$A$10), 'Points-Table'!$C$10,
                (Q160 = 'Points-Table'!$A$11), 'Points-Table'!$C$11,
                (Q160 = 'Points-Table'!$A$12), 'Points-Table'!$C$12,
                (Q160 = 'Points-Table'!$A$13), 'Points-Table'!$C$13,
                true, 0
              )
            </f>
      </c>
      <c r="S160" s="13">
        <v>2</v>
      </c>
      <c r="T160" s="13">
        <f>
              Ifs(
                (S160 = 'Points-Table'!$A$4), 'Points-Table'!$C$4,
                (S160 = 'Points-Table'!$A$5), 'Points-Table'!$C$5,
                (S160 = 'Points-Table'!$A$6), 'Points-Table'!$C$6,
                (S160 = 'Points-Table'!$A$7), 'Points-Table'!$C$7,
                (S160 = 'Points-Table'!$A$8), 'Points-Table'!$C$8,
                (S160 = 'Points-Table'!$A$9), 'Points-Table'!$C$9,
                (S160 = 'Points-Table'!$A$10), 'Points-Table'!$C$10,
                (S160 = 'Points-Table'!$A$11), 'Points-Table'!$C$11,
                (S160 = 'Points-Table'!$A$12), 'Points-Table'!$C$12,
                (S160 = 'Points-Table'!$A$13), 'Points-Table'!$C$13,
                true, 0
              )
            </f>
      </c>
      <c r="U160" s="13">
        <v>5</v>
      </c>
      <c r="V160" s="13">
        <f>
              Ifs(
                (U160 = 'Points-Table'!$A$4), 'Points-Table'!$C$4,
                (U160 = 'Points-Table'!$A$5), 'Points-Table'!$C$5,
                (U160 = 'Points-Table'!$A$6), 'Points-Table'!$C$6,
                (U160 = 'Points-Table'!$A$7), 'Points-Table'!$C$7,
                (U160 = 'Points-Table'!$A$8), 'Points-Table'!$C$8,
                (U160 = 'Points-Table'!$A$9), 'Points-Table'!$C$9,
                (U160 = 'Points-Table'!$A$10), 'Points-Table'!$C$10,
                (U160 = 'Points-Table'!$A$11), 'Points-Table'!$C$11,
                (U160 = 'Points-Table'!$A$12), 'Points-Table'!$C$12,
                (U160 = 'Points-Table'!$A$13), 'Points-Table'!$C$13,
                true, 0
              )
            </f>
      </c>
      <c r="W160" s="13">
        <v>5</v>
      </c>
      <c r="X160" s="13">
        <f>
              Ifs(
                (W160 = 'Points-Table'!$A$4), 'Points-Table'!$C$4,
                (W160 = 'Points-Table'!$A$5), 'Points-Table'!$C$5,
                (W160 = 'Points-Table'!$A$6), 'Points-Table'!$C$6,
                (W160 = 'Points-Table'!$A$7), 'Points-Table'!$C$7,
                (W160 = 'Points-Table'!$A$8), 'Points-Table'!$C$8,
                (W160 = 'Points-Table'!$A$9), 'Points-Table'!$C$9,
                (W160 = 'Points-Table'!$A$10), 'Points-Table'!$C$10,
                (W160 = 'Points-Table'!$A$11), 'Points-Table'!$C$11,
                (W160 = 'Points-Table'!$A$12), 'Points-Table'!$C$12,
                (W160 = 'Points-Table'!$A$13), 'Points-Table'!$C$13,
                true, 0
              )
            </f>
      </c>
      <c r="Y160" s="13">
        <v>5</v>
      </c>
      <c r="Z160" s="13">
        <f>
              Ifs(
                (Y160 = 'Points-Table'!$A$4), 'Points-Table'!$C$4,
                (Y160 = 'Points-Table'!$A$5), 'Points-Table'!$C$5,
                (Y160 = 'Points-Table'!$A$6), 'Points-Table'!$C$6,
                (Y160 = 'Points-Table'!$A$7), 'Points-Table'!$C$7,
                (Y160 = 'Points-Table'!$A$8), 'Points-Table'!$C$8,
                (Y160 = 'Points-Table'!$A$9), 'Points-Table'!$C$9,
                (Y160 = 'Points-Table'!$A$10), 'Points-Table'!$C$10,
                (Y160 = 'Points-Table'!$A$11), 'Points-Table'!$C$11,
                (Y160 = 'Points-Table'!$A$12), 'Points-Table'!$C$12,
                (Y160 = 'Points-Table'!$A$13), 'Points-Table'!$C$13,
                true, 0
              )
            </f>
      </c>
      <c r="AA160" s="13">
        <f>SUM(V160,X160,Z160)</f>
      </c>
      <c r="AB160" s="13">
        <f>
      Ifs( 
        ISBETWEEN(AA160, 0, 'Points-Table'!C$20, TRUE, False), 'Points-Table'!A$20,
        ISBETWEEN(AA160, 'Points-Table'!C$20, 'Points-Table'!C$21, TRUE, False), 'Points-Table'!A$21,
        ISBETWEEN(AA160, 'Points-Table'!C$22, 10000, TRUE, TRUE), 'Points-Table'!A$22,
        true, 
        0)
      </f>
      </c>
      <c r="AC160" s="13" t="s">
        <v>56</v>
      </c>
      <c r="AD160" s="13" t="s">
        <v>56</v>
      </c>
      <c r="AE160" s="13" t="s">
        <v>56</v>
      </c>
    </row>
    <row r="161" spans="1:31" s="6" customFormat="1" x14ac:dyDescent="0.25">
      <c r="A161" s="6" t="s">
        <v>266</v>
      </c>
      <c r="B161" s="6" t="s">
        <v>278</v>
      </c>
      <c r="D161" s="6" t="s">
        <v>279</v>
      </c>
      <c r="E161" s="6"/>
      <c r="F161" s="6"/>
      <c r="G161" s="6"/>
      <c r="H161" s="6"/>
      <c r="I161" s="6"/>
      <c r="J161" s="6"/>
      <c r="K161" s="6" t="s">
        <v>83</v>
      </c>
      <c r="L161" s="6" t="s">
        <v>84</v>
      </c>
      <c r="M161" s="6"/>
      <c r="N161" s="6"/>
      <c r="O161" s="6"/>
      <c r="P161" s="6"/>
      <c r="Q161" s="11"/>
      <c r="R161" s="12">
        <f>
              Ifs(
                (Q161 = 'Points-Table'!$A$4), 'Points-Table'!$C$4,
                (Q161 = 'Points-Table'!$A$5), 'Points-Table'!$C$5,
                (Q161 = 'Points-Table'!$A$6), 'Points-Table'!$C$6,
                (Q161 = 'Points-Table'!$A$7), 'Points-Table'!$C$7,
                (Q161 = 'Points-Table'!$A$8), 'Points-Table'!$C$8,
                (Q161 = 'Points-Table'!$A$9), 'Points-Table'!$C$9,
                (Q161 = 'Points-Table'!$A$10), 'Points-Table'!$C$10,
                (Q161 = 'Points-Table'!$A$11), 'Points-Table'!$C$11,
                (Q161 = 'Points-Table'!$A$12), 'Points-Table'!$C$12,
                (Q161 = 'Points-Table'!$A$13), 'Points-Table'!$C$13,
                true, 0
              )
            </f>
      </c>
      <c r="S161" s="11"/>
      <c r="T161" s="12">
        <f>
              Ifs(
                (S161 = 'Points-Table'!$A$4), 'Points-Table'!$C$4,
                (S161 = 'Points-Table'!$A$5), 'Points-Table'!$C$5,
                (S161 = 'Points-Table'!$A$6), 'Points-Table'!$C$6,
                (S161 = 'Points-Table'!$A$7), 'Points-Table'!$C$7,
                (S161 = 'Points-Table'!$A$8), 'Points-Table'!$C$8,
                (S161 = 'Points-Table'!$A$9), 'Points-Table'!$C$9,
                (S161 = 'Points-Table'!$A$10), 'Points-Table'!$C$10,
                (S161 = 'Points-Table'!$A$11), 'Points-Table'!$C$11,
                (S161 = 'Points-Table'!$A$12), 'Points-Table'!$C$12,
                (S161 = 'Points-Table'!$A$13), 'Points-Table'!$C$13,
                true, 0
              )
            </f>
      </c>
      <c r="U161" s="11">
        <v>1</v>
      </c>
      <c r="V161" s="12">
        <f>
              Ifs(
                (U161 = 'Points-Table'!$A$4), 'Points-Table'!$C$4,
                (U161 = 'Points-Table'!$A$5), 'Points-Table'!$C$5,
                (U161 = 'Points-Table'!$A$6), 'Points-Table'!$C$6,
                (U161 = 'Points-Table'!$A$7), 'Points-Table'!$C$7,
                (U161 = 'Points-Table'!$A$8), 'Points-Table'!$C$8,
                (U161 = 'Points-Table'!$A$9), 'Points-Table'!$C$9,
                (U161 = 'Points-Table'!$A$10), 'Points-Table'!$C$10,
                (U161 = 'Points-Table'!$A$11), 'Points-Table'!$C$11,
                (U161 = 'Points-Table'!$A$12), 'Points-Table'!$C$12,
                (U161 = 'Points-Table'!$A$13), 'Points-Table'!$C$13,
                true, 0
              )
            </f>
      </c>
      <c r="W161" s="11">
        <v>0</v>
      </c>
      <c r="X161" s="12">
        <f>
              Ifs(
                (W161 = 'Points-Table'!$A$4), 'Points-Table'!$C$4,
                (W161 = 'Points-Table'!$A$5), 'Points-Table'!$C$5,
                (W161 = 'Points-Table'!$A$6), 'Points-Table'!$C$6,
                (W161 = 'Points-Table'!$A$7), 'Points-Table'!$C$7,
                (W161 = 'Points-Table'!$A$8), 'Points-Table'!$C$8,
                (W161 = 'Points-Table'!$A$9), 'Points-Table'!$C$9,
                (W161 = 'Points-Table'!$A$10), 'Points-Table'!$C$10,
                (W161 = 'Points-Table'!$A$11), 'Points-Table'!$C$11,
                (W161 = 'Points-Table'!$A$12), 'Points-Table'!$C$12,
                (W161 = 'Points-Table'!$A$13), 'Points-Table'!$C$13,
                true, 0
              )
            </f>
      </c>
      <c r="Y161" s="11">
        <v>0</v>
      </c>
      <c r="Z161" s="12">
        <f>
              Ifs(
                (Y161 = 'Points-Table'!$A$4), 'Points-Table'!$C$4,
                (Y161 = 'Points-Table'!$A$5), 'Points-Table'!$C$5,
                (Y161 = 'Points-Table'!$A$6), 'Points-Table'!$C$6,
                (Y161 = 'Points-Table'!$A$7), 'Points-Table'!$C$7,
                (Y161 = 'Points-Table'!$A$8), 'Points-Table'!$C$8,
                (Y161 = 'Points-Table'!$A$9), 'Points-Table'!$C$9,
                (Y161 = 'Points-Table'!$A$10), 'Points-Table'!$C$10,
                (Y161 = 'Points-Table'!$A$11), 'Points-Table'!$C$11,
                (Y161 = 'Points-Table'!$A$12), 'Points-Table'!$C$12,
                (Y161 = 'Points-Table'!$A$13), 'Points-Table'!$C$13,
                true, 0
              )
            </f>
      </c>
      <c r="AA161" s="6">
        <f>SUM(V161,X161,Z161)</f>
      </c>
      <c r="AB161" s="6">
        <f>
      Ifs( 
        ISBETWEEN(AA161, 0, 'Points-Table'!C$20, TRUE, False), 'Points-Table'!A$20,
        ISBETWEEN(AA161, 'Points-Table'!C$20, 'Points-Table'!C$21, TRUE, False), 'Points-Table'!A$21,
        ISBETWEEN(AA161, 'Points-Table'!C$22, 10000, TRUE, TRUE), 'Points-Table'!A$22,
        true, 
        0)
      </f>
      </c>
      <c r="AC161" s="6" t="s">
        <v>56</v>
      </c>
      <c r="AD161" s="6" t="s">
        <v>56</v>
      </c>
      <c r="AE161" s="6" t="s">
        <v>56</v>
      </c>
    </row>
    <row r="162" spans="1:31" s="6" customFormat="1" x14ac:dyDescent="0.25">
      <c r="A162" s="6" t="s">
        <v>266</v>
      </c>
      <c r="B162" s="6" t="s">
        <v>280</v>
      </c>
      <c r="D162" s="6" t="s">
        <v>281</v>
      </c>
      <c r="E162" s="6"/>
      <c r="F162" s="6"/>
      <c r="G162" s="6"/>
      <c r="H162" s="6"/>
      <c r="I162" s="6"/>
      <c r="J162" s="6"/>
      <c r="K162" s="6" t="s">
        <v>83</v>
      </c>
      <c r="L162" s="6" t="s">
        <v>84</v>
      </c>
      <c r="M162" s="6"/>
      <c r="N162" s="6"/>
      <c r="O162" s="6"/>
      <c r="P162" s="6"/>
      <c r="Q162" s="11"/>
      <c r="R162" s="12">
        <f>
              Ifs(
                (Q162 = 'Points-Table'!$A$4), 'Points-Table'!$C$4,
                (Q162 = 'Points-Table'!$A$5), 'Points-Table'!$C$5,
                (Q162 = 'Points-Table'!$A$6), 'Points-Table'!$C$6,
                (Q162 = 'Points-Table'!$A$7), 'Points-Table'!$C$7,
                (Q162 = 'Points-Table'!$A$8), 'Points-Table'!$C$8,
                (Q162 = 'Points-Table'!$A$9), 'Points-Table'!$C$9,
                (Q162 = 'Points-Table'!$A$10), 'Points-Table'!$C$10,
                (Q162 = 'Points-Table'!$A$11), 'Points-Table'!$C$11,
                (Q162 = 'Points-Table'!$A$12), 'Points-Table'!$C$12,
                (Q162 = 'Points-Table'!$A$13), 'Points-Table'!$C$13,
                true, 0
              )
            </f>
      </c>
      <c r="S162" s="11"/>
      <c r="T162" s="12">
        <f>
              Ifs(
                (S162 = 'Points-Table'!$A$4), 'Points-Table'!$C$4,
                (S162 = 'Points-Table'!$A$5), 'Points-Table'!$C$5,
                (S162 = 'Points-Table'!$A$6), 'Points-Table'!$C$6,
                (S162 = 'Points-Table'!$A$7), 'Points-Table'!$C$7,
                (S162 = 'Points-Table'!$A$8), 'Points-Table'!$C$8,
                (S162 = 'Points-Table'!$A$9), 'Points-Table'!$C$9,
                (S162 = 'Points-Table'!$A$10), 'Points-Table'!$C$10,
                (S162 = 'Points-Table'!$A$11), 'Points-Table'!$C$11,
                (S162 = 'Points-Table'!$A$12), 'Points-Table'!$C$12,
                (S162 = 'Points-Table'!$A$13), 'Points-Table'!$C$13,
                true, 0
              )
            </f>
      </c>
      <c r="U162" s="11">
        <v>1</v>
      </c>
      <c r="V162" s="12">
        <f>
              Ifs(
                (U162 = 'Points-Table'!$A$4), 'Points-Table'!$C$4,
                (U162 = 'Points-Table'!$A$5), 'Points-Table'!$C$5,
                (U162 = 'Points-Table'!$A$6), 'Points-Table'!$C$6,
                (U162 = 'Points-Table'!$A$7), 'Points-Table'!$C$7,
                (U162 = 'Points-Table'!$A$8), 'Points-Table'!$C$8,
                (U162 = 'Points-Table'!$A$9), 'Points-Table'!$C$9,
                (U162 = 'Points-Table'!$A$10), 'Points-Table'!$C$10,
                (U162 = 'Points-Table'!$A$11), 'Points-Table'!$C$11,
                (U162 = 'Points-Table'!$A$12), 'Points-Table'!$C$12,
                (U162 = 'Points-Table'!$A$13), 'Points-Table'!$C$13,
                true, 0
              )
            </f>
      </c>
      <c r="W162" s="11">
        <v>0</v>
      </c>
      <c r="X162" s="12">
        <f>
              Ifs(
                (W162 = 'Points-Table'!$A$4), 'Points-Table'!$C$4,
                (W162 = 'Points-Table'!$A$5), 'Points-Table'!$C$5,
                (W162 = 'Points-Table'!$A$6), 'Points-Table'!$C$6,
                (W162 = 'Points-Table'!$A$7), 'Points-Table'!$C$7,
                (W162 = 'Points-Table'!$A$8), 'Points-Table'!$C$8,
                (W162 = 'Points-Table'!$A$9), 'Points-Table'!$C$9,
                (W162 = 'Points-Table'!$A$10), 'Points-Table'!$C$10,
                (W162 = 'Points-Table'!$A$11), 'Points-Table'!$C$11,
                (W162 = 'Points-Table'!$A$12), 'Points-Table'!$C$12,
                (W162 = 'Points-Table'!$A$13), 'Points-Table'!$C$13,
                true, 0
              )
            </f>
      </c>
      <c r="Y162" s="11">
        <v>0</v>
      </c>
      <c r="Z162" s="12">
        <f>
              Ifs(
                (Y162 = 'Points-Table'!$A$4), 'Points-Table'!$C$4,
                (Y162 = 'Points-Table'!$A$5), 'Points-Table'!$C$5,
                (Y162 = 'Points-Table'!$A$6), 'Points-Table'!$C$6,
                (Y162 = 'Points-Table'!$A$7), 'Points-Table'!$C$7,
                (Y162 = 'Points-Table'!$A$8), 'Points-Table'!$C$8,
                (Y162 = 'Points-Table'!$A$9), 'Points-Table'!$C$9,
                (Y162 = 'Points-Table'!$A$10), 'Points-Table'!$C$10,
                (Y162 = 'Points-Table'!$A$11), 'Points-Table'!$C$11,
                (Y162 = 'Points-Table'!$A$12), 'Points-Table'!$C$12,
                (Y162 = 'Points-Table'!$A$13), 'Points-Table'!$C$13,
                true, 0
              )
            </f>
      </c>
      <c r="AA162" s="6">
        <f>SUM(V162,X162,Z162)</f>
      </c>
      <c r="AB162" s="6">
        <f>
      Ifs( 
        ISBETWEEN(AA162, 0, 'Points-Table'!C$20, TRUE, False), 'Points-Table'!A$20,
        ISBETWEEN(AA162, 'Points-Table'!C$20, 'Points-Table'!C$21, TRUE, False), 'Points-Table'!A$21,
        ISBETWEEN(AA162, 'Points-Table'!C$22, 10000, TRUE, TRUE), 'Points-Table'!A$22,
        true, 
        0)
      </f>
      </c>
      <c r="AC162" s="6" t="s">
        <v>56</v>
      </c>
      <c r="AD162" s="6" t="s">
        <v>56</v>
      </c>
      <c r="AE162" s="6" t="s">
        <v>56</v>
      </c>
    </row>
    <row r="163" spans="1:31" s="6" customFormat="1" x14ac:dyDescent="0.25">
      <c r="A163" s="6" t="s">
        <v>266</v>
      </c>
      <c r="B163" s="6" t="s">
        <v>282</v>
      </c>
      <c r="C163" s="6" t="s">
        <v>283</v>
      </c>
      <c r="D163" s="6"/>
      <c r="E163" s="6"/>
      <c r="F163" s="6"/>
      <c r="G163" s="6"/>
      <c r="H163" s="6"/>
      <c r="I163" s="6"/>
      <c r="J163" s="6"/>
      <c r="K163" s="6" t="s">
        <v>83</v>
      </c>
      <c r="L163" s="6" t="s">
        <v>84</v>
      </c>
      <c r="M163" s="6"/>
      <c r="N163" s="6"/>
      <c r="O163" s="6"/>
      <c r="P163" s="6"/>
      <c r="Q163" s="11"/>
      <c r="R163" s="12">
        <f>
              Ifs(
                (Q163 = 'Points-Table'!$A$4), 'Points-Table'!$C$4,
                (Q163 = 'Points-Table'!$A$5), 'Points-Table'!$C$5,
                (Q163 = 'Points-Table'!$A$6), 'Points-Table'!$C$6,
                (Q163 = 'Points-Table'!$A$7), 'Points-Table'!$C$7,
                (Q163 = 'Points-Table'!$A$8), 'Points-Table'!$C$8,
                (Q163 = 'Points-Table'!$A$9), 'Points-Table'!$C$9,
                (Q163 = 'Points-Table'!$A$10), 'Points-Table'!$C$10,
                (Q163 = 'Points-Table'!$A$11), 'Points-Table'!$C$11,
                (Q163 = 'Points-Table'!$A$12), 'Points-Table'!$C$12,
                (Q163 = 'Points-Table'!$A$13), 'Points-Table'!$C$13,
                true, 0
              )
            </f>
      </c>
      <c r="S163" s="11"/>
      <c r="T163" s="12">
        <f>
              Ifs(
                (S163 = 'Points-Table'!$A$4), 'Points-Table'!$C$4,
                (S163 = 'Points-Table'!$A$5), 'Points-Table'!$C$5,
                (S163 = 'Points-Table'!$A$6), 'Points-Table'!$C$6,
                (S163 = 'Points-Table'!$A$7), 'Points-Table'!$C$7,
                (S163 = 'Points-Table'!$A$8), 'Points-Table'!$C$8,
                (S163 = 'Points-Table'!$A$9), 'Points-Table'!$C$9,
                (S163 = 'Points-Table'!$A$10), 'Points-Table'!$C$10,
                (S163 = 'Points-Table'!$A$11), 'Points-Table'!$C$11,
                (S163 = 'Points-Table'!$A$12), 'Points-Table'!$C$12,
                (S163 = 'Points-Table'!$A$13), 'Points-Table'!$C$13,
                true, 0
              )
            </f>
      </c>
      <c r="U163" s="11">
        <v>5</v>
      </c>
      <c r="V163" s="12">
        <f>
              Ifs(
                (U163 = 'Points-Table'!$A$4), 'Points-Table'!$C$4,
                (U163 = 'Points-Table'!$A$5), 'Points-Table'!$C$5,
                (U163 = 'Points-Table'!$A$6), 'Points-Table'!$C$6,
                (U163 = 'Points-Table'!$A$7), 'Points-Table'!$C$7,
                (U163 = 'Points-Table'!$A$8), 'Points-Table'!$C$8,
                (U163 = 'Points-Table'!$A$9), 'Points-Table'!$C$9,
                (U163 = 'Points-Table'!$A$10), 'Points-Table'!$C$10,
                (U163 = 'Points-Table'!$A$11), 'Points-Table'!$C$11,
                (U163 = 'Points-Table'!$A$12), 'Points-Table'!$C$12,
                (U163 = 'Points-Table'!$A$13), 'Points-Table'!$C$13,
                true, 0
              )
            </f>
      </c>
      <c r="W163" s="11">
        <v>5</v>
      </c>
      <c r="X163" s="12">
        <f>
              Ifs(
                (W163 = 'Points-Table'!$A$4), 'Points-Table'!$C$4,
                (W163 = 'Points-Table'!$A$5), 'Points-Table'!$C$5,
                (W163 = 'Points-Table'!$A$6), 'Points-Table'!$C$6,
                (W163 = 'Points-Table'!$A$7), 'Points-Table'!$C$7,
                (W163 = 'Points-Table'!$A$8), 'Points-Table'!$C$8,
                (W163 = 'Points-Table'!$A$9), 'Points-Table'!$C$9,
                (W163 = 'Points-Table'!$A$10), 'Points-Table'!$C$10,
                (W163 = 'Points-Table'!$A$11), 'Points-Table'!$C$11,
                (W163 = 'Points-Table'!$A$12), 'Points-Table'!$C$12,
                (W163 = 'Points-Table'!$A$13), 'Points-Table'!$C$13,
                true, 0
              )
            </f>
      </c>
      <c r="Y163" s="11">
        <v>5</v>
      </c>
      <c r="Z163" s="12">
        <f>
              Ifs(
                (Y163 = 'Points-Table'!$A$4), 'Points-Table'!$C$4,
                (Y163 = 'Points-Table'!$A$5), 'Points-Table'!$C$5,
                (Y163 = 'Points-Table'!$A$6), 'Points-Table'!$C$6,
                (Y163 = 'Points-Table'!$A$7), 'Points-Table'!$C$7,
                (Y163 = 'Points-Table'!$A$8), 'Points-Table'!$C$8,
                (Y163 = 'Points-Table'!$A$9), 'Points-Table'!$C$9,
                (Y163 = 'Points-Table'!$A$10), 'Points-Table'!$C$10,
                (Y163 = 'Points-Table'!$A$11), 'Points-Table'!$C$11,
                (Y163 = 'Points-Table'!$A$12), 'Points-Table'!$C$12,
                (Y163 = 'Points-Table'!$A$13), 'Points-Table'!$C$13,
                true, 0
              )
            </f>
      </c>
      <c r="AA163" s="6">
        <f>SUM(V163,X163,Z163)</f>
      </c>
      <c r="AB163" s="6">
        <f>
      Ifs( 
        ISBETWEEN(AA163, 0, 'Points-Table'!C$20, TRUE, False), 'Points-Table'!A$20,
        ISBETWEEN(AA163, 'Points-Table'!C$20, 'Points-Table'!C$21, TRUE, False), 'Points-Table'!A$21,
        ISBETWEEN(AA163, 'Points-Table'!C$22, 10000, TRUE, TRUE), 'Points-Table'!A$22,
        true, 
        0)
      </f>
      </c>
      <c r="AC163" s="6" t="s">
        <v>56</v>
      </c>
      <c r="AD163" s="6" t="s">
        <v>56</v>
      </c>
      <c r="AE163" s="6" t="s">
        <v>56</v>
      </c>
    </row>
    <row r="164" spans="1:31" s="6" customFormat="1" x14ac:dyDescent="0.25">
      <c r="A164" s="6" t="s">
        <v>266</v>
      </c>
      <c r="B164" s="6" t="s">
        <v>282</v>
      </c>
      <c r="C164" s="6" t="s">
        <v>98</v>
      </c>
      <c r="D164" s="6"/>
      <c r="E164" s="6"/>
      <c r="F164" s="6"/>
      <c r="G164" s="6"/>
      <c r="H164" s="6"/>
      <c r="I164" s="6"/>
      <c r="J164" s="6"/>
      <c r="K164" s="6" t="s">
        <v>83</v>
      </c>
      <c r="L164" s="6" t="s">
        <v>84</v>
      </c>
      <c r="M164" s="6"/>
      <c r="N164" s="6"/>
      <c r="O164" s="6"/>
      <c r="P164" s="6"/>
      <c r="Q164" s="11"/>
      <c r="R164" s="12">
        <f>
              Ifs(
                (Q164 = 'Points-Table'!$A$4), 'Points-Table'!$C$4,
                (Q164 = 'Points-Table'!$A$5), 'Points-Table'!$C$5,
                (Q164 = 'Points-Table'!$A$6), 'Points-Table'!$C$6,
                (Q164 = 'Points-Table'!$A$7), 'Points-Table'!$C$7,
                (Q164 = 'Points-Table'!$A$8), 'Points-Table'!$C$8,
                (Q164 = 'Points-Table'!$A$9), 'Points-Table'!$C$9,
                (Q164 = 'Points-Table'!$A$10), 'Points-Table'!$C$10,
                (Q164 = 'Points-Table'!$A$11), 'Points-Table'!$C$11,
                (Q164 = 'Points-Table'!$A$12), 'Points-Table'!$C$12,
                (Q164 = 'Points-Table'!$A$13), 'Points-Table'!$C$13,
                true, 0
              )
            </f>
      </c>
      <c r="S164" s="11"/>
      <c r="T164" s="12">
        <f>
              Ifs(
                (S164 = 'Points-Table'!$A$4), 'Points-Table'!$C$4,
                (S164 = 'Points-Table'!$A$5), 'Points-Table'!$C$5,
                (S164 = 'Points-Table'!$A$6), 'Points-Table'!$C$6,
                (S164 = 'Points-Table'!$A$7), 'Points-Table'!$C$7,
                (S164 = 'Points-Table'!$A$8), 'Points-Table'!$C$8,
                (S164 = 'Points-Table'!$A$9), 'Points-Table'!$C$9,
                (S164 = 'Points-Table'!$A$10), 'Points-Table'!$C$10,
                (S164 = 'Points-Table'!$A$11), 'Points-Table'!$C$11,
                (S164 = 'Points-Table'!$A$12), 'Points-Table'!$C$12,
                (S164 = 'Points-Table'!$A$13), 'Points-Table'!$C$13,
                true, 0
              )
            </f>
      </c>
      <c r="U164" s="11">
        <v>5</v>
      </c>
      <c r="V164" s="12">
        <f>
              Ifs(
                (U164 = 'Points-Table'!$A$4), 'Points-Table'!$C$4,
                (U164 = 'Points-Table'!$A$5), 'Points-Table'!$C$5,
                (U164 = 'Points-Table'!$A$6), 'Points-Table'!$C$6,
                (U164 = 'Points-Table'!$A$7), 'Points-Table'!$C$7,
                (U164 = 'Points-Table'!$A$8), 'Points-Table'!$C$8,
                (U164 = 'Points-Table'!$A$9), 'Points-Table'!$C$9,
                (U164 = 'Points-Table'!$A$10), 'Points-Table'!$C$10,
                (U164 = 'Points-Table'!$A$11), 'Points-Table'!$C$11,
                (U164 = 'Points-Table'!$A$12), 'Points-Table'!$C$12,
                (U164 = 'Points-Table'!$A$13), 'Points-Table'!$C$13,
                true, 0
              )
            </f>
      </c>
      <c r="W164" s="11">
        <v>5</v>
      </c>
      <c r="X164" s="12">
        <f>
              Ifs(
                (W164 = 'Points-Table'!$A$4), 'Points-Table'!$C$4,
                (W164 = 'Points-Table'!$A$5), 'Points-Table'!$C$5,
                (W164 = 'Points-Table'!$A$6), 'Points-Table'!$C$6,
                (W164 = 'Points-Table'!$A$7), 'Points-Table'!$C$7,
                (W164 = 'Points-Table'!$A$8), 'Points-Table'!$C$8,
                (W164 = 'Points-Table'!$A$9), 'Points-Table'!$C$9,
                (W164 = 'Points-Table'!$A$10), 'Points-Table'!$C$10,
                (W164 = 'Points-Table'!$A$11), 'Points-Table'!$C$11,
                (W164 = 'Points-Table'!$A$12), 'Points-Table'!$C$12,
                (W164 = 'Points-Table'!$A$13), 'Points-Table'!$C$13,
                true, 0
              )
            </f>
      </c>
      <c r="Y164" s="11">
        <v>5</v>
      </c>
      <c r="Z164" s="12">
        <f>
              Ifs(
                (Y164 = 'Points-Table'!$A$4), 'Points-Table'!$C$4,
                (Y164 = 'Points-Table'!$A$5), 'Points-Table'!$C$5,
                (Y164 = 'Points-Table'!$A$6), 'Points-Table'!$C$6,
                (Y164 = 'Points-Table'!$A$7), 'Points-Table'!$C$7,
                (Y164 = 'Points-Table'!$A$8), 'Points-Table'!$C$8,
                (Y164 = 'Points-Table'!$A$9), 'Points-Table'!$C$9,
                (Y164 = 'Points-Table'!$A$10), 'Points-Table'!$C$10,
                (Y164 = 'Points-Table'!$A$11), 'Points-Table'!$C$11,
                (Y164 = 'Points-Table'!$A$12), 'Points-Table'!$C$12,
                (Y164 = 'Points-Table'!$A$13), 'Points-Table'!$C$13,
                true, 0
              )
            </f>
      </c>
      <c r="AA164" s="6">
        <f>SUM(V164,X164,Z164)</f>
      </c>
      <c r="AB164" s="6">
        <f>
      Ifs( 
        ISBETWEEN(AA164, 0, 'Points-Table'!C$20, TRUE, False), 'Points-Table'!A$20,
        ISBETWEEN(AA164, 'Points-Table'!C$20, 'Points-Table'!C$21, TRUE, False), 'Points-Table'!A$21,
        ISBETWEEN(AA164, 'Points-Table'!C$22, 10000, TRUE, TRUE), 'Points-Table'!A$22,
        true, 
        0)
      </f>
      </c>
      <c r="AC164" s="6" t="s">
        <v>56</v>
      </c>
      <c r="AD164" s="6" t="s">
        <v>56</v>
      </c>
      <c r="AE164" s="6" t="s">
        <v>56</v>
      </c>
    </row>
    <row r="165" spans="1:31" s="6" customFormat="1" x14ac:dyDescent="0.25">
      <c r="A165" s="6" t="s">
        <v>266</v>
      </c>
      <c r="B165" s="6" t="s">
        <v>284</v>
      </c>
      <c r="D165" s="6" t="s">
        <v>285</v>
      </c>
      <c r="E165" s="6"/>
      <c r="F165" s="6"/>
      <c r="G165" s="6"/>
      <c r="H165" s="6"/>
      <c r="I165" s="6"/>
      <c r="J165" s="6"/>
      <c r="K165" s="6" t="s">
        <v>83</v>
      </c>
      <c r="L165" s="6" t="s">
        <v>84</v>
      </c>
      <c r="M165" s="6"/>
      <c r="N165" s="6"/>
      <c r="O165" s="6"/>
      <c r="P165" s="6"/>
      <c r="Q165" s="11"/>
      <c r="R165" s="12">
        <f>
              Ifs(
                (Q165 = 'Points-Table'!$A$4), 'Points-Table'!$C$4,
                (Q165 = 'Points-Table'!$A$5), 'Points-Table'!$C$5,
                (Q165 = 'Points-Table'!$A$6), 'Points-Table'!$C$6,
                (Q165 = 'Points-Table'!$A$7), 'Points-Table'!$C$7,
                (Q165 = 'Points-Table'!$A$8), 'Points-Table'!$C$8,
                (Q165 = 'Points-Table'!$A$9), 'Points-Table'!$C$9,
                (Q165 = 'Points-Table'!$A$10), 'Points-Table'!$C$10,
                (Q165 = 'Points-Table'!$A$11), 'Points-Table'!$C$11,
                (Q165 = 'Points-Table'!$A$12), 'Points-Table'!$C$12,
                (Q165 = 'Points-Table'!$A$13), 'Points-Table'!$C$13,
                true, 0
              )
            </f>
      </c>
      <c r="S165" s="11"/>
      <c r="T165" s="12">
        <f>
              Ifs(
                (S165 = 'Points-Table'!$A$4), 'Points-Table'!$C$4,
                (S165 = 'Points-Table'!$A$5), 'Points-Table'!$C$5,
                (S165 = 'Points-Table'!$A$6), 'Points-Table'!$C$6,
                (S165 = 'Points-Table'!$A$7), 'Points-Table'!$C$7,
                (S165 = 'Points-Table'!$A$8), 'Points-Table'!$C$8,
                (S165 = 'Points-Table'!$A$9), 'Points-Table'!$C$9,
                (S165 = 'Points-Table'!$A$10), 'Points-Table'!$C$10,
                (S165 = 'Points-Table'!$A$11), 'Points-Table'!$C$11,
                (S165 = 'Points-Table'!$A$12), 'Points-Table'!$C$12,
                (S165 = 'Points-Table'!$A$13), 'Points-Table'!$C$13,
                true, 0
              )
            </f>
      </c>
      <c r="U165" s="11">
        <v>1</v>
      </c>
      <c r="V165" s="12">
        <f>
              Ifs(
                (U165 = 'Points-Table'!$A$4), 'Points-Table'!$C$4,
                (U165 = 'Points-Table'!$A$5), 'Points-Table'!$C$5,
                (U165 = 'Points-Table'!$A$6), 'Points-Table'!$C$6,
                (U165 = 'Points-Table'!$A$7), 'Points-Table'!$C$7,
                (U165 = 'Points-Table'!$A$8), 'Points-Table'!$C$8,
                (U165 = 'Points-Table'!$A$9), 'Points-Table'!$C$9,
                (U165 = 'Points-Table'!$A$10), 'Points-Table'!$C$10,
                (U165 = 'Points-Table'!$A$11), 'Points-Table'!$C$11,
                (U165 = 'Points-Table'!$A$12), 'Points-Table'!$C$12,
                (U165 = 'Points-Table'!$A$13), 'Points-Table'!$C$13,
                true, 0
              )
            </f>
      </c>
      <c r="W165" s="11">
        <v>0</v>
      </c>
      <c r="X165" s="12">
        <f>
              Ifs(
                (W165 = 'Points-Table'!$A$4), 'Points-Table'!$C$4,
                (W165 = 'Points-Table'!$A$5), 'Points-Table'!$C$5,
                (W165 = 'Points-Table'!$A$6), 'Points-Table'!$C$6,
                (W165 = 'Points-Table'!$A$7), 'Points-Table'!$C$7,
                (W165 = 'Points-Table'!$A$8), 'Points-Table'!$C$8,
                (W165 = 'Points-Table'!$A$9), 'Points-Table'!$C$9,
                (W165 = 'Points-Table'!$A$10), 'Points-Table'!$C$10,
                (W165 = 'Points-Table'!$A$11), 'Points-Table'!$C$11,
                (W165 = 'Points-Table'!$A$12), 'Points-Table'!$C$12,
                (W165 = 'Points-Table'!$A$13), 'Points-Table'!$C$13,
                true, 0
              )
            </f>
      </c>
      <c r="Y165" s="11">
        <v>0</v>
      </c>
      <c r="Z165" s="12">
        <f>
              Ifs(
                (Y165 = 'Points-Table'!$A$4), 'Points-Table'!$C$4,
                (Y165 = 'Points-Table'!$A$5), 'Points-Table'!$C$5,
                (Y165 = 'Points-Table'!$A$6), 'Points-Table'!$C$6,
                (Y165 = 'Points-Table'!$A$7), 'Points-Table'!$C$7,
                (Y165 = 'Points-Table'!$A$8), 'Points-Table'!$C$8,
                (Y165 = 'Points-Table'!$A$9), 'Points-Table'!$C$9,
                (Y165 = 'Points-Table'!$A$10), 'Points-Table'!$C$10,
                (Y165 = 'Points-Table'!$A$11), 'Points-Table'!$C$11,
                (Y165 = 'Points-Table'!$A$12), 'Points-Table'!$C$12,
                (Y165 = 'Points-Table'!$A$13), 'Points-Table'!$C$13,
                true, 0
              )
            </f>
      </c>
      <c r="AA165" s="6">
        <f>SUM(V165,X165,Z165)</f>
      </c>
      <c r="AB165" s="6">
        <f>
      Ifs( 
        ISBETWEEN(AA165, 0, 'Points-Table'!C$20, TRUE, False), 'Points-Table'!A$20,
        ISBETWEEN(AA165, 'Points-Table'!C$20, 'Points-Table'!C$21, TRUE, False), 'Points-Table'!A$21,
        ISBETWEEN(AA165, 'Points-Table'!C$22, 10000, TRUE, TRUE), 'Points-Table'!A$22,
        true, 
        0)
      </f>
      </c>
      <c r="AC165" s="6" t="s">
        <v>56</v>
      </c>
      <c r="AD165" s="6" t="s">
        <v>56</v>
      </c>
      <c r="AE165" s="6" t="s">
        <v>56</v>
      </c>
    </row>
    <row r="166" spans="1:31" s="6" customFormat="1" x14ac:dyDescent="0.25">
      <c r="A166" s="6" t="s">
        <v>266</v>
      </c>
      <c r="B166" s="6" t="s">
        <v>286</v>
      </c>
      <c r="D166" s="6" t="s">
        <v>285</v>
      </c>
      <c r="E166" s="6"/>
      <c r="F166" s="6"/>
      <c r="G166" s="6"/>
      <c r="H166" s="6"/>
      <c r="I166" s="6"/>
      <c r="J166" s="6"/>
      <c r="K166" s="6" t="s">
        <v>83</v>
      </c>
      <c r="L166" s="6" t="s">
        <v>84</v>
      </c>
      <c r="M166" s="6"/>
      <c r="N166" s="6"/>
      <c r="O166" s="6"/>
      <c r="P166" s="6"/>
      <c r="Q166" s="11"/>
      <c r="R166" s="12">
        <f>
              Ifs(
                (Q166 = 'Points-Table'!$A$4), 'Points-Table'!$C$4,
                (Q166 = 'Points-Table'!$A$5), 'Points-Table'!$C$5,
                (Q166 = 'Points-Table'!$A$6), 'Points-Table'!$C$6,
                (Q166 = 'Points-Table'!$A$7), 'Points-Table'!$C$7,
                (Q166 = 'Points-Table'!$A$8), 'Points-Table'!$C$8,
                (Q166 = 'Points-Table'!$A$9), 'Points-Table'!$C$9,
                (Q166 = 'Points-Table'!$A$10), 'Points-Table'!$C$10,
                (Q166 = 'Points-Table'!$A$11), 'Points-Table'!$C$11,
                (Q166 = 'Points-Table'!$A$12), 'Points-Table'!$C$12,
                (Q166 = 'Points-Table'!$A$13), 'Points-Table'!$C$13,
                true, 0
              )
            </f>
      </c>
      <c r="S166" s="11"/>
      <c r="T166" s="12">
        <f>
              Ifs(
                (S166 = 'Points-Table'!$A$4), 'Points-Table'!$C$4,
                (S166 = 'Points-Table'!$A$5), 'Points-Table'!$C$5,
                (S166 = 'Points-Table'!$A$6), 'Points-Table'!$C$6,
                (S166 = 'Points-Table'!$A$7), 'Points-Table'!$C$7,
                (S166 = 'Points-Table'!$A$8), 'Points-Table'!$C$8,
                (S166 = 'Points-Table'!$A$9), 'Points-Table'!$C$9,
                (S166 = 'Points-Table'!$A$10), 'Points-Table'!$C$10,
                (S166 = 'Points-Table'!$A$11), 'Points-Table'!$C$11,
                (S166 = 'Points-Table'!$A$12), 'Points-Table'!$C$12,
                (S166 = 'Points-Table'!$A$13), 'Points-Table'!$C$13,
                true, 0
              )
            </f>
      </c>
      <c r="U166" s="11">
        <v>0</v>
      </c>
      <c r="V166" s="12">
        <f>
              Ifs(
                (U166 = 'Points-Table'!$A$4), 'Points-Table'!$C$4,
                (U166 = 'Points-Table'!$A$5), 'Points-Table'!$C$5,
                (U166 = 'Points-Table'!$A$6), 'Points-Table'!$C$6,
                (U166 = 'Points-Table'!$A$7), 'Points-Table'!$C$7,
                (U166 = 'Points-Table'!$A$8), 'Points-Table'!$C$8,
                (U166 = 'Points-Table'!$A$9), 'Points-Table'!$C$9,
                (U166 = 'Points-Table'!$A$10), 'Points-Table'!$C$10,
                (U166 = 'Points-Table'!$A$11), 'Points-Table'!$C$11,
                (U166 = 'Points-Table'!$A$12), 'Points-Table'!$C$12,
                (U166 = 'Points-Table'!$A$13), 'Points-Table'!$C$13,
                true, 0
              )
            </f>
      </c>
      <c r="W166" s="11">
        <v>0</v>
      </c>
      <c r="X166" s="12">
        <f>
              Ifs(
                (W166 = 'Points-Table'!$A$4), 'Points-Table'!$C$4,
                (W166 = 'Points-Table'!$A$5), 'Points-Table'!$C$5,
                (W166 = 'Points-Table'!$A$6), 'Points-Table'!$C$6,
                (W166 = 'Points-Table'!$A$7), 'Points-Table'!$C$7,
                (W166 = 'Points-Table'!$A$8), 'Points-Table'!$C$8,
                (W166 = 'Points-Table'!$A$9), 'Points-Table'!$C$9,
                (W166 = 'Points-Table'!$A$10), 'Points-Table'!$C$10,
                (W166 = 'Points-Table'!$A$11), 'Points-Table'!$C$11,
                (W166 = 'Points-Table'!$A$12), 'Points-Table'!$C$12,
                (W166 = 'Points-Table'!$A$13), 'Points-Table'!$C$13,
                true, 0
              )
            </f>
      </c>
      <c r="Y166" s="11">
        <v>0</v>
      </c>
      <c r="Z166" s="12">
        <f>
              Ifs(
                (Y166 = 'Points-Table'!$A$4), 'Points-Table'!$C$4,
                (Y166 = 'Points-Table'!$A$5), 'Points-Table'!$C$5,
                (Y166 = 'Points-Table'!$A$6), 'Points-Table'!$C$6,
                (Y166 = 'Points-Table'!$A$7), 'Points-Table'!$C$7,
                (Y166 = 'Points-Table'!$A$8), 'Points-Table'!$C$8,
                (Y166 = 'Points-Table'!$A$9), 'Points-Table'!$C$9,
                (Y166 = 'Points-Table'!$A$10), 'Points-Table'!$C$10,
                (Y166 = 'Points-Table'!$A$11), 'Points-Table'!$C$11,
                (Y166 = 'Points-Table'!$A$12), 'Points-Table'!$C$12,
                (Y166 = 'Points-Table'!$A$13), 'Points-Table'!$C$13,
                true, 0
              )
            </f>
      </c>
      <c r="AA166" s="6">
        <f>SUM(V166,X166,Z166)</f>
      </c>
      <c r="AB166" s="6">
        <f>
      Ifs( 
        ISBETWEEN(AA166, 0, 'Points-Table'!C$20, TRUE, False), 'Points-Table'!A$20,
        ISBETWEEN(AA166, 'Points-Table'!C$20, 'Points-Table'!C$21, TRUE, False), 'Points-Table'!A$21,
        ISBETWEEN(AA166, 'Points-Table'!C$22, 10000, TRUE, TRUE), 'Points-Table'!A$22,
        true, 
        0)
      </f>
      </c>
      <c r="AC166" s="6" t="s">
        <v>56</v>
      </c>
      <c r="AD166" s="6" t="s">
        <v>56</v>
      </c>
      <c r="AE166" s="6" t="s">
        <v>56</v>
      </c>
    </row>
    <row r="167" spans="1:31" s="6" customFormat="1" x14ac:dyDescent="0.25">
      <c r="A167" s="6" t="s">
        <v>266</v>
      </c>
      <c r="B167" s="6" t="s">
        <v>287</v>
      </c>
      <c r="D167" s="6"/>
      <c r="E167" s="6"/>
      <c r="F167" s="6"/>
      <c r="G167" s="6"/>
      <c r="H167" s="6"/>
      <c r="I167" s="6"/>
      <c r="J167" s="6"/>
      <c r="K167" s="6" t="s">
        <v>83</v>
      </c>
      <c r="L167" s="6" t="s">
        <v>84</v>
      </c>
      <c r="M167" s="6"/>
      <c r="N167" s="6"/>
      <c r="O167" s="6"/>
      <c r="P167" s="6"/>
      <c r="Q167" s="11"/>
      <c r="R167" s="12">
        <f>
              Ifs(
                (Q167 = 'Points-Table'!$A$4), 'Points-Table'!$C$4,
                (Q167 = 'Points-Table'!$A$5), 'Points-Table'!$C$5,
                (Q167 = 'Points-Table'!$A$6), 'Points-Table'!$C$6,
                (Q167 = 'Points-Table'!$A$7), 'Points-Table'!$C$7,
                (Q167 = 'Points-Table'!$A$8), 'Points-Table'!$C$8,
                (Q167 = 'Points-Table'!$A$9), 'Points-Table'!$C$9,
                (Q167 = 'Points-Table'!$A$10), 'Points-Table'!$C$10,
                (Q167 = 'Points-Table'!$A$11), 'Points-Table'!$C$11,
                (Q167 = 'Points-Table'!$A$12), 'Points-Table'!$C$12,
                (Q167 = 'Points-Table'!$A$13), 'Points-Table'!$C$13,
                true, 0
              )
            </f>
      </c>
      <c r="S167" s="11"/>
      <c r="T167" s="12">
        <f>
              Ifs(
                (S167 = 'Points-Table'!$A$4), 'Points-Table'!$C$4,
                (S167 = 'Points-Table'!$A$5), 'Points-Table'!$C$5,
                (S167 = 'Points-Table'!$A$6), 'Points-Table'!$C$6,
                (S167 = 'Points-Table'!$A$7), 'Points-Table'!$C$7,
                (S167 = 'Points-Table'!$A$8), 'Points-Table'!$C$8,
                (S167 = 'Points-Table'!$A$9), 'Points-Table'!$C$9,
                (S167 = 'Points-Table'!$A$10), 'Points-Table'!$C$10,
                (S167 = 'Points-Table'!$A$11), 'Points-Table'!$C$11,
                (S167 = 'Points-Table'!$A$12), 'Points-Table'!$C$12,
                (S167 = 'Points-Table'!$A$13), 'Points-Table'!$C$13,
                true, 0
              )
            </f>
      </c>
      <c r="U167" s="11">
        <v>5</v>
      </c>
      <c r="V167" s="12">
        <f>
              Ifs(
                (U167 = 'Points-Table'!$A$4), 'Points-Table'!$C$4,
                (U167 = 'Points-Table'!$A$5), 'Points-Table'!$C$5,
                (U167 = 'Points-Table'!$A$6), 'Points-Table'!$C$6,
                (U167 = 'Points-Table'!$A$7), 'Points-Table'!$C$7,
                (U167 = 'Points-Table'!$A$8), 'Points-Table'!$C$8,
                (U167 = 'Points-Table'!$A$9), 'Points-Table'!$C$9,
                (U167 = 'Points-Table'!$A$10), 'Points-Table'!$C$10,
                (U167 = 'Points-Table'!$A$11), 'Points-Table'!$C$11,
                (U167 = 'Points-Table'!$A$12), 'Points-Table'!$C$12,
                (U167 = 'Points-Table'!$A$13), 'Points-Table'!$C$13,
                true, 0
              )
            </f>
      </c>
      <c r="W167" s="11">
        <v>0</v>
      </c>
      <c r="X167" s="12">
        <f>
              Ifs(
                (W167 = 'Points-Table'!$A$4), 'Points-Table'!$C$4,
                (W167 = 'Points-Table'!$A$5), 'Points-Table'!$C$5,
                (W167 = 'Points-Table'!$A$6), 'Points-Table'!$C$6,
                (W167 = 'Points-Table'!$A$7), 'Points-Table'!$C$7,
                (W167 = 'Points-Table'!$A$8), 'Points-Table'!$C$8,
                (W167 = 'Points-Table'!$A$9), 'Points-Table'!$C$9,
                (W167 = 'Points-Table'!$A$10), 'Points-Table'!$C$10,
                (W167 = 'Points-Table'!$A$11), 'Points-Table'!$C$11,
                (W167 = 'Points-Table'!$A$12), 'Points-Table'!$C$12,
                (W167 = 'Points-Table'!$A$13), 'Points-Table'!$C$13,
                true, 0
              )
            </f>
      </c>
      <c r="Y167" s="11">
        <v>0</v>
      </c>
      <c r="Z167" s="12">
        <f>
              Ifs(
                (Y167 = 'Points-Table'!$A$4), 'Points-Table'!$C$4,
                (Y167 = 'Points-Table'!$A$5), 'Points-Table'!$C$5,
                (Y167 = 'Points-Table'!$A$6), 'Points-Table'!$C$6,
                (Y167 = 'Points-Table'!$A$7), 'Points-Table'!$C$7,
                (Y167 = 'Points-Table'!$A$8), 'Points-Table'!$C$8,
                (Y167 = 'Points-Table'!$A$9), 'Points-Table'!$C$9,
                (Y167 = 'Points-Table'!$A$10), 'Points-Table'!$C$10,
                (Y167 = 'Points-Table'!$A$11), 'Points-Table'!$C$11,
                (Y167 = 'Points-Table'!$A$12), 'Points-Table'!$C$12,
                (Y167 = 'Points-Table'!$A$13), 'Points-Table'!$C$13,
                true, 0
              )
            </f>
      </c>
      <c r="AA167" s="6">
        <f>SUM(V167,X167,Z167)</f>
      </c>
      <c r="AB167" s="6">
        <f>
      Ifs( 
        ISBETWEEN(AA167, 0, 'Points-Table'!C$20, TRUE, False), 'Points-Table'!A$20,
        ISBETWEEN(AA167, 'Points-Table'!C$20, 'Points-Table'!C$21, TRUE, False), 'Points-Table'!A$21,
        ISBETWEEN(AA167, 'Points-Table'!C$22, 10000, TRUE, TRUE), 'Points-Table'!A$22,
        true, 
        0)
      </f>
      </c>
      <c r="AC167" s="6" t="s">
        <v>56</v>
      </c>
      <c r="AD167" s="6" t="s">
        <v>56</v>
      </c>
      <c r="AE167" s="6" t="s">
        <v>56</v>
      </c>
    </row>
    <row r="168" spans="1:31" s="13" customFormat="1" x14ac:dyDescent="0.25">
      <c r="A168" s="13" t="s">
        <v>288</v>
      </c>
      <c r="B168" s="13" t="s">
        <v>289</v>
      </c>
      <c r="D168" s="13"/>
      <c r="E168" s="13"/>
      <c r="F168" s="13"/>
      <c r="G168" s="13"/>
      <c r="H168" s="13"/>
      <c r="I168" s="13"/>
      <c r="J168" s="13"/>
      <c r="K168" s="13" t="s">
        <v>83</v>
      </c>
      <c r="L168" s="13" t="s">
        <v>84</v>
      </c>
      <c r="M168" s="13"/>
      <c r="N168" s="13"/>
      <c r="O168" s="13"/>
      <c r="P168" s="13"/>
      <c r="Q168" s="13">
        <v>3</v>
      </c>
      <c r="R168" s="13">
        <f>
              Ifs(
                (Q168 = 'Points-Table'!$A$4), 'Points-Table'!$C$4,
                (Q168 = 'Points-Table'!$A$5), 'Points-Table'!$C$5,
                (Q168 = 'Points-Table'!$A$6), 'Points-Table'!$C$6,
                (Q168 = 'Points-Table'!$A$7), 'Points-Table'!$C$7,
                (Q168 = 'Points-Table'!$A$8), 'Points-Table'!$C$8,
                (Q168 = 'Points-Table'!$A$9), 'Points-Table'!$C$9,
                (Q168 = 'Points-Table'!$A$10), 'Points-Table'!$C$10,
                (Q168 = 'Points-Table'!$A$11), 'Points-Table'!$C$11,
                (Q168 = 'Points-Table'!$A$12), 'Points-Table'!$C$12,
                (Q168 = 'Points-Table'!$A$13), 'Points-Table'!$C$13,
                true, 0
              )
            </f>
      </c>
      <c r="S168" s="13">
        <v>3</v>
      </c>
      <c r="T168" s="13">
        <f>
              Ifs(
                (S168 = 'Points-Table'!$A$4), 'Points-Table'!$C$4,
                (S168 = 'Points-Table'!$A$5), 'Points-Table'!$C$5,
                (S168 = 'Points-Table'!$A$6), 'Points-Table'!$C$6,
                (S168 = 'Points-Table'!$A$7), 'Points-Table'!$C$7,
                (S168 = 'Points-Table'!$A$8), 'Points-Table'!$C$8,
                (S168 = 'Points-Table'!$A$9), 'Points-Table'!$C$9,
                (S168 = 'Points-Table'!$A$10), 'Points-Table'!$C$10,
                (S168 = 'Points-Table'!$A$11), 'Points-Table'!$C$11,
                (S168 = 'Points-Table'!$A$12), 'Points-Table'!$C$12,
                (S168 = 'Points-Table'!$A$13), 'Points-Table'!$C$13,
                true, 0
              )
            </f>
      </c>
      <c r="U168" s="13">
        <v>5</v>
      </c>
      <c r="V168" s="13">
        <f>
              Ifs(
                (U168 = 'Points-Table'!$A$4), 'Points-Table'!$C$4,
                (U168 = 'Points-Table'!$A$5), 'Points-Table'!$C$5,
                (U168 = 'Points-Table'!$A$6), 'Points-Table'!$C$6,
                (U168 = 'Points-Table'!$A$7), 'Points-Table'!$C$7,
                (U168 = 'Points-Table'!$A$8), 'Points-Table'!$C$8,
                (U168 = 'Points-Table'!$A$9), 'Points-Table'!$C$9,
                (U168 = 'Points-Table'!$A$10), 'Points-Table'!$C$10,
                (U168 = 'Points-Table'!$A$11), 'Points-Table'!$C$11,
                (U168 = 'Points-Table'!$A$12), 'Points-Table'!$C$12,
                (U168 = 'Points-Table'!$A$13), 'Points-Table'!$C$13,
                true, 0
              )
            </f>
      </c>
      <c r="W168" s="13">
        <v>5</v>
      </c>
      <c r="X168" s="13">
        <f>
              Ifs(
                (W168 = 'Points-Table'!$A$4), 'Points-Table'!$C$4,
                (W168 = 'Points-Table'!$A$5), 'Points-Table'!$C$5,
                (W168 = 'Points-Table'!$A$6), 'Points-Table'!$C$6,
                (W168 = 'Points-Table'!$A$7), 'Points-Table'!$C$7,
                (W168 = 'Points-Table'!$A$8), 'Points-Table'!$C$8,
                (W168 = 'Points-Table'!$A$9), 'Points-Table'!$C$9,
                (W168 = 'Points-Table'!$A$10), 'Points-Table'!$C$10,
                (W168 = 'Points-Table'!$A$11), 'Points-Table'!$C$11,
                (W168 = 'Points-Table'!$A$12), 'Points-Table'!$C$12,
                (W168 = 'Points-Table'!$A$13), 'Points-Table'!$C$13,
                true, 0
              )
            </f>
      </c>
      <c r="Y168" s="13">
        <v>5</v>
      </c>
      <c r="Z168" s="13">
        <f>
              Ifs(
                (Y168 = 'Points-Table'!$A$4), 'Points-Table'!$C$4,
                (Y168 = 'Points-Table'!$A$5), 'Points-Table'!$C$5,
                (Y168 = 'Points-Table'!$A$6), 'Points-Table'!$C$6,
                (Y168 = 'Points-Table'!$A$7), 'Points-Table'!$C$7,
                (Y168 = 'Points-Table'!$A$8), 'Points-Table'!$C$8,
                (Y168 = 'Points-Table'!$A$9), 'Points-Table'!$C$9,
                (Y168 = 'Points-Table'!$A$10), 'Points-Table'!$C$10,
                (Y168 = 'Points-Table'!$A$11), 'Points-Table'!$C$11,
                (Y168 = 'Points-Table'!$A$12), 'Points-Table'!$C$12,
                (Y168 = 'Points-Table'!$A$13), 'Points-Table'!$C$13,
                true, 0
              )
            </f>
      </c>
      <c r="AA168" s="13">
        <f>SUM(V168,X168,Z168)</f>
      </c>
      <c r="AB168" s="13">
        <f>
      Ifs( 
        ISBETWEEN(AA168, 0, 'Points-Table'!C$20, TRUE, False), 'Points-Table'!A$20,
        ISBETWEEN(AA168, 'Points-Table'!C$20, 'Points-Table'!C$21, TRUE, False), 'Points-Table'!A$21,
        ISBETWEEN(AA168, 'Points-Table'!C$22, 10000, TRUE, TRUE), 'Points-Table'!A$22,
        true, 
        0)
      </f>
      </c>
      <c r="AC168" s="13" t="s">
        <v>56</v>
      </c>
      <c r="AD168" s="13" t="s">
        <v>56</v>
      </c>
      <c r="AE168" s="13" t="s">
        <v>56</v>
      </c>
    </row>
    <row r="169" spans="1:31" s="13" customFormat="1" x14ac:dyDescent="0.25">
      <c r="A169" s="13" t="s">
        <v>288</v>
      </c>
      <c r="B169" s="13" t="s">
        <v>290</v>
      </c>
      <c r="D169" s="13"/>
      <c r="E169" s="13"/>
      <c r="F169" s="13"/>
      <c r="G169" s="13"/>
      <c r="H169" s="13"/>
      <c r="I169" s="13"/>
      <c r="J169" s="13"/>
      <c r="K169" s="13" t="s">
        <v>83</v>
      </c>
      <c r="L169" s="13" t="s">
        <v>84</v>
      </c>
      <c r="M169" s="13"/>
      <c r="N169" s="13"/>
      <c r="O169" s="13"/>
      <c r="P169" s="13"/>
      <c r="Q169" s="13">
        <v>2</v>
      </c>
      <c r="R169" s="13">
        <f>
              Ifs(
                (Q169 = 'Points-Table'!$A$4), 'Points-Table'!$C$4,
                (Q169 = 'Points-Table'!$A$5), 'Points-Table'!$C$5,
                (Q169 = 'Points-Table'!$A$6), 'Points-Table'!$C$6,
                (Q169 = 'Points-Table'!$A$7), 'Points-Table'!$C$7,
                (Q169 = 'Points-Table'!$A$8), 'Points-Table'!$C$8,
                (Q169 = 'Points-Table'!$A$9), 'Points-Table'!$C$9,
                (Q169 = 'Points-Table'!$A$10), 'Points-Table'!$C$10,
                (Q169 = 'Points-Table'!$A$11), 'Points-Table'!$C$11,
                (Q169 = 'Points-Table'!$A$12), 'Points-Table'!$C$12,
                (Q169 = 'Points-Table'!$A$13), 'Points-Table'!$C$13,
                true, 0
              )
            </f>
      </c>
      <c r="S169" s="13">
        <v>2</v>
      </c>
      <c r="T169" s="13">
        <f>
              Ifs(
                (S169 = 'Points-Table'!$A$4), 'Points-Table'!$C$4,
                (S169 = 'Points-Table'!$A$5), 'Points-Table'!$C$5,
                (S169 = 'Points-Table'!$A$6), 'Points-Table'!$C$6,
                (S169 = 'Points-Table'!$A$7), 'Points-Table'!$C$7,
                (S169 = 'Points-Table'!$A$8), 'Points-Table'!$C$8,
                (S169 = 'Points-Table'!$A$9), 'Points-Table'!$C$9,
                (S169 = 'Points-Table'!$A$10), 'Points-Table'!$C$10,
                (S169 = 'Points-Table'!$A$11), 'Points-Table'!$C$11,
                (S169 = 'Points-Table'!$A$12), 'Points-Table'!$C$12,
                (S169 = 'Points-Table'!$A$13), 'Points-Table'!$C$13,
                true, 0
              )
            </f>
      </c>
      <c r="U169" s="13">
        <v>5</v>
      </c>
      <c r="V169" s="13">
        <f>
              Ifs(
                (U169 = 'Points-Table'!$A$4), 'Points-Table'!$C$4,
                (U169 = 'Points-Table'!$A$5), 'Points-Table'!$C$5,
                (U169 = 'Points-Table'!$A$6), 'Points-Table'!$C$6,
                (U169 = 'Points-Table'!$A$7), 'Points-Table'!$C$7,
                (U169 = 'Points-Table'!$A$8), 'Points-Table'!$C$8,
                (U169 = 'Points-Table'!$A$9), 'Points-Table'!$C$9,
                (U169 = 'Points-Table'!$A$10), 'Points-Table'!$C$10,
                (U169 = 'Points-Table'!$A$11), 'Points-Table'!$C$11,
                (U169 = 'Points-Table'!$A$12), 'Points-Table'!$C$12,
                (U169 = 'Points-Table'!$A$13), 'Points-Table'!$C$13,
                true, 0
              )
            </f>
      </c>
      <c r="W169" s="13">
        <v>5</v>
      </c>
      <c r="X169" s="13">
        <f>
              Ifs(
                (W169 = 'Points-Table'!$A$4), 'Points-Table'!$C$4,
                (W169 = 'Points-Table'!$A$5), 'Points-Table'!$C$5,
                (W169 = 'Points-Table'!$A$6), 'Points-Table'!$C$6,
                (W169 = 'Points-Table'!$A$7), 'Points-Table'!$C$7,
                (W169 = 'Points-Table'!$A$8), 'Points-Table'!$C$8,
                (W169 = 'Points-Table'!$A$9), 'Points-Table'!$C$9,
                (W169 = 'Points-Table'!$A$10), 'Points-Table'!$C$10,
                (W169 = 'Points-Table'!$A$11), 'Points-Table'!$C$11,
                (W169 = 'Points-Table'!$A$12), 'Points-Table'!$C$12,
                (W169 = 'Points-Table'!$A$13), 'Points-Table'!$C$13,
                true, 0
              )
            </f>
      </c>
      <c r="Y169" s="13">
        <v>5</v>
      </c>
      <c r="Z169" s="13">
        <f>
              Ifs(
                (Y169 = 'Points-Table'!$A$4), 'Points-Table'!$C$4,
                (Y169 = 'Points-Table'!$A$5), 'Points-Table'!$C$5,
                (Y169 = 'Points-Table'!$A$6), 'Points-Table'!$C$6,
                (Y169 = 'Points-Table'!$A$7), 'Points-Table'!$C$7,
                (Y169 = 'Points-Table'!$A$8), 'Points-Table'!$C$8,
                (Y169 = 'Points-Table'!$A$9), 'Points-Table'!$C$9,
                (Y169 = 'Points-Table'!$A$10), 'Points-Table'!$C$10,
                (Y169 = 'Points-Table'!$A$11), 'Points-Table'!$C$11,
                (Y169 = 'Points-Table'!$A$12), 'Points-Table'!$C$12,
                (Y169 = 'Points-Table'!$A$13), 'Points-Table'!$C$13,
                true, 0
              )
            </f>
      </c>
      <c r="AA169" s="13">
        <f>SUM(V169,X169,Z169)</f>
      </c>
      <c r="AB169" s="13">
        <f>
      Ifs( 
        ISBETWEEN(AA169, 0, 'Points-Table'!C$20, TRUE, False), 'Points-Table'!A$20,
        ISBETWEEN(AA169, 'Points-Table'!C$20, 'Points-Table'!C$21, TRUE, False), 'Points-Table'!A$21,
        ISBETWEEN(AA169, 'Points-Table'!C$22, 10000, TRUE, TRUE), 'Points-Table'!A$22,
        true, 
        0)
      </f>
      </c>
      <c r="AC169" s="13" t="s">
        <v>56</v>
      </c>
      <c r="AD169" s="13" t="s">
        <v>56</v>
      </c>
      <c r="AE169" s="13" t="s">
        <v>56</v>
      </c>
    </row>
    <row r="170" spans="1:31" s="13" customFormat="1" x14ac:dyDescent="0.25">
      <c r="A170" s="13" t="s">
        <v>288</v>
      </c>
      <c r="B170" s="13" t="s">
        <v>291</v>
      </c>
      <c r="D170" s="13"/>
      <c r="E170" s="13"/>
      <c r="F170" s="13"/>
      <c r="G170" s="13"/>
      <c r="H170" s="13"/>
      <c r="I170" s="13"/>
      <c r="J170" s="13"/>
      <c r="K170" s="13" t="s">
        <v>83</v>
      </c>
      <c r="L170" s="13" t="s">
        <v>84</v>
      </c>
      <c r="M170" s="13"/>
      <c r="N170" s="13"/>
      <c r="O170" s="13"/>
      <c r="P170" s="13"/>
      <c r="Q170" s="13">
        <v>1</v>
      </c>
      <c r="R170" s="13">
        <f>
              Ifs(
                (Q170 = 'Points-Table'!$A$4), 'Points-Table'!$C$4,
                (Q170 = 'Points-Table'!$A$5), 'Points-Table'!$C$5,
                (Q170 = 'Points-Table'!$A$6), 'Points-Table'!$C$6,
                (Q170 = 'Points-Table'!$A$7), 'Points-Table'!$C$7,
                (Q170 = 'Points-Table'!$A$8), 'Points-Table'!$C$8,
                (Q170 = 'Points-Table'!$A$9), 'Points-Table'!$C$9,
                (Q170 = 'Points-Table'!$A$10), 'Points-Table'!$C$10,
                (Q170 = 'Points-Table'!$A$11), 'Points-Table'!$C$11,
                (Q170 = 'Points-Table'!$A$12), 'Points-Table'!$C$12,
                (Q170 = 'Points-Table'!$A$13), 'Points-Table'!$C$13,
                true, 0
              )
            </f>
      </c>
      <c r="S170" s="13">
        <v>1</v>
      </c>
      <c r="T170" s="13">
        <f>
              Ifs(
                (S170 = 'Points-Table'!$A$4), 'Points-Table'!$C$4,
                (S170 = 'Points-Table'!$A$5), 'Points-Table'!$C$5,
                (S170 = 'Points-Table'!$A$6), 'Points-Table'!$C$6,
                (S170 = 'Points-Table'!$A$7), 'Points-Table'!$C$7,
                (S170 = 'Points-Table'!$A$8), 'Points-Table'!$C$8,
                (S170 = 'Points-Table'!$A$9), 'Points-Table'!$C$9,
                (S170 = 'Points-Table'!$A$10), 'Points-Table'!$C$10,
                (S170 = 'Points-Table'!$A$11), 'Points-Table'!$C$11,
                (S170 = 'Points-Table'!$A$12), 'Points-Table'!$C$12,
                (S170 = 'Points-Table'!$A$13), 'Points-Table'!$C$13,
                true, 0
              )
            </f>
      </c>
      <c r="U170" s="13">
        <v>2</v>
      </c>
      <c r="V170" s="13">
        <f>
              Ifs(
                (U170 = 'Points-Table'!$A$4), 'Points-Table'!$C$4,
                (U170 = 'Points-Table'!$A$5), 'Points-Table'!$C$5,
                (U170 = 'Points-Table'!$A$6), 'Points-Table'!$C$6,
                (U170 = 'Points-Table'!$A$7), 'Points-Table'!$C$7,
                (U170 = 'Points-Table'!$A$8), 'Points-Table'!$C$8,
                (U170 = 'Points-Table'!$A$9), 'Points-Table'!$C$9,
                (U170 = 'Points-Table'!$A$10), 'Points-Table'!$C$10,
                (U170 = 'Points-Table'!$A$11), 'Points-Table'!$C$11,
                (U170 = 'Points-Table'!$A$12), 'Points-Table'!$C$12,
                (U170 = 'Points-Table'!$A$13), 'Points-Table'!$C$13,
                true, 0
              )
            </f>
      </c>
      <c r="W170" s="13">
        <v>3</v>
      </c>
      <c r="X170" s="13">
        <f>
              Ifs(
                (W170 = 'Points-Table'!$A$4), 'Points-Table'!$C$4,
                (W170 = 'Points-Table'!$A$5), 'Points-Table'!$C$5,
                (W170 = 'Points-Table'!$A$6), 'Points-Table'!$C$6,
                (W170 = 'Points-Table'!$A$7), 'Points-Table'!$C$7,
                (W170 = 'Points-Table'!$A$8), 'Points-Table'!$C$8,
                (W170 = 'Points-Table'!$A$9), 'Points-Table'!$C$9,
                (W170 = 'Points-Table'!$A$10), 'Points-Table'!$C$10,
                (W170 = 'Points-Table'!$A$11), 'Points-Table'!$C$11,
                (W170 = 'Points-Table'!$A$12), 'Points-Table'!$C$12,
                (W170 = 'Points-Table'!$A$13), 'Points-Table'!$C$13,
                true, 0
              )
            </f>
      </c>
      <c r="Y170" s="13">
        <v>5</v>
      </c>
      <c r="Z170" s="13">
        <f>
              Ifs(
                (Y170 = 'Points-Table'!$A$4), 'Points-Table'!$C$4,
                (Y170 = 'Points-Table'!$A$5), 'Points-Table'!$C$5,
                (Y170 = 'Points-Table'!$A$6), 'Points-Table'!$C$6,
                (Y170 = 'Points-Table'!$A$7), 'Points-Table'!$C$7,
                (Y170 = 'Points-Table'!$A$8), 'Points-Table'!$C$8,
                (Y170 = 'Points-Table'!$A$9), 'Points-Table'!$C$9,
                (Y170 = 'Points-Table'!$A$10), 'Points-Table'!$C$10,
                (Y170 = 'Points-Table'!$A$11), 'Points-Table'!$C$11,
                (Y170 = 'Points-Table'!$A$12), 'Points-Table'!$C$12,
                (Y170 = 'Points-Table'!$A$13), 'Points-Table'!$C$13,
                true, 0
              )
            </f>
      </c>
      <c r="AA170" s="13">
        <f>SUM(V170,X170,Z170)</f>
      </c>
      <c r="AB170" s="13">
        <f>
      Ifs( 
        ISBETWEEN(AA170, 0, 'Points-Table'!C$20, TRUE, False), 'Points-Table'!A$20,
        ISBETWEEN(AA170, 'Points-Table'!C$20, 'Points-Table'!C$21, TRUE, False), 'Points-Table'!A$21,
        ISBETWEEN(AA170, 'Points-Table'!C$22, 10000, TRUE, TRUE), 'Points-Table'!A$22,
        true, 
        0)
      </f>
      </c>
      <c r="AC170" s="13" t="s">
        <v>56</v>
      </c>
      <c r="AD170" s="13" t="s">
        <v>56</v>
      </c>
      <c r="AE170" s="13" t="s">
        <v>56</v>
      </c>
    </row>
    <row r="171" spans="1:31" s="13" customFormat="1" x14ac:dyDescent="0.25">
      <c r="A171" s="13" t="s">
        <v>288</v>
      </c>
      <c r="B171" s="13" t="s">
        <v>292</v>
      </c>
      <c r="D171" s="13"/>
      <c r="E171" s="13"/>
      <c r="F171" s="13"/>
      <c r="G171" s="13"/>
      <c r="H171" s="13"/>
      <c r="I171" s="13"/>
      <c r="J171" s="13"/>
      <c r="K171" s="13" t="s">
        <v>83</v>
      </c>
      <c r="L171" s="13" t="s">
        <v>84</v>
      </c>
      <c r="M171" s="13"/>
      <c r="N171" s="13"/>
      <c r="O171" s="13"/>
      <c r="P171" s="13"/>
      <c r="Q171" s="13">
        <v>1</v>
      </c>
      <c r="R171" s="13">
        <f>
              Ifs(
                (Q171 = 'Points-Table'!$A$4), 'Points-Table'!$C$4,
                (Q171 = 'Points-Table'!$A$5), 'Points-Table'!$C$5,
                (Q171 = 'Points-Table'!$A$6), 'Points-Table'!$C$6,
                (Q171 = 'Points-Table'!$A$7), 'Points-Table'!$C$7,
                (Q171 = 'Points-Table'!$A$8), 'Points-Table'!$C$8,
                (Q171 = 'Points-Table'!$A$9), 'Points-Table'!$C$9,
                (Q171 = 'Points-Table'!$A$10), 'Points-Table'!$C$10,
                (Q171 = 'Points-Table'!$A$11), 'Points-Table'!$C$11,
                (Q171 = 'Points-Table'!$A$12), 'Points-Table'!$C$12,
                (Q171 = 'Points-Table'!$A$13), 'Points-Table'!$C$13,
                true, 0
              )
            </f>
      </c>
      <c r="S171" s="13">
        <v>1</v>
      </c>
      <c r="T171" s="13">
        <f>
              Ifs(
                (S171 = 'Points-Table'!$A$4), 'Points-Table'!$C$4,
                (S171 = 'Points-Table'!$A$5), 'Points-Table'!$C$5,
                (S171 = 'Points-Table'!$A$6), 'Points-Table'!$C$6,
                (S171 = 'Points-Table'!$A$7), 'Points-Table'!$C$7,
                (S171 = 'Points-Table'!$A$8), 'Points-Table'!$C$8,
                (S171 = 'Points-Table'!$A$9), 'Points-Table'!$C$9,
                (S171 = 'Points-Table'!$A$10), 'Points-Table'!$C$10,
                (S171 = 'Points-Table'!$A$11), 'Points-Table'!$C$11,
                (S171 = 'Points-Table'!$A$12), 'Points-Table'!$C$12,
                (S171 = 'Points-Table'!$A$13), 'Points-Table'!$C$13,
                true, 0
              )
            </f>
      </c>
      <c r="U171" s="13">
        <v>8</v>
      </c>
      <c r="V171" s="13">
        <f>
              Ifs(
                (U171 = 'Points-Table'!$A$4), 'Points-Table'!$C$4,
                (U171 = 'Points-Table'!$A$5), 'Points-Table'!$C$5,
                (U171 = 'Points-Table'!$A$6), 'Points-Table'!$C$6,
                (U171 = 'Points-Table'!$A$7), 'Points-Table'!$C$7,
                (U171 = 'Points-Table'!$A$8), 'Points-Table'!$C$8,
                (U171 = 'Points-Table'!$A$9), 'Points-Table'!$C$9,
                (U171 = 'Points-Table'!$A$10), 'Points-Table'!$C$10,
                (U171 = 'Points-Table'!$A$11), 'Points-Table'!$C$11,
                (U171 = 'Points-Table'!$A$12), 'Points-Table'!$C$12,
                (U171 = 'Points-Table'!$A$13), 'Points-Table'!$C$13,
                true, 0
              )
            </f>
      </c>
      <c r="W171" s="13">
        <v>8</v>
      </c>
      <c r="X171" s="13">
        <f>
              Ifs(
                (W171 = 'Points-Table'!$A$4), 'Points-Table'!$C$4,
                (W171 = 'Points-Table'!$A$5), 'Points-Table'!$C$5,
                (W171 = 'Points-Table'!$A$6), 'Points-Table'!$C$6,
                (W171 = 'Points-Table'!$A$7), 'Points-Table'!$C$7,
                (W171 = 'Points-Table'!$A$8), 'Points-Table'!$C$8,
                (W171 = 'Points-Table'!$A$9), 'Points-Table'!$C$9,
                (W171 = 'Points-Table'!$A$10), 'Points-Table'!$C$10,
                (W171 = 'Points-Table'!$A$11), 'Points-Table'!$C$11,
                (W171 = 'Points-Table'!$A$12), 'Points-Table'!$C$12,
                (W171 = 'Points-Table'!$A$13), 'Points-Table'!$C$13,
                true, 0
              )
            </f>
      </c>
      <c r="Y171" s="13">
        <v>8</v>
      </c>
      <c r="Z171" s="13">
        <f>
              Ifs(
                (Y171 = 'Points-Table'!$A$4), 'Points-Table'!$C$4,
                (Y171 = 'Points-Table'!$A$5), 'Points-Table'!$C$5,
                (Y171 = 'Points-Table'!$A$6), 'Points-Table'!$C$6,
                (Y171 = 'Points-Table'!$A$7), 'Points-Table'!$C$7,
                (Y171 = 'Points-Table'!$A$8), 'Points-Table'!$C$8,
                (Y171 = 'Points-Table'!$A$9), 'Points-Table'!$C$9,
                (Y171 = 'Points-Table'!$A$10), 'Points-Table'!$C$10,
                (Y171 = 'Points-Table'!$A$11), 'Points-Table'!$C$11,
                (Y171 = 'Points-Table'!$A$12), 'Points-Table'!$C$12,
                (Y171 = 'Points-Table'!$A$13), 'Points-Table'!$C$13,
                true, 0
              )
            </f>
      </c>
      <c r="AA171" s="13">
        <f>SUM(V171,X171,Z171)</f>
      </c>
      <c r="AB171" s="13">
        <f>
      Ifs( 
        ISBETWEEN(AA171, 0, 'Points-Table'!C$20, TRUE, False), 'Points-Table'!A$20,
        ISBETWEEN(AA171, 'Points-Table'!C$20, 'Points-Table'!C$21, TRUE, False), 'Points-Table'!A$21,
        ISBETWEEN(AA171, 'Points-Table'!C$22, 10000, TRUE, TRUE), 'Points-Table'!A$22,
        true, 
        0)
      </f>
      </c>
      <c r="AC171" s="13" t="s">
        <v>56</v>
      </c>
      <c r="AD171" s="13" t="s">
        <v>56</v>
      </c>
      <c r="AE171" s="13" t="s">
        <v>56</v>
      </c>
    </row>
    <row r="172" spans="1:31" s="13" customFormat="1" x14ac:dyDescent="0.25">
      <c r="A172" s="13" t="s">
        <v>288</v>
      </c>
      <c r="B172" s="13" t="s">
        <v>293</v>
      </c>
      <c r="D172" s="13"/>
      <c r="E172" s="13"/>
      <c r="F172" s="13"/>
      <c r="G172" s="13"/>
      <c r="H172" s="13"/>
      <c r="I172" s="13"/>
      <c r="J172" s="13"/>
      <c r="K172" s="13" t="s">
        <v>83</v>
      </c>
      <c r="L172" s="13" t="s">
        <v>84</v>
      </c>
      <c r="M172" s="13"/>
      <c r="N172" s="13"/>
      <c r="O172" s="13"/>
      <c r="P172" s="13"/>
      <c r="Q172" s="13"/>
      <c r="R172" s="13">
        <f>
              Ifs(
                (Q172 = 'Points-Table'!$A$4), 'Points-Table'!$C$4,
                (Q172 = 'Points-Table'!$A$5), 'Points-Table'!$C$5,
                (Q172 = 'Points-Table'!$A$6), 'Points-Table'!$C$6,
                (Q172 = 'Points-Table'!$A$7), 'Points-Table'!$C$7,
                (Q172 = 'Points-Table'!$A$8), 'Points-Table'!$C$8,
                (Q172 = 'Points-Table'!$A$9), 'Points-Table'!$C$9,
                (Q172 = 'Points-Table'!$A$10), 'Points-Table'!$C$10,
                (Q172 = 'Points-Table'!$A$11), 'Points-Table'!$C$11,
                (Q172 = 'Points-Table'!$A$12), 'Points-Table'!$C$12,
                (Q172 = 'Points-Table'!$A$13), 'Points-Table'!$C$13,
                true, 0
              )
            </f>
      </c>
      <c r="S172" s="13"/>
      <c r="T172" s="13">
        <f>
              Ifs(
                (S172 = 'Points-Table'!$A$4), 'Points-Table'!$C$4,
                (S172 = 'Points-Table'!$A$5), 'Points-Table'!$C$5,
                (S172 = 'Points-Table'!$A$6), 'Points-Table'!$C$6,
                (S172 = 'Points-Table'!$A$7), 'Points-Table'!$C$7,
                (S172 = 'Points-Table'!$A$8), 'Points-Table'!$C$8,
                (S172 = 'Points-Table'!$A$9), 'Points-Table'!$C$9,
                (S172 = 'Points-Table'!$A$10), 'Points-Table'!$C$10,
                (S172 = 'Points-Table'!$A$11), 'Points-Table'!$C$11,
                (S172 = 'Points-Table'!$A$12), 'Points-Table'!$C$12,
                (S172 = 'Points-Table'!$A$13), 'Points-Table'!$C$13,
                true, 0
              )
            </f>
      </c>
      <c r="U172" s="13">
        <v>2</v>
      </c>
      <c r="V172" s="13">
        <f>
              Ifs(
                (U172 = 'Points-Table'!$A$4), 'Points-Table'!$C$4,
                (U172 = 'Points-Table'!$A$5), 'Points-Table'!$C$5,
                (U172 = 'Points-Table'!$A$6), 'Points-Table'!$C$6,
                (U172 = 'Points-Table'!$A$7), 'Points-Table'!$C$7,
                (U172 = 'Points-Table'!$A$8), 'Points-Table'!$C$8,
                (U172 = 'Points-Table'!$A$9), 'Points-Table'!$C$9,
                (U172 = 'Points-Table'!$A$10), 'Points-Table'!$C$10,
                (U172 = 'Points-Table'!$A$11), 'Points-Table'!$C$11,
                (U172 = 'Points-Table'!$A$12), 'Points-Table'!$C$12,
                (U172 = 'Points-Table'!$A$13), 'Points-Table'!$C$13,
                true, 0
              )
            </f>
      </c>
      <c r="W172" s="13">
        <v>5</v>
      </c>
      <c r="X172" s="13">
        <f>
              Ifs(
                (W172 = 'Points-Table'!$A$4), 'Points-Table'!$C$4,
                (W172 = 'Points-Table'!$A$5), 'Points-Table'!$C$5,
                (W172 = 'Points-Table'!$A$6), 'Points-Table'!$C$6,
                (W172 = 'Points-Table'!$A$7), 'Points-Table'!$C$7,
                (W172 = 'Points-Table'!$A$8), 'Points-Table'!$C$8,
                (W172 = 'Points-Table'!$A$9), 'Points-Table'!$C$9,
                (W172 = 'Points-Table'!$A$10), 'Points-Table'!$C$10,
                (W172 = 'Points-Table'!$A$11), 'Points-Table'!$C$11,
                (W172 = 'Points-Table'!$A$12), 'Points-Table'!$C$12,
                (W172 = 'Points-Table'!$A$13), 'Points-Table'!$C$13,
                true, 0
              )
            </f>
      </c>
      <c r="Y172" s="13">
        <v>5</v>
      </c>
      <c r="Z172" s="13">
        <f>
              Ifs(
                (Y172 = 'Points-Table'!$A$4), 'Points-Table'!$C$4,
                (Y172 = 'Points-Table'!$A$5), 'Points-Table'!$C$5,
                (Y172 = 'Points-Table'!$A$6), 'Points-Table'!$C$6,
                (Y172 = 'Points-Table'!$A$7), 'Points-Table'!$C$7,
                (Y172 = 'Points-Table'!$A$8), 'Points-Table'!$C$8,
                (Y172 = 'Points-Table'!$A$9), 'Points-Table'!$C$9,
                (Y172 = 'Points-Table'!$A$10), 'Points-Table'!$C$10,
                (Y172 = 'Points-Table'!$A$11), 'Points-Table'!$C$11,
                (Y172 = 'Points-Table'!$A$12), 'Points-Table'!$C$12,
                (Y172 = 'Points-Table'!$A$13), 'Points-Table'!$C$13,
                true, 0
              )
            </f>
      </c>
      <c r="AA172" s="13">
        <f>SUM(V172,X172,Z172)</f>
      </c>
      <c r="AB172" s="13">
        <f>
      Ifs( 
        ISBETWEEN(AA172, 0, 'Points-Table'!C$20, TRUE, False), 'Points-Table'!A$20,
        ISBETWEEN(AA172, 'Points-Table'!C$20, 'Points-Table'!C$21, TRUE, False), 'Points-Table'!A$21,
        ISBETWEEN(AA172, 'Points-Table'!C$22, 10000, TRUE, TRUE), 'Points-Table'!A$22,
        true, 
        0)
      </f>
      </c>
      <c r="AC172" s="13" t="s">
        <v>56</v>
      </c>
      <c r="AD172" s="13" t="s">
        <v>56</v>
      </c>
      <c r="AE172" s="13" t="s">
        <v>56</v>
      </c>
    </row>
    <row r="173" spans="1:31" s="13" customFormat="1" x14ac:dyDescent="0.25">
      <c r="A173" s="13" t="s">
        <v>288</v>
      </c>
      <c r="B173" s="13" t="s">
        <v>294</v>
      </c>
      <c r="D173" s="13"/>
      <c r="E173" s="13"/>
      <c r="F173" s="13"/>
      <c r="G173" s="13"/>
      <c r="H173" s="13"/>
      <c r="I173" s="13"/>
      <c r="J173" s="13"/>
      <c r="K173" s="13" t="s">
        <v>83</v>
      </c>
      <c r="L173" s="13" t="s">
        <v>84</v>
      </c>
      <c r="M173" s="13"/>
      <c r="N173" s="13"/>
      <c r="O173" s="13"/>
      <c r="P173" s="13"/>
      <c r="Q173" s="13"/>
      <c r="R173" s="13">
        <f>
              Ifs(
                (Q173 = 'Points-Table'!$A$4), 'Points-Table'!$C$4,
                (Q173 = 'Points-Table'!$A$5), 'Points-Table'!$C$5,
                (Q173 = 'Points-Table'!$A$6), 'Points-Table'!$C$6,
                (Q173 = 'Points-Table'!$A$7), 'Points-Table'!$C$7,
                (Q173 = 'Points-Table'!$A$8), 'Points-Table'!$C$8,
                (Q173 = 'Points-Table'!$A$9), 'Points-Table'!$C$9,
                (Q173 = 'Points-Table'!$A$10), 'Points-Table'!$C$10,
                (Q173 = 'Points-Table'!$A$11), 'Points-Table'!$C$11,
                (Q173 = 'Points-Table'!$A$12), 'Points-Table'!$C$12,
                (Q173 = 'Points-Table'!$A$13), 'Points-Table'!$C$13,
                true, 0
              )
            </f>
      </c>
      <c r="S173" s="13"/>
      <c r="T173" s="13">
        <f>
              Ifs(
                (S173 = 'Points-Table'!$A$4), 'Points-Table'!$C$4,
                (S173 = 'Points-Table'!$A$5), 'Points-Table'!$C$5,
                (S173 = 'Points-Table'!$A$6), 'Points-Table'!$C$6,
                (S173 = 'Points-Table'!$A$7), 'Points-Table'!$C$7,
                (S173 = 'Points-Table'!$A$8), 'Points-Table'!$C$8,
                (S173 = 'Points-Table'!$A$9), 'Points-Table'!$C$9,
                (S173 = 'Points-Table'!$A$10), 'Points-Table'!$C$10,
                (S173 = 'Points-Table'!$A$11), 'Points-Table'!$C$11,
                (S173 = 'Points-Table'!$A$12), 'Points-Table'!$C$12,
                (S173 = 'Points-Table'!$A$13), 'Points-Table'!$C$13,
                true, 0
              )
            </f>
      </c>
      <c r="U173" s="13">
        <v>8</v>
      </c>
      <c r="V173" s="13">
        <f>
              Ifs(
                (U173 = 'Points-Table'!$A$4), 'Points-Table'!$C$4,
                (U173 = 'Points-Table'!$A$5), 'Points-Table'!$C$5,
                (U173 = 'Points-Table'!$A$6), 'Points-Table'!$C$6,
                (U173 = 'Points-Table'!$A$7), 'Points-Table'!$C$7,
                (U173 = 'Points-Table'!$A$8), 'Points-Table'!$C$8,
                (U173 = 'Points-Table'!$A$9), 'Points-Table'!$C$9,
                (U173 = 'Points-Table'!$A$10), 'Points-Table'!$C$10,
                (U173 = 'Points-Table'!$A$11), 'Points-Table'!$C$11,
                (U173 = 'Points-Table'!$A$12), 'Points-Table'!$C$12,
                (U173 = 'Points-Table'!$A$13), 'Points-Table'!$C$13,
                true, 0
              )
            </f>
      </c>
      <c r="W173" s="13">
        <v>8</v>
      </c>
      <c r="X173" s="13">
        <f>
              Ifs(
                (W173 = 'Points-Table'!$A$4), 'Points-Table'!$C$4,
                (W173 = 'Points-Table'!$A$5), 'Points-Table'!$C$5,
                (W173 = 'Points-Table'!$A$6), 'Points-Table'!$C$6,
                (W173 = 'Points-Table'!$A$7), 'Points-Table'!$C$7,
                (W173 = 'Points-Table'!$A$8), 'Points-Table'!$C$8,
                (W173 = 'Points-Table'!$A$9), 'Points-Table'!$C$9,
                (W173 = 'Points-Table'!$A$10), 'Points-Table'!$C$10,
                (W173 = 'Points-Table'!$A$11), 'Points-Table'!$C$11,
                (W173 = 'Points-Table'!$A$12), 'Points-Table'!$C$12,
                (W173 = 'Points-Table'!$A$13), 'Points-Table'!$C$13,
                true, 0
              )
            </f>
      </c>
      <c r="Y173" s="13">
        <v>8</v>
      </c>
      <c r="Z173" s="13">
        <f>
              Ifs(
                (Y173 = 'Points-Table'!$A$4), 'Points-Table'!$C$4,
                (Y173 = 'Points-Table'!$A$5), 'Points-Table'!$C$5,
                (Y173 = 'Points-Table'!$A$6), 'Points-Table'!$C$6,
                (Y173 = 'Points-Table'!$A$7), 'Points-Table'!$C$7,
                (Y173 = 'Points-Table'!$A$8), 'Points-Table'!$C$8,
                (Y173 = 'Points-Table'!$A$9), 'Points-Table'!$C$9,
                (Y173 = 'Points-Table'!$A$10), 'Points-Table'!$C$10,
                (Y173 = 'Points-Table'!$A$11), 'Points-Table'!$C$11,
                (Y173 = 'Points-Table'!$A$12), 'Points-Table'!$C$12,
                (Y173 = 'Points-Table'!$A$13), 'Points-Table'!$C$13,
                true, 0
              )
            </f>
      </c>
      <c r="AA173" s="13">
        <f>SUM(V173,X173,Z173)</f>
      </c>
      <c r="AB173" s="13">
        <f>
      Ifs( 
        ISBETWEEN(AA173, 0, 'Points-Table'!C$20, TRUE, False), 'Points-Table'!A$20,
        ISBETWEEN(AA173, 'Points-Table'!C$20, 'Points-Table'!C$21, TRUE, False), 'Points-Table'!A$21,
        ISBETWEEN(AA173, 'Points-Table'!C$22, 10000, TRUE, TRUE), 'Points-Table'!A$22,
        true, 
        0)
      </f>
      </c>
      <c r="AC173" s="13" t="s">
        <v>56</v>
      </c>
      <c r="AD173" s="13" t="s">
        <v>56</v>
      </c>
      <c r="AE173" s="13" t="s">
        <v>56</v>
      </c>
    </row>
    <row r="174" spans="1:31" s="6" customFormat="1" x14ac:dyDescent="0.25">
      <c r="A174" s="6" t="s">
        <v>288</v>
      </c>
      <c r="B174" s="6" t="s">
        <v>295</v>
      </c>
      <c r="D174" s="6"/>
      <c r="E174" s="6"/>
      <c r="F174" s="6"/>
      <c r="G174" s="6"/>
      <c r="H174" s="6"/>
      <c r="I174" s="6"/>
      <c r="J174" s="6"/>
      <c r="K174" s="6" t="s">
        <v>83</v>
      </c>
      <c r="L174" s="6" t="s">
        <v>84</v>
      </c>
      <c r="M174" s="6"/>
      <c r="N174" s="6"/>
      <c r="O174" s="6"/>
      <c r="P174" s="6"/>
      <c r="Q174" s="11"/>
      <c r="R174" s="12">
        <f>
              Ifs(
                (Q174 = 'Points-Table'!$A$4), 'Points-Table'!$C$4,
                (Q174 = 'Points-Table'!$A$5), 'Points-Table'!$C$5,
                (Q174 = 'Points-Table'!$A$6), 'Points-Table'!$C$6,
                (Q174 = 'Points-Table'!$A$7), 'Points-Table'!$C$7,
                (Q174 = 'Points-Table'!$A$8), 'Points-Table'!$C$8,
                (Q174 = 'Points-Table'!$A$9), 'Points-Table'!$C$9,
                (Q174 = 'Points-Table'!$A$10), 'Points-Table'!$C$10,
                (Q174 = 'Points-Table'!$A$11), 'Points-Table'!$C$11,
                (Q174 = 'Points-Table'!$A$12), 'Points-Table'!$C$12,
                (Q174 = 'Points-Table'!$A$13), 'Points-Table'!$C$13,
                true, 0
              )
            </f>
      </c>
      <c r="S174" s="11"/>
      <c r="T174" s="12">
        <f>
              Ifs(
                (S174 = 'Points-Table'!$A$4), 'Points-Table'!$C$4,
                (S174 = 'Points-Table'!$A$5), 'Points-Table'!$C$5,
                (S174 = 'Points-Table'!$A$6), 'Points-Table'!$C$6,
                (S174 = 'Points-Table'!$A$7), 'Points-Table'!$C$7,
                (S174 = 'Points-Table'!$A$8), 'Points-Table'!$C$8,
                (S174 = 'Points-Table'!$A$9), 'Points-Table'!$C$9,
                (S174 = 'Points-Table'!$A$10), 'Points-Table'!$C$10,
                (S174 = 'Points-Table'!$A$11), 'Points-Table'!$C$11,
                (S174 = 'Points-Table'!$A$12), 'Points-Table'!$C$12,
                (S174 = 'Points-Table'!$A$13), 'Points-Table'!$C$13,
                true, 0
              )
            </f>
      </c>
      <c r="U174" s="11">
        <v>5</v>
      </c>
      <c r="V174" s="12">
        <f>
              Ifs(
                (U174 = 'Points-Table'!$A$4), 'Points-Table'!$C$4,
                (U174 = 'Points-Table'!$A$5), 'Points-Table'!$C$5,
                (U174 = 'Points-Table'!$A$6), 'Points-Table'!$C$6,
                (U174 = 'Points-Table'!$A$7), 'Points-Table'!$C$7,
                (U174 = 'Points-Table'!$A$8), 'Points-Table'!$C$8,
                (U174 = 'Points-Table'!$A$9), 'Points-Table'!$C$9,
                (U174 = 'Points-Table'!$A$10), 'Points-Table'!$C$10,
                (U174 = 'Points-Table'!$A$11), 'Points-Table'!$C$11,
                (U174 = 'Points-Table'!$A$12), 'Points-Table'!$C$12,
                (U174 = 'Points-Table'!$A$13), 'Points-Table'!$C$13,
                true, 0
              )
            </f>
      </c>
      <c r="W174" s="11">
        <v>2</v>
      </c>
      <c r="X174" s="12">
        <f>
              Ifs(
                (W174 = 'Points-Table'!$A$4), 'Points-Table'!$C$4,
                (W174 = 'Points-Table'!$A$5), 'Points-Table'!$C$5,
                (W174 = 'Points-Table'!$A$6), 'Points-Table'!$C$6,
                (W174 = 'Points-Table'!$A$7), 'Points-Table'!$C$7,
                (W174 = 'Points-Table'!$A$8), 'Points-Table'!$C$8,
                (W174 = 'Points-Table'!$A$9), 'Points-Table'!$C$9,
                (W174 = 'Points-Table'!$A$10), 'Points-Table'!$C$10,
                (W174 = 'Points-Table'!$A$11), 'Points-Table'!$C$11,
                (W174 = 'Points-Table'!$A$12), 'Points-Table'!$C$12,
                (W174 = 'Points-Table'!$A$13), 'Points-Table'!$C$13,
                true, 0
              )
            </f>
      </c>
      <c r="Y174" s="11">
        <v>5</v>
      </c>
      <c r="Z174" s="12">
        <f>
              Ifs(
                (Y174 = 'Points-Table'!$A$4), 'Points-Table'!$C$4,
                (Y174 = 'Points-Table'!$A$5), 'Points-Table'!$C$5,
                (Y174 = 'Points-Table'!$A$6), 'Points-Table'!$C$6,
                (Y174 = 'Points-Table'!$A$7), 'Points-Table'!$C$7,
                (Y174 = 'Points-Table'!$A$8), 'Points-Table'!$C$8,
                (Y174 = 'Points-Table'!$A$9), 'Points-Table'!$C$9,
                (Y174 = 'Points-Table'!$A$10), 'Points-Table'!$C$10,
                (Y174 = 'Points-Table'!$A$11), 'Points-Table'!$C$11,
                (Y174 = 'Points-Table'!$A$12), 'Points-Table'!$C$12,
                (Y174 = 'Points-Table'!$A$13), 'Points-Table'!$C$13,
                true, 0
              )
            </f>
      </c>
      <c r="AA174" s="6">
        <f>SUM(V174,X174,Z174)</f>
      </c>
      <c r="AB174" s="6">
        <f>
      Ifs( 
        ISBETWEEN(AA174, 0, 'Points-Table'!C$20, TRUE, False), 'Points-Table'!A$20,
        ISBETWEEN(AA174, 'Points-Table'!C$20, 'Points-Table'!C$21, TRUE, False), 'Points-Table'!A$21,
        ISBETWEEN(AA174, 'Points-Table'!C$22, 10000, TRUE, TRUE), 'Points-Table'!A$22,
        true, 
        0)
      </f>
      </c>
      <c r="AC174" s="6" t="s">
        <v>56</v>
      </c>
      <c r="AD174" s="6" t="s">
        <v>56</v>
      </c>
      <c r="AE174" s="6" t="s">
        <v>56</v>
      </c>
    </row>
    <row r="175" spans="1:31" s="6" customFormat="1" x14ac:dyDescent="0.25">
      <c r="A175" s="6" t="s">
        <v>288</v>
      </c>
      <c r="B175" s="6" t="s">
        <v>296</v>
      </c>
      <c r="D175" s="6"/>
      <c r="E175" s="6"/>
      <c r="F175" s="6"/>
      <c r="G175" s="6"/>
      <c r="H175" s="6"/>
      <c r="I175" s="6"/>
      <c r="J175" s="6"/>
      <c r="K175" s="6" t="s">
        <v>83</v>
      </c>
      <c r="L175" s="6" t="s">
        <v>84</v>
      </c>
      <c r="M175" s="6"/>
      <c r="N175" s="6"/>
      <c r="O175" s="6"/>
      <c r="P175" s="6"/>
      <c r="Q175" s="11"/>
      <c r="R175" s="12">
        <f>
              Ifs(
                (Q175 = 'Points-Table'!$A$4), 'Points-Table'!$C$4,
                (Q175 = 'Points-Table'!$A$5), 'Points-Table'!$C$5,
                (Q175 = 'Points-Table'!$A$6), 'Points-Table'!$C$6,
                (Q175 = 'Points-Table'!$A$7), 'Points-Table'!$C$7,
                (Q175 = 'Points-Table'!$A$8), 'Points-Table'!$C$8,
                (Q175 = 'Points-Table'!$A$9), 'Points-Table'!$C$9,
                (Q175 = 'Points-Table'!$A$10), 'Points-Table'!$C$10,
                (Q175 = 'Points-Table'!$A$11), 'Points-Table'!$C$11,
                (Q175 = 'Points-Table'!$A$12), 'Points-Table'!$C$12,
                (Q175 = 'Points-Table'!$A$13), 'Points-Table'!$C$13,
                true, 0
              )
            </f>
      </c>
      <c r="S175" s="11"/>
      <c r="T175" s="12">
        <f>
              Ifs(
                (S175 = 'Points-Table'!$A$4), 'Points-Table'!$C$4,
                (S175 = 'Points-Table'!$A$5), 'Points-Table'!$C$5,
                (S175 = 'Points-Table'!$A$6), 'Points-Table'!$C$6,
                (S175 = 'Points-Table'!$A$7), 'Points-Table'!$C$7,
                (S175 = 'Points-Table'!$A$8), 'Points-Table'!$C$8,
                (S175 = 'Points-Table'!$A$9), 'Points-Table'!$C$9,
                (S175 = 'Points-Table'!$A$10), 'Points-Table'!$C$10,
                (S175 = 'Points-Table'!$A$11), 'Points-Table'!$C$11,
                (S175 = 'Points-Table'!$A$12), 'Points-Table'!$C$12,
                (S175 = 'Points-Table'!$A$13), 'Points-Table'!$C$13,
                true, 0
              )
            </f>
      </c>
      <c r="U175" s="11">
        <v>5</v>
      </c>
      <c r="V175" s="12">
        <f>
              Ifs(
                (U175 = 'Points-Table'!$A$4), 'Points-Table'!$C$4,
                (U175 = 'Points-Table'!$A$5), 'Points-Table'!$C$5,
                (U175 = 'Points-Table'!$A$6), 'Points-Table'!$C$6,
                (U175 = 'Points-Table'!$A$7), 'Points-Table'!$C$7,
                (U175 = 'Points-Table'!$A$8), 'Points-Table'!$C$8,
                (U175 = 'Points-Table'!$A$9), 'Points-Table'!$C$9,
                (U175 = 'Points-Table'!$A$10), 'Points-Table'!$C$10,
                (U175 = 'Points-Table'!$A$11), 'Points-Table'!$C$11,
                (U175 = 'Points-Table'!$A$12), 'Points-Table'!$C$12,
                (U175 = 'Points-Table'!$A$13), 'Points-Table'!$C$13,
                true, 0
              )
            </f>
      </c>
      <c r="W175" s="11">
        <v>2</v>
      </c>
      <c r="X175" s="12">
        <f>
              Ifs(
                (W175 = 'Points-Table'!$A$4), 'Points-Table'!$C$4,
                (W175 = 'Points-Table'!$A$5), 'Points-Table'!$C$5,
                (W175 = 'Points-Table'!$A$6), 'Points-Table'!$C$6,
                (W175 = 'Points-Table'!$A$7), 'Points-Table'!$C$7,
                (W175 = 'Points-Table'!$A$8), 'Points-Table'!$C$8,
                (W175 = 'Points-Table'!$A$9), 'Points-Table'!$C$9,
                (W175 = 'Points-Table'!$A$10), 'Points-Table'!$C$10,
                (W175 = 'Points-Table'!$A$11), 'Points-Table'!$C$11,
                (W175 = 'Points-Table'!$A$12), 'Points-Table'!$C$12,
                (W175 = 'Points-Table'!$A$13), 'Points-Table'!$C$13,
                true, 0
              )
            </f>
      </c>
      <c r="Y175" s="11">
        <v>5</v>
      </c>
      <c r="Z175" s="12">
        <f>
              Ifs(
                (Y175 = 'Points-Table'!$A$4), 'Points-Table'!$C$4,
                (Y175 = 'Points-Table'!$A$5), 'Points-Table'!$C$5,
                (Y175 = 'Points-Table'!$A$6), 'Points-Table'!$C$6,
                (Y175 = 'Points-Table'!$A$7), 'Points-Table'!$C$7,
                (Y175 = 'Points-Table'!$A$8), 'Points-Table'!$C$8,
                (Y175 = 'Points-Table'!$A$9), 'Points-Table'!$C$9,
                (Y175 = 'Points-Table'!$A$10), 'Points-Table'!$C$10,
                (Y175 = 'Points-Table'!$A$11), 'Points-Table'!$C$11,
                (Y175 = 'Points-Table'!$A$12), 'Points-Table'!$C$12,
                (Y175 = 'Points-Table'!$A$13), 'Points-Table'!$C$13,
                true, 0
              )
            </f>
      </c>
      <c r="AA175" s="6">
        <f>SUM(V175,X175,Z175)</f>
      </c>
      <c r="AB175" s="6">
        <f>
      Ifs( 
        ISBETWEEN(AA175, 0, 'Points-Table'!C$20, TRUE, False), 'Points-Table'!A$20,
        ISBETWEEN(AA175, 'Points-Table'!C$20, 'Points-Table'!C$21, TRUE, False), 'Points-Table'!A$21,
        ISBETWEEN(AA175, 'Points-Table'!C$22, 10000, TRUE, TRUE), 'Points-Table'!A$22,
        true, 
        0)
      </f>
      </c>
      <c r="AC175" s="6" t="s">
        <v>56</v>
      </c>
      <c r="AD175" s="6" t="s">
        <v>56</v>
      </c>
      <c r="AE175" s="6" t="s">
        <v>56</v>
      </c>
    </row>
    <row r="176" spans="1:31" s="6" customFormat="1" x14ac:dyDescent="0.25">
      <c r="A176" s="6" t="s">
        <v>288</v>
      </c>
      <c r="B176" s="6" t="s">
        <v>297</v>
      </c>
      <c r="C176" s="6" t="s">
        <v>298</v>
      </c>
      <c r="D176" s="6"/>
      <c r="E176" s="6"/>
      <c r="F176" s="6"/>
      <c r="G176" s="6"/>
      <c r="H176" s="6"/>
      <c r="I176" s="6"/>
      <c r="J176" s="6"/>
      <c r="K176" s="6" t="s">
        <v>83</v>
      </c>
      <c r="L176" s="6" t="s">
        <v>84</v>
      </c>
      <c r="M176" s="6"/>
      <c r="N176" s="6"/>
      <c r="O176" s="6"/>
      <c r="P176" s="6"/>
      <c r="Q176" s="11"/>
      <c r="R176" s="12">
        <f>
              Ifs(
                (Q176 = 'Points-Table'!$A$4), 'Points-Table'!$C$4,
                (Q176 = 'Points-Table'!$A$5), 'Points-Table'!$C$5,
                (Q176 = 'Points-Table'!$A$6), 'Points-Table'!$C$6,
                (Q176 = 'Points-Table'!$A$7), 'Points-Table'!$C$7,
                (Q176 = 'Points-Table'!$A$8), 'Points-Table'!$C$8,
                (Q176 = 'Points-Table'!$A$9), 'Points-Table'!$C$9,
                (Q176 = 'Points-Table'!$A$10), 'Points-Table'!$C$10,
                (Q176 = 'Points-Table'!$A$11), 'Points-Table'!$C$11,
                (Q176 = 'Points-Table'!$A$12), 'Points-Table'!$C$12,
                (Q176 = 'Points-Table'!$A$13), 'Points-Table'!$C$13,
                true, 0
              )
            </f>
      </c>
      <c r="S176" s="11"/>
      <c r="T176" s="12">
        <f>
              Ifs(
                (S176 = 'Points-Table'!$A$4), 'Points-Table'!$C$4,
                (S176 = 'Points-Table'!$A$5), 'Points-Table'!$C$5,
                (S176 = 'Points-Table'!$A$6), 'Points-Table'!$C$6,
                (S176 = 'Points-Table'!$A$7), 'Points-Table'!$C$7,
                (S176 = 'Points-Table'!$A$8), 'Points-Table'!$C$8,
                (S176 = 'Points-Table'!$A$9), 'Points-Table'!$C$9,
                (S176 = 'Points-Table'!$A$10), 'Points-Table'!$C$10,
                (S176 = 'Points-Table'!$A$11), 'Points-Table'!$C$11,
                (S176 = 'Points-Table'!$A$12), 'Points-Table'!$C$12,
                (S176 = 'Points-Table'!$A$13), 'Points-Table'!$C$13,
                true, 0
              )
            </f>
      </c>
      <c r="U176" s="11">
        <v>5</v>
      </c>
      <c r="V176" s="12">
        <f>
              Ifs(
                (U176 = 'Points-Table'!$A$4), 'Points-Table'!$C$4,
                (U176 = 'Points-Table'!$A$5), 'Points-Table'!$C$5,
                (U176 = 'Points-Table'!$A$6), 'Points-Table'!$C$6,
                (U176 = 'Points-Table'!$A$7), 'Points-Table'!$C$7,
                (U176 = 'Points-Table'!$A$8), 'Points-Table'!$C$8,
                (U176 = 'Points-Table'!$A$9), 'Points-Table'!$C$9,
                (U176 = 'Points-Table'!$A$10), 'Points-Table'!$C$10,
                (U176 = 'Points-Table'!$A$11), 'Points-Table'!$C$11,
                (U176 = 'Points-Table'!$A$12), 'Points-Table'!$C$12,
                (U176 = 'Points-Table'!$A$13), 'Points-Table'!$C$13,
                true, 0
              )
            </f>
      </c>
      <c r="W176" s="11">
        <v>0</v>
      </c>
      <c r="X176" s="12">
        <f>
              Ifs(
                (W176 = 'Points-Table'!$A$4), 'Points-Table'!$C$4,
                (W176 = 'Points-Table'!$A$5), 'Points-Table'!$C$5,
                (W176 = 'Points-Table'!$A$6), 'Points-Table'!$C$6,
                (W176 = 'Points-Table'!$A$7), 'Points-Table'!$C$7,
                (W176 = 'Points-Table'!$A$8), 'Points-Table'!$C$8,
                (W176 = 'Points-Table'!$A$9), 'Points-Table'!$C$9,
                (W176 = 'Points-Table'!$A$10), 'Points-Table'!$C$10,
                (W176 = 'Points-Table'!$A$11), 'Points-Table'!$C$11,
                (W176 = 'Points-Table'!$A$12), 'Points-Table'!$C$12,
                (W176 = 'Points-Table'!$A$13), 'Points-Table'!$C$13,
                true, 0
              )
            </f>
      </c>
      <c r="Y176" s="11">
        <v>0</v>
      </c>
      <c r="Z176" s="12">
        <f>
              Ifs(
                (Y176 = 'Points-Table'!$A$4), 'Points-Table'!$C$4,
                (Y176 = 'Points-Table'!$A$5), 'Points-Table'!$C$5,
                (Y176 = 'Points-Table'!$A$6), 'Points-Table'!$C$6,
                (Y176 = 'Points-Table'!$A$7), 'Points-Table'!$C$7,
                (Y176 = 'Points-Table'!$A$8), 'Points-Table'!$C$8,
                (Y176 = 'Points-Table'!$A$9), 'Points-Table'!$C$9,
                (Y176 = 'Points-Table'!$A$10), 'Points-Table'!$C$10,
                (Y176 = 'Points-Table'!$A$11), 'Points-Table'!$C$11,
                (Y176 = 'Points-Table'!$A$12), 'Points-Table'!$C$12,
                (Y176 = 'Points-Table'!$A$13), 'Points-Table'!$C$13,
                true, 0
              )
            </f>
      </c>
      <c r="AA176" s="6">
        <f>SUM(V176,X176,Z176)</f>
      </c>
      <c r="AB176" s="6">
        <f>
      Ifs( 
        ISBETWEEN(AA176, 0, 'Points-Table'!C$20, TRUE, False), 'Points-Table'!A$20,
        ISBETWEEN(AA176, 'Points-Table'!C$20, 'Points-Table'!C$21, TRUE, False), 'Points-Table'!A$21,
        ISBETWEEN(AA176, 'Points-Table'!C$22, 10000, TRUE, TRUE), 'Points-Table'!A$22,
        true, 
        0)
      </f>
      </c>
      <c r="AC176" s="6" t="s">
        <v>56</v>
      </c>
      <c r="AD176" s="6" t="s">
        <v>56</v>
      </c>
      <c r="AE176" s="6" t="s">
        <v>56</v>
      </c>
    </row>
    <row r="177" spans="1:31" s="6" customFormat="1" x14ac:dyDescent="0.25">
      <c r="A177" s="6" t="s">
        <v>288</v>
      </c>
      <c r="B177" s="6" t="s">
        <v>297</v>
      </c>
      <c r="C177" s="6" t="s">
        <v>299</v>
      </c>
      <c r="D177" s="6"/>
      <c r="E177" s="6"/>
      <c r="F177" s="6"/>
      <c r="G177" s="6"/>
      <c r="H177" s="6"/>
      <c r="I177" s="6"/>
      <c r="J177" s="6"/>
      <c r="K177" s="6" t="s">
        <v>83</v>
      </c>
      <c r="L177" s="6" t="s">
        <v>84</v>
      </c>
      <c r="M177" s="6"/>
      <c r="N177" s="6"/>
      <c r="O177" s="6"/>
      <c r="P177" s="6"/>
      <c r="Q177" s="11"/>
      <c r="R177" s="12">
        <f>
              Ifs(
                (Q177 = 'Points-Table'!$A$4), 'Points-Table'!$C$4,
                (Q177 = 'Points-Table'!$A$5), 'Points-Table'!$C$5,
                (Q177 = 'Points-Table'!$A$6), 'Points-Table'!$C$6,
                (Q177 = 'Points-Table'!$A$7), 'Points-Table'!$C$7,
                (Q177 = 'Points-Table'!$A$8), 'Points-Table'!$C$8,
                (Q177 = 'Points-Table'!$A$9), 'Points-Table'!$C$9,
                (Q177 = 'Points-Table'!$A$10), 'Points-Table'!$C$10,
                (Q177 = 'Points-Table'!$A$11), 'Points-Table'!$C$11,
                (Q177 = 'Points-Table'!$A$12), 'Points-Table'!$C$12,
                (Q177 = 'Points-Table'!$A$13), 'Points-Table'!$C$13,
                true, 0
              )
            </f>
      </c>
      <c r="S177" s="11"/>
      <c r="T177" s="12">
        <f>
              Ifs(
                (S177 = 'Points-Table'!$A$4), 'Points-Table'!$C$4,
                (S177 = 'Points-Table'!$A$5), 'Points-Table'!$C$5,
                (S177 = 'Points-Table'!$A$6), 'Points-Table'!$C$6,
                (S177 = 'Points-Table'!$A$7), 'Points-Table'!$C$7,
                (S177 = 'Points-Table'!$A$8), 'Points-Table'!$C$8,
                (S177 = 'Points-Table'!$A$9), 'Points-Table'!$C$9,
                (S177 = 'Points-Table'!$A$10), 'Points-Table'!$C$10,
                (S177 = 'Points-Table'!$A$11), 'Points-Table'!$C$11,
                (S177 = 'Points-Table'!$A$12), 'Points-Table'!$C$12,
                (S177 = 'Points-Table'!$A$13), 'Points-Table'!$C$13,
                true, 0
              )
            </f>
      </c>
      <c r="U177" s="11">
        <v>3</v>
      </c>
      <c r="V177" s="12">
        <f>
              Ifs(
                (U177 = 'Points-Table'!$A$4), 'Points-Table'!$C$4,
                (U177 = 'Points-Table'!$A$5), 'Points-Table'!$C$5,
                (U177 = 'Points-Table'!$A$6), 'Points-Table'!$C$6,
                (U177 = 'Points-Table'!$A$7), 'Points-Table'!$C$7,
                (U177 = 'Points-Table'!$A$8), 'Points-Table'!$C$8,
                (U177 = 'Points-Table'!$A$9), 'Points-Table'!$C$9,
                (U177 = 'Points-Table'!$A$10), 'Points-Table'!$C$10,
                (U177 = 'Points-Table'!$A$11), 'Points-Table'!$C$11,
                (U177 = 'Points-Table'!$A$12), 'Points-Table'!$C$12,
                (U177 = 'Points-Table'!$A$13), 'Points-Table'!$C$13,
                true, 0
              )
            </f>
      </c>
      <c r="W177" s="11">
        <v>2</v>
      </c>
      <c r="X177" s="12">
        <f>
              Ifs(
                (W177 = 'Points-Table'!$A$4), 'Points-Table'!$C$4,
                (W177 = 'Points-Table'!$A$5), 'Points-Table'!$C$5,
                (W177 = 'Points-Table'!$A$6), 'Points-Table'!$C$6,
                (W177 = 'Points-Table'!$A$7), 'Points-Table'!$C$7,
                (W177 = 'Points-Table'!$A$8), 'Points-Table'!$C$8,
                (W177 = 'Points-Table'!$A$9), 'Points-Table'!$C$9,
                (W177 = 'Points-Table'!$A$10), 'Points-Table'!$C$10,
                (W177 = 'Points-Table'!$A$11), 'Points-Table'!$C$11,
                (W177 = 'Points-Table'!$A$12), 'Points-Table'!$C$12,
                (W177 = 'Points-Table'!$A$13), 'Points-Table'!$C$13,
                true, 0
              )
            </f>
      </c>
      <c r="Y177" s="11">
        <v>2</v>
      </c>
      <c r="Z177" s="12">
        <f>
              Ifs(
                (Y177 = 'Points-Table'!$A$4), 'Points-Table'!$C$4,
                (Y177 = 'Points-Table'!$A$5), 'Points-Table'!$C$5,
                (Y177 = 'Points-Table'!$A$6), 'Points-Table'!$C$6,
                (Y177 = 'Points-Table'!$A$7), 'Points-Table'!$C$7,
                (Y177 = 'Points-Table'!$A$8), 'Points-Table'!$C$8,
                (Y177 = 'Points-Table'!$A$9), 'Points-Table'!$C$9,
                (Y177 = 'Points-Table'!$A$10), 'Points-Table'!$C$10,
                (Y177 = 'Points-Table'!$A$11), 'Points-Table'!$C$11,
                (Y177 = 'Points-Table'!$A$12), 'Points-Table'!$C$12,
                (Y177 = 'Points-Table'!$A$13), 'Points-Table'!$C$13,
                true, 0
              )
            </f>
      </c>
      <c r="AA177" s="6">
        <f>SUM(V177,X177,Z177)</f>
      </c>
      <c r="AB177" s="6">
        <f>
      Ifs( 
        ISBETWEEN(AA177, 0, 'Points-Table'!C$20, TRUE, False), 'Points-Table'!A$20,
        ISBETWEEN(AA177, 'Points-Table'!C$20, 'Points-Table'!C$21, TRUE, False), 'Points-Table'!A$21,
        ISBETWEEN(AA177, 'Points-Table'!C$22, 10000, TRUE, TRUE), 'Points-Table'!A$22,
        true, 
        0)
      </f>
      </c>
      <c r="AC177" s="6" t="s">
        <v>56</v>
      </c>
      <c r="AD177" s="6" t="s">
        <v>56</v>
      </c>
      <c r="AE177" s="6" t="s">
        <v>56</v>
      </c>
    </row>
    <row r="178" spans="1:31" s="6" customFormat="1" x14ac:dyDescent="0.25">
      <c r="A178" s="6" t="s">
        <v>288</v>
      </c>
      <c r="B178" s="6" t="s">
        <v>297</v>
      </c>
      <c r="C178" s="6" t="s">
        <v>300</v>
      </c>
      <c r="D178" s="6"/>
      <c r="E178" s="6"/>
      <c r="F178" s="6"/>
      <c r="G178" s="6"/>
      <c r="H178" s="6"/>
      <c r="I178" s="6"/>
      <c r="J178" s="6"/>
      <c r="K178" s="6" t="s">
        <v>83</v>
      </c>
      <c r="L178" s="6" t="s">
        <v>84</v>
      </c>
      <c r="M178" s="6"/>
      <c r="N178" s="6"/>
      <c r="O178" s="6"/>
      <c r="P178" s="6"/>
      <c r="Q178" s="11"/>
      <c r="R178" s="12">
        <f>
              Ifs(
                (Q178 = 'Points-Table'!$A$4), 'Points-Table'!$C$4,
                (Q178 = 'Points-Table'!$A$5), 'Points-Table'!$C$5,
                (Q178 = 'Points-Table'!$A$6), 'Points-Table'!$C$6,
                (Q178 = 'Points-Table'!$A$7), 'Points-Table'!$C$7,
                (Q178 = 'Points-Table'!$A$8), 'Points-Table'!$C$8,
                (Q178 = 'Points-Table'!$A$9), 'Points-Table'!$C$9,
                (Q178 = 'Points-Table'!$A$10), 'Points-Table'!$C$10,
                (Q178 = 'Points-Table'!$A$11), 'Points-Table'!$C$11,
                (Q178 = 'Points-Table'!$A$12), 'Points-Table'!$C$12,
                (Q178 = 'Points-Table'!$A$13), 'Points-Table'!$C$13,
                true, 0
              )
            </f>
      </c>
      <c r="S178" s="11"/>
      <c r="T178" s="12">
        <f>
              Ifs(
                (S178 = 'Points-Table'!$A$4), 'Points-Table'!$C$4,
                (S178 = 'Points-Table'!$A$5), 'Points-Table'!$C$5,
                (S178 = 'Points-Table'!$A$6), 'Points-Table'!$C$6,
                (S178 = 'Points-Table'!$A$7), 'Points-Table'!$C$7,
                (S178 = 'Points-Table'!$A$8), 'Points-Table'!$C$8,
                (S178 = 'Points-Table'!$A$9), 'Points-Table'!$C$9,
                (S178 = 'Points-Table'!$A$10), 'Points-Table'!$C$10,
                (S178 = 'Points-Table'!$A$11), 'Points-Table'!$C$11,
                (S178 = 'Points-Table'!$A$12), 'Points-Table'!$C$12,
                (S178 = 'Points-Table'!$A$13), 'Points-Table'!$C$13,
                true, 0
              )
            </f>
      </c>
      <c r="U178" s="11">
        <v>8</v>
      </c>
      <c r="V178" s="12">
        <f>
              Ifs(
                (U178 = 'Points-Table'!$A$4), 'Points-Table'!$C$4,
                (U178 = 'Points-Table'!$A$5), 'Points-Table'!$C$5,
                (U178 = 'Points-Table'!$A$6), 'Points-Table'!$C$6,
                (U178 = 'Points-Table'!$A$7), 'Points-Table'!$C$7,
                (U178 = 'Points-Table'!$A$8), 'Points-Table'!$C$8,
                (U178 = 'Points-Table'!$A$9), 'Points-Table'!$C$9,
                (U178 = 'Points-Table'!$A$10), 'Points-Table'!$C$10,
                (U178 = 'Points-Table'!$A$11), 'Points-Table'!$C$11,
                (U178 = 'Points-Table'!$A$12), 'Points-Table'!$C$12,
                (U178 = 'Points-Table'!$A$13), 'Points-Table'!$C$13,
                true, 0
              )
            </f>
      </c>
      <c r="W178" s="11">
        <v>55</v>
      </c>
      <c r="X178" s="12">
        <f>
              Ifs(
                (W178 = 'Points-Table'!$A$4), 'Points-Table'!$C$4,
                (W178 = 'Points-Table'!$A$5), 'Points-Table'!$C$5,
                (W178 = 'Points-Table'!$A$6), 'Points-Table'!$C$6,
                (W178 = 'Points-Table'!$A$7), 'Points-Table'!$C$7,
                (W178 = 'Points-Table'!$A$8), 'Points-Table'!$C$8,
                (W178 = 'Points-Table'!$A$9), 'Points-Table'!$C$9,
                (W178 = 'Points-Table'!$A$10), 'Points-Table'!$C$10,
                (W178 = 'Points-Table'!$A$11), 'Points-Table'!$C$11,
                (W178 = 'Points-Table'!$A$12), 'Points-Table'!$C$12,
                (W178 = 'Points-Table'!$A$13), 'Points-Table'!$C$13,
                true, 0
              )
            </f>
      </c>
      <c r="Y178" s="11">
        <v>55</v>
      </c>
      <c r="Z178" s="12">
        <f>
              Ifs(
                (Y178 = 'Points-Table'!$A$4), 'Points-Table'!$C$4,
                (Y178 = 'Points-Table'!$A$5), 'Points-Table'!$C$5,
                (Y178 = 'Points-Table'!$A$6), 'Points-Table'!$C$6,
                (Y178 = 'Points-Table'!$A$7), 'Points-Table'!$C$7,
                (Y178 = 'Points-Table'!$A$8), 'Points-Table'!$C$8,
                (Y178 = 'Points-Table'!$A$9), 'Points-Table'!$C$9,
                (Y178 = 'Points-Table'!$A$10), 'Points-Table'!$C$10,
                (Y178 = 'Points-Table'!$A$11), 'Points-Table'!$C$11,
                (Y178 = 'Points-Table'!$A$12), 'Points-Table'!$C$12,
                (Y178 = 'Points-Table'!$A$13), 'Points-Table'!$C$13,
                true, 0
              )
            </f>
      </c>
      <c r="AA178" s="6">
        <f>SUM(V178,X178,Z178)</f>
      </c>
      <c r="AB178" s="6">
        <f>
      Ifs( 
        ISBETWEEN(AA178, 0, 'Points-Table'!C$20, TRUE, False), 'Points-Table'!A$20,
        ISBETWEEN(AA178, 'Points-Table'!C$20, 'Points-Table'!C$21, TRUE, False), 'Points-Table'!A$21,
        ISBETWEEN(AA178, 'Points-Table'!C$22, 10000, TRUE, TRUE), 'Points-Table'!A$22,
        true, 
        0)
      </f>
      </c>
      <c r="AC178" s="6" t="s">
        <v>56</v>
      </c>
      <c r="AD178" s="6" t="s">
        <v>56</v>
      </c>
      <c r="AE178" s="6" t="s">
        <v>56</v>
      </c>
    </row>
    <row r="179" spans="1:31" s="6" customFormat="1" x14ac:dyDescent="0.25">
      <c r="A179" s="6" t="s">
        <v>288</v>
      </c>
      <c r="B179" s="6" t="s">
        <v>297</v>
      </c>
      <c r="C179" s="6" t="s">
        <v>301</v>
      </c>
      <c r="D179" s="6"/>
      <c r="E179" s="6"/>
      <c r="F179" s="6"/>
      <c r="G179" s="6"/>
      <c r="H179" s="6"/>
      <c r="I179" s="6"/>
      <c r="J179" s="6"/>
      <c r="K179" s="6" t="s">
        <v>83</v>
      </c>
      <c r="L179" s="6" t="s">
        <v>84</v>
      </c>
      <c r="M179" s="6"/>
      <c r="N179" s="6"/>
      <c r="O179" s="6"/>
      <c r="P179" s="6"/>
      <c r="Q179" s="11"/>
      <c r="R179" s="12">
        <f>
              Ifs(
                (Q179 = 'Points-Table'!$A$4), 'Points-Table'!$C$4,
                (Q179 = 'Points-Table'!$A$5), 'Points-Table'!$C$5,
                (Q179 = 'Points-Table'!$A$6), 'Points-Table'!$C$6,
                (Q179 = 'Points-Table'!$A$7), 'Points-Table'!$C$7,
                (Q179 = 'Points-Table'!$A$8), 'Points-Table'!$C$8,
                (Q179 = 'Points-Table'!$A$9), 'Points-Table'!$C$9,
                (Q179 = 'Points-Table'!$A$10), 'Points-Table'!$C$10,
                (Q179 = 'Points-Table'!$A$11), 'Points-Table'!$C$11,
                (Q179 = 'Points-Table'!$A$12), 'Points-Table'!$C$12,
                (Q179 = 'Points-Table'!$A$13), 'Points-Table'!$C$13,
                true, 0
              )
            </f>
      </c>
      <c r="S179" s="11"/>
      <c r="T179" s="12">
        <f>
              Ifs(
                (S179 = 'Points-Table'!$A$4), 'Points-Table'!$C$4,
                (S179 = 'Points-Table'!$A$5), 'Points-Table'!$C$5,
                (S179 = 'Points-Table'!$A$6), 'Points-Table'!$C$6,
                (S179 = 'Points-Table'!$A$7), 'Points-Table'!$C$7,
                (S179 = 'Points-Table'!$A$8), 'Points-Table'!$C$8,
                (S179 = 'Points-Table'!$A$9), 'Points-Table'!$C$9,
                (S179 = 'Points-Table'!$A$10), 'Points-Table'!$C$10,
                (S179 = 'Points-Table'!$A$11), 'Points-Table'!$C$11,
                (S179 = 'Points-Table'!$A$12), 'Points-Table'!$C$12,
                (S179 = 'Points-Table'!$A$13), 'Points-Table'!$C$13,
                true, 0
              )
            </f>
      </c>
      <c r="U179" s="11">
        <v>5</v>
      </c>
      <c r="V179" s="12">
        <f>
              Ifs(
                (U179 = 'Points-Table'!$A$4), 'Points-Table'!$C$4,
                (U179 = 'Points-Table'!$A$5), 'Points-Table'!$C$5,
                (U179 = 'Points-Table'!$A$6), 'Points-Table'!$C$6,
                (U179 = 'Points-Table'!$A$7), 'Points-Table'!$C$7,
                (U179 = 'Points-Table'!$A$8), 'Points-Table'!$C$8,
                (U179 = 'Points-Table'!$A$9), 'Points-Table'!$C$9,
                (U179 = 'Points-Table'!$A$10), 'Points-Table'!$C$10,
                (U179 = 'Points-Table'!$A$11), 'Points-Table'!$C$11,
                (U179 = 'Points-Table'!$A$12), 'Points-Table'!$C$12,
                (U179 = 'Points-Table'!$A$13), 'Points-Table'!$C$13,
                true, 0
              )
            </f>
      </c>
      <c r="W179" s="11">
        <v>0</v>
      </c>
      <c r="X179" s="12">
        <f>
              Ifs(
                (W179 = 'Points-Table'!$A$4), 'Points-Table'!$C$4,
                (W179 = 'Points-Table'!$A$5), 'Points-Table'!$C$5,
                (W179 = 'Points-Table'!$A$6), 'Points-Table'!$C$6,
                (W179 = 'Points-Table'!$A$7), 'Points-Table'!$C$7,
                (W179 = 'Points-Table'!$A$8), 'Points-Table'!$C$8,
                (W179 = 'Points-Table'!$A$9), 'Points-Table'!$C$9,
                (W179 = 'Points-Table'!$A$10), 'Points-Table'!$C$10,
                (W179 = 'Points-Table'!$A$11), 'Points-Table'!$C$11,
                (W179 = 'Points-Table'!$A$12), 'Points-Table'!$C$12,
                (W179 = 'Points-Table'!$A$13), 'Points-Table'!$C$13,
                true, 0
              )
            </f>
      </c>
      <c r="Y179" s="11">
        <v>0</v>
      </c>
      <c r="Z179" s="12">
        <f>
              Ifs(
                (Y179 = 'Points-Table'!$A$4), 'Points-Table'!$C$4,
                (Y179 = 'Points-Table'!$A$5), 'Points-Table'!$C$5,
                (Y179 = 'Points-Table'!$A$6), 'Points-Table'!$C$6,
                (Y179 = 'Points-Table'!$A$7), 'Points-Table'!$C$7,
                (Y179 = 'Points-Table'!$A$8), 'Points-Table'!$C$8,
                (Y179 = 'Points-Table'!$A$9), 'Points-Table'!$C$9,
                (Y179 = 'Points-Table'!$A$10), 'Points-Table'!$C$10,
                (Y179 = 'Points-Table'!$A$11), 'Points-Table'!$C$11,
                (Y179 = 'Points-Table'!$A$12), 'Points-Table'!$C$12,
                (Y179 = 'Points-Table'!$A$13), 'Points-Table'!$C$13,
                true, 0
              )
            </f>
      </c>
      <c r="AA179" s="6">
        <f>SUM(V179,X179,Z179)</f>
      </c>
      <c r="AB179" s="6">
        <f>
      Ifs( 
        ISBETWEEN(AA179, 0, 'Points-Table'!C$20, TRUE, False), 'Points-Table'!A$20,
        ISBETWEEN(AA179, 'Points-Table'!C$20, 'Points-Table'!C$21, TRUE, False), 'Points-Table'!A$21,
        ISBETWEEN(AA179, 'Points-Table'!C$22, 10000, TRUE, TRUE), 'Points-Table'!A$22,
        true, 
        0)
      </f>
      </c>
      <c r="AC179" s="6" t="s">
        <v>56</v>
      </c>
      <c r="AD179" s="6" t="s">
        <v>56</v>
      </c>
      <c r="AE179" s="6" t="s">
        <v>56</v>
      </c>
    </row>
    <row r="180" spans="1:31" s="13" customFormat="1" x14ac:dyDescent="0.25">
      <c r="A180" s="13" t="s">
        <v>288</v>
      </c>
      <c r="B180" s="13" t="s">
        <v>300</v>
      </c>
      <c r="D180" s="13"/>
      <c r="E180" s="13"/>
      <c r="F180" s="13"/>
      <c r="G180" s="13"/>
      <c r="H180" s="13"/>
      <c r="I180" s="13"/>
      <c r="J180" s="13"/>
      <c r="K180" s="13" t="s">
        <v>83</v>
      </c>
      <c r="L180" s="13" t="s">
        <v>84</v>
      </c>
      <c r="M180" s="13"/>
      <c r="N180" s="13"/>
      <c r="O180" s="13"/>
      <c r="P180" s="13"/>
      <c r="Q180" s="13">
        <v>1</v>
      </c>
      <c r="R180" s="13">
        <f>
              Ifs(
                (Q180 = 'Points-Table'!$A$4), 'Points-Table'!$C$4,
                (Q180 = 'Points-Table'!$A$5), 'Points-Table'!$C$5,
                (Q180 = 'Points-Table'!$A$6), 'Points-Table'!$C$6,
                (Q180 = 'Points-Table'!$A$7), 'Points-Table'!$C$7,
                (Q180 = 'Points-Table'!$A$8), 'Points-Table'!$C$8,
                (Q180 = 'Points-Table'!$A$9), 'Points-Table'!$C$9,
                (Q180 = 'Points-Table'!$A$10), 'Points-Table'!$C$10,
                (Q180 = 'Points-Table'!$A$11), 'Points-Table'!$C$11,
                (Q180 = 'Points-Table'!$A$12), 'Points-Table'!$C$12,
                (Q180 = 'Points-Table'!$A$13), 'Points-Table'!$C$13,
                true, 0
              )
            </f>
      </c>
      <c r="S180" s="13">
        <v>1</v>
      </c>
      <c r="T180" s="13">
        <f>
              Ifs(
                (S180 = 'Points-Table'!$A$4), 'Points-Table'!$C$4,
                (S180 = 'Points-Table'!$A$5), 'Points-Table'!$C$5,
                (S180 = 'Points-Table'!$A$6), 'Points-Table'!$C$6,
                (S180 = 'Points-Table'!$A$7), 'Points-Table'!$C$7,
                (S180 = 'Points-Table'!$A$8), 'Points-Table'!$C$8,
                (S180 = 'Points-Table'!$A$9), 'Points-Table'!$C$9,
                (S180 = 'Points-Table'!$A$10), 'Points-Table'!$C$10,
                (S180 = 'Points-Table'!$A$11), 'Points-Table'!$C$11,
                (S180 = 'Points-Table'!$A$12), 'Points-Table'!$C$12,
                (S180 = 'Points-Table'!$A$13), 'Points-Table'!$C$13,
                true, 0
              )
            </f>
      </c>
      <c r="U180" s="13">
        <v>8</v>
      </c>
      <c r="V180" s="13">
        <f>
              Ifs(
                (U180 = 'Points-Table'!$A$4), 'Points-Table'!$C$4,
                (U180 = 'Points-Table'!$A$5), 'Points-Table'!$C$5,
                (U180 = 'Points-Table'!$A$6), 'Points-Table'!$C$6,
                (U180 = 'Points-Table'!$A$7), 'Points-Table'!$C$7,
                (U180 = 'Points-Table'!$A$8), 'Points-Table'!$C$8,
                (U180 = 'Points-Table'!$A$9), 'Points-Table'!$C$9,
                (U180 = 'Points-Table'!$A$10), 'Points-Table'!$C$10,
                (U180 = 'Points-Table'!$A$11), 'Points-Table'!$C$11,
                (U180 = 'Points-Table'!$A$12), 'Points-Table'!$C$12,
                (U180 = 'Points-Table'!$A$13), 'Points-Table'!$C$13,
                true, 0
              )
            </f>
      </c>
      <c r="W180" s="13">
        <v>55</v>
      </c>
      <c r="X180" s="13">
        <f>
              Ifs(
                (W180 = 'Points-Table'!$A$4), 'Points-Table'!$C$4,
                (W180 = 'Points-Table'!$A$5), 'Points-Table'!$C$5,
                (W180 = 'Points-Table'!$A$6), 'Points-Table'!$C$6,
                (W180 = 'Points-Table'!$A$7), 'Points-Table'!$C$7,
                (W180 = 'Points-Table'!$A$8), 'Points-Table'!$C$8,
                (W180 = 'Points-Table'!$A$9), 'Points-Table'!$C$9,
                (W180 = 'Points-Table'!$A$10), 'Points-Table'!$C$10,
                (W180 = 'Points-Table'!$A$11), 'Points-Table'!$C$11,
                (W180 = 'Points-Table'!$A$12), 'Points-Table'!$C$12,
                (W180 = 'Points-Table'!$A$13), 'Points-Table'!$C$13,
                true, 0
              )
            </f>
      </c>
      <c r="Y180" s="13">
        <v>55</v>
      </c>
      <c r="Z180" s="13">
        <f>
              Ifs(
                (Y180 = 'Points-Table'!$A$4), 'Points-Table'!$C$4,
                (Y180 = 'Points-Table'!$A$5), 'Points-Table'!$C$5,
                (Y180 = 'Points-Table'!$A$6), 'Points-Table'!$C$6,
                (Y180 = 'Points-Table'!$A$7), 'Points-Table'!$C$7,
                (Y180 = 'Points-Table'!$A$8), 'Points-Table'!$C$8,
                (Y180 = 'Points-Table'!$A$9), 'Points-Table'!$C$9,
                (Y180 = 'Points-Table'!$A$10), 'Points-Table'!$C$10,
                (Y180 = 'Points-Table'!$A$11), 'Points-Table'!$C$11,
                (Y180 = 'Points-Table'!$A$12), 'Points-Table'!$C$12,
                (Y180 = 'Points-Table'!$A$13), 'Points-Table'!$C$13,
                true, 0
              )
            </f>
      </c>
      <c r="AA180" s="13">
        <f>SUM(V180,X180,Z180)</f>
      </c>
      <c r="AB180" s="13">
        <f>
      Ifs( 
        ISBETWEEN(AA180, 0, 'Points-Table'!C$20, TRUE, False), 'Points-Table'!A$20,
        ISBETWEEN(AA180, 'Points-Table'!C$20, 'Points-Table'!C$21, TRUE, False), 'Points-Table'!A$21,
        ISBETWEEN(AA180, 'Points-Table'!C$22, 10000, TRUE, TRUE), 'Points-Table'!A$22,
        true, 
        0)
      </f>
      </c>
      <c r="AC180" s="13" t="s">
        <v>56</v>
      </c>
      <c r="AD180" s="13" t="s">
        <v>56</v>
      </c>
      <c r="AE180" s="13" t="s">
        <v>56</v>
      </c>
    </row>
    <row r="181" spans="1:31" s="13" customFormat="1" x14ac:dyDescent="0.25">
      <c r="A181" s="13" t="s">
        <v>302</v>
      </c>
      <c r="B181" s="13" t="s">
        <v>303</v>
      </c>
      <c r="D181" s="13" t="s">
        <v>304</v>
      </c>
      <c r="E181" s="13"/>
      <c r="F181" s="13"/>
      <c r="G181" s="13"/>
      <c r="H181" s="13"/>
      <c r="I181" s="13"/>
      <c r="J181" s="13"/>
      <c r="K181" s="13" t="s">
        <v>83</v>
      </c>
      <c r="L181" s="13" t="s">
        <v>84</v>
      </c>
      <c r="M181" s="13"/>
      <c r="N181" s="13"/>
      <c r="O181" s="13"/>
      <c r="P181" s="13"/>
      <c r="Q181" s="13"/>
      <c r="R181" s="13">
        <f>
              Ifs(
                (Q181 = 'Points-Table'!$A$4), 'Points-Table'!$C$4,
                (Q181 = 'Points-Table'!$A$5), 'Points-Table'!$C$5,
                (Q181 = 'Points-Table'!$A$6), 'Points-Table'!$C$6,
                (Q181 = 'Points-Table'!$A$7), 'Points-Table'!$C$7,
                (Q181 = 'Points-Table'!$A$8), 'Points-Table'!$C$8,
                (Q181 = 'Points-Table'!$A$9), 'Points-Table'!$C$9,
                (Q181 = 'Points-Table'!$A$10), 'Points-Table'!$C$10,
                (Q181 = 'Points-Table'!$A$11), 'Points-Table'!$C$11,
                (Q181 = 'Points-Table'!$A$12), 'Points-Table'!$C$12,
                (Q181 = 'Points-Table'!$A$13), 'Points-Table'!$C$13,
                true, 0
              )
            </f>
      </c>
      <c r="S181" s="13"/>
      <c r="T181" s="13">
        <f>
              Ifs(
                (S181 = 'Points-Table'!$A$4), 'Points-Table'!$C$4,
                (S181 = 'Points-Table'!$A$5), 'Points-Table'!$C$5,
                (S181 = 'Points-Table'!$A$6), 'Points-Table'!$C$6,
                (S181 = 'Points-Table'!$A$7), 'Points-Table'!$C$7,
                (S181 = 'Points-Table'!$A$8), 'Points-Table'!$C$8,
                (S181 = 'Points-Table'!$A$9), 'Points-Table'!$C$9,
                (S181 = 'Points-Table'!$A$10), 'Points-Table'!$C$10,
                (S181 = 'Points-Table'!$A$11), 'Points-Table'!$C$11,
                (S181 = 'Points-Table'!$A$12), 'Points-Table'!$C$12,
                (S181 = 'Points-Table'!$A$13), 'Points-Table'!$C$13,
                true, 0
              )
            </f>
      </c>
      <c r="U181" s="13">
        <v>2</v>
      </c>
      <c r="V181" s="13">
        <f>
              Ifs(
                (U181 = 'Points-Table'!$A$4), 'Points-Table'!$C$4,
                (U181 = 'Points-Table'!$A$5), 'Points-Table'!$C$5,
                (U181 = 'Points-Table'!$A$6), 'Points-Table'!$C$6,
                (U181 = 'Points-Table'!$A$7), 'Points-Table'!$C$7,
                (U181 = 'Points-Table'!$A$8), 'Points-Table'!$C$8,
                (U181 = 'Points-Table'!$A$9), 'Points-Table'!$C$9,
                (U181 = 'Points-Table'!$A$10), 'Points-Table'!$C$10,
                (U181 = 'Points-Table'!$A$11), 'Points-Table'!$C$11,
                (U181 = 'Points-Table'!$A$12), 'Points-Table'!$C$12,
                (U181 = 'Points-Table'!$A$13), 'Points-Table'!$C$13,
                true, 0
              )
            </f>
      </c>
      <c r="W181" s="13">
        <v>0</v>
      </c>
      <c r="X181" s="13">
        <f>
              Ifs(
                (W181 = 'Points-Table'!$A$4), 'Points-Table'!$C$4,
                (W181 = 'Points-Table'!$A$5), 'Points-Table'!$C$5,
                (W181 = 'Points-Table'!$A$6), 'Points-Table'!$C$6,
                (W181 = 'Points-Table'!$A$7), 'Points-Table'!$C$7,
                (W181 = 'Points-Table'!$A$8), 'Points-Table'!$C$8,
                (W181 = 'Points-Table'!$A$9), 'Points-Table'!$C$9,
                (W181 = 'Points-Table'!$A$10), 'Points-Table'!$C$10,
                (W181 = 'Points-Table'!$A$11), 'Points-Table'!$C$11,
                (W181 = 'Points-Table'!$A$12), 'Points-Table'!$C$12,
                (W181 = 'Points-Table'!$A$13), 'Points-Table'!$C$13,
                true, 0
              )
            </f>
      </c>
      <c r="Y181" s="13">
        <v>0</v>
      </c>
      <c r="Z181" s="13">
        <f>
              Ifs(
                (Y181 = 'Points-Table'!$A$4), 'Points-Table'!$C$4,
                (Y181 = 'Points-Table'!$A$5), 'Points-Table'!$C$5,
                (Y181 = 'Points-Table'!$A$6), 'Points-Table'!$C$6,
                (Y181 = 'Points-Table'!$A$7), 'Points-Table'!$C$7,
                (Y181 = 'Points-Table'!$A$8), 'Points-Table'!$C$8,
                (Y181 = 'Points-Table'!$A$9), 'Points-Table'!$C$9,
                (Y181 = 'Points-Table'!$A$10), 'Points-Table'!$C$10,
                (Y181 = 'Points-Table'!$A$11), 'Points-Table'!$C$11,
                (Y181 = 'Points-Table'!$A$12), 'Points-Table'!$C$12,
                (Y181 = 'Points-Table'!$A$13), 'Points-Table'!$C$13,
                true, 0
              )
            </f>
      </c>
      <c r="AA181" s="13">
        <f>SUM(V181,X181,Z181)</f>
      </c>
      <c r="AB181" s="13">
        <f>
      Ifs( 
        ISBETWEEN(AA181, 0, 'Points-Table'!C$20, TRUE, False), 'Points-Table'!A$20,
        ISBETWEEN(AA181, 'Points-Table'!C$20, 'Points-Table'!C$21, TRUE, False), 'Points-Table'!A$21,
        ISBETWEEN(AA181, 'Points-Table'!C$22, 10000, TRUE, TRUE), 'Points-Table'!A$22,
        true, 
        0)
      </f>
      </c>
      <c r="AC181" s="13" t="s">
        <v>56</v>
      </c>
      <c r="AD181" s="13" t="s">
        <v>56</v>
      </c>
      <c r="AE181" s="13" t="s">
        <v>56</v>
      </c>
    </row>
    <row r="182" spans="1:31" s="6" customFormat="1" x14ac:dyDescent="0.25">
      <c r="A182" s="6" t="s">
        <v>302</v>
      </c>
      <c r="B182" s="6" t="s">
        <v>305</v>
      </c>
      <c r="D182" s="6"/>
      <c r="E182" s="6"/>
      <c r="F182" s="6"/>
      <c r="G182" s="6"/>
      <c r="H182" s="6"/>
      <c r="I182" s="6"/>
      <c r="J182" s="6"/>
      <c r="K182" s="6" t="s">
        <v>83</v>
      </c>
      <c r="L182" s="6" t="s">
        <v>84</v>
      </c>
      <c r="M182" s="6"/>
      <c r="N182" s="6"/>
      <c r="O182" s="6"/>
      <c r="P182" s="6"/>
      <c r="Q182" s="11"/>
      <c r="R182" s="12">
        <f>
              Ifs(
                (Q182 = 'Points-Table'!$A$4), 'Points-Table'!$C$4,
                (Q182 = 'Points-Table'!$A$5), 'Points-Table'!$C$5,
                (Q182 = 'Points-Table'!$A$6), 'Points-Table'!$C$6,
                (Q182 = 'Points-Table'!$A$7), 'Points-Table'!$C$7,
                (Q182 = 'Points-Table'!$A$8), 'Points-Table'!$C$8,
                (Q182 = 'Points-Table'!$A$9), 'Points-Table'!$C$9,
                (Q182 = 'Points-Table'!$A$10), 'Points-Table'!$C$10,
                (Q182 = 'Points-Table'!$A$11), 'Points-Table'!$C$11,
                (Q182 = 'Points-Table'!$A$12), 'Points-Table'!$C$12,
                (Q182 = 'Points-Table'!$A$13), 'Points-Table'!$C$13,
                true, 0
              )
            </f>
      </c>
      <c r="S182" s="11"/>
      <c r="T182" s="12">
        <f>
              Ifs(
                (S182 = 'Points-Table'!$A$4), 'Points-Table'!$C$4,
                (S182 = 'Points-Table'!$A$5), 'Points-Table'!$C$5,
                (S182 = 'Points-Table'!$A$6), 'Points-Table'!$C$6,
                (S182 = 'Points-Table'!$A$7), 'Points-Table'!$C$7,
                (S182 = 'Points-Table'!$A$8), 'Points-Table'!$C$8,
                (S182 = 'Points-Table'!$A$9), 'Points-Table'!$C$9,
                (S182 = 'Points-Table'!$A$10), 'Points-Table'!$C$10,
                (S182 = 'Points-Table'!$A$11), 'Points-Table'!$C$11,
                (S182 = 'Points-Table'!$A$12), 'Points-Table'!$C$12,
                (S182 = 'Points-Table'!$A$13), 'Points-Table'!$C$13,
                true, 0
              )
            </f>
      </c>
      <c r="U182" s="11">
        <v>8</v>
      </c>
      <c r="V182" s="12">
        <f>
              Ifs(
                (U182 = 'Points-Table'!$A$4), 'Points-Table'!$C$4,
                (U182 = 'Points-Table'!$A$5), 'Points-Table'!$C$5,
                (U182 = 'Points-Table'!$A$6), 'Points-Table'!$C$6,
                (U182 = 'Points-Table'!$A$7), 'Points-Table'!$C$7,
                (U182 = 'Points-Table'!$A$8), 'Points-Table'!$C$8,
                (U182 = 'Points-Table'!$A$9), 'Points-Table'!$C$9,
                (U182 = 'Points-Table'!$A$10), 'Points-Table'!$C$10,
                (U182 = 'Points-Table'!$A$11), 'Points-Table'!$C$11,
                (U182 = 'Points-Table'!$A$12), 'Points-Table'!$C$12,
                (U182 = 'Points-Table'!$A$13), 'Points-Table'!$C$13,
                true, 0
              )
            </f>
      </c>
      <c r="W182" s="11">
        <v>2</v>
      </c>
      <c r="X182" s="12">
        <f>
              Ifs(
                (W182 = 'Points-Table'!$A$4), 'Points-Table'!$C$4,
                (W182 = 'Points-Table'!$A$5), 'Points-Table'!$C$5,
                (W182 = 'Points-Table'!$A$6), 'Points-Table'!$C$6,
                (W182 = 'Points-Table'!$A$7), 'Points-Table'!$C$7,
                (W182 = 'Points-Table'!$A$8), 'Points-Table'!$C$8,
                (W182 = 'Points-Table'!$A$9), 'Points-Table'!$C$9,
                (W182 = 'Points-Table'!$A$10), 'Points-Table'!$C$10,
                (W182 = 'Points-Table'!$A$11), 'Points-Table'!$C$11,
                (W182 = 'Points-Table'!$A$12), 'Points-Table'!$C$12,
                (W182 = 'Points-Table'!$A$13), 'Points-Table'!$C$13,
                true, 0
              )
            </f>
      </c>
      <c r="Y182" s="11">
        <v>5</v>
      </c>
      <c r="Z182" s="12">
        <f>
              Ifs(
                (Y182 = 'Points-Table'!$A$4), 'Points-Table'!$C$4,
                (Y182 = 'Points-Table'!$A$5), 'Points-Table'!$C$5,
                (Y182 = 'Points-Table'!$A$6), 'Points-Table'!$C$6,
                (Y182 = 'Points-Table'!$A$7), 'Points-Table'!$C$7,
                (Y182 = 'Points-Table'!$A$8), 'Points-Table'!$C$8,
                (Y182 = 'Points-Table'!$A$9), 'Points-Table'!$C$9,
                (Y182 = 'Points-Table'!$A$10), 'Points-Table'!$C$10,
                (Y182 = 'Points-Table'!$A$11), 'Points-Table'!$C$11,
                (Y182 = 'Points-Table'!$A$12), 'Points-Table'!$C$12,
                (Y182 = 'Points-Table'!$A$13), 'Points-Table'!$C$13,
                true, 0
              )
            </f>
      </c>
      <c r="AA182" s="6">
        <f>SUM(V182,X182,Z182)</f>
      </c>
      <c r="AB182" s="6">
        <f>
      Ifs( 
        ISBETWEEN(AA182, 0, 'Points-Table'!C$20, TRUE, False), 'Points-Table'!A$20,
        ISBETWEEN(AA182, 'Points-Table'!C$20, 'Points-Table'!C$21, TRUE, False), 'Points-Table'!A$21,
        ISBETWEEN(AA182, 'Points-Table'!C$22, 10000, TRUE, TRUE), 'Points-Table'!A$22,
        true, 
        0)
      </f>
      </c>
      <c r="AC182" s="6" t="s">
        <v>56</v>
      </c>
      <c r="AD182" s="6" t="s">
        <v>56</v>
      </c>
      <c r="AE182" s="6" t="s">
        <v>56</v>
      </c>
    </row>
    <row r="183" spans="1:31" s="6" customFormat="1" x14ac:dyDescent="0.25">
      <c r="A183" s="6" t="s">
        <v>302</v>
      </c>
      <c r="B183" s="6" t="s">
        <v>306</v>
      </c>
      <c r="D183" s="6"/>
      <c r="E183" s="6"/>
      <c r="F183" s="6"/>
      <c r="G183" s="6"/>
      <c r="H183" s="6"/>
      <c r="I183" s="6"/>
      <c r="J183" s="6"/>
      <c r="K183" s="6" t="s">
        <v>83</v>
      </c>
      <c r="L183" s="6" t="s">
        <v>84</v>
      </c>
      <c r="M183" s="6"/>
      <c r="N183" s="6"/>
      <c r="O183" s="6"/>
      <c r="P183" s="6"/>
      <c r="Q183" s="11"/>
      <c r="R183" s="12">
        <f>
              Ifs(
                (Q183 = 'Points-Table'!$A$4), 'Points-Table'!$C$4,
                (Q183 = 'Points-Table'!$A$5), 'Points-Table'!$C$5,
                (Q183 = 'Points-Table'!$A$6), 'Points-Table'!$C$6,
                (Q183 = 'Points-Table'!$A$7), 'Points-Table'!$C$7,
                (Q183 = 'Points-Table'!$A$8), 'Points-Table'!$C$8,
                (Q183 = 'Points-Table'!$A$9), 'Points-Table'!$C$9,
                (Q183 = 'Points-Table'!$A$10), 'Points-Table'!$C$10,
                (Q183 = 'Points-Table'!$A$11), 'Points-Table'!$C$11,
                (Q183 = 'Points-Table'!$A$12), 'Points-Table'!$C$12,
                (Q183 = 'Points-Table'!$A$13), 'Points-Table'!$C$13,
                true, 0
              )
            </f>
      </c>
      <c r="S183" s="11"/>
      <c r="T183" s="12">
        <f>
              Ifs(
                (S183 = 'Points-Table'!$A$4), 'Points-Table'!$C$4,
                (S183 = 'Points-Table'!$A$5), 'Points-Table'!$C$5,
                (S183 = 'Points-Table'!$A$6), 'Points-Table'!$C$6,
                (S183 = 'Points-Table'!$A$7), 'Points-Table'!$C$7,
                (S183 = 'Points-Table'!$A$8), 'Points-Table'!$C$8,
                (S183 = 'Points-Table'!$A$9), 'Points-Table'!$C$9,
                (S183 = 'Points-Table'!$A$10), 'Points-Table'!$C$10,
                (S183 = 'Points-Table'!$A$11), 'Points-Table'!$C$11,
                (S183 = 'Points-Table'!$A$12), 'Points-Table'!$C$12,
                (S183 = 'Points-Table'!$A$13), 'Points-Table'!$C$13,
                true, 0
              )
            </f>
      </c>
      <c r="U183" s="11">
        <v>3</v>
      </c>
      <c r="V183" s="12">
        <f>
              Ifs(
                (U183 = 'Points-Table'!$A$4), 'Points-Table'!$C$4,
                (U183 = 'Points-Table'!$A$5), 'Points-Table'!$C$5,
                (U183 = 'Points-Table'!$A$6), 'Points-Table'!$C$6,
                (U183 = 'Points-Table'!$A$7), 'Points-Table'!$C$7,
                (U183 = 'Points-Table'!$A$8), 'Points-Table'!$C$8,
                (U183 = 'Points-Table'!$A$9), 'Points-Table'!$C$9,
                (U183 = 'Points-Table'!$A$10), 'Points-Table'!$C$10,
                (U183 = 'Points-Table'!$A$11), 'Points-Table'!$C$11,
                (U183 = 'Points-Table'!$A$12), 'Points-Table'!$C$12,
                (U183 = 'Points-Table'!$A$13), 'Points-Table'!$C$13,
                true, 0
              )
            </f>
      </c>
      <c r="W183" s="11">
        <v>3</v>
      </c>
      <c r="X183" s="12">
        <f>
              Ifs(
                (W183 = 'Points-Table'!$A$4), 'Points-Table'!$C$4,
                (W183 = 'Points-Table'!$A$5), 'Points-Table'!$C$5,
                (W183 = 'Points-Table'!$A$6), 'Points-Table'!$C$6,
                (W183 = 'Points-Table'!$A$7), 'Points-Table'!$C$7,
                (W183 = 'Points-Table'!$A$8), 'Points-Table'!$C$8,
                (W183 = 'Points-Table'!$A$9), 'Points-Table'!$C$9,
                (W183 = 'Points-Table'!$A$10), 'Points-Table'!$C$10,
                (W183 = 'Points-Table'!$A$11), 'Points-Table'!$C$11,
                (W183 = 'Points-Table'!$A$12), 'Points-Table'!$C$12,
                (W183 = 'Points-Table'!$A$13), 'Points-Table'!$C$13,
                true, 0
              )
            </f>
      </c>
      <c r="Y183" s="11">
        <v>5</v>
      </c>
      <c r="Z183" s="12">
        <f>
              Ifs(
                (Y183 = 'Points-Table'!$A$4), 'Points-Table'!$C$4,
                (Y183 = 'Points-Table'!$A$5), 'Points-Table'!$C$5,
                (Y183 = 'Points-Table'!$A$6), 'Points-Table'!$C$6,
                (Y183 = 'Points-Table'!$A$7), 'Points-Table'!$C$7,
                (Y183 = 'Points-Table'!$A$8), 'Points-Table'!$C$8,
                (Y183 = 'Points-Table'!$A$9), 'Points-Table'!$C$9,
                (Y183 = 'Points-Table'!$A$10), 'Points-Table'!$C$10,
                (Y183 = 'Points-Table'!$A$11), 'Points-Table'!$C$11,
                (Y183 = 'Points-Table'!$A$12), 'Points-Table'!$C$12,
                (Y183 = 'Points-Table'!$A$13), 'Points-Table'!$C$13,
                true, 0
              )
            </f>
      </c>
      <c r="AA183" s="6">
        <f>SUM(V183,X183,Z183)</f>
      </c>
      <c r="AB183" s="6">
        <f>
      Ifs( 
        ISBETWEEN(AA183, 0, 'Points-Table'!C$20, TRUE, False), 'Points-Table'!A$20,
        ISBETWEEN(AA183, 'Points-Table'!C$20, 'Points-Table'!C$21, TRUE, False), 'Points-Table'!A$21,
        ISBETWEEN(AA183, 'Points-Table'!C$22, 10000, TRUE, TRUE), 'Points-Table'!A$22,
        true, 
        0)
      </f>
      </c>
      <c r="AC183" s="6" t="s">
        <v>56</v>
      </c>
      <c r="AD183" s="6" t="s">
        <v>56</v>
      </c>
      <c r="AE183" s="6" t="s">
        <v>56</v>
      </c>
    </row>
    <row r="184" spans="1:31" s="6" customFormat="1" x14ac:dyDescent="0.25">
      <c r="A184" s="6" t="s">
        <v>302</v>
      </c>
      <c r="B184" s="6" t="s">
        <v>307</v>
      </c>
      <c r="D184" s="6"/>
      <c r="E184" s="6"/>
      <c r="F184" s="6"/>
      <c r="G184" s="6"/>
      <c r="H184" s="6"/>
      <c r="I184" s="6"/>
      <c r="J184" s="6"/>
      <c r="K184" s="6" t="s">
        <v>83</v>
      </c>
      <c r="L184" s="6" t="s">
        <v>84</v>
      </c>
      <c r="M184" s="6"/>
      <c r="N184" s="6"/>
      <c r="O184" s="6"/>
      <c r="P184" s="6"/>
      <c r="Q184" s="11"/>
      <c r="R184" s="12">
        <f>
              Ifs(
                (Q184 = 'Points-Table'!$A$4), 'Points-Table'!$C$4,
                (Q184 = 'Points-Table'!$A$5), 'Points-Table'!$C$5,
                (Q184 = 'Points-Table'!$A$6), 'Points-Table'!$C$6,
                (Q184 = 'Points-Table'!$A$7), 'Points-Table'!$C$7,
                (Q184 = 'Points-Table'!$A$8), 'Points-Table'!$C$8,
                (Q184 = 'Points-Table'!$A$9), 'Points-Table'!$C$9,
                (Q184 = 'Points-Table'!$A$10), 'Points-Table'!$C$10,
                (Q184 = 'Points-Table'!$A$11), 'Points-Table'!$C$11,
                (Q184 = 'Points-Table'!$A$12), 'Points-Table'!$C$12,
                (Q184 = 'Points-Table'!$A$13), 'Points-Table'!$C$13,
                true, 0
              )
            </f>
      </c>
      <c r="S184" s="11"/>
      <c r="T184" s="12">
        <f>
              Ifs(
                (S184 = 'Points-Table'!$A$4), 'Points-Table'!$C$4,
                (S184 = 'Points-Table'!$A$5), 'Points-Table'!$C$5,
                (S184 = 'Points-Table'!$A$6), 'Points-Table'!$C$6,
                (S184 = 'Points-Table'!$A$7), 'Points-Table'!$C$7,
                (S184 = 'Points-Table'!$A$8), 'Points-Table'!$C$8,
                (S184 = 'Points-Table'!$A$9), 'Points-Table'!$C$9,
                (S184 = 'Points-Table'!$A$10), 'Points-Table'!$C$10,
                (S184 = 'Points-Table'!$A$11), 'Points-Table'!$C$11,
                (S184 = 'Points-Table'!$A$12), 'Points-Table'!$C$12,
                (S184 = 'Points-Table'!$A$13), 'Points-Table'!$C$13,
                true, 0
              )
            </f>
      </c>
      <c r="U184" s="11">
        <v>8</v>
      </c>
      <c r="V184" s="12">
        <f>
              Ifs(
                (U184 = 'Points-Table'!$A$4), 'Points-Table'!$C$4,
                (U184 = 'Points-Table'!$A$5), 'Points-Table'!$C$5,
                (U184 = 'Points-Table'!$A$6), 'Points-Table'!$C$6,
                (U184 = 'Points-Table'!$A$7), 'Points-Table'!$C$7,
                (U184 = 'Points-Table'!$A$8), 'Points-Table'!$C$8,
                (U184 = 'Points-Table'!$A$9), 'Points-Table'!$C$9,
                (U184 = 'Points-Table'!$A$10), 'Points-Table'!$C$10,
                (U184 = 'Points-Table'!$A$11), 'Points-Table'!$C$11,
                (U184 = 'Points-Table'!$A$12), 'Points-Table'!$C$12,
                (U184 = 'Points-Table'!$A$13), 'Points-Table'!$C$13,
                true, 0
              )
            </f>
      </c>
      <c r="W184" s="11">
        <v>5</v>
      </c>
      <c r="X184" s="12">
        <f>
              Ifs(
                (W184 = 'Points-Table'!$A$4), 'Points-Table'!$C$4,
                (W184 = 'Points-Table'!$A$5), 'Points-Table'!$C$5,
                (W184 = 'Points-Table'!$A$6), 'Points-Table'!$C$6,
                (W184 = 'Points-Table'!$A$7), 'Points-Table'!$C$7,
                (W184 = 'Points-Table'!$A$8), 'Points-Table'!$C$8,
                (W184 = 'Points-Table'!$A$9), 'Points-Table'!$C$9,
                (W184 = 'Points-Table'!$A$10), 'Points-Table'!$C$10,
                (W184 = 'Points-Table'!$A$11), 'Points-Table'!$C$11,
                (W184 = 'Points-Table'!$A$12), 'Points-Table'!$C$12,
                (W184 = 'Points-Table'!$A$13), 'Points-Table'!$C$13,
                true, 0
              )
            </f>
      </c>
      <c r="Y184" s="11">
        <v>21</v>
      </c>
      <c r="Z184" s="12">
        <f>
              Ifs(
                (Y184 = 'Points-Table'!$A$4), 'Points-Table'!$C$4,
                (Y184 = 'Points-Table'!$A$5), 'Points-Table'!$C$5,
                (Y184 = 'Points-Table'!$A$6), 'Points-Table'!$C$6,
                (Y184 = 'Points-Table'!$A$7), 'Points-Table'!$C$7,
                (Y184 = 'Points-Table'!$A$8), 'Points-Table'!$C$8,
                (Y184 = 'Points-Table'!$A$9), 'Points-Table'!$C$9,
                (Y184 = 'Points-Table'!$A$10), 'Points-Table'!$C$10,
                (Y184 = 'Points-Table'!$A$11), 'Points-Table'!$C$11,
                (Y184 = 'Points-Table'!$A$12), 'Points-Table'!$C$12,
                (Y184 = 'Points-Table'!$A$13), 'Points-Table'!$C$13,
                true, 0
              )
            </f>
      </c>
      <c r="AA184" s="6">
        <f>SUM(V184,X184,Z184)</f>
      </c>
      <c r="AB184" s="6">
        <f>
      Ifs( 
        ISBETWEEN(AA184, 0, 'Points-Table'!C$20, TRUE, False), 'Points-Table'!A$20,
        ISBETWEEN(AA184, 'Points-Table'!C$20, 'Points-Table'!C$21, TRUE, False), 'Points-Table'!A$21,
        ISBETWEEN(AA184, 'Points-Table'!C$22, 10000, TRUE, TRUE), 'Points-Table'!A$22,
        true, 
        0)
      </f>
      </c>
      <c r="AC184" s="6" t="s">
        <v>56</v>
      </c>
      <c r="AD184" s="6" t="s">
        <v>56</v>
      </c>
      <c r="AE184" s="6" t="s">
        <v>56</v>
      </c>
    </row>
    <row r="185" spans="1:31" s="6" customFormat="1" x14ac:dyDescent="0.25">
      <c r="A185" s="6" t="s">
        <v>302</v>
      </c>
      <c r="B185" s="6" t="s">
        <v>308</v>
      </c>
      <c r="D185" s="6"/>
      <c r="E185" s="6"/>
      <c r="F185" s="6"/>
      <c r="G185" s="6"/>
      <c r="H185" s="6"/>
      <c r="I185" s="6"/>
      <c r="J185" s="6"/>
      <c r="K185" s="6" t="s">
        <v>83</v>
      </c>
      <c r="L185" s="6" t="s">
        <v>84</v>
      </c>
      <c r="M185" s="6"/>
      <c r="N185" s="6"/>
      <c r="O185" s="6"/>
      <c r="P185" s="6"/>
      <c r="Q185" s="11"/>
      <c r="R185" s="12">
        <f>
              Ifs(
                (Q185 = 'Points-Table'!$A$4), 'Points-Table'!$C$4,
                (Q185 = 'Points-Table'!$A$5), 'Points-Table'!$C$5,
                (Q185 = 'Points-Table'!$A$6), 'Points-Table'!$C$6,
                (Q185 = 'Points-Table'!$A$7), 'Points-Table'!$C$7,
                (Q185 = 'Points-Table'!$A$8), 'Points-Table'!$C$8,
                (Q185 = 'Points-Table'!$A$9), 'Points-Table'!$C$9,
                (Q185 = 'Points-Table'!$A$10), 'Points-Table'!$C$10,
                (Q185 = 'Points-Table'!$A$11), 'Points-Table'!$C$11,
                (Q185 = 'Points-Table'!$A$12), 'Points-Table'!$C$12,
                (Q185 = 'Points-Table'!$A$13), 'Points-Table'!$C$13,
                true, 0
              )
            </f>
      </c>
      <c r="S185" s="11"/>
      <c r="T185" s="12">
        <f>
              Ifs(
                (S185 = 'Points-Table'!$A$4), 'Points-Table'!$C$4,
                (S185 = 'Points-Table'!$A$5), 'Points-Table'!$C$5,
                (S185 = 'Points-Table'!$A$6), 'Points-Table'!$C$6,
                (S185 = 'Points-Table'!$A$7), 'Points-Table'!$C$7,
                (S185 = 'Points-Table'!$A$8), 'Points-Table'!$C$8,
                (S185 = 'Points-Table'!$A$9), 'Points-Table'!$C$9,
                (S185 = 'Points-Table'!$A$10), 'Points-Table'!$C$10,
                (S185 = 'Points-Table'!$A$11), 'Points-Table'!$C$11,
                (S185 = 'Points-Table'!$A$12), 'Points-Table'!$C$12,
                (S185 = 'Points-Table'!$A$13), 'Points-Table'!$C$13,
                true, 0
              )
            </f>
      </c>
      <c r="U185" s="11">
        <v>5</v>
      </c>
      <c r="V185" s="12">
        <f>
              Ifs(
                (U185 = 'Points-Table'!$A$4), 'Points-Table'!$C$4,
                (U185 = 'Points-Table'!$A$5), 'Points-Table'!$C$5,
                (U185 = 'Points-Table'!$A$6), 'Points-Table'!$C$6,
                (U185 = 'Points-Table'!$A$7), 'Points-Table'!$C$7,
                (U185 = 'Points-Table'!$A$8), 'Points-Table'!$C$8,
                (U185 = 'Points-Table'!$A$9), 'Points-Table'!$C$9,
                (U185 = 'Points-Table'!$A$10), 'Points-Table'!$C$10,
                (U185 = 'Points-Table'!$A$11), 'Points-Table'!$C$11,
                (U185 = 'Points-Table'!$A$12), 'Points-Table'!$C$12,
                (U185 = 'Points-Table'!$A$13), 'Points-Table'!$C$13,
                true, 0
              )
            </f>
      </c>
      <c r="W185" s="11">
        <v>1</v>
      </c>
      <c r="X185" s="12">
        <f>
              Ifs(
                (W185 = 'Points-Table'!$A$4), 'Points-Table'!$C$4,
                (W185 = 'Points-Table'!$A$5), 'Points-Table'!$C$5,
                (W185 = 'Points-Table'!$A$6), 'Points-Table'!$C$6,
                (W185 = 'Points-Table'!$A$7), 'Points-Table'!$C$7,
                (W185 = 'Points-Table'!$A$8), 'Points-Table'!$C$8,
                (W185 = 'Points-Table'!$A$9), 'Points-Table'!$C$9,
                (W185 = 'Points-Table'!$A$10), 'Points-Table'!$C$10,
                (W185 = 'Points-Table'!$A$11), 'Points-Table'!$C$11,
                (W185 = 'Points-Table'!$A$12), 'Points-Table'!$C$12,
                (W185 = 'Points-Table'!$A$13), 'Points-Table'!$C$13,
                true, 0
              )
            </f>
      </c>
      <c r="Y185" s="11">
        <v>5</v>
      </c>
      <c r="Z185" s="12">
        <f>
              Ifs(
                (Y185 = 'Points-Table'!$A$4), 'Points-Table'!$C$4,
                (Y185 = 'Points-Table'!$A$5), 'Points-Table'!$C$5,
                (Y185 = 'Points-Table'!$A$6), 'Points-Table'!$C$6,
                (Y185 = 'Points-Table'!$A$7), 'Points-Table'!$C$7,
                (Y185 = 'Points-Table'!$A$8), 'Points-Table'!$C$8,
                (Y185 = 'Points-Table'!$A$9), 'Points-Table'!$C$9,
                (Y185 = 'Points-Table'!$A$10), 'Points-Table'!$C$10,
                (Y185 = 'Points-Table'!$A$11), 'Points-Table'!$C$11,
                (Y185 = 'Points-Table'!$A$12), 'Points-Table'!$C$12,
                (Y185 = 'Points-Table'!$A$13), 'Points-Table'!$C$13,
                true, 0
              )
            </f>
      </c>
      <c r="AA185" s="6">
        <f>SUM(V185,X185,Z185)</f>
      </c>
      <c r="AB185" s="6">
        <f>
      Ifs( 
        ISBETWEEN(AA185, 0, 'Points-Table'!C$20, TRUE, False), 'Points-Table'!A$20,
        ISBETWEEN(AA185, 'Points-Table'!C$20, 'Points-Table'!C$21, TRUE, False), 'Points-Table'!A$21,
        ISBETWEEN(AA185, 'Points-Table'!C$22, 10000, TRUE, TRUE), 'Points-Table'!A$22,
        true, 
        0)
      </f>
      </c>
      <c r="AC185" s="6" t="s">
        <v>56</v>
      </c>
      <c r="AD185" s="6" t="s">
        <v>56</v>
      </c>
      <c r="AE185" s="6" t="s">
        <v>56</v>
      </c>
    </row>
    <row r="186" spans="1:31" s="6" customFormat="1" x14ac:dyDescent="0.25">
      <c r="A186" s="6" t="s">
        <v>302</v>
      </c>
      <c r="B186" s="6" t="s">
        <v>309</v>
      </c>
      <c r="D186" s="6"/>
      <c r="E186" s="6"/>
      <c r="F186" s="6"/>
      <c r="G186" s="6"/>
      <c r="H186" s="6"/>
      <c r="I186" s="6"/>
      <c r="J186" s="6"/>
      <c r="K186" s="6" t="s">
        <v>83</v>
      </c>
      <c r="L186" s="6" t="s">
        <v>84</v>
      </c>
      <c r="M186" s="6"/>
      <c r="N186" s="6"/>
      <c r="O186" s="6"/>
      <c r="P186" s="6"/>
      <c r="Q186" s="11"/>
      <c r="R186" s="12">
        <f>
              Ifs(
                (Q186 = 'Points-Table'!$A$4), 'Points-Table'!$C$4,
                (Q186 = 'Points-Table'!$A$5), 'Points-Table'!$C$5,
                (Q186 = 'Points-Table'!$A$6), 'Points-Table'!$C$6,
                (Q186 = 'Points-Table'!$A$7), 'Points-Table'!$C$7,
                (Q186 = 'Points-Table'!$A$8), 'Points-Table'!$C$8,
                (Q186 = 'Points-Table'!$A$9), 'Points-Table'!$C$9,
                (Q186 = 'Points-Table'!$A$10), 'Points-Table'!$C$10,
                (Q186 = 'Points-Table'!$A$11), 'Points-Table'!$C$11,
                (Q186 = 'Points-Table'!$A$12), 'Points-Table'!$C$12,
                (Q186 = 'Points-Table'!$A$13), 'Points-Table'!$C$13,
                true, 0
              )
            </f>
      </c>
      <c r="S186" s="11"/>
      <c r="T186" s="12">
        <f>
              Ifs(
                (S186 = 'Points-Table'!$A$4), 'Points-Table'!$C$4,
                (S186 = 'Points-Table'!$A$5), 'Points-Table'!$C$5,
                (S186 = 'Points-Table'!$A$6), 'Points-Table'!$C$6,
                (S186 = 'Points-Table'!$A$7), 'Points-Table'!$C$7,
                (S186 = 'Points-Table'!$A$8), 'Points-Table'!$C$8,
                (S186 = 'Points-Table'!$A$9), 'Points-Table'!$C$9,
                (S186 = 'Points-Table'!$A$10), 'Points-Table'!$C$10,
                (S186 = 'Points-Table'!$A$11), 'Points-Table'!$C$11,
                (S186 = 'Points-Table'!$A$12), 'Points-Table'!$C$12,
                (S186 = 'Points-Table'!$A$13), 'Points-Table'!$C$13,
                true, 0
              )
            </f>
      </c>
      <c r="U186" s="11">
        <v>3</v>
      </c>
      <c r="V186" s="12">
        <f>
              Ifs(
                (U186 = 'Points-Table'!$A$4), 'Points-Table'!$C$4,
                (U186 = 'Points-Table'!$A$5), 'Points-Table'!$C$5,
                (U186 = 'Points-Table'!$A$6), 'Points-Table'!$C$6,
                (U186 = 'Points-Table'!$A$7), 'Points-Table'!$C$7,
                (U186 = 'Points-Table'!$A$8), 'Points-Table'!$C$8,
                (U186 = 'Points-Table'!$A$9), 'Points-Table'!$C$9,
                (U186 = 'Points-Table'!$A$10), 'Points-Table'!$C$10,
                (U186 = 'Points-Table'!$A$11), 'Points-Table'!$C$11,
                (U186 = 'Points-Table'!$A$12), 'Points-Table'!$C$12,
                (U186 = 'Points-Table'!$A$13), 'Points-Table'!$C$13,
                true, 0
              )
            </f>
      </c>
      <c r="W186" s="11">
        <v>3</v>
      </c>
      <c r="X186" s="12">
        <f>
              Ifs(
                (W186 = 'Points-Table'!$A$4), 'Points-Table'!$C$4,
                (W186 = 'Points-Table'!$A$5), 'Points-Table'!$C$5,
                (W186 = 'Points-Table'!$A$6), 'Points-Table'!$C$6,
                (W186 = 'Points-Table'!$A$7), 'Points-Table'!$C$7,
                (W186 = 'Points-Table'!$A$8), 'Points-Table'!$C$8,
                (W186 = 'Points-Table'!$A$9), 'Points-Table'!$C$9,
                (W186 = 'Points-Table'!$A$10), 'Points-Table'!$C$10,
                (W186 = 'Points-Table'!$A$11), 'Points-Table'!$C$11,
                (W186 = 'Points-Table'!$A$12), 'Points-Table'!$C$12,
                (W186 = 'Points-Table'!$A$13), 'Points-Table'!$C$13,
                true, 0
              )
            </f>
      </c>
      <c r="Y186" s="11">
        <v>0</v>
      </c>
      <c r="Z186" s="12">
        <f>
              Ifs(
                (Y186 = 'Points-Table'!$A$4), 'Points-Table'!$C$4,
                (Y186 = 'Points-Table'!$A$5), 'Points-Table'!$C$5,
                (Y186 = 'Points-Table'!$A$6), 'Points-Table'!$C$6,
                (Y186 = 'Points-Table'!$A$7), 'Points-Table'!$C$7,
                (Y186 = 'Points-Table'!$A$8), 'Points-Table'!$C$8,
                (Y186 = 'Points-Table'!$A$9), 'Points-Table'!$C$9,
                (Y186 = 'Points-Table'!$A$10), 'Points-Table'!$C$10,
                (Y186 = 'Points-Table'!$A$11), 'Points-Table'!$C$11,
                (Y186 = 'Points-Table'!$A$12), 'Points-Table'!$C$12,
                (Y186 = 'Points-Table'!$A$13), 'Points-Table'!$C$13,
                true, 0
              )
            </f>
      </c>
      <c r="AA186" s="6">
        <f>SUM(V186,X186,Z186)</f>
      </c>
      <c r="AB186" s="6">
        <f>
      Ifs( 
        ISBETWEEN(AA186, 0, 'Points-Table'!C$20, TRUE, False), 'Points-Table'!A$20,
        ISBETWEEN(AA186, 'Points-Table'!C$20, 'Points-Table'!C$21, TRUE, False), 'Points-Table'!A$21,
        ISBETWEEN(AA186, 'Points-Table'!C$22, 10000, TRUE, TRUE), 'Points-Table'!A$22,
        true, 
        0)
      </f>
      </c>
      <c r="AC186" s="6" t="s">
        <v>56</v>
      </c>
      <c r="AD186" s="6" t="s">
        <v>56</v>
      </c>
      <c r="AE186" s="6" t="s">
        <v>56</v>
      </c>
    </row>
    <row r="187" spans="1:31" s="6" customFormat="1" x14ac:dyDescent="0.25">
      <c r="A187" s="6" t="s">
        <v>302</v>
      </c>
      <c r="B187" s="6" t="s">
        <v>310</v>
      </c>
      <c r="D187" s="6"/>
      <c r="E187" s="6"/>
      <c r="F187" s="6"/>
      <c r="G187" s="6"/>
      <c r="H187" s="6"/>
      <c r="I187" s="6"/>
      <c r="J187" s="6"/>
      <c r="K187" s="6" t="s">
        <v>83</v>
      </c>
      <c r="L187" s="6" t="s">
        <v>84</v>
      </c>
      <c r="M187" s="6"/>
      <c r="N187" s="6"/>
      <c r="O187" s="6"/>
      <c r="P187" s="6"/>
      <c r="Q187" s="11"/>
      <c r="R187" s="12">
        <f>
              Ifs(
                (Q187 = 'Points-Table'!$A$4), 'Points-Table'!$C$4,
                (Q187 = 'Points-Table'!$A$5), 'Points-Table'!$C$5,
                (Q187 = 'Points-Table'!$A$6), 'Points-Table'!$C$6,
                (Q187 = 'Points-Table'!$A$7), 'Points-Table'!$C$7,
                (Q187 = 'Points-Table'!$A$8), 'Points-Table'!$C$8,
                (Q187 = 'Points-Table'!$A$9), 'Points-Table'!$C$9,
                (Q187 = 'Points-Table'!$A$10), 'Points-Table'!$C$10,
                (Q187 = 'Points-Table'!$A$11), 'Points-Table'!$C$11,
                (Q187 = 'Points-Table'!$A$12), 'Points-Table'!$C$12,
                (Q187 = 'Points-Table'!$A$13), 'Points-Table'!$C$13,
                true, 0
              )
            </f>
      </c>
      <c r="S187" s="11"/>
      <c r="T187" s="12">
        <f>
              Ifs(
                (S187 = 'Points-Table'!$A$4), 'Points-Table'!$C$4,
                (S187 = 'Points-Table'!$A$5), 'Points-Table'!$C$5,
                (S187 = 'Points-Table'!$A$6), 'Points-Table'!$C$6,
                (S187 = 'Points-Table'!$A$7), 'Points-Table'!$C$7,
                (S187 = 'Points-Table'!$A$8), 'Points-Table'!$C$8,
                (S187 = 'Points-Table'!$A$9), 'Points-Table'!$C$9,
                (S187 = 'Points-Table'!$A$10), 'Points-Table'!$C$10,
                (S187 = 'Points-Table'!$A$11), 'Points-Table'!$C$11,
                (S187 = 'Points-Table'!$A$12), 'Points-Table'!$C$12,
                (S187 = 'Points-Table'!$A$13), 'Points-Table'!$C$13,
                true, 0
              )
            </f>
      </c>
      <c r="U187" s="11">
        <v>13</v>
      </c>
      <c r="V187" s="12">
        <f>
              Ifs(
                (U187 = 'Points-Table'!$A$4), 'Points-Table'!$C$4,
                (U187 = 'Points-Table'!$A$5), 'Points-Table'!$C$5,
                (U187 = 'Points-Table'!$A$6), 'Points-Table'!$C$6,
                (U187 = 'Points-Table'!$A$7), 'Points-Table'!$C$7,
                (U187 = 'Points-Table'!$A$8), 'Points-Table'!$C$8,
                (U187 = 'Points-Table'!$A$9), 'Points-Table'!$C$9,
                (U187 = 'Points-Table'!$A$10), 'Points-Table'!$C$10,
                (U187 = 'Points-Table'!$A$11), 'Points-Table'!$C$11,
                (U187 = 'Points-Table'!$A$12), 'Points-Table'!$C$12,
                (U187 = 'Points-Table'!$A$13), 'Points-Table'!$C$13,
                true, 0
              )
            </f>
      </c>
      <c r="W187" s="11">
        <v>2</v>
      </c>
      <c r="X187" s="12">
        <f>
              Ifs(
                (W187 = 'Points-Table'!$A$4), 'Points-Table'!$C$4,
                (W187 = 'Points-Table'!$A$5), 'Points-Table'!$C$5,
                (W187 = 'Points-Table'!$A$6), 'Points-Table'!$C$6,
                (W187 = 'Points-Table'!$A$7), 'Points-Table'!$C$7,
                (W187 = 'Points-Table'!$A$8), 'Points-Table'!$C$8,
                (W187 = 'Points-Table'!$A$9), 'Points-Table'!$C$9,
                (W187 = 'Points-Table'!$A$10), 'Points-Table'!$C$10,
                (W187 = 'Points-Table'!$A$11), 'Points-Table'!$C$11,
                (W187 = 'Points-Table'!$A$12), 'Points-Table'!$C$12,
                (W187 = 'Points-Table'!$A$13), 'Points-Table'!$C$13,
                true, 0
              )
            </f>
      </c>
      <c r="Y187" s="11">
        <v>5</v>
      </c>
      <c r="Z187" s="12">
        <f>
              Ifs(
                (Y187 = 'Points-Table'!$A$4), 'Points-Table'!$C$4,
                (Y187 = 'Points-Table'!$A$5), 'Points-Table'!$C$5,
                (Y187 = 'Points-Table'!$A$6), 'Points-Table'!$C$6,
                (Y187 = 'Points-Table'!$A$7), 'Points-Table'!$C$7,
                (Y187 = 'Points-Table'!$A$8), 'Points-Table'!$C$8,
                (Y187 = 'Points-Table'!$A$9), 'Points-Table'!$C$9,
                (Y187 = 'Points-Table'!$A$10), 'Points-Table'!$C$10,
                (Y187 = 'Points-Table'!$A$11), 'Points-Table'!$C$11,
                (Y187 = 'Points-Table'!$A$12), 'Points-Table'!$C$12,
                (Y187 = 'Points-Table'!$A$13), 'Points-Table'!$C$13,
                true, 0
              )
            </f>
      </c>
      <c r="AA187" s="6">
        <f>SUM(V187,X187,Z187)</f>
      </c>
      <c r="AB187" s="6">
        <f>
      Ifs( 
        ISBETWEEN(AA187, 0, 'Points-Table'!C$20, TRUE, False), 'Points-Table'!A$20,
        ISBETWEEN(AA187, 'Points-Table'!C$20, 'Points-Table'!C$21, TRUE, False), 'Points-Table'!A$21,
        ISBETWEEN(AA187, 'Points-Table'!C$22, 10000, TRUE, TRUE), 'Points-Table'!A$22,
        true, 
        0)
      </f>
      </c>
      <c r="AC187" s="6" t="s">
        <v>56</v>
      </c>
      <c r="AD187" s="6" t="s">
        <v>56</v>
      </c>
      <c r="AE187" s="6" t="s">
        <v>56</v>
      </c>
    </row>
    <row r="188" spans="1:31" s="6" customFormat="1" x14ac:dyDescent="0.25">
      <c r="A188" s="6" t="s">
        <v>302</v>
      </c>
      <c r="B188" s="6" t="s">
        <v>311</v>
      </c>
      <c r="D188" s="6"/>
      <c r="E188" s="6"/>
      <c r="F188" s="6"/>
      <c r="G188" s="6"/>
      <c r="H188" s="6"/>
      <c r="I188" s="6"/>
      <c r="J188" s="6"/>
      <c r="K188" s="6" t="s">
        <v>83</v>
      </c>
      <c r="L188" s="6" t="s">
        <v>84</v>
      </c>
      <c r="M188" s="6"/>
      <c r="N188" s="6"/>
      <c r="O188" s="6"/>
      <c r="P188" s="6"/>
      <c r="Q188" s="11"/>
      <c r="R188" s="12">
        <f>
              Ifs(
                (Q188 = 'Points-Table'!$A$4), 'Points-Table'!$C$4,
                (Q188 = 'Points-Table'!$A$5), 'Points-Table'!$C$5,
                (Q188 = 'Points-Table'!$A$6), 'Points-Table'!$C$6,
                (Q188 = 'Points-Table'!$A$7), 'Points-Table'!$C$7,
                (Q188 = 'Points-Table'!$A$8), 'Points-Table'!$C$8,
                (Q188 = 'Points-Table'!$A$9), 'Points-Table'!$C$9,
                (Q188 = 'Points-Table'!$A$10), 'Points-Table'!$C$10,
                (Q188 = 'Points-Table'!$A$11), 'Points-Table'!$C$11,
                (Q188 = 'Points-Table'!$A$12), 'Points-Table'!$C$12,
                (Q188 = 'Points-Table'!$A$13), 'Points-Table'!$C$13,
                true, 0
              )
            </f>
      </c>
      <c r="S188" s="11"/>
      <c r="T188" s="12">
        <f>
              Ifs(
                (S188 = 'Points-Table'!$A$4), 'Points-Table'!$C$4,
                (S188 = 'Points-Table'!$A$5), 'Points-Table'!$C$5,
                (S188 = 'Points-Table'!$A$6), 'Points-Table'!$C$6,
                (S188 = 'Points-Table'!$A$7), 'Points-Table'!$C$7,
                (S188 = 'Points-Table'!$A$8), 'Points-Table'!$C$8,
                (S188 = 'Points-Table'!$A$9), 'Points-Table'!$C$9,
                (S188 = 'Points-Table'!$A$10), 'Points-Table'!$C$10,
                (S188 = 'Points-Table'!$A$11), 'Points-Table'!$C$11,
                (S188 = 'Points-Table'!$A$12), 'Points-Table'!$C$12,
                (S188 = 'Points-Table'!$A$13), 'Points-Table'!$C$13,
                true, 0
              )
            </f>
      </c>
      <c r="U188" s="11">
        <v>5</v>
      </c>
      <c r="V188" s="12">
        <f>
              Ifs(
                (U188 = 'Points-Table'!$A$4), 'Points-Table'!$C$4,
                (U188 = 'Points-Table'!$A$5), 'Points-Table'!$C$5,
                (U188 = 'Points-Table'!$A$6), 'Points-Table'!$C$6,
                (U188 = 'Points-Table'!$A$7), 'Points-Table'!$C$7,
                (U188 = 'Points-Table'!$A$8), 'Points-Table'!$C$8,
                (U188 = 'Points-Table'!$A$9), 'Points-Table'!$C$9,
                (U188 = 'Points-Table'!$A$10), 'Points-Table'!$C$10,
                (U188 = 'Points-Table'!$A$11), 'Points-Table'!$C$11,
                (U188 = 'Points-Table'!$A$12), 'Points-Table'!$C$12,
                (U188 = 'Points-Table'!$A$13), 'Points-Table'!$C$13,
                true, 0
              )
            </f>
      </c>
      <c r="W188" s="11">
        <v>2</v>
      </c>
      <c r="X188" s="12">
        <f>
              Ifs(
                (W188 = 'Points-Table'!$A$4), 'Points-Table'!$C$4,
                (W188 = 'Points-Table'!$A$5), 'Points-Table'!$C$5,
                (W188 = 'Points-Table'!$A$6), 'Points-Table'!$C$6,
                (W188 = 'Points-Table'!$A$7), 'Points-Table'!$C$7,
                (W188 = 'Points-Table'!$A$8), 'Points-Table'!$C$8,
                (W188 = 'Points-Table'!$A$9), 'Points-Table'!$C$9,
                (W188 = 'Points-Table'!$A$10), 'Points-Table'!$C$10,
                (W188 = 'Points-Table'!$A$11), 'Points-Table'!$C$11,
                (W188 = 'Points-Table'!$A$12), 'Points-Table'!$C$12,
                (W188 = 'Points-Table'!$A$13), 'Points-Table'!$C$13,
                true, 0
              )
            </f>
      </c>
      <c r="Y188" s="11">
        <v>5</v>
      </c>
      <c r="Z188" s="12">
        <f>
              Ifs(
                (Y188 = 'Points-Table'!$A$4), 'Points-Table'!$C$4,
                (Y188 = 'Points-Table'!$A$5), 'Points-Table'!$C$5,
                (Y188 = 'Points-Table'!$A$6), 'Points-Table'!$C$6,
                (Y188 = 'Points-Table'!$A$7), 'Points-Table'!$C$7,
                (Y188 = 'Points-Table'!$A$8), 'Points-Table'!$C$8,
                (Y188 = 'Points-Table'!$A$9), 'Points-Table'!$C$9,
                (Y188 = 'Points-Table'!$A$10), 'Points-Table'!$C$10,
                (Y188 = 'Points-Table'!$A$11), 'Points-Table'!$C$11,
                (Y188 = 'Points-Table'!$A$12), 'Points-Table'!$C$12,
                (Y188 = 'Points-Table'!$A$13), 'Points-Table'!$C$13,
                true, 0
              )
            </f>
      </c>
      <c r="AA188" s="6">
        <f>SUM(V188,X188,Z188)</f>
      </c>
      <c r="AB188" s="6">
        <f>
      Ifs( 
        ISBETWEEN(AA188, 0, 'Points-Table'!C$20, TRUE, False), 'Points-Table'!A$20,
        ISBETWEEN(AA188, 'Points-Table'!C$20, 'Points-Table'!C$21, TRUE, False), 'Points-Table'!A$21,
        ISBETWEEN(AA188, 'Points-Table'!C$22, 10000, TRUE, TRUE), 'Points-Table'!A$22,
        true, 
        0)
      </f>
      </c>
      <c r="AC188" s="6" t="s">
        <v>56</v>
      </c>
      <c r="AD188" s="6" t="s">
        <v>56</v>
      </c>
      <c r="AE188" s="6" t="s">
        <v>56</v>
      </c>
    </row>
    <row r="189" spans="1:31" s="6" customFormat="1" x14ac:dyDescent="0.25">
      <c r="A189" s="6" t="s">
        <v>302</v>
      </c>
      <c r="B189" s="6" t="s">
        <v>312</v>
      </c>
      <c r="D189" s="6"/>
      <c r="E189" s="6"/>
      <c r="F189" s="6"/>
      <c r="G189" s="6"/>
      <c r="H189" s="6"/>
      <c r="I189" s="6"/>
      <c r="J189" s="6"/>
      <c r="K189" s="6" t="s">
        <v>83</v>
      </c>
      <c r="L189" s="6" t="s">
        <v>84</v>
      </c>
      <c r="M189" s="6"/>
      <c r="N189" s="6"/>
      <c r="O189" s="6"/>
      <c r="P189" s="6"/>
      <c r="Q189" s="11"/>
      <c r="R189" s="12">
        <f>
              Ifs(
                (Q189 = 'Points-Table'!$A$4), 'Points-Table'!$C$4,
                (Q189 = 'Points-Table'!$A$5), 'Points-Table'!$C$5,
                (Q189 = 'Points-Table'!$A$6), 'Points-Table'!$C$6,
                (Q189 = 'Points-Table'!$A$7), 'Points-Table'!$C$7,
                (Q189 = 'Points-Table'!$A$8), 'Points-Table'!$C$8,
                (Q189 = 'Points-Table'!$A$9), 'Points-Table'!$C$9,
                (Q189 = 'Points-Table'!$A$10), 'Points-Table'!$C$10,
                (Q189 = 'Points-Table'!$A$11), 'Points-Table'!$C$11,
                (Q189 = 'Points-Table'!$A$12), 'Points-Table'!$C$12,
                (Q189 = 'Points-Table'!$A$13), 'Points-Table'!$C$13,
                true, 0
              )
            </f>
      </c>
      <c r="S189" s="11"/>
      <c r="T189" s="12">
        <f>
              Ifs(
                (S189 = 'Points-Table'!$A$4), 'Points-Table'!$C$4,
                (S189 = 'Points-Table'!$A$5), 'Points-Table'!$C$5,
                (S189 = 'Points-Table'!$A$6), 'Points-Table'!$C$6,
                (S189 = 'Points-Table'!$A$7), 'Points-Table'!$C$7,
                (S189 = 'Points-Table'!$A$8), 'Points-Table'!$C$8,
                (S189 = 'Points-Table'!$A$9), 'Points-Table'!$C$9,
                (S189 = 'Points-Table'!$A$10), 'Points-Table'!$C$10,
                (S189 = 'Points-Table'!$A$11), 'Points-Table'!$C$11,
                (S189 = 'Points-Table'!$A$12), 'Points-Table'!$C$12,
                (S189 = 'Points-Table'!$A$13), 'Points-Table'!$C$13,
                true, 0
              )
            </f>
      </c>
      <c r="U189" s="11">
        <v>0</v>
      </c>
      <c r="V189" s="12">
        <f>
              Ifs(
                (U189 = 'Points-Table'!$A$4), 'Points-Table'!$C$4,
                (U189 = 'Points-Table'!$A$5), 'Points-Table'!$C$5,
                (U189 = 'Points-Table'!$A$6), 'Points-Table'!$C$6,
                (U189 = 'Points-Table'!$A$7), 'Points-Table'!$C$7,
                (U189 = 'Points-Table'!$A$8), 'Points-Table'!$C$8,
                (U189 = 'Points-Table'!$A$9), 'Points-Table'!$C$9,
                (U189 = 'Points-Table'!$A$10), 'Points-Table'!$C$10,
                (U189 = 'Points-Table'!$A$11), 'Points-Table'!$C$11,
                (U189 = 'Points-Table'!$A$12), 'Points-Table'!$C$12,
                (U189 = 'Points-Table'!$A$13), 'Points-Table'!$C$13,
                true, 0
              )
            </f>
      </c>
      <c r="W189" s="11">
        <v>5</v>
      </c>
      <c r="X189" s="12">
        <f>
              Ifs(
                (W189 = 'Points-Table'!$A$4), 'Points-Table'!$C$4,
                (W189 = 'Points-Table'!$A$5), 'Points-Table'!$C$5,
                (W189 = 'Points-Table'!$A$6), 'Points-Table'!$C$6,
                (W189 = 'Points-Table'!$A$7), 'Points-Table'!$C$7,
                (W189 = 'Points-Table'!$A$8), 'Points-Table'!$C$8,
                (W189 = 'Points-Table'!$A$9), 'Points-Table'!$C$9,
                (W189 = 'Points-Table'!$A$10), 'Points-Table'!$C$10,
                (W189 = 'Points-Table'!$A$11), 'Points-Table'!$C$11,
                (W189 = 'Points-Table'!$A$12), 'Points-Table'!$C$12,
                (W189 = 'Points-Table'!$A$13), 'Points-Table'!$C$13,
                true, 0
              )
            </f>
      </c>
      <c r="Y189" s="11">
        <v>0</v>
      </c>
      <c r="Z189" s="12">
        <f>
              Ifs(
                (Y189 = 'Points-Table'!$A$4), 'Points-Table'!$C$4,
                (Y189 = 'Points-Table'!$A$5), 'Points-Table'!$C$5,
                (Y189 = 'Points-Table'!$A$6), 'Points-Table'!$C$6,
                (Y189 = 'Points-Table'!$A$7), 'Points-Table'!$C$7,
                (Y189 = 'Points-Table'!$A$8), 'Points-Table'!$C$8,
                (Y189 = 'Points-Table'!$A$9), 'Points-Table'!$C$9,
                (Y189 = 'Points-Table'!$A$10), 'Points-Table'!$C$10,
                (Y189 = 'Points-Table'!$A$11), 'Points-Table'!$C$11,
                (Y189 = 'Points-Table'!$A$12), 'Points-Table'!$C$12,
                (Y189 = 'Points-Table'!$A$13), 'Points-Table'!$C$13,
                true, 0
              )
            </f>
      </c>
      <c r="AA189" s="6">
        <f>SUM(V189,X189,Z189)</f>
      </c>
      <c r="AB189" s="6">
        <f>
      Ifs( 
        ISBETWEEN(AA189, 0, 'Points-Table'!C$20, TRUE, False), 'Points-Table'!A$20,
        ISBETWEEN(AA189, 'Points-Table'!C$20, 'Points-Table'!C$21, TRUE, False), 'Points-Table'!A$21,
        ISBETWEEN(AA189, 'Points-Table'!C$22, 10000, TRUE, TRUE), 'Points-Table'!A$22,
        true, 
        0)
      </f>
      </c>
      <c r="AC189" s="6" t="s">
        <v>56</v>
      </c>
      <c r="AD189" s="6" t="s">
        <v>56</v>
      </c>
      <c r="AE189" s="6" t="s">
        <v>56</v>
      </c>
    </row>
    <row r="190" spans="1:31" s="6" customFormat="1" x14ac:dyDescent="0.25">
      <c r="A190" s="6" t="s">
        <v>302</v>
      </c>
      <c r="B190" s="6" t="s">
        <v>313</v>
      </c>
      <c r="D190" s="6"/>
      <c r="E190" s="6"/>
      <c r="F190" s="6"/>
      <c r="G190" s="6"/>
      <c r="H190" s="6"/>
      <c r="I190" s="6"/>
      <c r="J190" s="6"/>
      <c r="K190" s="6" t="s">
        <v>83</v>
      </c>
      <c r="L190" s="6" t="s">
        <v>84</v>
      </c>
      <c r="M190" s="6"/>
      <c r="N190" s="6"/>
      <c r="O190" s="6"/>
      <c r="P190" s="6"/>
      <c r="Q190" s="11"/>
      <c r="R190" s="12">
        <f>
              Ifs(
                (Q190 = 'Points-Table'!$A$4), 'Points-Table'!$C$4,
                (Q190 = 'Points-Table'!$A$5), 'Points-Table'!$C$5,
                (Q190 = 'Points-Table'!$A$6), 'Points-Table'!$C$6,
                (Q190 = 'Points-Table'!$A$7), 'Points-Table'!$C$7,
                (Q190 = 'Points-Table'!$A$8), 'Points-Table'!$C$8,
                (Q190 = 'Points-Table'!$A$9), 'Points-Table'!$C$9,
                (Q190 = 'Points-Table'!$A$10), 'Points-Table'!$C$10,
                (Q190 = 'Points-Table'!$A$11), 'Points-Table'!$C$11,
                (Q190 = 'Points-Table'!$A$12), 'Points-Table'!$C$12,
                (Q190 = 'Points-Table'!$A$13), 'Points-Table'!$C$13,
                true, 0
              )
            </f>
      </c>
      <c r="S190" s="11"/>
      <c r="T190" s="12">
        <f>
              Ifs(
                (S190 = 'Points-Table'!$A$4), 'Points-Table'!$C$4,
                (S190 = 'Points-Table'!$A$5), 'Points-Table'!$C$5,
                (S190 = 'Points-Table'!$A$6), 'Points-Table'!$C$6,
                (S190 = 'Points-Table'!$A$7), 'Points-Table'!$C$7,
                (S190 = 'Points-Table'!$A$8), 'Points-Table'!$C$8,
                (S190 = 'Points-Table'!$A$9), 'Points-Table'!$C$9,
                (S190 = 'Points-Table'!$A$10), 'Points-Table'!$C$10,
                (S190 = 'Points-Table'!$A$11), 'Points-Table'!$C$11,
                (S190 = 'Points-Table'!$A$12), 'Points-Table'!$C$12,
                (S190 = 'Points-Table'!$A$13), 'Points-Table'!$C$13,
                true, 0
              )
            </f>
      </c>
      <c r="U190" s="11">
        <v>3</v>
      </c>
      <c r="V190" s="12">
        <f>
              Ifs(
                (U190 = 'Points-Table'!$A$4), 'Points-Table'!$C$4,
                (U190 = 'Points-Table'!$A$5), 'Points-Table'!$C$5,
                (U190 = 'Points-Table'!$A$6), 'Points-Table'!$C$6,
                (U190 = 'Points-Table'!$A$7), 'Points-Table'!$C$7,
                (U190 = 'Points-Table'!$A$8), 'Points-Table'!$C$8,
                (U190 = 'Points-Table'!$A$9), 'Points-Table'!$C$9,
                (U190 = 'Points-Table'!$A$10), 'Points-Table'!$C$10,
                (U190 = 'Points-Table'!$A$11), 'Points-Table'!$C$11,
                (U190 = 'Points-Table'!$A$12), 'Points-Table'!$C$12,
                (U190 = 'Points-Table'!$A$13), 'Points-Table'!$C$13,
                true, 0
              )
            </f>
      </c>
      <c r="W190" s="11">
        <v>1</v>
      </c>
      <c r="X190" s="12">
        <f>
              Ifs(
                (W190 = 'Points-Table'!$A$4), 'Points-Table'!$C$4,
                (W190 = 'Points-Table'!$A$5), 'Points-Table'!$C$5,
                (W190 = 'Points-Table'!$A$6), 'Points-Table'!$C$6,
                (W190 = 'Points-Table'!$A$7), 'Points-Table'!$C$7,
                (W190 = 'Points-Table'!$A$8), 'Points-Table'!$C$8,
                (W190 = 'Points-Table'!$A$9), 'Points-Table'!$C$9,
                (W190 = 'Points-Table'!$A$10), 'Points-Table'!$C$10,
                (W190 = 'Points-Table'!$A$11), 'Points-Table'!$C$11,
                (W190 = 'Points-Table'!$A$12), 'Points-Table'!$C$12,
                (W190 = 'Points-Table'!$A$13), 'Points-Table'!$C$13,
                true, 0
              )
            </f>
      </c>
      <c r="Y190" s="11">
        <v>3</v>
      </c>
      <c r="Z190" s="12">
        <f>
              Ifs(
                (Y190 = 'Points-Table'!$A$4), 'Points-Table'!$C$4,
                (Y190 = 'Points-Table'!$A$5), 'Points-Table'!$C$5,
                (Y190 = 'Points-Table'!$A$6), 'Points-Table'!$C$6,
                (Y190 = 'Points-Table'!$A$7), 'Points-Table'!$C$7,
                (Y190 = 'Points-Table'!$A$8), 'Points-Table'!$C$8,
                (Y190 = 'Points-Table'!$A$9), 'Points-Table'!$C$9,
                (Y190 = 'Points-Table'!$A$10), 'Points-Table'!$C$10,
                (Y190 = 'Points-Table'!$A$11), 'Points-Table'!$C$11,
                (Y190 = 'Points-Table'!$A$12), 'Points-Table'!$C$12,
                (Y190 = 'Points-Table'!$A$13), 'Points-Table'!$C$13,
                true, 0
              )
            </f>
      </c>
      <c r="AA190" s="6">
        <f>SUM(V190,X190,Z190)</f>
      </c>
      <c r="AB190" s="6">
        <f>
      Ifs( 
        ISBETWEEN(AA190, 0, 'Points-Table'!C$20, TRUE, False), 'Points-Table'!A$20,
        ISBETWEEN(AA190, 'Points-Table'!C$20, 'Points-Table'!C$21, TRUE, False), 'Points-Table'!A$21,
        ISBETWEEN(AA190, 'Points-Table'!C$22, 10000, TRUE, TRUE), 'Points-Table'!A$22,
        true, 
        0)
      </f>
      </c>
      <c r="AC190" s="6" t="s">
        <v>56</v>
      </c>
      <c r="AD190" s="6" t="s">
        <v>56</v>
      </c>
      <c r="AE190" s="6" t="s">
        <v>56</v>
      </c>
    </row>
    <row r="191" spans="1:31" s="6" customFormat="1" x14ac:dyDescent="0.25">
      <c r="A191" s="6" t="s">
        <v>302</v>
      </c>
      <c r="B191" s="6" t="s">
        <v>314</v>
      </c>
      <c r="D191" s="6"/>
      <c r="E191" s="6"/>
      <c r="F191" s="6"/>
      <c r="G191" s="6"/>
      <c r="H191" s="6"/>
      <c r="I191" s="6"/>
      <c r="J191" s="6"/>
      <c r="K191" s="6" t="s">
        <v>83</v>
      </c>
      <c r="L191" s="6" t="s">
        <v>84</v>
      </c>
      <c r="M191" s="6"/>
      <c r="N191" s="6"/>
      <c r="O191" s="6"/>
      <c r="P191" s="6"/>
      <c r="Q191" s="11"/>
      <c r="R191" s="12">
        <f>
              Ifs(
                (Q191 = 'Points-Table'!$A$4), 'Points-Table'!$C$4,
                (Q191 = 'Points-Table'!$A$5), 'Points-Table'!$C$5,
                (Q191 = 'Points-Table'!$A$6), 'Points-Table'!$C$6,
                (Q191 = 'Points-Table'!$A$7), 'Points-Table'!$C$7,
                (Q191 = 'Points-Table'!$A$8), 'Points-Table'!$C$8,
                (Q191 = 'Points-Table'!$A$9), 'Points-Table'!$C$9,
                (Q191 = 'Points-Table'!$A$10), 'Points-Table'!$C$10,
                (Q191 = 'Points-Table'!$A$11), 'Points-Table'!$C$11,
                (Q191 = 'Points-Table'!$A$12), 'Points-Table'!$C$12,
                (Q191 = 'Points-Table'!$A$13), 'Points-Table'!$C$13,
                true, 0
              )
            </f>
      </c>
      <c r="S191" s="11"/>
      <c r="T191" s="12">
        <f>
              Ifs(
                (S191 = 'Points-Table'!$A$4), 'Points-Table'!$C$4,
                (S191 = 'Points-Table'!$A$5), 'Points-Table'!$C$5,
                (S191 = 'Points-Table'!$A$6), 'Points-Table'!$C$6,
                (S191 = 'Points-Table'!$A$7), 'Points-Table'!$C$7,
                (S191 = 'Points-Table'!$A$8), 'Points-Table'!$C$8,
                (S191 = 'Points-Table'!$A$9), 'Points-Table'!$C$9,
                (S191 = 'Points-Table'!$A$10), 'Points-Table'!$C$10,
                (S191 = 'Points-Table'!$A$11), 'Points-Table'!$C$11,
                (S191 = 'Points-Table'!$A$12), 'Points-Table'!$C$12,
                (S191 = 'Points-Table'!$A$13), 'Points-Table'!$C$13,
                true, 0
              )
            </f>
      </c>
      <c r="U191" s="11">
        <v>5</v>
      </c>
      <c r="V191" s="12">
        <f>
              Ifs(
                (U191 = 'Points-Table'!$A$4), 'Points-Table'!$C$4,
                (U191 = 'Points-Table'!$A$5), 'Points-Table'!$C$5,
                (U191 = 'Points-Table'!$A$6), 'Points-Table'!$C$6,
                (U191 = 'Points-Table'!$A$7), 'Points-Table'!$C$7,
                (U191 = 'Points-Table'!$A$8), 'Points-Table'!$C$8,
                (U191 = 'Points-Table'!$A$9), 'Points-Table'!$C$9,
                (U191 = 'Points-Table'!$A$10), 'Points-Table'!$C$10,
                (U191 = 'Points-Table'!$A$11), 'Points-Table'!$C$11,
                (U191 = 'Points-Table'!$A$12), 'Points-Table'!$C$12,
                (U191 = 'Points-Table'!$A$13), 'Points-Table'!$C$13,
                true, 0
              )
            </f>
      </c>
      <c r="W191" s="11">
        <v>5</v>
      </c>
      <c r="X191" s="12">
        <f>
              Ifs(
                (W191 = 'Points-Table'!$A$4), 'Points-Table'!$C$4,
                (W191 = 'Points-Table'!$A$5), 'Points-Table'!$C$5,
                (W191 = 'Points-Table'!$A$6), 'Points-Table'!$C$6,
                (W191 = 'Points-Table'!$A$7), 'Points-Table'!$C$7,
                (W191 = 'Points-Table'!$A$8), 'Points-Table'!$C$8,
                (W191 = 'Points-Table'!$A$9), 'Points-Table'!$C$9,
                (W191 = 'Points-Table'!$A$10), 'Points-Table'!$C$10,
                (W191 = 'Points-Table'!$A$11), 'Points-Table'!$C$11,
                (W191 = 'Points-Table'!$A$12), 'Points-Table'!$C$12,
                (W191 = 'Points-Table'!$A$13), 'Points-Table'!$C$13,
                true, 0
              )
            </f>
      </c>
      <c r="Y191" s="11">
        <v>13</v>
      </c>
      <c r="Z191" s="12">
        <f>
              Ifs(
                (Y191 = 'Points-Table'!$A$4), 'Points-Table'!$C$4,
                (Y191 = 'Points-Table'!$A$5), 'Points-Table'!$C$5,
                (Y191 = 'Points-Table'!$A$6), 'Points-Table'!$C$6,
                (Y191 = 'Points-Table'!$A$7), 'Points-Table'!$C$7,
                (Y191 = 'Points-Table'!$A$8), 'Points-Table'!$C$8,
                (Y191 = 'Points-Table'!$A$9), 'Points-Table'!$C$9,
                (Y191 = 'Points-Table'!$A$10), 'Points-Table'!$C$10,
                (Y191 = 'Points-Table'!$A$11), 'Points-Table'!$C$11,
                (Y191 = 'Points-Table'!$A$12), 'Points-Table'!$C$12,
                (Y191 = 'Points-Table'!$A$13), 'Points-Table'!$C$13,
                true, 0
              )
            </f>
      </c>
      <c r="AA191" s="6">
        <f>SUM(V191,X191,Z191)</f>
      </c>
      <c r="AB191" s="6">
        <f>
      Ifs( 
        ISBETWEEN(AA191, 0, 'Points-Table'!C$20, TRUE, False), 'Points-Table'!A$20,
        ISBETWEEN(AA191, 'Points-Table'!C$20, 'Points-Table'!C$21, TRUE, False), 'Points-Table'!A$21,
        ISBETWEEN(AA191, 'Points-Table'!C$22, 10000, TRUE, TRUE), 'Points-Table'!A$22,
        true, 
        0)
      </f>
      </c>
      <c r="AC191" s="6" t="s">
        <v>56</v>
      </c>
      <c r="AD191" s="6" t="s">
        <v>56</v>
      </c>
      <c r="AE191" s="6" t="s">
        <v>56</v>
      </c>
    </row>
    <row r="192" spans="1:31" s="6" customFormat="1" x14ac:dyDescent="0.25">
      <c r="A192" s="6" t="s">
        <v>302</v>
      </c>
      <c r="B192" s="6" t="s">
        <v>315</v>
      </c>
      <c r="D192" s="6"/>
      <c r="E192" s="6"/>
      <c r="F192" s="6"/>
      <c r="G192" s="6"/>
      <c r="H192" s="6"/>
      <c r="I192" s="6"/>
      <c r="J192" s="6"/>
      <c r="K192" s="6" t="s">
        <v>83</v>
      </c>
      <c r="L192" s="6" t="s">
        <v>84</v>
      </c>
      <c r="M192" s="6"/>
      <c r="N192" s="6"/>
      <c r="O192" s="6"/>
      <c r="P192" s="6"/>
      <c r="Q192" s="11"/>
      <c r="R192" s="12">
        <f>
              Ifs(
                (Q192 = 'Points-Table'!$A$4), 'Points-Table'!$C$4,
                (Q192 = 'Points-Table'!$A$5), 'Points-Table'!$C$5,
                (Q192 = 'Points-Table'!$A$6), 'Points-Table'!$C$6,
                (Q192 = 'Points-Table'!$A$7), 'Points-Table'!$C$7,
                (Q192 = 'Points-Table'!$A$8), 'Points-Table'!$C$8,
                (Q192 = 'Points-Table'!$A$9), 'Points-Table'!$C$9,
                (Q192 = 'Points-Table'!$A$10), 'Points-Table'!$C$10,
                (Q192 = 'Points-Table'!$A$11), 'Points-Table'!$C$11,
                (Q192 = 'Points-Table'!$A$12), 'Points-Table'!$C$12,
                (Q192 = 'Points-Table'!$A$13), 'Points-Table'!$C$13,
                true, 0
              )
            </f>
      </c>
      <c r="S192" s="11"/>
      <c r="T192" s="12">
        <f>
              Ifs(
                (S192 = 'Points-Table'!$A$4), 'Points-Table'!$C$4,
                (S192 = 'Points-Table'!$A$5), 'Points-Table'!$C$5,
                (S192 = 'Points-Table'!$A$6), 'Points-Table'!$C$6,
                (S192 = 'Points-Table'!$A$7), 'Points-Table'!$C$7,
                (S192 = 'Points-Table'!$A$8), 'Points-Table'!$C$8,
                (S192 = 'Points-Table'!$A$9), 'Points-Table'!$C$9,
                (S192 = 'Points-Table'!$A$10), 'Points-Table'!$C$10,
                (S192 = 'Points-Table'!$A$11), 'Points-Table'!$C$11,
                (S192 = 'Points-Table'!$A$12), 'Points-Table'!$C$12,
                (S192 = 'Points-Table'!$A$13), 'Points-Table'!$C$13,
                true, 0
              )
            </f>
      </c>
      <c r="U192" s="11"/>
      <c r="V192" s="12">
        <f>
              Ifs(
                (U192 = 'Points-Table'!$A$4), 'Points-Table'!$C$4,
                (U192 = 'Points-Table'!$A$5), 'Points-Table'!$C$5,
                (U192 = 'Points-Table'!$A$6), 'Points-Table'!$C$6,
                (U192 = 'Points-Table'!$A$7), 'Points-Table'!$C$7,
                (U192 = 'Points-Table'!$A$8), 'Points-Table'!$C$8,
                (U192 = 'Points-Table'!$A$9), 'Points-Table'!$C$9,
                (U192 = 'Points-Table'!$A$10), 'Points-Table'!$C$10,
                (U192 = 'Points-Table'!$A$11), 'Points-Table'!$C$11,
                (U192 = 'Points-Table'!$A$12), 'Points-Table'!$C$12,
                (U192 = 'Points-Table'!$A$13), 'Points-Table'!$C$13,
                true, 0
              )
            </f>
      </c>
      <c r="W192" s="11"/>
      <c r="X192" s="12">
        <f>
              Ifs(
                (W192 = 'Points-Table'!$A$4), 'Points-Table'!$C$4,
                (W192 = 'Points-Table'!$A$5), 'Points-Table'!$C$5,
                (W192 = 'Points-Table'!$A$6), 'Points-Table'!$C$6,
                (W192 = 'Points-Table'!$A$7), 'Points-Table'!$C$7,
                (W192 = 'Points-Table'!$A$8), 'Points-Table'!$C$8,
                (W192 = 'Points-Table'!$A$9), 'Points-Table'!$C$9,
                (W192 = 'Points-Table'!$A$10), 'Points-Table'!$C$10,
                (W192 = 'Points-Table'!$A$11), 'Points-Table'!$C$11,
                (W192 = 'Points-Table'!$A$12), 'Points-Table'!$C$12,
                (W192 = 'Points-Table'!$A$13), 'Points-Table'!$C$13,
                true, 0
              )
            </f>
      </c>
      <c r="Y192" s="11">
        <v>13</v>
      </c>
      <c r="Z192" s="12">
        <f>
              Ifs(
                (Y192 = 'Points-Table'!$A$4), 'Points-Table'!$C$4,
                (Y192 = 'Points-Table'!$A$5), 'Points-Table'!$C$5,
                (Y192 = 'Points-Table'!$A$6), 'Points-Table'!$C$6,
                (Y192 = 'Points-Table'!$A$7), 'Points-Table'!$C$7,
                (Y192 = 'Points-Table'!$A$8), 'Points-Table'!$C$8,
                (Y192 = 'Points-Table'!$A$9), 'Points-Table'!$C$9,
                (Y192 = 'Points-Table'!$A$10), 'Points-Table'!$C$10,
                (Y192 = 'Points-Table'!$A$11), 'Points-Table'!$C$11,
                (Y192 = 'Points-Table'!$A$12), 'Points-Table'!$C$12,
                (Y192 = 'Points-Table'!$A$13), 'Points-Table'!$C$13,
                true, 0
              )
            </f>
      </c>
      <c r="AA192" s="6">
        <f>SUM(V192,X192,Z192)</f>
      </c>
      <c r="AB192" s="6">
        <f>
      Ifs( 
        ISBETWEEN(AA192, 0, 'Points-Table'!C$20, TRUE, False), 'Points-Table'!A$20,
        ISBETWEEN(AA192, 'Points-Table'!C$20, 'Points-Table'!C$21, TRUE, False), 'Points-Table'!A$21,
        ISBETWEEN(AA192, 'Points-Table'!C$22, 10000, TRUE, TRUE), 'Points-Table'!A$22,
        true, 
        0)
      </f>
      </c>
      <c r="AC192" s="6" t="s">
        <v>56</v>
      </c>
      <c r="AD192" s="6" t="s">
        <v>56</v>
      </c>
      <c r="AE192" s="6" t="s">
        <v>56</v>
      </c>
    </row>
    <row r="193" spans="1:31" s="13" customFormat="1" x14ac:dyDescent="0.25">
      <c r="A193" s="13" t="s">
        <v>302</v>
      </c>
      <c r="B193" s="13" t="s">
        <v>236</v>
      </c>
      <c r="D193" s="13"/>
      <c r="E193" s="13"/>
      <c r="F193" s="13" t="s">
        <v>316</v>
      </c>
      <c r="G193" s="13"/>
      <c r="H193" s="13"/>
      <c r="I193" s="13"/>
      <c r="J193" s="13"/>
      <c r="K193" s="13" t="s">
        <v>83</v>
      </c>
      <c r="L193" s="13" t="s">
        <v>84</v>
      </c>
      <c r="M193" s="13"/>
      <c r="N193" s="13"/>
      <c r="O193" s="13"/>
      <c r="P193" s="13"/>
      <c r="Q193" s="13"/>
      <c r="R193" s="13">
        <f>
              Ifs(
                (Q193 = 'Points-Table'!$A$4), 'Points-Table'!$C$4,
                (Q193 = 'Points-Table'!$A$5), 'Points-Table'!$C$5,
                (Q193 = 'Points-Table'!$A$6), 'Points-Table'!$C$6,
                (Q193 = 'Points-Table'!$A$7), 'Points-Table'!$C$7,
                (Q193 = 'Points-Table'!$A$8), 'Points-Table'!$C$8,
                (Q193 = 'Points-Table'!$A$9), 'Points-Table'!$C$9,
                (Q193 = 'Points-Table'!$A$10), 'Points-Table'!$C$10,
                (Q193 = 'Points-Table'!$A$11), 'Points-Table'!$C$11,
                (Q193 = 'Points-Table'!$A$12), 'Points-Table'!$C$12,
                (Q193 = 'Points-Table'!$A$13), 'Points-Table'!$C$13,
                true, 0
              )
            </f>
      </c>
      <c r="S193" s="13"/>
      <c r="T193" s="13">
        <f>
              Ifs(
                (S193 = 'Points-Table'!$A$4), 'Points-Table'!$C$4,
                (S193 = 'Points-Table'!$A$5), 'Points-Table'!$C$5,
                (S193 = 'Points-Table'!$A$6), 'Points-Table'!$C$6,
                (S193 = 'Points-Table'!$A$7), 'Points-Table'!$C$7,
                (S193 = 'Points-Table'!$A$8), 'Points-Table'!$C$8,
                (S193 = 'Points-Table'!$A$9), 'Points-Table'!$C$9,
                (S193 = 'Points-Table'!$A$10), 'Points-Table'!$C$10,
                (S193 = 'Points-Table'!$A$11), 'Points-Table'!$C$11,
                (S193 = 'Points-Table'!$A$12), 'Points-Table'!$C$12,
                (S193 = 'Points-Table'!$A$13), 'Points-Table'!$C$13,
                true, 0
              )
            </f>
      </c>
      <c r="U193" s="13"/>
      <c r="V193" s="13">
        <f>
              Ifs(
                (U193 = 'Points-Table'!$A$4), 'Points-Table'!$C$4,
                (U193 = 'Points-Table'!$A$5), 'Points-Table'!$C$5,
                (U193 = 'Points-Table'!$A$6), 'Points-Table'!$C$6,
                (U193 = 'Points-Table'!$A$7), 'Points-Table'!$C$7,
                (U193 = 'Points-Table'!$A$8), 'Points-Table'!$C$8,
                (U193 = 'Points-Table'!$A$9), 'Points-Table'!$C$9,
                (U193 = 'Points-Table'!$A$10), 'Points-Table'!$C$10,
                (U193 = 'Points-Table'!$A$11), 'Points-Table'!$C$11,
                (U193 = 'Points-Table'!$A$12), 'Points-Table'!$C$12,
                (U193 = 'Points-Table'!$A$13), 'Points-Table'!$C$13,
                true, 0
              )
            </f>
      </c>
      <c r="W193" s="13"/>
      <c r="X193" s="13">
        <f>
              Ifs(
                (W193 = 'Points-Table'!$A$4), 'Points-Table'!$C$4,
                (W193 = 'Points-Table'!$A$5), 'Points-Table'!$C$5,
                (W193 = 'Points-Table'!$A$6), 'Points-Table'!$C$6,
                (W193 = 'Points-Table'!$A$7), 'Points-Table'!$C$7,
                (W193 = 'Points-Table'!$A$8), 'Points-Table'!$C$8,
                (W193 = 'Points-Table'!$A$9), 'Points-Table'!$C$9,
                (W193 = 'Points-Table'!$A$10), 'Points-Table'!$C$10,
                (W193 = 'Points-Table'!$A$11), 'Points-Table'!$C$11,
                (W193 = 'Points-Table'!$A$12), 'Points-Table'!$C$12,
                (W193 = 'Points-Table'!$A$13), 'Points-Table'!$C$13,
                true, 0
              )
            </f>
      </c>
      <c r="Y193" s="13"/>
      <c r="Z193" s="13">
        <f>
              Ifs(
                (Y193 = 'Points-Table'!$A$4), 'Points-Table'!$C$4,
                (Y193 = 'Points-Table'!$A$5), 'Points-Table'!$C$5,
                (Y193 = 'Points-Table'!$A$6), 'Points-Table'!$C$6,
                (Y193 = 'Points-Table'!$A$7), 'Points-Table'!$C$7,
                (Y193 = 'Points-Table'!$A$8), 'Points-Table'!$C$8,
                (Y193 = 'Points-Table'!$A$9), 'Points-Table'!$C$9,
                (Y193 = 'Points-Table'!$A$10), 'Points-Table'!$C$10,
                (Y193 = 'Points-Table'!$A$11), 'Points-Table'!$C$11,
                (Y193 = 'Points-Table'!$A$12), 'Points-Table'!$C$12,
                (Y193 = 'Points-Table'!$A$13), 'Points-Table'!$C$13,
                true, 0
              )
            </f>
      </c>
      <c r="AA193" s="13">
        <f>SUM(V193,X193,Z193)</f>
      </c>
      <c r="AB193" s="13">
        <f>
      Ifs( 
        ISBETWEEN(AA193, 0, 'Points-Table'!C$20, TRUE, False), 'Points-Table'!A$20,
        ISBETWEEN(AA193, 'Points-Table'!C$20, 'Points-Table'!C$21, TRUE, False), 'Points-Table'!A$21,
        ISBETWEEN(AA193, 'Points-Table'!C$22, 10000, TRUE, TRUE), 'Points-Table'!A$22,
        true, 
        0)
      </f>
      </c>
      <c r="AC193" s="13" t="s">
        <v>56</v>
      </c>
      <c r="AD193" s="13" t="s">
        <v>56</v>
      </c>
      <c r="AE193" s="13" t="s">
        <v>56</v>
      </c>
    </row>
    <row r="194" spans="1:31" s="6" customFormat="1" x14ac:dyDescent="0.25">
      <c r="A194" s="6" t="s">
        <v>317</v>
      </c>
      <c r="D194" s="6"/>
      <c r="E194" s="6"/>
      <c r="F194" s="6"/>
      <c r="G194" s="6"/>
      <c r="H194" s="6"/>
      <c r="I194" s="6"/>
      <c r="J194" s="6"/>
      <c r="K194" s="6" t="s">
        <v>83</v>
      </c>
      <c r="L194" s="6" t="s">
        <v>84</v>
      </c>
      <c r="M194" s="6"/>
      <c r="N194" s="6"/>
      <c r="O194" s="6"/>
      <c r="P194" s="6"/>
      <c r="Q194" s="11"/>
      <c r="R194" s="12">
        <f>
              Ifs(
                (Q194 = 'Points-Table'!$A$4), 'Points-Table'!$C$4,
                (Q194 = 'Points-Table'!$A$5), 'Points-Table'!$C$5,
                (Q194 = 'Points-Table'!$A$6), 'Points-Table'!$C$6,
                (Q194 = 'Points-Table'!$A$7), 'Points-Table'!$C$7,
                (Q194 = 'Points-Table'!$A$8), 'Points-Table'!$C$8,
                (Q194 = 'Points-Table'!$A$9), 'Points-Table'!$C$9,
                (Q194 = 'Points-Table'!$A$10), 'Points-Table'!$C$10,
                (Q194 = 'Points-Table'!$A$11), 'Points-Table'!$C$11,
                (Q194 = 'Points-Table'!$A$12), 'Points-Table'!$C$12,
                (Q194 = 'Points-Table'!$A$13), 'Points-Table'!$C$13,
                true, 0
              )
            </f>
      </c>
      <c r="S194" s="11"/>
      <c r="T194" s="12">
        <f>
              Ifs(
                (S194 = 'Points-Table'!$A$4), 'Points-Table'!$C$4,
                (S194 = 'Points-Table'!$A$5), 'Points-Table'!$C$5,
                (S194 = 'Points-Table'!$A$6), 'Points-Table'!$C$6,
                (S194 = 'Points-Table'!$A$7), 'Points-Table'!$C$7,
                (S194 = 'Points-Table'!$A$8), 'Points-Table'!$C$8,
                (S194 = 'Points-Table'!$A$9), 'Points-Table'!$C$9,
                (S194 = 'Points-Table'!$A$10), 'Points-Table'!$C$10,
                (S194 = 'Points-Table'!$A$11), 'Points-Table'!$C$11,
                (S194 = 'Points-Table'!$A$12), 'Points-Table'!$C$12,
                (S194 = 'Points-Table'!$A$13), 'Points-Table'!$C$13,
                true, 0
              )
            </f>
      </c>
      <c r="U194" s="11">
        <v>3</v>
      </c>
      <c r="V194" s="12">
        <f>
              Ifs(
                (U194 = 'Points-Table'!$A$4), 'Points-Table'!$C$4,
                (U194 = 'Points-Table'!$A$5), 'Points-Table'!$C$5,
                (U194 = 'Points-Table'!$A$6), 'Points-Table'!$C$6,
                (U194 = 'Points-Table'!$A$7), 'Points-Table'!$C$7,
                (U194 = 'Points-Table'!$A$8), 'Points-Table'!$C$8,
                (U194 = 'Points-Table'!$A$9), 'Points-Table'!$C$9,
                (U194 = 'Points-Table'!$A$10), 'Points-Table'!$C$10,
                (U194 = 'Points-Table'!$A$11), 'Points-Table'!$C$11,
                (U194 = 'Points-Table'!$A$12), 'Points-Table'!$C$12,
                (U194 = 'Points-Table'!$A$13), 'Points-Table'!$C$13,
                true, 0
              )
            </f>
      </c>
      <c r="W194" s="11">
        <v>5</v>
      </c>
      <c r="X194" s="12">
        <f>
              Ifs(
                (W194 = 'Points-Table'!$A$4), 'Points-Table'!$C$4,
                (W194 = 'Points-Table'!$A$5), 'Points-Table'!$C$5,
                (W194 = 'Points-Table'!$A$6), 'Points-Table'!$C$6,
                (W194 = 'Points-Table'!$A$7), 'Points-Table'!$C$7,
                (W194 = 'Points-Table'!$A$8), 'Points-Table'!$C$8,
                (W194 = 'Points-Table'!$A$9), 'Points-Table'!$C$9,
                (W194 = 'Points-Table'!$A$10), 'Points-Table'!$C$10,
                (W194 = 'Points-Table'!$A$11), 'Points-Table'!$C$11,
                (W194 = 'Points-Table'!$A$12), 'Points-Table'!$C$12,
                (W194 = 'Points-Table'!$A$13), 'Points-Table'!$C$13,
                true, 0
              )
            </f>
      </c>
      <c r="Y194" s="11">
        <v>5</v>
      </c>
      <c r="Z194" s="12">
        <f>
              Ifs(
                (Y194 = 'Points-Table'!$A$4), 'Points-Table'!$C$4,
                (Y194 = 'Points-Table'!$A$5), 'Points-Table'!$C$5,
                (Y194 = 'Points-Table'!$A$6), 'Points-Table'!$C$6,
                (Y194 = 'Points-Table'!$A$7), 'Points-Table'!$C$7,
                (Y194 = 'Points-Table'!$A$8), 'Points-Table'!$C$8,
                (Y194 = 'Points-Table'!$A$9), 'Points-Table'!$C$9,
                (Y194 = 'Points-Table'!$A$10), 'Points-Table'!$C$10,
                (Y194 = 'Points-Table'!$A$11), 'Points-Table'!$C$11,
                (Y194 = 'Points-Table'!$A$12), 'Points-Table'!$C$12,
                (Y194 = 'Points-Table'!$A$13), 'Points-Table'!$C$13,
                true, 0
              )
            </f>
      </c>
      <c r="AA194" s="6">
        <f>SUM(V194,X194,Z194)</f>
      </c>
      <c r="AB194" s="6">
        <f>
      Ifs( 
        ISBETWEEN(AA194, 0, 'Points-Table'!C$20, TRUE, False), 'Points-Table'!A$20,
        ISBETWEEN(AA194, 'Points-Table'!C$20, 'Points-Table'!C$21, TRUE, False), 'Points-Table'!A$21,
        ISBETWEEN(AA194, 'Points-Table'!C$22, 10000, TRUE, TRUE), 'Points-Table'!A$22,
        true, 
        0)
      </f>
      </c>
      <c r="AC194" s="6" t="s">
        <v>56</v>
      </c>
      <c r="AD194" s="6" t="s">
        <v>56</v>
      </c>
      <c r="AE194" s="6" t="s">
        <v>56</v>
      </c>
    </row>
    <row r="195" spans="1:31" s="13" customFormat="1" x14ac:dyDescent="0.25">
      <c r="A195" s="13" t="s">
        <v>318</v>
      </c>
      <c r="B195" s="13" t="s">
        <v>319</v>
      </c>
      <c r="D195" s="13"/>
      <c r="E195" s="13"/>
      <c r="F195" s="13"/>
      <c r="G195" s="13"/>
      <c r="H195" s="13"/>
      <c r="I195" s="13"/>
      <c r="J195" s="13"/>
      <c r="K195" s="13" t="s">
        <v>83</v>
      </c>
      <c r="L195" s="13" t="s">
        <v>84</v>
      </c>
      <c r="M195" s="13"/>
      <c r="N195" s="13"/>
      <c r="O195" s="13"/>
      <c r="P195" s="13"/>
      <c r="Q195" s="13">
        <v>3</v>
      </c>
      <c r="R195" s="13">
        <f>
              Ifs(
                (Q195 = 'Points-Table'!$A$4), 'Points-Table'!$C$4,
                (Q195 = 'Points-Table'!$A$5), 'Points-Table'!$C$5,
                (Q195 = 'Points-Table'!$A$6), 'Points-Table'!$C$6,
                (Q195 = 'Points-Table'!$A$7), 'Points-Table'!$C$7,
                (Q195 = 'Points-Table'!$A$8), 'Points-Table'!$C$8,
                (Q195 = 'Points-Table'!$A$9), 'Points-Table'!$C$9,
                (Q195 = 'Points-Table'!$A$10), 'Points-Table'!$C$10,
                (Q195 = 'Points-Table'!$A$11), 'Points-Table'!$C$11,
                (Q195 = 'Points-Table'!$A$12), 'Points-Table'!$C$12,
                (Q195 = 'Points-Table'!$A$13), 'Points-Table'!$C$13,
                true, 0
              )
            </f>
      </c>
      <c r="S195" s="13">
        <v>3</v>
      </c>
      <c r="T195" s="13">
        <f>
              Ifs(
                (S195 = 'Points-Table'!$A$4), 'Points-Table'!$C$4,
                (S195 = 'Points-Table'!$A$5), 'Points-Table'!$C$5,
                (S195 = 'Points-Table'!$A$6), 'Points-Table'!$C$6,
                (S195 = 'Points-Table'!$A$7), 'Points-Table'!$C$7,
                (S195 = 'Points-Table'!$A$8), 'Points-Table'!$C$8,
                (S195 = 'Points-Table'!$A$9), 'Points-Table'!$C$9,
                (S195 = 'Points-Table'!$A$10), 'Points-Table'!$C$10,
                (S195 = 'Points-Table'!$A$11), 'Points-Table'!$C$11,
                (S195 = 'Points-Table'!$A$12), 'Points-Table'!$C$12,
                (S195 = 'Points-Table'!$A$13), 'Points-Table'!$C$13,
                true, 0
              )
            </f>
      </c>
      <c r="U195" s="13">
        <v>8</v>
      </c>
      <c r="V195" s="13">
        <f>
              Ifs(
                (U195 = 'Points-Table'!$A$4), 'Points-Table'!$C$4,
                (U195 = 'Points-Table'!$A$5), 'Points-Table'!$C$5,
                (U195 = 'Points-Table'!$A$6), 'Points-Table'!$C$6,
                (U195 = 'Points-Table'!$A$7), 'Points-Table'!$C$7,
                (U195 = 'Points-Table'!$A$8), 'Points-Table'!$C$8,
                (U195 = 'Points-Table'!$A$9), 'Points-Table'!$C$9,
                (U195 = 'Points-Table'!$A$10), 'Points-Table'!$C$10,
                (U195 = 'Points-Table'!$A$11), 'Points-Table'!$C$11,
                (U195 = 'Points-Table'!$A$12), 'Points-Table'!$C$12,
                (U195 = 'Points-Table'!$A$13), 'Points-Table'!$C$13,
                true, 0
              )
            </f>
      </c>
      <c r="W195" s="13">
        <v>5</v>
      </c>
      <c r="X195" s="13">
        <f>
              Ifs(
                (W195 = 'Points-Table'!$A$4), 'Points-Table'!$C$4,
                (W195 = 'Points-Table'!$A$5), 'Points-Table'!$C$5,
                (W195 = 'Points-Table'!$A$6), 'Points-Table'!$C$6,
                (W195 = 'Points-Table'!$A$7), 'Points-Table'!$C$7,
                (W195 = 'Points-Table'!$A$8), 'Points-Table'!$C$8,
                (W195 = 'Points-Table'!$A$9), 'Points-Table'!$C$9,
                (W195 = 'Points-Table'!$A$10), 'Points-Table'!$C$10,
                (W195 = 'Points-Table'!$A$11), 'Points-Table'!$C$11,
                (W195 = 'Points-Table'!$A$12), 'Points-Table'!$C$12,
                (W195 = 'Points-Table'!$A$13), 'Points-Table'!$C$13,
                true, 0
              )
            </f>
      </c>
      <c r="Y195" s="13">
        <v>8</v>
      </c>
      <c r="Z195" s="13">
        <f>
              Ifs(
                (Y195 = 'Points-Table'!$A$4), 'Points-Table'!$C$4,
                (Y195 = 'Points-Table'!$A$5), 'Points-Table'!$C$5,
                (Y195 = 'Points-Table'!$A$6), 'Points-Table'!$C$6,
                (Y195 = 'Points-Table'!$A$7), 'Points-Table'!$C$7,
                (Y195 = 'Points-Table'!$A$8), 'Points-Table'!$C$8,
                (Y195 = 'Points-Table'!$A$9), 'Points-Table'!$C$9,
                (Y195 = 'Points-Table'!$A$10), 'Points-Table'!$C$10,
                (Y195 = 'Points-Table'!$A$11), 'Points-Table'!$C$11,
                (Y195 = 'Points-Table'!$A$12), 'Points-Table'!$C$12,
                (Y195 = 'Points-Table'!$A$13), 'Points-Table'!$C$13,
                true, 0
              )
            </f>
      </c>
      <c r="AA195" s="13">
        <f>SUM(V195,X195,Z195)</f>
      </c>
      <c r="AB195" s="13">
        <f>
      Ifs( 
        ISBETWEEN(AA195, 0, 'Points-Table'!C$20, TRUE, False), 'Points-Table'!A$20,
        ISBETWEEN(AA195, 'Points-Table'!C$20, 'Points-Table'!C$21, TRUE, False), 'Points-Table'!A$21,
        ISBETWEEN(AA195, 'Points-Table'!C$22, 10000, TRUE, TRUE), 'Points-Table'!A$22,
        true, 
        0)
      </f>
      </c>
      <c r="AC195" s="13" t="s">
        <v>56</v>
      </c>
      <c r="AD195" s="13" t="s">
        <v>56</v>
      </c>
      <c r="AE195" s="13" t="s">
        <v>56</v>
      </c>
    </row>
    <row r="196" spans="1:31" s="13" customFormat="1" x14ac:dyDescent="0.25">
      <c r="A196" s="13" t="s">
        <v>318</v>
      </c>
      <c r="B196" s="13" t="s">
        <v>320</v>
      </c>
      <c r="D196" s="13"/>
      <c r="E196" s="13"/>
      <c r="F196" s="13"/>
      <c r="G196" s="13"/>
      <c r="H196" s="13"/>
      <c r="I196" s="13"/>
      <c r="J196" s="13"/>
      <c r="K196" s="13" t="s">
        <v>83</v>
      </c>
      <c r="L196" s="13" t="s">
        <v>84</v>
      </c>
      <c r="M196" s="13"/>
      <c r="N196" s="13"/>
      <c r="O196" s="13"/>
      <c r="P196" s="13"/>
      <c r="Q196" s="13"/>
      <c r="R196" s="13">
        <f>
              Ifs(
                (Q196 = 'Points-Table'!$A$4), 'Points-Table'!$C$4,
                (Q196 = 'Points-Table'!$A$5), 'Points-Table'!$C$5,
                (Q196 = 'Points-Table'!$A$6), 'Points-Table'!$C$6,
                (Q196 = 'Points-Table'!$A$7), 'Points-Table'!$C$7,
                (Q196 = 'Points-Table'!$A$8), 'Points-Table'!$C$8,
                (Q196 = 'Points-Table'!$A$9), 'Points-Table'!$C$9,
                (Q196 = 'Points-Table'!$A$10), 'Points-Table'!$C$10,
                (Q196 = 'Points-Table'!$A$11), 'Points-Table'!$C$11,
                (Q196 = 'Points-Table'!$A$12), 'Points-Table'!$C$12,
                (Q196 = 'Points-Table'!$A$13), 'Points-Table'!$C$13,
                true, 0
              )
            </f>
      </c>
      <c r="S196" s="13"/>
      <c r="T196" s="13">
        <f>
              Ifs(
                (S196 = 'Points-Table'!$A$4), 'Points-Table'!$C$4,
                (S196 = 'Points-Table'!$A$5), 'Points-Table'!$C$5,
                (S196 = 'Points-Table'!$A$6), 'Points-Table'!$C$6,
                (S196 = 'Points-Table'!$A$7), 'Points-Table'!$C$7,
                (S196 = 'Points-Table'!$A$8), 'Points-Table'!$C$8,
                (S196 = 'Points-Table'!$A$9), 'Points-Table'!$C$9,
                (S196 = 'Points-Table'!$A$10), 'Points-Table'!$C$10,
                (S196 = 'Points-Table'!$A$11), 'Points-Table'!$C$11,
                (S196 = 'Points-Table'!$A$12), 'Points-Table'!$C$12,
                (S196 = 'Points-Table'!$A$13), 'Points-Table'!$C$13,
                true, 0
              )
            </f>
      </c>
      <c r="U196" s="13"/>
      <c r="V196" s="13">
        <f>
              Ifs(
                (U196 = 'Points-Table'!$A$4), 'Points-Table'!$C$4,
                (U196 = 'Points-Table'!$A$5), 'Points-Table'!$C$5,
                (U196 = 'Points-Table'!$A$6), 'Points-Table'!$C$6,
                (U196 = 'Points-Table'!$A$7), 'Points-Table'!$C$7,
                (U196 = 'Points-Table'!$A$8), 'Points-Table'!$C$8,
                (U196 = 'Points-Table'!$A$9), 'Points-Table'!$C$9,
                (U196 = 'Points-Table'!$A$10), 'Points-Table'!$C$10,
                (U196 = 'Points-Table'!$A$11), 'Points-Table'!$C$11,
                (U196 = 'Points-Table'!$A$12), 'Points-Table'!$C$12,
                (U196 = 'Points-Table'!$A$13), 'Points-Table'!$C$13,
                true, 0
              )
            </f>
      </c>
      <c r="W196" s="13"/>
      <c r="X196" s="13">
        <f>
              Ifs(
                (W196 = 'Points-Table'!$A$4), 'Points-Table'!$C$4,
                (W196 = 'Points-Table'!$A$5), 'Points-Table'!$C$5,
                (W196 = 'Points-Table'!$A$6), 'Points-Table'!$C$6,
                (W196 = 'Points-Table'!$A$7), 'Points-Table'!$C$7,
                (W196 = 'Points-Table'!$A$8), 'Points-Table'!$C$8,
                (W196 = 'Points-Table'!$A$9), 'Points-Table'!$C$9,
                (W196 = 'Points-Table'!$A$10), 'Points-Table'!$C$10,
                (W196 = 'Points-Table'!$A$11), 'Points-Table'!$C$11,
                (W196 = 'Points-Table'!$A$12), 'Points-Table'!$C$12,
                (W196 = 'Points-Table'!$A$13), 'Points-Table'!$C$13,
                true, 0
              )
            </f>
      </c>
      <c r="Y196" s="13"/>
      <c r="Z196" s="13">
        <f>
              Ifs(
                (Y196 = 'Points-Table'!$A$4), 'Points-Table'!$C$4,
                (Y196 = 'Points-Table'!$A$5), 'Points-Table'!$C$5,
                (Y196 = 'Points-Table'!$A$6), 'Points-Table'!$C$6,
                (Y196 = 'Points-Table'!$A$7), 'Points-Table'!$C$7,
                (Y196 = 'Points-Table'!$A$8), 'Points-Table'!$C$8,
                (Y196 = 'Points-Table'!$A$9), 'Points-Table'!$C$9,
                (Y196 = 'Points-Table'!$A$10), 'Points-Table'!$C$10,
                (Y196 = 'Points-Table'!$A$11), 'Points-Table'!$C$11,
                (Y196 = 'Points-Table'!$A$12), 'Points-Table'!$C$12,
                (Y196 = 'Points-Table'!$A$13), 'Points-Table'!$C$13,
                true, 0
              )
            </f>
      </c>
      <c r="AA196" s="13">
        <f>SUM(V196,X196,Z196)</f>
      </c>
      <c r="AB196" s="13">
        <f>
      Ifs( 
        ISBETWEEN(AA196, 0, 'Points-Table'!C$20, TRUE, False), 'Points-Table'!A$20,
        ISBETWEEN(AA196, 'Points-Table'!C$20, 'Points-Table'!C$21, TRUE, False), 'Points-Table'!A$21,
        ISBETWEEN(AA196, 'Points-Table'!C$22, 10000, TRUE, TRUE), 'Points-Table'!A$22,
        true, 
        0)
      </f>
      </c>
      <c r="AC196" s="13" t="s">
        <v>56</v>
      </c>
      <c r="AD196" s="13" t="s">
        <v>56</v>
      </c>
      <c r="AE196" s="13" t="s">
        <v>56</v>
      </c>
    </row>
    <row r="197" spans="1:31" s="6" customFormat="1" x14ac:dyDescent="0.25">
      <c r="A197" s="6" t="s">
        <v>318</v>
      </c>
      <c r="B197" s="6" t="s">
        <v>321</v>
      </c>
      <c r="D197" s="6"/>
      <c r="E197" s="6"/>
      <c r="F197" s="6"/>
      <c r="G197" s="6"/>
      <c r="H197" s="6"/>
      <c r="I197" s="6"/>
      <c r="J197" s="6"/>
      <c r="K197" s="6" t="s">
        <v>83</v>
      </c>
      <c r="L197" s="6" t="s">
        <v>84</v>
      </c>
      <c r="M197" s="6"/>
      <c r="N197" s="6"/>
      <c r="O197" s="6"/>
      <c r="P197" s="6"/>
      <c r="Q197" s="11"/>
      <c r="R197" s="12">
        <f>
              Ifs(
                (Q197 = 'Points-Table'!$A$4), 'Points-Table'!$C$4,
                (Q197 = 'Points-Table'!$A$5), 'Points-Table'!$C$5,
                (Q197 = 'Points-Table'!$A$6), 'Points-Table'!$C$6,
                (Q197 = 'Points-Table'!$A$7), 'Points-Table'!$C$7,
                (Q197 = 'Points-Table'!$A$8), 'Points-Table'!$C$8,
                (Q197 = 'Points-Table'!$A$9), 'Points-Table'!$C$9,
                (Q197 = 'Points-Table'!$A$10), 'Points-Table'!$C$10,
                (Q197 = 'Points-Table'!$A$11), 'Points-Table'!$C$11,
                (Q197 = 'Points-Table'!$A$12), 'Points-Table'!$C$12,
                (Q197 = 'Points-Table'!$A$13), 'Points-Table'!$C$13,
                true, 0
              )
            </f>
      </c>
      <c r="S197" s="11"/>
      <c r="T197" s="12">
        <f>
              Ifs(
                (S197 = 'Points-Table'!$A$4), 'Points-Table'!$C$4,
                (S197 = 'Points-Table'!$A$5), 'Points-Table'!$C$5,
                (S197 = 'Points-Table'!$A$6), 'Points-Table'!$C$6,
                (S197 = 'Points-Table'!$A$7), 'Points-Table'!$C$7,
                (S197 = 'Points-Table'!$A$8), 'Points-Table'!$C$8,
                (S197 = 'Points-Table'!$A$9), 'Points-Table'!$C$9,
                (S197 = 'Points-Table'!$A$10), 'Points-Table'!$C$10,
                (S197 = 'Points-Table'!$A$11), 'Points-Table'!$C$11,
                (S197 = 'Points-Table'!$A$12), 'Points-Table'!$C$12,
                (S197 = 'Points-Table'!$A$13), 'Points-Table'!$C$13,
                true, 0
              )
            </f>
      </c>
      <c r="U197" s="11">
        <v>0</v>
      </c>
      <c r="V197" s="12">
        <f>
              Ifs(
                (U197 = 'Points-Table'!$A$4), 'Points-Table'!$C$4,
                (U197 = 'Points-Table'!$A$5), 'Points-Table'!$C$5,
                (U197 = 'Points-Table'!$A$6), 'Points-Table'!$C$6,
                (U197 = 'Points-Table'!$A$7), 'Points-Table'!$C$7,
                (U197 = 'Points-Table'!$A$8), 'Points-Table'!$C$8,
                (U197 = 'Points-Table'!$A$9), 'Points-Table'!$C$9,
                (U197 = 'Points-Table'!$A$10), 'Points-Table'!$C$10,
                (U197 = 'Points-Table'!$A$11), 'Points-Table'!$C$11,
                (U197 = 'Points-Table'!$A$12), 'Points-Table'!$C$12,
                (U197 = 'Points-Table'!$A$13), 'Points-Table'!$C$13,
                true, 0
              )
            </f>
      </c>
      <c r="W197" s="11">
        <v>21</v>
      </c>
      <c r="X197" s="12">
        <f>
              Ifs(
                (W197 = 'Points-Table'!$A$4), 'Points-Table'!$C$4,
                (W197 = 'Points-Table'!$A$5), 'Points-Table'!$C$5,
                (W197 = 'Points-Table'!$A$6), 'Points-Table'!$C$6,
                (W197 = 'Points-Table'!$A$7), 'Points-Table'!$C$7,
                (W197 = 'Points-Table'!$A$8), 'Points-Table'!$C$8,
                (W197 = 'Points-Table'!$A$9), 'Points-Table'!$C$9,
                (W197 = 'Points-Table'!$A$10), 'Points-Table'!$C$10,
                (W197 = 'Points-Table'!$A$11), 'Points-Table'!$C$11,
                (W197 = 'Points-Table'!$A$12), 'Points-Table'!$C$12,
                (W197 = 'Points-Table'!$A$13), 'Points-Table'!$C$13,
                true, 0
              )
            </f>
      </c>
      <c r="Y197" s="11">
        <v>34</v>
      </c>
      <c r="Z197" s="12">
        <f>
              Ifs(
                (Y197 = 'Points-Table'!$A$4), 'Points-Table'!$C$4,
                (Y197 = 'Points-Table'!$A$5), 'Points-Table'!$C$5,
                (Y197 = 'Points-Table'!$A$6), 'Points-Table'!$C$6,
                (Y197 = 'Points-Table'!$A$7), 'Points-Table'!$C$7,
                (Y197 = 'Points-Table'!$A$8), 'Points-Table'!$C$8,
                (Y197 = 'Points-Table'!$A$9), 'Points-Table'!$C$9,
                (Y197 = 'Points-Table'!$A$10), 'Points-Table'!$C$10,
                (Y197 = 'Points-Table'!$A$11), 'Points-Table'!$C$11,
                (Y197 = 'Points-Table'!$A$12), 'Points-Table'!$C$12,
                (Y197 = 'Points-Table'!$A$13), 'Points-Table'!$C$13,
                true, 0
              )
            </f>
      </c>
      <c r="AA197" s="6">
        <f>SUM(V197,X197,Z197)</f>
      </c>
      <c r="AB197" s="6">
        <f>
      Ifs( 
        ISBETWEEN(AA197, 0, 'Points-Table'!C$20, TRUE, False), 'Points-Table'!A$20,
        ISBETWEEN(AA197, 'Points-Table'!C$20, 'Points-Table'!C$21, TRUE, False), 'Points-Table'!A$21,
        ISBETWEEN(AA197, 'Points-Table'!C$22, 10000, TRUE, TRUE), 'Points-Table'!A$22,
        true, 
        0)
      </f>
      </c>
      <c r="AC197" s="6" t="s">
        <v>56</v>
      </c>
      <c r="AD197" s="6" t="s">
        <v>56</v>
      </c>
      <c r="AE197" s="6" t="s">
        <v>56</v>
      </c>
    </row>
    <row r="198" spans="1:31" s="6" customFormat="1" x14ac:dyDescent="0.25">
      <c r="A198" s="6" t="s">
        <v>322</v>
      </c>
      <c r="B198" s="6" t="s">
        <v>323</v>
      </c>
      <c r="D198" s="6"/>
      <c r="E198" s="6"/>
      <c r="F198" s="6" t="s">
        <v>324</v>
      </c>
      <c r="G198" s="6"/>
      <c r="H198" s="6"/>
      <c r="I198" s="6"/>
      <c r="J198" s="6"/>
      <c r="K198" s="6" t="s">
        <v>83</v>
      </c>
      <c r="L198" s="6" t="s">
        <v>84</v>
      </c>
      <c r="M198" s="6"/>
      <c r="N198" s="6"/>
      <c r="O198" s="6"/>
      <c r="P198" s="6"/>
      <c r="Q198" s="11"/>
      <c r="R198" s="12">
        <f>
              Ifs(
                (Q198 = 'Points-Table'!$A$4), 'Points-Table'!$C$4,
                (Q198 = 'Points-Table'!$A$5), 'Points-Table'!$C$5,
                (Q198 = 'Points-Table'!$A$6), 'Points-Table'!$C$6,
                (Q198 = 'Points-Table'!$A$7), 'Points-Table'!$C$7,
                (Q198 = 'Points-Table'!$A$8), 'Points-Table'!$C$8,
                (Q198 = 'Points-Table'!$A$9), 'Points-Table'!$C$9,
                (Q198 = 'Points-Table'!$A$10), 'Points-Table'!$C$10,
                (Q198 = 'Points-Table'!$A$11), 'Points-Table'!$C$11,
                (Q198 = 'Points-Table'!$A$12), 'Points-Table'!$C$12,
                (Q198 = 'Points-Table'!$A$13), 'Points-Table'!$C$13,
                true, 0
              )
            </f>
      </c>
      <c r="S198" s="11"/>
      <c r="T198" s="12">
        <f>
              Ifs(
                (S198 = 'Points-Table'!$A$4), 'Points-Table'!$C$4,
                (S198 = 'Points-Table'!$A$5), 'Points-Table'!$C$5,
                (S198 = 'Points-Table'!$A$6), 'Points-Table'!$C$6,
                (S198 = 'Points-Table'!$A$7), 'Points-Table'!$C$7,
                (S198 = 'Points-Table'!$A$8), 'Points-Table'!$C$8,
                (S198 = 'Points-Table'!$A$9), 'Points-Table'!$C$9,
                (S198 = 'Points-Table'!$A$10), 'Points-Table'!$C$10,
                (S198 = 'Points-Table'!$A$11), 'Points-Table'!$C$11,
                (S198 = 'Points-Table'!$A$12), 'Points-Table'!$C$12,
                (S198 = 'Points-Table'!$A$13), 'Points-Table'!$C$13,
                true, 0
              )
            </f>
      </c>
      <c r="U198" s="11">
        <v>0</v>
      </c>
      <c r="V198" s="12">
        <f>
              Ifs(
                (U198 = 'Points-Table'!$A$4), 'Points-Table'!$C$4,
                (U198 = 'Points-Table'!$A$5), 'Points-Table'!$C$5,
                (U198 = 'Points-Table'!$A$6), 'Points-Table'!$C$6,
                (U198 = 'Points-Table'!$A$7), 'Points-Table'!$C$7,
                (U198 = 'Points-Table'!$A$8), 'Points-Table'!$C$8,
                (U198 = 'Points-Table'!$A$9), 'Points-Table'!$C$9,
                (U198 = 'Points-Table'!$A$10), 'Points-Table'!$C$10,
                (U198 = 'Points-Table'!$A$11), 'Points-Table'!$C$11,
                (U198 = 'Points-Table'!$A$12), 'Points-Table'!$C$12,
                (U198 = 'Points-Table'!$A$13), 'Points-Table'!$C$13,
                true, 0
              )
            </f>
      </c>
      <c r="W198" s="11">
        <v>34</v>
      </c>
      <c r="X198" s="12">
        <f>
              Ifs(
                (W198 = 'Points-Table'!$A$4), 'Points-Table'!$C$4,
                (W198 = 'Points-Table'!$A$5), 'Points-Table'!$C$5,
                (W198 = 'Points-Table'!$A$6), 'Points-Table'!$C$6,
                (W198 = 'Points-Table'!$A$7), 'Points-Table'!$C$7,
                (W198 = 'Points-Table'!$A$8), 'Points-Table'!$C$8,
                (W198 = 'Points-Table'!$A$9), 'Points-Table'!$C$9,
                (W198 = 'Points-Table'!$A$10), 'Points-Table'!$C$10,
                (W198 = 'Points-Table'!$A$11), 'Points-Table'!$C$11,
                (W198 = 'Points-Table'!$A$12), 'Points-Table'!$C$12,
                (W198 = 'Points-Table'!$A$13), 'Points-Table'!$C$13,
                true, 0
              )
            </f>
      </c>
      <c r="Y198" s="11">
        <v>0</v>
      </c>
      <c r="Z198" s="12">
        <f>
              Ifs(
                (Y198 = 'Points-Table'!$A$4), 'Points-Table'!$C$4,
                (Y198 = 'Points-Table'!$A$5), 'Points-Table'!$C$5,
                (Y198 = 'Points-Table'!$A$6), 'Points-Table'!$C$6,
                (Y198 = 'Points-Table'!$A$7), 'Points-Table'!$C$7,
                (Y198 = 'Points-Table'!$A$8), 'Points-Table'!$C$8,
                (Y198 = 'Points-Table'!$A$9), 'Points-Table'!$C$9,
                (Y198 = 'Points-Table'!$A$10), 'Points-Table'!$C$10,
                (Y198 = 'Points-Table'!$A$11), 'Points-Table'!$C$11,
                (Y198 = 'Points-Table'!$A$12), 'Points-Table'!$C$12,
                (Y198 = 'Points-Table'!$A$13), 'Points-Table'!$C$13,
                true, 0
              )
            </f>
      </c>
      <c r="AA198" s="6">
        <f>SUM(V198,X198,Z198)</f>
      </c>
      <c r="AB198" s="6">
        <f>
      Ifs( 
        ISBETWEEN(AA198, 0, 'Points-Table'!C$20, TRUE, False), 'Points-Table'!A$20,
        ISBETWEEN(AA198, 'Points-Table'!C$20, 'Points-Table'!C$21, TRUE, False), 'Points-Table'!A$21,
        ISBETWEEN(AA198, 'Points-Table'!C$22, 10000, TRUE, TRUE), 'Points-Table'!A$22,
        true, 
        0)
      </f>
      </c>
      <c r="AC198" s="6" t="s">
        <v>56</v>
      </c>
      <c r="AD198" s="6" t="s">
        <v>56</v>
      </c>
      <c r="AE198" s="6" t="s">
        <v>56</v>
      </c>
    </row>
    <row r="199" spans="1:31" s="6" customFormat="1" x14ac:dyDescent="0.25">
      <c r="A199" s="6" t="s">
        <v>322</v>
      </c>
      <c r="B199" s="6" t="s">
        <v>325</v>
      </c>
      <c r="D199" s="6"/>
      <c r="E199" s="6"/>
      <c r="F199" s="6" t="s">
        <v>326</v>
      </c>
      <c r="G199" s="6"/>
      <c r="H199" s="6"/>
      <c r="I199" s="6"/>
      <c r="J199" s="6"/>
      <c r="K199" s="6" t="s">
        <v>83</v>
      </c>
      <c r="L199" s="6" t="s">
        <v>84</v>
      </c>
      <c r="M199" s="6"/>
      <c r="N199" s="6"/>
      <c r="O199" s="6"/>
      <c r="P199" s="6"/>
      <c r="Q199" s="11"/>
      <c r="R199" s="12">
        <f>
              Ifs(
                (Q199 = 'Points-Table'!$A$4), 'Points-Table'!$C$4,
                (Q199 = 'Points-Table'!$A$5), 'Points-Table'!$C$5,
                (Q199 = 'Points-Table'!$A$6), 'Points-Table'!$C$6,
                (Q199 = 'Points-Table'!$A$7), 'Points-Table'!$C$7,
                (Q199 = 'Points-Table'!$A$8), 'Points-Table'!$C$8,
                (Q199 = 'Points-Table'!$A$9), 'Points-Table'!$C$9,
                (Q199 = 'Points-Table'!$A$10), 'Points-Table'!$C$10,
                (Q199 = 'Points-Table'!$A$11), 'Points-Table'!$C$11,
                (Q199 = 'Points-Table'!$A$12), 'Points-Table'!$C$12,
                (Q199 = 'Points-Table'!$A$13), 'Points-Table'!$C$13,
                true, 0
              )
            </f>
      </c>
      <c r="S199" s="11"/>
      <c r="T199" s="12">
        <f>
              Ifs(
                (S199 = 'Points-Table'!$A$4), 'Points-Table'!$C$4,
                (S199 = 'Points-Table'!$A$5), 'Points-Table'!$C$5,
                (S199 = 'Points-Table'!$A$6), 'Points-Table'!$C$6,
                (S199 = 'Points-Table'!$A$7), 'Points-Table'!$C$7,
                (S199 = 'Points-Table'!$A$8), 'Points-Table'!$C$8,
                (S199 = 'Points-Table'!$A$9), 'Points-Table'!$C$9,
                (S199 = 'Points-Table'!$A$10), 'Points-Table'!$C$10,
                (S199 = 'Points-Table'!$A$11), 'Points-Table'!$C$11,
                (S199 = 'Points-Table'!$A$12), 'Points-Table'!$C$12,
                (S199 = 'Points-Table'!$A$13), 'Points-Table'!$C$13,
                true, 0
              )
            </f>
      </c>
      <c r="U199" s="11">
        <v>0</v>
      </c>
      <c r="V199" s="12">
        <f>
              Ifs(
                (U199 = 'Points-Table'!$A$4), 'Points-Table'!$C$4,
                (U199 = 'Points-Table'!$A$5), 'Points-Table'!$C$5,
                (U199 = 'Points-Table'!$A$6), 'Points-Table'!$C$6,
                (U199 = 'Points-Table'!$A$7), 'Points-Table'!$C$7,
                (U199 = 'Points-Table'!$A$8), 'Points-Table'!$C$8,
                (U199 = 'Points-Table'!$A$9), 'Points-Table'!$C$9,
                (U199 = 'Points-Table'!$A$10), 'Points-Table'!$C$10,
                (U199 = 'Points-Table'!$A$11), 'Points-Table'!$C$11,
                (U199 = 'Points-Table'!$A$12), 'Points-Table'!$C$12,
                (U199 = 'Points-Table'!$A$13), 'Points-Table'!$C$13,
                true, 0
              )
            </f>
      </c>
      <c r="W199" s="11">
        <v>55</v>
      </c>
      <c r="X199" s="12">
        <f>
              Ifs(
                (W199 = 'Points-Table'!$A$4), 'Points-Table'!$C$4,
                (W199 = 'Points-Table'!$A$5), 'Points-Table'!$C$5,
                (W199 = 'Points-Table'!$A$6), 'Points-Table'!$C$6,
                (W199 = 'Points-Table'!$A$7), 'Points-Table'!$C$7,
                (W199 = 'Points-Table'!$A$8), 'Points-Table'!$C$8,
                (W199 = 'Points-Table'!$A$9), 'Points-Table'!$C$9,
                (W199 = 'Points-Table'!$A$10), 'Points-Table'!$C$10,
                (W199 = 'Points-Table'!$A$11), 'Points-Table'!$C$11,
                (W199 = 'Points-Table'!$A$12), 'Points-Table'!$C$12,
                (W199 = 'Points-Table'!$A$13), 'Points-Table'!$C$13,
                true, 0
              )
            </f>
      </c>
      <c r="Y199" s="11">
        <v>0</v>
      </c>
      <c r="Z199" s="12">
        <f>
              Ifs(
                (Y199 = 'Points-Table'!$A$4), 'Points-Table'!$C$4,
                (Y199 = 'Points-Table'!$A$5), 'Points-Table'!$C$5,
                (Y199 = 'Points-Table'!$A$6), 'Points-Table'!$C$6,
                (Y199 = 'Points-Table'!$A$7), 'Points-Table'!$C$7,
                (Y199 = 'Points-Table'!$A$8), 'Points-Table'!$C$8,
                (Y199 = 'Points-Table'!$A$9), 'Points-Table'!$C$9,
                (Y199 = 'Points-Table'!$A$10), 'Points-Table'!$C$10,
                (Y199 = 'Points-Table'!$A$11), 'Points-Table'!$C$11,
                (Y199 = 'Points-Table'!$A$12), 'Points-Table'!$C$12,
                (Y199 = 'Points-Table'!$A$13), 'Points-Table'!$C$13,
                true, 0
              )
            </f>
      </c>
      <c r="AA199" s="6">
        <f>SUM(V199,X199,Z199)</f>
      </c>
      <c r="AB199" s="6">
        <f>
      Ifs( 
        ISBETWEEN(AA199, 0, 'Points-Table'!C$20, TRUE, False), 'Points-Table'!A$20,
        ISBETWEEN(AA199, 'Points-Table'!C$20, 'Points-Table'!C$21, TRUE, False), 'Points-Table'!A$21,
        ISBETWEEN(AA199, 'Points-Table'!C$22, 10000, TRUE, TRUE), 'Points-Table'!A$22,
        true, 
        0)
      </f>
      </c>
      <c r="AC199" s="6" t="s">
        <v>56</v>
      </c>
      <c r="AD199" s="6" t="s">
        <v>56</v>
      </c>
      <c r="AE199" s="6" t="s">
        <v>56</v>
      </c>
    </row>
    <row r="200" spans="1:31" s="6" customFormat="1" x14ac:dyDescent="0.25">
      <c r="A200" s="6" t="s">
        <v>327</v>
      </c>
      <c r="B200" s="6" t="s">
        <v>328</v>
      </c>
      <c r="D200" s="6"/>
      <c r="E200" s="6"/>
      <c r="F200" s="6"/>
      <c r="G200" s="6"/>
      <c r="H200" s="6"/>
      <c r="I200" s="6"/>
      <c r="J200" s="6"/>
      <c r="K200" s="6" t="s">
        <v>83</v>
      </c>
      <c r="L200" s="6" t="s">
        <v>84</v>
      </c>
      <c r="M200" s="6"/>
      <c r="N200" s="6"/>
      <c r="O200" s="6"/>
      <c r="P200" s="6"/>
      <c r="Q200" s="11"/>
      <c r="R200" s="12">
        <f>
              Ifs(
                (Q200 = 'Points-Table'!$A$4), 'Points-Table'!$C$4,
                (Q200 = 'Points-Table'!$A$5), 'Points-Table'!$C$5,
                (Q200 = 'Points-Table'!$A$6), 'Points-Table'!$C$6,
                (Q200 = 'Points-Table'!$A$7), 'Points-Table'!$C$7,
                (Q200 = 'Points-Table'!$A$8), 'Points-Table'!$C$8,
                (Q200 = 'Points-Table'!$A$9), 'Points-Table'!$C$9,
                (Q200 = 'Points-Table'!$A$10), 'Points-Table'!$C$10,
                (Q200 = 'Points-Table'!$A$11), 'Points-Table'!$C$11,
                (Q200 = 'Points-Table'!$A$12), 'Points-Table'!$C$12,
                (Q200 = 'Points-Table'!$A$13), 'Points-Table'!$C$13,
                true, 0
              )
            </f>
      </c>
      <c r="S200" s="11"/>
      <c r="T200" s="12">
        <f>
              Ifs(
                (S200 = 'Points-Table'!$A$4), 'Points-Table'!$C$4,
                (S200 = 'Points-Table'!$A$5), 'Points-Table'!$C$5,
                (S200 = 'Points-Table'!$A$6), 'Points-Table'!$C$6,
                (S200 = 'Points-Table'!$A$7), 'Points-Table'!$C$7,
                (S200 = 'Points-Table'!$A$8), 'Points-Table'!$C$8,
                (S200 = 'Points-Table'!$A$9), 'Points-Table'!$C$9,
                (S200 = 'Points-Table'!$A$10), 'Points-Table'!$C$10,
                (S200 = 'Points-Table'!$A$11), 'Points-Table'!$C$11,
                (S200 = 'Points-Table'!$A$12), 'Points-Table'!$C$12,
                (S200 = 'Points-Table'!$A$13), 'Points-Table'!$C$13,
                true, 0
              )
            </f>
      </c>
      <c r="U200" s="11">
        <v>0</v>
      </c>
      <c r="V200" s="12">
        <f>
              Ifs(
                (U200 = 'Points-Table'!$A$4), 'Points-Table'!$C$4,
                (U200 = 'Points-Table'!$A$5), 'Points-Table'!$C$5,
                (U200 = 'Points-Table'!$A$6), 'Points-Table'!$C$6,
                (U200 = 'Points-Table'!$A$7), 'Points-Table'!$C$7,
                (U200 = 'Points-Table'!$A$8), 'Points-Table'!$C$8,
                (U200 = 'Points-Table'!$A$9), 'Points-Table'!$C$9,
                (U200 = 'Points-Table'!$A$10), 'Points-Table'!$C$10,
                (U200 = 'Points-Table'!$A$11), 'Points-Table'!$C$11,
                (U200 = 'Points-Table'!$A$12), 'Points-Table'!$C$12,
                (U200 = 'Points-Table'!$A$13), 'Points-Table'!$C$13,
                true, 0
              )
            </f>
      </c>
      <c r="W200" s="11">
        <v>0</v>
      </c>
      <c r="X200" s="12">
        <f>
              Ifs(
                (W200 = 'Points-Table'!$A$4), 'Points-Table'!$C$4,
                (W200 = 'Points-Table'!$A$5), 'Points-Table'!$C$5,
                (W200 = 'Points-Table'!$A$6), 'Points-Table'!$C$6,
                (W200 = 'Points-Table'!$A$7), 'Points-Table'!$C$7,
                (W200 = 'Points-Table'!$A$8), 'Points-Table'!$C$8,
                (W200 = 'Points-Table'!$A$9), 'Points-Table'!$C$9,
                (W200 = 'Points-Table'!$A$10), 'Points-Table'!$C$10,
                (W200 = 'Points-Table'!$A$11), 'Points-Table'!$C$11,
                (W200 = 'Points-Table'!$A$12), 'Points-Table'!$C$12,
                (W200 = 'Points-Table'!$A$13), 'Points-Table'!$C$13,
                true, 0
              )
            </f>
      </c>
      <c r="Y200" s="11">
        <v>55</v>
      </c>
      <c r="Z200" s="12">
        <f>
              Ifs(
                (Y200 = 'Points-Table'!$A$4), 'Points-Table'!$C$4,
                (Y200 = 'Points-Table'!$A$5), 'Points-Table'!$C$5,
                (Y200 = 'Points-Table'!$A$6), 'Points-Table'!$C$6,
                (Y200 = 'Points-Table'!$A$7), 'Points-Table'!$C$7,
                (Y200 = 'Points-Table'!$A$8), 'Points-Table'!$C$8,
                (Y200 = 'Points-Table'!$A$9), 'Points-Table'!$C$9,
                (Y200 = 'Points-Table'!$A$10), 'Points-Table'!$C$10,
                (Y200 = 'Points-Table'!$A$11), 'Points-Table'!$C$11,
                (Y200 = 'Points-Table'!$A$12), 'Points-Table'!$C$12,
                (Y200 = 'Points-Table'!$A$13), 'Points-Table'!$C$13,
                true, 0
              )
            </f>
      </c>
      <c r="AA200" s="6">
        <f>SUM(V200,X200,Z200)</f>
      </c>
      <c r="AB200" s="6">
        <f>
      Ifs( 
        ISBETWEEN(AA200, 0, 'Points-Table'!C$20, TRUE, False), 'Points-Table'!A$20,
        ISBETWEEN(AA200, 'Points-Table'!C$20, 'Points-Table'!C$21, TRUE, False), 'Points-Table'!A$21,
        ISBETWEEN(AA200, 'Points-Table'!C$22, 10000, TRUE, TRUE), 'Points-Table'!A$22,
        true, 
        0)
      </f>
      </c>
      <c r="AC200" s="6" t="s">
        <v>56</v>
      </c>
      <c r="AD200" s="6" t="s">
        <v>56</v>
      </c>
      <c r="AE200" s="6" t="s">
        <v>56</v>
      </c>
    </row>
    <row r="201" spans="1:31" s="6" customFormat="1" x14ac:dyDescent="0.25">
      <c r="A201" s="6" t="s">
        <v>327</v>
      </c>
      <c r="B201" s="6" t="s">
        <v>329</v>
      </c>
      <c r="D201" s="6"/>
      <c r="E201" s="6"/>
      <c r="F201" s="6" t="s">
        <v>330</v>
      </c>
      <c r="G201" s="6"/>
      <c r="H201" s="6"/>
      <c r="I201" s="6"/>
      <c r="J201" s="6"/>
      <c r="K201" s="6" t="s">
        <v>83</v>
      </c>
      <c r="L201" s="6" t="s">
        <v>84</v>
      </c>
      <c r="M201" s="6"/>
      <c r="N201" s="6"/>
      <c r="O201" s="6"/>
      <c r="P201" s="6"/>
      <c r="Q201" s="11"/>
      <c r="R201" s="12">
        <f>
              Ifs(
                (Q201 = 'Points-Table'!$A$4), 'Points-Table'!$C$4,
                (Q201 = 'Points-Table'!$A$5), 'Points-Table'!$C$5,
                (Q201 = 'Points-Table'!$A$6), 'Points-Table'!$C$6,
                (Q201 = 'Points-Table'!$A$7), 'Points-Table'!$C$7,
                (Q201 = 'Points-Table'!$A$8), 'Points-Table'!$C$8,
                (Q201 = 'Points-Table'!$A$9), 'Points-Table'!$C$9,
                (Q201 = 'Points-Table'!$A$10), 'Points-Table'!$C$10,
                (Q201 = 'Points-Table'!$A$11), 'Points-Table'!$C$11,
                (Q201 = 'Points-Table'!$A$12), 'Points-Table'!$C$12,
                (Q201 = 'Points-Table'!$A$13), 'Points-Table'!$C$13,
                true, 0
              )
            </f>
      </c>
      <c r="S201" s="11"/>
      <c r="T201" s="12">
        <f>
              Ifs(
                (S201 = 'Points-Table'!$A$4), 'Points-Table'!$C$4,
                (S201 = 'Points-Table'!$A$5), 'Points-Table'!$C$5,
                (S201 = 'Points-Table'!$A$6), 'Points-Table'!$C$6,
                (S201 = 'Points-Table'!$A$7), 'Points-Table'!$C$7,
                (S201 = 'Points-Table'!$A$8), 'Points-Table'!$C$8,
                (S201 = 'Points-Table'!$A$9), 'Points-Table'!$C$9,
                (S201 = 'Points-Table'!$A$10), 'Points-Table'!$C$10,
                (S201 = 'Points-Table'!$A$11), 'Points-Table'!$C$11,
                (S201 = 'Points-Table'!$A$12), 'Points-Table'!$C$12,
                (S201 = 'Points-Table'!$A$13), 'Points-Table'!$C$13,
                true, 0
              )
            </f>
      </c>
      <c r="U201" s="11">
        <v>0</v>
      </c>
      <c r="V201" s="12">
        <f>
              Ifs(
                (U201 = 'Points-Table'!$A$4), 'Points-Table'!$C$4,
                (U201 = 'Points-Table'!$A$5), 'Points-Table'!$C$5,
                (U201 = 'Points-Table'!$A$6), 'Points-Table'!$C$6,
                (U201 = 'Points-Table'!$A$7), 'Points-Table'!$C$7,
                (U201 = 'Points-Table'!$A$8), 'Points-Table'!$C$8,
                (U201 = 'Points-Table'!$A$9), 'Points-Table'!$C$9,
                (U201 = 'Points-Table'!$A$10), 'Points-Table'!$C$10,
                (U201 = 'Points-Table'!$A$11), 'Points-Table'!$C$11,
                (U201 = 'Points-Table'!$A$12), 'Points-Table'!$C$12,
                (U201 = 'Points-Table'!$A$13), 'Points-Table'!$C$13,
                true, 0
              )
            </f>
      </c>
      <c r="W201" s="11">
        <v>0</v>
      </c>
      <c r="X201" s="12">
        <f>
              Ifs(
                (W201 = 'Points-Table'!$A$4), 'Points-Table'!$C$4,
                (W201 = 'Points-Table'!$A$5), 'Points-Table'!$C$5,
                (W201 = 'Points-Table'!$A$6), 'Points-Table'!$C$6,
                (W201 = 'Points-Table'!$A$7), 'Points-Table'!$C$7,
                (W201 = 'Points-Table'!$A$8), 'Points-Table'!$C$8,
                (W201 = 'Points-Table'!$A$9), 'Points-Table'!$C$9,
                (W201 = 'Points-Table'!$A$10), 'Points-Table'!$C$10,
                (W201 = 'Points-Table'!$A$11), 'Points-Table'!$C$11,
                (W201 = 'Points-Table'!$A$12), 'Points-Table'!$C$12,
                (W201 = 'Points-Table'!$A$13), 'Points-Table'!$C$13,
                true, 0
              )
            </f>
      </c>
      <c r="Y201" s="11">
        <v>34</v>
      </c>
      <c r="Z201" s="12">
        <f>
              Ifs(
                (Y201 = 'Points-Table'!$A$4), 'Points-Table'!$C$4,
                (Y201 = 'Points-Table'!$A$5), 'Points-Table'!$C$5,
                (Y201 = 'Points-Table'!$A$6), 'Points-Table'!$C$6,
                (Y201 = 'Points-Table'!$A$7), 'Points-Table'!$C$7,
                (Y201 = 'Points-Table'!$A$8), 'Points-Table'!$C$8,
                (Y201 = 'Points-Table'!$A$9), 'Points-Table'!$C$9,
                (Y201 = 'Points-Table'!$A$10), 'Points-Table'!$C$10,
                (Y201 = 'Points-Table'!$A$11), 'Points-Table'!$C$11,
                (Y201 = 'Points-Table'!$A$12), 'Points-Table'!$C$12,
                (Y201 = 'Points-Table'!$A$13), 'Points-Table'!$C$13,
                true, 0
              )
            </f>
      </c>
      <c r="AA201" s="6">
        <f>SUM(V201,X201,Z201)</f>
      </c>
      <c r="AB201" s="6">
        <f>
      Ifs( 
        ISBETWEEN(AA201, 0, 'Points-Table'!C$20, TRUE, False), 'Points-Table'!A$20,
        ISBETWEEN(AA201, 'Points-Table'!C$20, 'Points-Table'!C$21, TRUE, False), 'Points-Table'!A$21,
        ISBETWEEN(AA201, 'Points-Table'!C$22, 10000, TRUE, TRUE), 'Points-Table'!A$22,
        true, 
        0)
      </f>
      </c>
      <c r="AC201" s="6" t="s">
        <v>56</v>
      </c>
      <c r="AD201" s="6" t="s">
        <v>56</v>
      </c>
      <c r="AE201" s="6" t="s">
        <v>56</v>
      </c>
    </row>
    <row r="202" spans="1:31" s="13" customFormat="1" x14ac:dyDescent="0.25">
      <c r="A202" s="13" t="s">
        <v>331</v>
      </c>
      <c r="D202" s="13"/>
      <c r="E202" s="13"/>
      <c r="F202" s="13"/>
      <c r="G202" s="13"/>
      <c r="H202" s="13"/>
      <c r="I202" s="13"/>
      <c r="J202" s="13"/>
      <c r="K202" s="13" t="s">
        <v>83</v>
      </c>
      <c r="L202" s="13" t="s">
        <v>84</v>
      </c>
      <c r="M202" s="13"/>
      <c r="N202" s="13"/>
      <c r="O202" s="13"/>
      <c r="P202" s="13"/>
      <c r="Q202" s="13"/>
      <c r="R202" s="13">
        <f>
              Ifs(
                (Q202 = 'Points-Table'!$A$4), 'Points-Table'!$C$4,
                (Q202 = 'Points-Table'!$A$5), 'Points-Table'!$C$5,
                (Q202 = 'Points-Table'!$A$6), 'Points-Table'!$C$6,
                (Q202 = 'Points-Table'!$A$7), 'Points-Table'!$C$7,
                (Q202 = 'Points-Table'!$A$8), 'Points-Table'!$C$8,
                (Q202 = 'Points-Table'!$A$9), 'Points-Table'!$C$9,
                (Q202 = 'Points-Table'!$A$10), 'Points-Table'!$C$10,
                (Q202 = 'Points-Table'!$A$11), 'Points-Table'!$C$11,
                (Q202 = 'Points-Table'!$A$12), 'Points-Table'!$C$12,
                (Q202 = 'Points-Table'!$A$13), 'Points-Table'!$C$13,
                true, 0
              )
            </f>
      </c>
      <c r="S202" s="13"/>
      <c r="T202" s="13">
        <f>
              Ifs(
                (S202 = 'Points-Table'!$A$4), 'Points-Table'!$C$4,
                (S202 = 'Points-Table'!$A$5), 'Points-Table'!$C$5,
                (S202 = 'Points-Table'!$A$6), 'Points-Table'!$C$6,
                (S202 = 'Points-Table'!$A$7), 'Points-Table'!$C$7,
                (S202 = 'Points-Table'!$A$8), 'Points-Table'!$C$8,
                (S202 = 'Points-Table'!$A$9), 'Points-Table'!$C$9,
                (S202 = 'Points-Table'!$A$10), 'Points-Table'!$C$10,
                (S202 = 'Points-Table'!$A$11), 'Points-Table'!$C$11,
                (S202 = 'Points-Table'!$A$12), 'Points-Table'!$C$12,
                (S202 = 'Points-Table'!$A$13), 'Points-Table'!$C$13,
                true, 0
              )
            </f>
      </c>
      <c r="U202" s="13"/>
      <c r="V202" s="13">
        <f>
              Ifs(
                (U202 = 'Points-Table'!$A$4), 'Points-Table'!$C$4,
                (U202 = 'Points-Table'!$A$5), 'Points-Table'!$C$5,
                (U202 = 'Points-Table'!$A$6), 'Points-Table'!$C$6,
                (U202 = 'Points-Table'!$A$7), 'Points-Table'!$C$7,
                (U202 = 'Points-Table'!$A$8), 'Points-Table'!$C$8,
                (U202 = 'Points-Table'!$A$9), 'Points-Table'!$C$9,
                (U202 = 'Points-Table'!$A$10), 'Points-Table'!$C$10,
                (U202 = 'Points-Table'!$A$11), 'Points-Table'!$C$11,
                (U202 = 'Points-Table'!$A$12), 'Points-Table'!$C$12,
                (U202 = 'Points-Table'!$A$13), 'Points-Table'!$C$13,
                true, 0
              )
            </f>
      </c>
      <c r="W202" s="13"/>
      <c r="X202" s="13">
        <f>
              Ifs(
                (W202 = 'Points-Table'!$A$4), 'Points-Table'!$C$4,
                (W202 = 'Points-Table'!$A$5), 'Points-Table'!$C$5,
                (W202 = 'Points-Table'!$A$6), 'Points-Table'!$C$6,
                (W202 = 'Points-Table'!$A$7), 'Points-Table'!$C$7,
                (W202 = 'Points-Table'!$A$8), 'Points-Table'!$C$8,
                (W202 = 'Points-Table'!$A$9), 'Points-Table'!$C$9,
                (W202 = 'Points-Table'!$A$10), 'Points-Table'!$C$10,
                (W202 = 'Points-Table'!$A$11), 'Points-Table'!$C$11,
                (W202 = 'Points-Table'!$A$12), 'Points-Table'!$C$12,
                (W202 = 'Points-Table'!$A$13), 'Points-Table'!$C$13,
                true, 0
              )
            </f>
      </c>
      <c r="Y202" s="13"/>
      <c r="Z202" s="13">
        <f>
              Ifs(
                (Y202 = 'Points-Table'!$A$4), 'Points-Table'!$C$4,
                (Y202 = 'Points-Table'!$A$5), 'Points-Table'!$C$5,
                (Y202 = 'Points-Table'!$A$6), 'Points-Table'!$C$6,
                (Y202 = 'Points-Table'!$A$7), 'Points-Table'!$C$7,
                (Y202 = 'Points-Table'!$A$8), 'Points-Table'!$C$8,
                (Y202 = 'Points-Table'!$A$9), 'Points-Table'!$C$9,
                (Y202 = 'Points-Table'!$A$10), 'Points-Table'!$C$10,
                (Y202 = 'Points-Table'!$A$11), 'Points-Table'!$C$11,
                (Y202 = 'Points-Table'!$A$12), 'Points-Table'!$C$12,
                (Y202 = 'Points-Table'!$A$13), 'Points-Table'!$C$13,
                true, 0
              )
            </f>
      </c>
      <c r="AA202" s="13">
        <f>SUM(V202,X202,Z202)</f>
      </c>
      <c r="AB202" s="13">
        <f>
      Ifs( 
        ISBETWEEN(AA202, 0, 'Points-Table'!C$20, TRUE, False), 'Points-Table'!A$20,
        ISBETWEEN(AA202, 'Points-Table'!C$20, 'Points-Table'!C$21, TRUE, False), 'Points-Table'!A$21,
        ISBETWEEN(AA202, 'Points-Table'!C$22, 10000, TRUE, TRUE), 'Points-Table'!A$22,
        true, 
        0)
      </f>
      </c>
      <c r="AC202" s="13" t="s">
        <v>56</v>
      </c>
      <c r="AD202" s="13" t="s">
        <v>56</v>
      </c>
      <c r="AE202" s="13" t="s">
        <v>56</v>
      </c>
    </row>
    <row r="203" spans="1:31" s="13" customFormat="1" x14ac:dyDescent="0.25">
      <c r="A203" s="13" t="s">
        <v>310</v>
      </c>
      <c r="D203" s="13"/>
      <c r="E203" s="13"/>
      <c r="F203" s="13"/>
      <c r="G203" s="13"/>
      <c r="H203" s="13"/>
      <c r="I203" s="13"/>
      <c r="J203" s="13"/>
      <c r="K203" s="13" t="s">
        <v>83</v>
      </c>
      <c r="L203" s="13" t="s">
        <v>84</v>
      </c>
      <c r="M203" s="13"/>
      <c r="N203" s="13"/>
      <c r="O203" s="13"/>
      <c r="P203" s="13"/>
      <c r="Q203" s="13"/>
      <c r="R203" s="13">
        <f>
              Ifs(
                (Q203 = 'Points-Table'!$A$4), 'Points-Table'!$C$4,
                (Q203 = 'Points-Table'!$A$5), 'Points-Table'!$C$5,
                (Q203 = 'Points-Table'!$A$6), 'Points-Table'!$C$6,
                (Q203 = 'Points-Table'!$A$7), 'Points-Table'!$C$7,
                (Q203 = 'Points-Table'!$A$8), 'Points-Table'!$C$8,
                (Q203 = 'Points-Table'!$A$9), 'Points-Table'!$C$9,
                (Q203 = 'Points-Table'!$A$10), 'Points-Table'!$C$10,
                (Q203 = 'Points-Table'!$A$11), 'Points-Table'!$C$11,
                (Q203 = 'Points-Table'!$A$12), 'Points-Table'!$C$12,
                (Q203 = 'Points-Table'!$A$13), 'Points-Table'!$C$13,
                true, 0
              )
            </f>
      </c>
      <c r="S203" s="13"/>
      <c r="T203" s="13">
        <f>
              Ifs(
                (S203 = 'Points-Table'!$A$4), 'Points-Table'!$C$4,
                (S203 = 'Points-Table'!$A$5), 'Points-Table'!$C$5,
                (S203 = 'Points-Table'!$A$6), 'Points-Table'!$C$6,
                (S203 = 'Points-Table'!$A$7), 'Points-Table'!$C$7,
                (S203 = 'Points-Table'!$A$8), 'Points-Table'!$C$8,
                (S203 = 'Points-Table'!$A$9), 'Points-Table'!$C$9,
                (S203 = 'Points-Table'!$A$10), 'Points-Table'!$C$10,
                (S203 = 'Points-Table'!$A$11), 'Points-Table'!$C$11,
                (S203 = 'Points-Table'!$A$12), 'Points-Table'!$C$12,
                (S203 = 'Points-Table'!$A$13), 'Points-Table'!$C$13,
                true, 0
              )
            </f>
      </c>
      <c r="U203" s="13"/>
      <c r="V203" s="13">
        <f>
              Ifs(
                (U203 = 'Points-Table'!$A$4), 'Points-Table'!$C$4,
                (U203 = 'Points-Table'!$A$5), 'Points-Table'!$C$5,
                (U203 = 'Points-Table'!$A$6), 'Points-Table'!$C$6,
                (U203 = 'Points-Table'!$A$7), 'Points-Table'!$C$7,
                (U203 = 'Points-Table'!$A$8), 'Points-Table'!$C$8,
                (U203 = 'Points-Table'!$A$9), 'Points-Table'!$C$9,
                (U203 = 'Points-Table'!$A$10), 'Points-Table'!$C$10,
                (U203 = 'Points-Table'!$A$11), 'Points-Table'!$C$11,
                (U203 = 'Points-Table'!$A$12), 'Points-Table'!$C$12,
                (U203 = 'Points-Table'!$A$13), 'Points-Table'!$C$13,
                true, 0
              )
            </f>
      </c>
      <c r="W203" s="13"/>
      <c r="X203" s="13">
        <f>
              Ifs(
                (W203 = 'Points-Table'!$A$4), 'Points-Table'!$C$4,
                (W203 = 'Points-Table'!$A$5), 'Points-Table'!$C$5,
                (W203 = 'Points-Table'!$A$6), 'Points-Table'!$C$6,
                (W203 = 'Points-Table'!$A$7), 'Points-Table'!$C$7,
                (W203 = 'Points-Table'!$A$8), 'Points-Table'!$C$8,
                (W203 = 'Points-Table'!$A$9), 'Points-Table'!$C$9,
                (W203 = 'Points-Table'!$A$10), 'Points-Table'!$C$10,
                (W203 = 'Points-Table'!$A$11), 'Points-Table'!$C$11,
                (W203 = 'Points-Table'!$A$12), 'Points-Table'!$C$12,
                (W203 = 'Points-Table'!$A$13), 'Points-Table'!$C$13,
                true, 0
              )
            </f>
      </c>
      <c r="Y203" s="13"/>
      <c r="Z203" s="13">
        <f>
              Ifs(
                (Y203 = 'Points-Table'!$A$4), 'Points-Table'!$C$4,
                (Y203 = 'Points-Table'!$A$5), 'Points-Table'!$C$5,
                (Y203 = 'Points-Table'!$A$6), 'Points-Table'!$C$6,
                (Y203 = 'Points-Table'!$A$7), 'Points-Table'!$C$7,
                (Y203 = 'Points-Table'!$A$8), 'Points-Table'!$C$8,
                (Y203 = 'Points-Table'!$A$9), 'Points-Table'!$C$9,
                (Y203 = 'Points-Table'!$A$10), 'Points-Table'!$C$10,
                (Y203 = 'Points-Table'!$A$11), 'Points-Table'!$C$11,
                (Y203 = 'Points-Table'!$A$12), 'Points-Table'!$C$12,
                (Y203 = 'Points-Table'!$A$13), 'Points-Table'!$C$13,
                true, 0
              )
            </f>
      </c>
      <c r="AA203" s="13">
        <f>SUM(V203,X203,Z203)</f>
      </c>
      <c r="AB203" s="13">
        <f>
      Ifs( 
        ISBETWEEN(AA203, 0, 'Points-Table'!C$20, TRUE, False), 'Points-Table'!A$20,
        ISBETWEEN(AA203, 'Points-Table'!C$20, 'Points-Table'!C$21, TRUE, False), 'Points-Table'!A$21,
        ISBETWEEN(AA203, 'Points-Table'!C$22, 10000, TRUE, TRUE), 'Points-Table'!A$22,
        true, 
        0)
      </f>
      </c>
      <c r="AC203" s="13" t="s">
        <v>56</v>
      </c>
      <c r="AD203" s="13" t="s">
        <v>56</v>
      </c>
      <c r="AE203" s="13" t="s">
        <v>56</v>
      </c>
    </row>
    <row r="204" spans="1:31" s="13" customFormat="1" x14ac:dyDescent="0.25">
      <c r="A204" s="13" t="s">
        <v>332</v>
      </c>
      <c r="B204" s="13" t="s">
        <v>333</v>
      </c>
      <c r="D204" s="13" t="s">
        <v>334</v>
      </c>
      <c r="E204" s="13"/>
      <c r="F204" s="13"/>
      <c r="G204" s="13"/>
      <c r="H204" s="13"/>
      <c r="I204" s="13"/>
      <c r="J204" s="13"/>
      <c r="K204" s="13" t="s">
        <v>83</v>
      </c>
      <c r="L204" s="13" t="s">
        <v>84</v>
      </c>
      <c r="M204" s="13"/>
      <c r="N204" s="13"/>
      <c r="O204" s="13"/>
      <c r="P204" s="13"/>
      <c r="Q204" s="13">
        <v>8</v>
      </c>
      <c r="R204" s="13">
        <f>
              Ifs(
                (Q204 = 'Points-Table'!$A$4), 'Points-Table'!$C$4,
                (Q204 = 'Points-Table'!$A$5), 'Points-Table'!$C$5,
                (Q204 = 'Points-Table'!$A$6), 'Points-Table'!$C$6,
                (Q204 = 'Points-Table'!$A$7), 'Points-Table'!$C$7,
                (Q204 = 'Points-Table'!$A$8), 'Points-Table'!$C$8,
                (Q204 = 'Points-Table'!$A$9), 'Points-Table'!$C$9,
                (Q204 = 'Points-Table'!$A$10), 'Points-Table'!$C$10,
                (Q204 = 'Points-Table'!$A$11), 'Points-Table'!$C$11,
                (Q204 = 'Points-Table'!$A$12), 'Points-Table'!$C$12,
                (Q204 = 'Points-Table'!$A$13), 'Points-Table'!$C$13,
                true, 0
              )
            </f>
      </c>
      <c r="S204" s="13">
        <v>8</v>
      </c>
      <c r="T204" s="13">
        <f>
              Ifs(
                (S204 = 'Points-Table'!$A$4), 'Points-Table'!$C$4,
                (S204 = 'Points-Table'!$A$5), 'Points-Table'!$C$5,
                (S204 = 'Points-Table'!$A$6), 'Points-Table'!$C$6,
                (S204 = 'Points-Table'!$A$7), 'Points-Table'!$C$7,
                (S204 = 'Points-Table'!$A$8), 'Points-Table'!$C$8,
                (S204 = 'Points-Table'!$A$9), 'Points-Table'!$C$9,
                (S204 = 'Points-Table'!$A$10), 'Points-Table'!$C$10,
                (S204 = 'Points-Table'!$A$11), 'Points-Table'!$C$11,
                (S204 = 'Points-Table'!$A$12), 'Points-Table'!$C$12,
                (S204 = 'Points-Table'!$A$13), 'Points-Table'!$C$13,
                true, 0
              )
            </f>
      </c>
      <c r="U204" s="13">
        <v>8</v>
      </c>
      <c r="V204" s="13">
        <f>
              Ifs(
                (U204 = 'Points-Table'!$A$4), 'Points-Table'!$C$4,
                (U204 = 'Points-Table'!$A$5), 'Points-Table'!$C$5,
                (U204 = 'Points-Table'!$A$6), 'Points-Table'!$C$6,
                (U204 = 'Points-Table'!$A$7), 'Points-Table'!$C$7,
                (U204 = 'Points-Table'!$A$8), 'Points-Table'!$C$8,
                (U204 = 'Points-Table'!$A$9), 'Points-Table'!$C$9,
                (U204 = 'Points-Table'!$A$10), 'Points-Table'!$C$10,
                (U204 = 'Points-Table'!$A$11), 'Points-Table'!$C$11,
                (U204 = 'Points-Table'!$A$12), 'Points-Table'!$C$12,
                (U204 = 'Points-Table'!$A$13), 'Points-Table'!$C$13,
                true, 0
              )
            </f>
      </c>
      <c r="W204" s="13">
        <v>5</v>
      </c>
      <c r="X204" s="13">
        <f>
              Ifs(
                (W204 = 'Points-Table'!$A$4), 'Points-Table'!$C$4,
                (W204 = 'Points-Table'!$A$5), 'Points-Table'!$C$5,
                (W204 = 'Points-Table'!$A$6), 'Points-Table'!$C$6,
                (W204 = 'Points-Table'!$A$7), 'Points-Table'!$C$7,
                (W204 = 'Points-Table'!$A$8), 'Points-Table'!$C$8,
                (W204 = 'Points-Table'!$A$9), 'Points-Table'!$C$9,
                (W204 = 'Points-Table'!$A$10), 'Points-Table'!$C$10,
                (W204 = 'Points-Table'!$A$11), 'Points-Table'!$C$11,
                (W204 = 'Points-Table'!$A$12), 'Points-Table'!$C$12,
                (W204 = 'Points-Table'!$A$13), 'Points-Table'!$C$13,
                true, 0
              )
            </f>
      </c>
      <c r="Y204" s="13">
        <v>8</v>
      </c>
      <c r="Z204" s="13">
        <f>
              Ifs(
                (Y204 = 'Points-Table'!$A$4), 'Points-Table'!$C$4,
                (Y204 = 'Points-Table'!$A$5), 'Points-Table'!$C$5,
                (Y204 = 'Points-Table'!$A$6), 'Points-Table'!$C$6,
                (Y204 = 'Points-Table'!$A$7), 'Points-Table'!$C$7,
                (Y204 = 'Points-Table'!$A$8), 'Points-Table'!$C$8,
                (Y204 = 'Points-Table'!$A$9), 'Points-Table'!$C$9,
                (Y204 = 'Points-Table'!$A$10), 'Points-Table'!$C$10,
                (Y204 = 'Points-Table'!$A$11), 'Points-Table'!$C$11,
                (Y204 = 'Points-Table'!$A$12), 'Points-Table'!$C$12,
                (Y204 = 'Points-Table'!$A$13), 'Points-Table'!$C$13,
                true, 0
              )
            </f>
      </c>
      <c r="AA204" s="13">
        <f>SUM(V204,X204,Z204)</f>
      </c>
      <c r="AB204" s="13">
        <f>
      Ifs( 
        ISBETWEEN(AA204, 0, 'Points-Table'!C$20, TRUE, False), 'Points-Table'!A$20,
        ISBETWEEN(AA204, 'Points-Table'!C$20, 'Points-Table'!C$21, TRUE, False), 'Points-Table'!A$21,
        ISBETWEEN(AA204, 'Points-Table'!C$22, 10000, TRUE, TRUE), 'Points-Table'!A$22,
        true, 
        0)
      </f>
      </c>
      <c r="AC204" s="13" t="s">
        <v>56</v>
      </c>
      <c r="AD204" s="13" t="s">
        <v>56</v>
      </c>
      <c r="AE204" s="13" t="s">
        <v>56</v>
      </c>
    </row>
    <row r="205" spans="1:31" s="13" customFormat="1" x14ac:dyDescent="0.25">
      <c r="A205" s="13" t="s">
        <v>335</v>
      </c>
      <c r="D205" s="13" t="s">
        <v>336</v>
      </c>
      <c r="E205" s="13"/>
      <c r="F205" s="13"/>
      <c r="G205" s="13"/>
      <c r="H205" s="13"/>
      <c r="I205" s="13"/>
      <c r="J205" s="13"/>
      <c r="K205" s="13" t="s">
        <v>83</v>
      </c>
      <c r="L205" s="13" t="s">
        <v>84</v>
      </c>
      <c r="M205" s="13"/>
      <c r="N205" s="13"/>
      <c r="O205" s="13"/>
      <c r="P205" s="13"/>
      <c r="Q205" s="13">
        <v>8</v>
      </c>
      <c r="R205" s="13">
        <f>
              Ifs(
                (Q205 = 'Points-Table'!$A$4), 'Points-Table'!$C$4,
                (Q205 = 'Points-Table'!$A$5), 'Points-Table'!$C$5,
                (Q205 = 'Points-Table'!$A$6), 'Points-Table'!$C$6,
                (Q205 = 'Points-Table'!$A$7), 'Points-Table'!$C$7,
                (Q205 = 'Points-Table'!$A$8), 'Points-Table'!$C$8,
                (Q205 = 'Points-Table'!$A$9), 'Points-Table'!$C$9,
                (Q205 = 'Points-Table'!$A$10), 'Points-Table'!$C$10,
                (Q205 = 'Points-Table'!$A$11), 'Points-Table'!$C$11,
                (Q205 = 'Points-Table'!$A$12), 'Points-Table'!$C$12,
                (Q205 = 'Points-Table'!$A$13), 'Points-Table'!$C$13,
                true, 0
              )
            </f>
      </c>
      <c r="S205" s="13">
        <v>8</v>
      </c>
      <c r="T205" s="13">
        <f>
              Ifs(
                (S205 = 'Points-Table'!$A$4), 'Points-Table'!$C$4,
                (S205 = 'Points-Table'!$A$5), 'Points-Table'!$C$5,
                (S205 = 'Points-Table'!$A$6), 'Points-Table'!$C$6,
                (S205 = 'Points-Table'!$A$7), 'Points-Table'!$C$7,
                (S205 = 'Points-Table'!$A$8), 'Points-Table'!$C$8,
                (S205 = 'Points-Table'!$A$9), 'Points-Table'!$C$9,
                (S205 = 'Points-Table'!$A$10), 'Points-Table'!$C$10,
                (S205 = 'Points-Table'!$A$11), 'Points-Table'!$C$11,
                (S205 = 'Points-Table'!$A$12), 'Points-Table'!$C$12,
                (S205 = 'Points-Table'!$A$13), 'Points-Table'!$C$13,
                true, 0
              )
            </f>
      </c>
      <c r="U205" s="13">
        <v>8</v>
      </c>
      <c r="V205" s="13">
        <f>
              Ifs(
                (U205 = 'Points-Table'!$A$4), 'Points-Table'!$C$4,
                (U205 = 'Points-Table'!$A$5), 'Points-Table'!$C$5,
                (U205 = 'Points-Table'!$A$6), 'Points-Table'!$C$6,
                (U205 = 'Points-Table'!$A$7), 'Points-Table'!$C$7,
                (U205 = 'Points-Table'!$A$8), 'Points-Table'!$C$8,
                (U205 = 'Points-Table'!$A$9), 'Points-Table'!$C$9,
                (U205 = 'Points-Table'!$A$10), 'Points-Table'!$C$10,
                (U205 = 'Points-Table'!$A$11), 'Points-Table'!$C$11,
                (U205 = 'Points-Table'!$A$12), 'Points-Table'!$C$12,
                (U205 = 'Points-Table'!$A$13), 'Points-Table'!$C$13,
                true, 0
              )
            </f>
      </c>
      <c r="W205" s="13">
        <v>5</v>
      </c>
      <c r="X205" s="13">
        <f>
              Ifs(
                (W205 = 'Points-Table'!$A$4), 'Points-Table'!$C$4,
                (W205 = 'Points-Table'!$A$5), 'Points-Table'!$C$5,
                (W205 = 'Points-Table'!$A$6), 'Points-Table'!$C$6,
                (W205 = 'Points-Table'!$A$7), 'Points-Table'!$C$7,
                (W205 = 'Points-Table'!$A$8), 'Points-Table'!$C$8,
                (W205 = 'Points-Table'!$A$9), 'Points-Table'!$C$9,
                (W205 = 'Points-Table'!$A$10), 'Points-Table'!$C$10,
                (W205 = 'Points-Table'!$A$11), 'Points-Table'!$C$11,
                (W205 = 'Points-Table'!$A$12), 'Points-Table'!$C$12,
                (W205 = 'Points-Table'!$A$13), 'Points-Table'!$C$13,
                true, 0
              )
            </f>
      </c>
      <c r="Y205" s="13">
        <v>8</v>
      </c>
      <c r="Z205" s="13">
        <f>
              Ifs(
                (Y205 = 'Points-Table'!$A$4), 'Points-Table'!$C$4,
                (Y205 = 'Points-Table'!$A$5), 'Points-Table'!$C$5,
                (Y205 = 'Points-Table'!$A$6), 'Points-Table'!$C$6,
                (Y205 = 'Points-Table'!$A$7), 'Points-Table'!$C$7,
                (Y205 = 'Points-Table'!$A$8), 'Points-Table'!$C$8,
                (Y205 = 'Points-Table'!$A$9), 'Points-Table'!$C$9,
                (Y205 = 'Points-Table'!$A$10), 'Points-Table'!$C$10,
                (Y205 = 'Points-Table'!$A$11), 'Points-Table'!$C$11,
                (Y205 = 'Points-Table'!$A$12), 'Points-Table'!$C$12,
                (Y205 = 'Points-Table'!$A$13), 'Points-Table'!$C$13,
                true, 0
              )
            </f>
      </c>
      <c r="AA205" s="13">
        <f>SUM(V205,X205,Z205)</f>
      </c>
      <c r="AB205" s="13">
        <f>
      Ifs( 
        ISBETWEEN(AA205, 0, 'Points-Table'!C$20, TRUE, False), 'Points-Table'!A$20,
        ISBETWEEN(AA205, 'Points-Table'!C$20, 'Points-Table'!C$21, TRUE, False), 'Points-Table'!A$21,
        ISBETWEEN(AA205, 'Points-Table'!C$22, 10000, TRUE, TRUE), 'Points-Table'!A$22,
        true, 
        0)
      </f>
      </c>
      <c r="AC205" s="13" t="s">
        <v>56</v>
      </c>
      <c r="AD205" s="13" t="s">
        <v>56</v>
      </c>
      <c r="AE205" s="13" t="s">
        <v>56</v>
      </c>
    </row>
    <row r="206" spans="1:31" s="13" customFormat="1" x14ac:dyDescent="0.25">
      <c r="A206" s="13" t="s">
        <v>337</v>
      </c>
      <c r="D206" s="13"/>
      <c r="E206" s="13"/>
      <c r="F206" s="13"/>
      <c r="G206" s="13"/>
      <c r="H206" s="13"/>
      <c r="I206" s="13"/>
      <c r="J206" s="13"/>
      <c r="K206" s="13" t="s">
        <v>83</v>
      </c>
      <c r="L206" s="13" t="s">
        <v>84</v>
      </c>
      <c r="M206" s="13"/>
      <c r="N206" s="13"/>
      <c r="O206" s="13"/>
      <c r="P206" s="13"/>
      <c r="Q206" s="13"/>
      <c r="R206" s="13">
        <f>
              Ifs(
                (Q206 = 'Points-Table'!$A$4), 'Points-Table'!$C$4,
                (Q206 = 'Points-Table'!$A$5), 'Points-Table'!$C$5,
                (Q206 = 'Points-Table'!$A$6), 'Points-Table'!$C$6,
                (Q206 = 'Points-Table'!$A$7), 'Points-Table'!$C$7,
                (Q206 = 'Points-Table'!$A$8), 'Points-Table'!$C$8,
                (Q206 = 'Points-Table'!$A$9), 'Points-Table'!$C$9,
                (Q206 = 'Points-Table'!$A$10), 'Points-Table'!$C$10,
                (Q206 = 'Points-Table'!$A$11), 'Points-Table'!$C$11,
                (Q206 = 'Points-Table'!$A$12), 'Points-Table'!$C$12,
                (Q206 = 'Points-Table'!$A$13), 'Points-Table'!$C$13,
                true, 0
              )
            </f>
      </c>
      <c r="S206" s="13">
        <v>13</v>
      </c>
      <c r="T206" s="13">
        <f>
              Ifs(
                (S206 = 'Points-Table'!$A$4), 'Points-Table'!$C$4,
                (S206 = 'Points-Table'!$A$5), 'Points-Table'!$C$5,
                (S206 = 'Points-Table'!$A$6), 'Points-Table'!$C$6,
                (S206 = 'Points-Table'!$A$7), 'Points-Table'!$C$7,
                (S206 = 'Points-Table'!$A$8), 'Points-Table'!$C$8,
                (S206 = 'Points-Table'!$A$9), 'Points-Table'!$C$9,
                (S206 = 'Points-Table'!$A$10), 'Points-Table'!$C$10,
                (S206 = 'Points-Table'!$A$11), 'Points-Table'!$C$11,
                (S206 = 'Points-Table'!$A$12), 'Points-Table'!$C$12,
                (S206 = 'Points-Table'!$A$13), 'Points-Table'!$C$13,
                true, 0
              )
            </f>
      </c>
      <c r="U206" s="13"/>
      <c r="V206" s="13">
        <f>
              Ifs(
                (U206 = 'Points-Table'!$A$4), 'Points-Table'!$C$4,
                (U206 = 'Points-Table'!$A$5), 'Points-Table'!$C$5,
                (U206 = 'Points-Table'!$A$6), 'Points-Table'!$C$6,
                (U206 = 'Points-Table'!$A$7), 'Points-Table'!$C$7,
                (U206 = 'Points-Table'!$A$8), 'Points-Table'!$C$8,
                (U206 = 'Points-Table'!$A$9), 'Points-Table'!$C$9,
                (U206 = 'Points-Table'!$A$10), 'Points-Table'!$C$10,
                (U206 = 'Points-Table'!$A$11), 'Points-Table'!$C$11,
                (U206 = 'Points-Table'!$A$12), 'Points-Table'!$C$12,
                (U206 = 'Points-Table'!$A$13), 'Points-Table'!$C$13,
                true, 0
              )
            </f>
      </c>
      <c r="W206" s="13"/>
      <c r="X206" s="13">
        <f>
              Ifs(
                (W206 = 'Points-Table'!$A$4), 'Points-Table'!$C$4,
                (W206 = 'Points-Table'!$A$5), 'Points-Table'!$C$5,
                (W206 = 'Points-Table'!$A$6), 'Points-Table'!$C$6,
                (W206 = 'Points-Table'!$A$7), 'Points-Table'!$C$7,
                (W206 = 'Points-Table'!$A$8), 'Points-Table'!$C$8,
                (W206 = 'Points-Table'!$A$9), 'Points-Table'!$C$9,
                (W206 = 'Points-Table'!$A$10), 'Points-Table'!$C$10,
                (W206 = 'Points-Table'!$A$11), 'Points-Table'!$C$11,
                (W206 = 'Points-Table'!$A$12), 'Points-Table'!$C$12,
                (W206 = 'Points-Table'!$A$13), 'Points-Table'!$C$13,
                true, 0
              )
            </f>
      </c>
      <c r="Y206" s="13"/>
      <c r="Z206" s="13">
        <f>
              Ifs(
                (Y206 = 'Points-Table'!$A$4), 'Points-Table'!$C$4,
                (Y206 = 'Points-Table'!$A$5), 'Points-Table'!$C$5,
                (Y206 = 'Points-Table'!$A$6), 'Points-Table'!$C$6,
                (Y206 = 'Points-Table'!$A$7), 'Points-Table'!$C$7,
                (Y206 = 'Points-Table'!$A$8), 'Points-Table'!$C$8,
                (Y206 = 'Points-Table'!$A$9), 'Points-Table'!$C$9,
                (Y206 = 'Points-Table'!$A$10), 'Points-Table'!$C$10,
                (Y206 = 'Points-Table'!$A$11), 'Points-Table'!$C$11,
                (Y206 = 'Points-Table'!$A$12), 'Points-Table'!$C$12,
                (Y206 = 'Points-Table'!$A$13), 'Points-Table'!$C$13,
                true, 0
              )
            </f>
      </c>
      <c r="AA206" s="13">
        <f>SUM(V206,X206,Z206)</f>
      </c>
      <c r="AB206" s="13">
        <f>
      Ifs( 
        ISBETWEEN(AA206, 0, 'Points-Table'!C$20, TRUE, False), 'Points-Table'!A$20,
        ISBETWEEN(AA206, 'Points-Table'!C$20, 'Points-Table'!C$21, TRUE, False), 'Points-Table'!A$21,
        ISBETWEEN(AA206, 'Points-Table'!C$22, 10000, TRUE, TRUE), 'Points-Table'!A$22,
        true, 
        0)
      </f>
      </c>
      <c r="AC206" s="13" t="s">
        <v>56</v>
      </c>
      <c r="AD206" s="13" t="s">
        <v>56</v>
      </c>
      <c r="AE206" s="13" t="s">
        <v>56</v>
      </c>
    </row>
    <row r="207" spans="1:31" s="13" customFormat="1" x14ac:dyDescent="0.25">
      <c r="A207" s="13" t="s">
        <v>338</v>
      </c>
      <c r="B207" s="13" t="s">
        <v>339</v>
      </c>
      <c r="D207" s="13"/>
      <c r="E207" s="13"/>
      <c r="F207" s="13"/>
      <c r="G207" s="13"/>
      <c r="H207" s="13"/>
      <c r="I207" s="13"/>
      <c r="J207" s="13"/>
      <c r="K207" s="13" t="s">
        <v>83</v>
      </c>
      <c r="L207" s="13" t="s">
        <v>84</v>
      </c>
      <c r="M207" s="13"/>
      <c r="N207" s="13"/>
      <c r="O207" s="13"/>
      <c r="P207" s="13"/>
      <c r="Q207" s="13">
        <v>8</v>
      </c>
      <c r="R207" s="13">
        <f>
              Ifs(
                (Q207 = 'Points-Table'!$A$4), 'Points-Table'!$C$4,
                (Q207 = 'Points-Table'!$A$5), 'Points-Table'!$C$5,
                (Q207 = 'Points-Table'!$A$6), 'Points-Table'!$C$6,
                (Q207 = 'Points-Table'!$A$7), 'Points-Table'!$C$7,
                (Q207 = 'Points-Table'!$A$8), 'Points-Table'!$C$8,
                (Q207 = 'Points-Table'!$A$9), 'Points-Table'!$C$9,
                (Q207 = 'Points-Table'!$A$10), 'Points-Table'!$C$10,
                (Q207 = 'Points-Table'!$A$11), 'Points-Table'!$C$11,
                (Q207 = 'Points-Table'!$A$12), 'Points-Table'!$C$12,
                (Q207 = 'Points-Table'!$A$13), 'Points-Table'!$C$13,
                true, 0
              )
            </f>
      </c>
      <c r="S207" s="13"/>
      <c r="T207" s="13">
        <f>
              Ifs(
                (S207 = 'Points-Table'!$A$4), 'Points-Table'!$C$4,
                (S207 = 'Points-Table'!$A$5), 'Points-Table'!$C$5,
                (S207 = 'Points-Table'!$A$6), 'Points-Table'!$C$6,
                (S207 = 'Points-Table'!$A$7), 'Points-Table'!$C$7,
                (S207 = 'Points-Table'!$A$8), 'Points-Table'!$C$8,
                (S207 = 'Points-Table'!$A$9), 'Points-Table'!$C$9,
                (S207 = 'Points-Table'!$A$10), 'Points-Table'!$C$10,
                (S207 = 'Points-Table'!$A$11), 'Points-Table'!$C$11,
                (S207 = 'Points-Table'!$A$12), 'Points-Table'!$C$12,
                (S207 = 'Points-Table'!$A$13), 'Points-Table'!$C$13,
                true, 0
              )
            </f>
      </c>
      <c r="U207" s="13"/>
      <c r="V207" s="13">
        <f>
              Ifs(
                (U207 = 'Points-Table'!$A$4), 'Points-Table'!$C$4,
                (U207 = 'Points-Table'!$A$5), 'Points-Table'!$C$5,
                (U207 = 'Points-Table'!$A$6), 'Points-Table'!$C$6,
                (U207 = 'Points-Table'!$A$7), 'Points-Table'!$C$7,
                (U207 = 'Points-Table'!$A$8), 'Points-Table'!$C$8,
                (U207 = 'Points-Table'!$A$9), 'Points-Table'!$C$9,
                (U207 = 'Points-Table'!$A$10), 'Points-Table'!$C$10,
                (U207 = 'Points-Table'!$A$11), 'Points-Table'!$C$11,
                (U207 = 'Points-Table'!$A$12), 'Points-Table'!$C$12,
                (U207 = 'Points-Table'!$A$13), 'Points-Table'!$C$13,
                true, 0
              )
            </f>
      </c>
      <c r="W207" s="13"/>
      <c r="X207" s="13">
        <f>
              Ifs(
                (W207 = 'Points-Table'!$A$4), 'Points-Table'!$C$4,
                (W207 = 'Points-Table'!$A$5), 'Points-Table'!$C$5,
                (W207 = 'Points-Table'!$A$6), 'Points-Table'!$C$6,
                (W207 = 'Points-Table'!$A$7), 'Points-Table'!$C$7,
                (W207 = 'Points-Table'!$A$8), 'Points-Table'!$C$8,
                (W207 = 'Points-Table'!$A$9), 'Points-Table'!$C$9,
                (W207 = 'Points-Table'!$A$10), 'Points-Table'!$C$10,
                (W207 = 'Points-Table'!$A$11), 'Points-Table'!$C$11,
                (W207 = 'Points-Table'!$A$12), 'Points-Table'!$C$12,
                (W207 = 'Points-Table'!$A$13), 'Points-Table'!$C$13,
                true, 0
              )
            </f>
      </c>
      <c r="Y207" s="13"/>
      <c r="Z207" s="13">
        <f>
              Ifs(
                (Y207 = 'Points-Table'!$A$4), 'Points-Table'!$C$4,
                (Y207 = 'Points-Table'!$A$5), 'Points-Table'!$C$5,
                (Y207 = 'Points-Table'!$A$6), 'Points-Table'!$C$6,
                (Y207 = 'Points-Table'!$A$7), 'Points-Table'!$C$7,
                (Y207 = 'Points-Table'!$A$8), 'Points-Table'!$C$8,
                (Y207 = 'Points-Table'!$A$9), 'Points-Table'!$C$9,
                (Y207 = 'Points-Table'!$A$10), 'Points-Table'!$C$10,
                (Y207 = 'Points-Table'!$A$11), 'Points-Table'!$C$11,
                (Y207 = 'Points-Table'!$A$12), 'Points-Table'!$C$12,
                (Y207 = 'Points-Table'!$A$13), 'Points-Table'!$C$13,
                true, 0
              )
            </f>
      </c>
      <c r="AA207" s="13">
        <f>SUM(V207,X207,Z207)</f>
      </c>
      <c r="AB207" s="13">
        <f>
      Ifs( 
        ISBETWEEN(AA207, 0, 'Points-Table'!C$20, TRUE, False), 'Points-Table'!A$20,
        ISBETWEEN(AA207, 'Points-Table'!C$20, 'Points-Table'!C$21, TRUE, False), 'Points-Table'!A$21,
        ISBETWEEN(AA207, 'Points-Table'!C$22, 10000, TRUE, TRUE), 'Points-Table'!A$22,
        true, 
        0)
      </f>
      </c>
      <c r="AC207" s="13" t="s">
        <v>56</v>
      </c>
      <c r="AD207" s="13" t="s">
        <v>56</v>
      </c>
      <c r="AE207" s="13" t="s">
        <v>56</v>
      </c>
    </row>
    <row r="208" spans="1:31" s="13" customFormat="1" x14ac:dyDescent="0.25">
      <c r="A208" s="13" t="s">
        <v>338</v>
      </c>
      <c r="B208" s="13" t="s">
        <v>340</v>
      </c>
      <c r="D208" s="13"/>
      <c r="E208" s="13"/>
      <c r="F208" s="13"/>
      <c r="G208" s="13"/>
      <c r="H208" s="13"/>
      <c r="I208" s="13"/>
      <c r="J208" s="13"/>
      <c r="K208" s="13" t="s">
        <v>83</v>
      </c>
      <c r="L208" s="13" t="s">
        <v>84</v>
      </c>
      <c r="M208" s="13"/>
      <c r="N208" s="13"/>
      <c r="O208" s="13"/>
      <c r="P208" s="13"/>
      <c r="Q208" s="13">
        <v>21</v>
      </c>
      <c r="R208" s="13">
        <f>
              Ifs(
                (Q208 = 'Points-Table'!$A$4), 'Points-Table'!$C$4,
                (Q208 = 'Points-Table'!$A$5), 'Points-Table'!$C$5,
                (Q208 = 'Points-Table'!$A$6), 'Points-Table'!$C$6,
                (Q208 = 'Points-Table'!$A$7), 'Points-Table'!$C$7,
                (Q208 = 'Points-Table'!$A$8), 'Points-Table'!$C$8,
                (Q208 = 'Points-Table'!$A$9), 'Points-Table'!$C$9,
                (Q208 = 'Points-Table'!$A$10), 'Points-Table'!$C$10,
                (Q208 = 'Points-Table'!$A$11), 'Points-Table'!$C$11,
                (Q208 = 'Points-Table'!$A$12), 'Points-Table'!$C$12,
                (Q208 = 'Points-Table'!$A$13), 'Points-Table'!$C$13,
                true, 0
              )
            </f>
      </c>
      <c r="S208" s="13"/>
      <c r="T208" s="13">
        <f>
              Ifs(
                (S208 = 'Points-Table'!$A$4), 'Points-Table'!$C$4,
                (S208 = 'Points-Table'!$A$5), 'Points-Table'!$C$5,
                (S208 = 'Points-Table'!$A$6), 'Points-Table'!$C$6,
                (S208 = 'Points-Table'!$A$7), 'Points-Table'!$C$7,
                (S208 = 'Points-Table'!$A$8), 'Points-Table'!$C$8,
                (S208 = 'Points-Table'!$A$9), 'Points-Table'!$C$9,
                (S208 = 'Points-Table'!$A$10), 'Points-Table'!$C$10,
                (S208 = 'Points-Table'!$A$11), 'Points-Table'!$C$11,
                (S208 = 'Points-Table'!$A$12), 'Points-Table'!$C$12,
                (S208 = 'Points-Table'!$A$13), 'Points-Table'!$C$13,
                true, 0
              )
            </f>
      </c>
      <c r="U208" s="13"/>
      <c r="V208" s="13">
        <f>
              Ifs(
                (U208 = 'Points-Table'!$A$4), 'Points-Table'!$C$4,
                (U208 = 'Points-Table'!$A$5), 'Points-Table'!$C$5,
                (U208 = 'Points-Table'!$A$6), 'Points-Table'!$C$6,
                (U208 = 'Points-Table'!$A$7), 'Points-Table'!$C$7,
                (U208 = 'Points-Table'!$A$8), 'Points-Table'!$C$8,
                (U208 = 'Points-Table'!$A$9), 'Points-Table'!$C$9,
                (U208 = 'Points-Table'!$A$10), 'Points-Table'!$C$10,
                (U208 = 'Points-Table'!$A$11), 'Points-Table'!$C$11,
                (U208 = 'Points-Table'!$A$12), 'Points-Table'!$C$12,
                (U208 = 'Points-Table'!$A$13), 'Points-Table'!$C$13,
                true, 0
              )
            </f>
      </c>
      <c r="W208" s="13"/>
      <c r="X208" s="13">
        <f>
              Ifs(
                (W208 = 'Points-Table'!$A$4), 'Points-Table'!$C$4,
                (W208 = 'Points-Table'!$A$5), 'Points-Table'!$C$5,
                (W208 = 'Points-Table'!$A$6), 'Points-Table'!$C$6,
                (W208 = 'Points-Table'!$A$7), 'Points-Table'!$C$7,
                (W208 = 'Points-Table'!$A$8), 'Points-Table'!$C$8,
                (W208 = 'Points-Table'!$A$9), 'Points-Table'!$C$9,
                (W208 = 'Points-Table'!$A$10), 'Points-Table'!$C$10,
                (W208 = 'Points-Table'!$A$11), 'Points-Table'!$C$11,
                (W208 = 'Points-Table'!$A$12), 'Points-Table'!$C$12,
                (W208 = 'Points-Table'!$A$13), 'Points-Table'!$C$13,
                true, 0
              )
            </f>
      </c>
      <c r="Y208" s="13"/>
      <c r="Z208" s="13">
        <f>
              Ifs(
                (Y208 = 'Points-Table'!$A$4), 'Points-Table'!$C$4,
                (Y208 = 'Points-Table'!$A$5), 'Points-Table'!$C$5,
                (Y208 = 'Points-Table'!$A$6), 'Points-Table'!$C$6,
                (Y208 = 'Points-Table'!$A$7), 'Points-Table'!$C$7,
                (Y208 = 'Points-Table'!$A$8), 'Points-Table'!$C$8,
                (Y208 = 'Points-Table'!$A$9), 'Points-Table'!$C$9,
                (Y208 = 'Points-Table'!$A$10), 'Points-Table'!$C$10,
                (Y208 = 'Points-Table'!$A$11), 'Points-Table'!$C$11,
                (Y208 = 'Points-Table'!$A$12), 'Points-Table'!$C$12,
                (Y208 = 'Points-Table'!$A$13), 'Points-Table'!$C$13,
                true, 0
              )
            </f>
      </c>
      <c r="AA208" s="13">
        <f>SUM(V208,X208,Z208)</f>
      </c>
      <c r="AB208" s="13">
        <f>
      Ifs( 
        ISBETWEEN(AA208, 0, 'Points-Table'!C$20, TRUE, False), 'Points-Table'!A$20,
        ISBETWEEN(AA208, 'Points-Table'!C$20, 'Points-Table'!C$21, TRUE, False), 'Points-Table'!A$21,
        ISBETWEEN(AA208, 'Points-Table'!C$22, 10000, TRUE, TRUE), 'Points-Table'!A$22,
        true, 
        0)
      </f>
      </c>
      <c r="AC208" s="13" t="s">
        <v>56</v>
      </c>
      <c r="AD208" s="13" t="s">
        <v>56</v>
      </c>
      <c r="AE208" s="13" t="s">
        <v>56</v>
      </c>
    </row>
    <row r="209" spans="1:31" s="13" customFormat="1" x14ac:dyDescent="0.25">
      <c r="A209" s="13" t="s">
        <v>338</v>
      </c>
      <c r="B209" s="13" t="s">
        <v>341</v>
      </c>
      <c r="D209" s="13"/>
      <c r="E209" s="13"/>
      <c r="F209" s="13"/>
      <c r="G209" s="13"/>
      <c r="H209" s="13"/>
      <c r="I209" s="13"/>
      <c r="J209" s="13"/>
      <c r="K209" s="13" t="s">
        <v>83</v>
      </c>
      <c r="L209" s="13" t="s">
        <v>84</v>
      </c>
      <c r="M209" s="13"/>
      <c r="N209" s="13"/>
      <c r="O209" s="13"/>
      <c r="P209" s="13"/>
      <c r="Q209" s="13">
        <v>13</v>
      </c>
      <c r="R209" s="13">
        <f>
              Ifs(
                (Q209 = 'Points-Table'!$A$4), 'Points-Table'!$C$4,
                (Q209 = 'Points-Table'!$A$5), 'Points-Table'!$C$5,
                (Q209 = 'Points-Table'!$A$6), 'Points-Table'!$C$6,
                (Q209 = 'Points-Table'!$A$7), 'Points-Table'!$C$7,
                (Q209 = 'Points-Table'!$A$8), 'Points-Table'!$C$8,
                (Q209 = 'Points-Table'!$A$9), 'Points-Table'!$C$9,
                (Q209 = 'Points-Table'!$A$10), 'Points-Table'!$C$10,
                (Q209 = 'Points-Table'!$A$11), 'Points-Table'!$C$11,
                (Q209 = 'Points-Table'!$A$12), 'Points-Table'!$C$12,
                (Q209 = 'Points-Table'!$A$13), 'Points-Table'!$C$13,
                true, 0
              )
            </f>
      </c>
      <c r="S209" s="13"/>
      <c r="T209" s="13">
        <f>
              Ifs(
                (S209 = 'Points-Table'!$A$4), 'Points-Table'!$C$4,
                (S209 = 'Points-Table'!$A$5), 'Points-Table'!$C$5,
                (S209 = 'Points-Table'!$A$6), 'Points-Table'!$C$6,
                (S209 = 'Points-Table'!$A$7), 'Points-Table'!$C$7,
                (S209 = 'Points-Table'!$A$8), 'Points-Table'!$C$8,
                (S209 = 'Points-Table'!$A$9), 'Points-Table'!$C$9,
                (S209 = 'Points-Table'!$A$10), 'Points-Table'!$C$10,
                (S209 = 'Points-Table'!$A$11), 'Points-Table'!$C$11,
                (S209 = 'Points-Table'!$A$12), 'Points-Table'!$C$12,
                (S209 = 'Points-Table'!$A$13), 'Points-Table'!$C$13,
                true, 0
              )
            </f>
      </c>
      <c r="U209" s="13"/>
      <c r="V209" s="13">
        <f>
              Ifs(
                (U209 = 'Points-Table'!$A$4), 'Points-Table'!$C$4,
                (U209 = 'Points-Table'!$A$5), 'Points-Table'!$C$5,
                (U209 = 'Points-Table'!$A$6), 'Points-Table'!$C$6,
                (U209 = 'Points-Table'!$A$7), 'Points-Table'!$C$7,
                (U209 = 'Points-Table'!$A$8), 'Points-Table'!$C$8,
                (U209 = 'Points-Table'!$A$9), 'Points-Table'!$C$9,
                (U209 = 'Points-Table'!$A$10), 'Points-Table'!$C$10,
                (U209 = 'Points-Table'!$A$11), 'Points-Table'!$C$11,
                (U209 = 'Points-Table'!$A$12), 'Points-Table'!$C$12,
                (U209 = 'Points-Table'!$A$13), 'Points-Table'!$C$13,
                true, 0
              )
            </f>
      </c>
      <c r="W209" s="13"/>
      <c r="X209" s="13">
        <f>
              Ifs(
                (W209 = 'Points-Table'!$A$4), 'Points-Table'!$C$4,
                (W209 = 'Points-Table'!$A$5), 'Points-Table'!$C$5,
                (W209 = 'Points-Table'!$A$6), 'Points-Table'!$C$6,
                (W209 = 'Points-Table'!$A$7), 'Points-Table'!$C$7,
                (W209 = 'Points-Table'!$A$8), 'Points-Table'!$C$8,
                (W209 = 'Points-Table'!$A$9), 'Points-Table'!$C$9,
                (W209 = 'Points-Table'!$A$10), 'Points-Table'!$C$10,
                (W209 = 'Points-Table'!$A$11), 'Points-Table'!$C$11,
                (W209 = 'Points-Table'!$A$12), 'Points-Table'!$C$12,
                (W209 = 'Points-Table'!$A$13), 'Points-Table'!$C$13,
                true, 0
              )
            </f>
      </c>
      <c r="Y209" s="13"/>
      <c r="Z209" s="13">
        <f>
              Ifs(
                (Y209 = 'Points-Table'!$A$4), 'Points-Table'!$C$4,
                (Y209 = 'Points-Table'!$A$5), 'Points-Table'!$C$5,
                (Y209 = 'Points-Table'!$A$6), 'Points-Table'!$C$6,
                (Y209 = 'Points-Table'!$A$7), 'Points-Table'!$C$7,
                (Y209 = 'Points-Table'!$A$8), 'Points-Table'!$C$8,
                (Y209 = 'Points-Table'!$A$9), 'Points-Table'!$C$9,
                (Y209 = 'Points-Table'!$A$10), 'Points-Table'!$C$10,
                (Y209 = 'Points-Table'!$A$11), 'Points-Table'!$C$11,
                (Y209 = 'Points-Table'!$A$12), 'Points-Table'!$C$12,
                (Y209 = 'Points-Table'!$A$13), 'Points-Table'!$C$13,
                true, 0
              )
            </f>
      </c>
      <c r="AA209" s="13">
        <f>SUM(V209,X209,Z209)</f>
      </c>
      <c r="AB209" s="13">
        <f>
      Ifs( 
        ISBETWEEN(AA209, 0, 'Points-Table'!C$20, TRUE, False), 'Points-Table'!A$20,
        ISBETWEEN(AA209, 'Points-Table'!C$20, 'Points-Table'!C$21, TRUE, False), 'Points-Table'!A$21,
        ISBETWEEN(AA209, 'Points-Table'!C$22, 10000, TRUE, TRUE), 'Points-Table'!A$22,
        true, 
        0)
      </f>
      </c>
      <c r="AC209" s="13" t="s">
        <v>56</v>
      </c>
      <c r="AD209" s="13" t="s">
        <v>56</v>
      </c>
      <c r="AE209" s="13" t="s">
        <v>56</v>
      </c>
    </row>
    <row r="210" spans="1:31" s="13" customFormat="1" x14ac:dyDescent="0.25">
      <c r="A210" s="13" t="s">
        <v>338</v>
      </c>
      <c r="B210" s="13" t="s">
        <v>342</v>
      </c>
      <c r="D210" s="13"/>
      <c r="E210" s="13"/>
      <c r="F210" s="13"/>
      <c r="G210" s="13"/>
      <c r="H210" s="13"/>
      <c r="I210" s="13"/>
      <c r="J210" s="13"/>
      <c r="K210" s="13" t="s">
        <v>83</v>
      </c>
      <c r="L210" s="13" t="s">
        <v>84</v>
      </c>
      <c r="M210" s="13"/>
      <c r="N210" s="13"/>
      <c r="O210" s="13"/>
      <c r="P210" s="13"/>
      <c r="Q210" s="13">
        <v>21</v>
      </c>
      <c r="R210" s="13">
        <f>
              Ifs(
                (Q210 = 'Points-Table'!$A$4), 'Points-Table'!$C$4,
                (Q210 = 'Points-Table'!$A$5), 'Points-Table'!$C$5,
                (Q210 = 'Points-Table'!$A$6), 'Points-Table'!$C$6,
                (Q210 = 'Points-Table'!$A$7), 'Points-Table'!$C$7,
                (Q210 = 'Points-Table'!$A$8), 'Points-Table'!$C$8,
                (Q210 = 'Points-Table'!$A$9), 'Points-Table'!$C$9,
                (Q210 = 'Points-Table'!$A$10), 'Points-Table'!$C$10,
                (Q210 = 'Points-Table'!$A$11), 'Points-Table'!$C$11,
                (Q210 = 'Points-Table'!$A$12), 'Points-Table'!$C$12,
                (Q210 = 'Points-Table'!$A$13), 'Points-Table'!$C$13,
                true, 0
              )
            </f>
      </c>
      <c r="S210" s="13"/>
      <c r="T210" s="13">
        <f>
              Ifs(
                (S210 = 'Points-Table'!$A$4), 'Points-Table'!$C$4,
                (S210 = 'Points-Table'!$A$5), 'Points-Table'!$C$5,
                (S210 = 'Points-Table'!$A$6), 'Points-Table'!$C$6,
                (S210 = 'Points-Table'!$A$7), 'Points-Table'!$C$7,
                (S210 = 'Points-Table'!$A$8), 'Points-Table'!$C$8,
                (S210 = 'Points-Table'!$A$9), 'Points-Table'!$C$9,
                (S210 = 'Points-Table'!$A$10), 'Points-Table'!$C$10,
                (S210 = 'Points-Table'!$A$11), 'Points-Table'!$C$11,
                (S210 = 'Points-Table'!$A$12), 'Points-Table'!$C$12,
                (S210 = 'Points-Table'!$A$13), 'Points-Table'!$C$13,
                true, 0
              )
            </f>
      </c>
      <c r="U210" s="13"/>
      <c r="V210" s="13">
        <f>
              Ifs(
                (U210 = 'Points-Table'!$A$4), 'Points-Table'!$C$4,
                (U210 = 'Points-Table'!$A$5), 'Points-Table'!$C$5,
                (U210 = 'Points-Table'!$A$6), 'Points-Table'!$C$6,
                (U210 = 'Points-Table'!$A$7), 'Points-Table'!$C$7,
                (U210 = 'Points-Table'!$A$8), 'Points-Table'!$C$8,
                (U210 = 'Points-Table'!$A$9), 'Points-Table'!$C$9,
                (U210 = 'Points-Table'!$A$10), 'Points-Table'!$C$10,
                (U210 = 'Points-Table'!$A$11), 'Points-Table'!$C$11,
                (U210 = 'Points-Table'!$A$12), 'Points-Table'!$C$12,
                (U210 = 'Points-Table'!$A$13), 'Points-Table'!$C$13,
                true, 0
              )
            </f>
      </c>
      <c r="W210" s="13"/>
      <c r="X210" s="13">
        <f>
              Ifs(
                (W210 = 'Points-Table'!$A$4), 'Points-Table'!$C$4,
                (W210 = 'Points-Table'!$A$5), 'Points-Table'!$C$5,
                (W210 = 'Points-Table'!$A$6), 'Points-Table'!$C$6,
                (W210 = 'Points-Table'!$A$7), 'Points-Table'!$C$7,
                (W210 = 'Points-Table'!$A$8), 'Points-Table'!$C$8,
                (W210 = 'Points-Table'!$A$9), 'Points-Table'!$C$9,
                (W210 = 'Points-Table'!$A$10), 'Points-Table'!$C$10,
                (W210 = 'Points-Table'!$A$11), 'Points-Table'!$C$11,
                (W210 = 'Points-Table'!$A$12), 'Points-Table'!$C$12,
                (W210 = 'Points-Table'!$A$13), 'Points-Table'!$C$13,
                true, 0
              )
            </f>
      </c>
      <c r="Y210" s="13"/>
      <c r="Z210" s="13">
        <f>
              Ifs(
                (Y210 = 'Points-Table'!$A$4), 'Points-Table'!$C$4,
                (Y210 = 'Points-Table'!$A$5), 'Points-Table'!$C$5,
                (Y210 = 'Points-Table'!$A$6), 'Points-Table'!$C$6,
                (Y210 = 'Points-Table'!$A$7), 'Points-Table'!$C$7,
                (Y210 = 'Points-Table'!$A$8), 'Points-Table'!$C$8,
                (Y210 = 'Points-Table'!$A$9), 'Points-Table'!$C$9,
                (Y210 = 'Points-Table'!$A$10), 'Points-Table'!$C$10,
                (Y210 = 'Points-Table'!$A$11), 'Points-Table'!$C$11,
                (Y210 = 'Points-Table'!$A$12), 'Points-Table'!$C$12,
                (Y210 = 'Points-Table'!$A$13), 'Points-Table'!$C$13,
                true, 0
              )
            </f>
      </c>
      <c r="AA210" s="13">
        <f>SUM(V210,X210,Z210)</f>
      </c>
      <c r="AB210" s="13">
        <f>
      Ifs( 
        ISBETWEEN(AA210, 0, 'Points-Table'!C$20, TRUE, False), 'Points-Table'!A$20,
        ISBETWEEN(AA210, 'Points-Table'!C$20, 'Points-Table'!C$21, TRUE, False), 'Points-Table'!A$21,
        ISBETWEEN(AA210, 'Points-Table'!C$22, 10000, TRUE, TRUE), 'Points-Table'!A$22,
        true, 
        0)
      </f>
      </c>
      <c r="AC210" s="13" t="s">
        <v>56</v>
      </c>
      <c r="AD210" s="13" t="s">
        <v>56</v>
      </c>
      <c r="AE210" s="13" t="s">
        <v>56</v>
      </c>
    </row>
    <row r="211" spans="1:31" s="13" customFormat="1" x14ac:dyDescent="0.25">
      <c r="A211" s="13" t="s">
        <v>343</v>
      </c>
      <c r="D211" s="13"/>
      <c r="E211" s="13"/>
      <c r="F211" s="13"/>
      <c r="G211" s="13"/>
      <c r="H211" s="13"/>
      <c r="I211" s="13"/>
      <c r="J211" s="13"/>
      <c r="K211" s="13" t="s">
        <v>83</v>
      </c>
      <c r="L211" s="13" t="s">
        <v>84</v>
      </c>
      <c r="M211" s="13"/>
      <c r="N211" s="13"/>
      <c r="O211" s="13"/>
      <c r="P211" s="13"/>
      <c r="Q211" s="13"/>
      <c r="R211" s="13">
        <f>
              Ifs(
                (Q211 = 'Points-Table'!$A$4), 'Points-Table'!$C$4,
                (Q211 = 'Points-Table'!$A$5), 'Points-Table'!$C$5,
                (Q211 = 'Points-Table'!$A$6), 'Points-Table'!$C$6,
                (Q211 = 'Points-Table'!$A$7), 'Points-Table'!$C$7,
                (Q211 = 'Points-Table'!$A$8), 'Points-Table'!$C$8,
                (Q211 = 'Points-Table'!$A$9), 'Points-Table'!$C$9,
                (Q211 = 'Points-Table'!$A$10), 'Points-Table'!$C$10,
                (Q211 = 'Points-Table'!$A$11), 'Points-Table'!$C$11,
                (Q211 = 'Points-Table'!$A$12), 'Points-Table'!$C$12,
                (Q211 = 'Points-Table'!$A$13), 'Points-Table'!$C$13,
                true, 0
              )
            </f>
      </c>
      <c r="S211" s="13">
        <v>13</v>
      </c>
      <c r="T211" s="13">
        <f>
              Ifs(
                (S211 = 'Points-Table'!$A$4), 'Points-Table'!$C$4,
                (S211 = 'Points-Table'!$A$5), 'Points-Table'!$C$5,
                (S211 = 'Points-Table'!$A$6), 'Points-Table'!$C$6,
                (S211 = 'Points-Table'!$A$7), 'Points-Table'!$C$7,
                (S211 = 'Points-Table'!$A$8), 'Points-Table'!$C$8,
                (S211 = 'Points-Table'!$A$9), 'Points-Table'!$C$9,
                (S211 = 'Points-Table'!$A$10), 'Points-Table'!$C$10,
                (S211 = 'Points-Table'!$A$11), 'Points-Table'!$C$11,
                (S211 = 'Points-Table'!$A$12), 'Points-Table'!$C$12,
                (S211 = 'Points-Table'!$A$13), 'Points-Table'!$C$13,
                true, 0
              )
            </f>
      </c>
      <c r="U211" s="13"/>
      <c r="V211" s="13">
        <f>
              Ifs(
                (U211 = 'Points-Table'!$A$4), 'Points-Table'!$C$4,
                (U211 = 'Points-Table'!$A$5), 'Points-Table'!$C$5,
                (U211 = 'Points-Table'!$A$6), 'Points-Table'!$C$6,
                (U211 = 'Points-Table'!$A$7), 'Points-Table'!$C$7,
                (U211 = 'Points-Table'!$A$8), 'Points-Table'!$C$8,
                (U211 = 'Points-Table'!$A$9), 'Points-Table'!$C$9,
                (U211 = 'Points-Table'!$A$10), 'Points-Table'!$C$10,
                (U211 = 'Points-Table'!$A$11), 'Points-Table'!$C$11,
                (U211 = 'Points-Table'!$A$12), 'Points-Table'!$C$12,
                (U211 = 'Points-Table'!$A$13), 'Points-Table'!$C$13,
                true, 0
              )
            </f>
      </c>
      <c r="W211" s="13"/>
      <c r="X211" s="13">
        <f>
              Ifs(
                (W211 = 'Points-Table'!$A$4), 'Points-Table'!$C$4,
                (W211 = 'Points-Table'!$A$5), 'Points-Table'!$C$5,
                (W211 = 'Points-Table'!$A$6), 'Points-Table'!$C$6,
                (W211 = 'Points-Table'!$A$7), 'Points-Table'!$C$7,
                (W211 = 'Points-Table'!$A$8), 'Points-Table'!$C$8,
                (W211 = 'Points-Table'!$A$9), 'Points-Table'!$C$9,
                (W211 = 'Points-Table'!$A$10), 'Points-Table'!$C$10,
                (W211 = 'Points-Table'!$A$11), 'Points-Table'!$C$11,
                (W211 = 'Points-Table'!$A$12), 'Points-Table'!$C$12,
                (W211 = 'Points-Table'!$A$13), 'Points-Table'!$C$13,
                true, 0
              )
            </f>
      </c>
      <c r="Y211" s="13"/>
      <c r="Z211" s="13">
        <f>
              Ifs(
                (Y211 = 'Points-Table'!$A$4), 'Points-Table'!$C$4,
                (Y211 = 'Points-Table'!$A$5), 'Points-Table'!$C$5,
                (Y211 = 'Points-Table'!$A$6), 'Points-Table'!$C$6,
                (Y211 = 'Points-Table'!$A$7), 'Points-Table'!$C$7,
                (Y211 = 'Points-Table'!$A$8), 'Points-Table'!$C$8,
                (Y211 = 'Points-Table'!$A$9), 'Points-Table'!$C$9,
                (Y211 = 'Points-Table'!$A$10), 'Points-Table'!$C$10,
                (Y211 = 'Points-Table'!$A$11), 'Points-Table'!$C$11,
                (Y211 = 'Points-Table'!$A$12), 'Points-Table'!$C$12,
                (Y211 = 'Points-Table'!$A$13), 'Points-Table'!$C$13,
                true, 0
              )
            </f>
      </c>
      <c r="AA211" s="13">
        <f>SUM(V211,X211,Z211)</f>
      </c>
      <c r="AB211" s="13">
        <f>
      Ifs( 
        ISBETWEEN(AA211, 0, 'Points-Table'!C$20, TRUE, False), 'Points-Table'!A$20,
        ISBETWEEN(AA211, 'Points-Table'!C$20, 'Points-Table'!C$21, TRUE, False), 'Points-Table'!A$21,
        ISBETWEEN(AA211, 'Points-Table'!C$22, 10000, TRUE, TRUE), 'Points-Table'!A$22,
        true, 
        0)
      </f>
      </c>
      <c r="AC211" s="13" t="s">
        <v>56</v>
      </c>
      <c r="AD211" s="13" t="s">
        <v>56</v>
      </c>
      <c r="AE211" s="13" t="s">
        <v>56</v>
      </c>
    </row>
    <row r="212" spans="1:31" s="13" customFormat="1" x14ac:dyDescent="0.25">
      <c r="A212" s="13" t="s">
        <v>344</v>
      </c>
      <c r="D212" s="13"/>
      <c r="E212" s="13"/>
      <c r="F212" s="13"/>
      <c r="G212" s="13"/>
      <c r="H212" s="13"/>
      <c r="I212" s="13"/>
      <c r="J212" s="13"/>
      <c r="K212" s="13" t="s">
        <v>83</v>
      </c>
      <c r="L212" s="13" t="s">
        <v>84</v>
      </c>
      <c r="M212" s="13"/>
      <c r="N212" s="13"/>
      <c r="O212" s="13"/>
      <c r="P212" s="13"/>
      <c r="Q212" s="13">
        <v>13</v>
      </c>
      <c r="R212" s="13">
        <f>
              Ifs(
                (Q212 = 'Points-Table'!$A$4), 'Points-Table'!$C$4,
                (Q212 = 'Points-Table'!$A$5), 'Points-Table'!$C$5,
                (Q212 = 'Points-Table'!$A$6), 'Points-Table'!$C$6,
                (Q212 = 'Points-Table'!$A$7), 'Points-Table'!$C$7,
                (Q212 = 'Points-Table'!$A$8), 'Points-Table'!$C$8,
                (Q212 = 'Points-Table'!$A$9), 'Points-Table'!$C$9,
                (Q212 = 'Points-Table'!$A$10), 'Points-Table'!$C$10,
                (Q212 = 'Points-Table'!$A$11), 'Points-Table'!$C$11,
                (Q212 = 'Points-Table'!$A$12), 'Points-Table'!$C$12,
                (Q212 = 'Points-Table'!$A$13), 'Points-Table'!$C$13,
                true, 0
              )
            </f>
      </c>
      <c r="S212" s="13">
        <v>55</v>
      </c>
      <c r="T212" s="13">
        <f>
              Ifs(
                (S212 = 'Points-Table'!$A$4), 'Points-Table'!$C$4,
                (S212 = 'Points-Table'!$A$5), 'Points-Table'!$C$5,
                (S212 = 'Points-Table'!$A$6), 'Points-Table'!$C$6,
                (S212 = 'Points-Table'!$A$7), 'Points-Table'!$C$7,
                (S212 = 'Points-Table'!$A$8), 'Points-Table'!$C$8,
                (S212 = 'Points-Table'!$A$9), 'Points-Table'!$C$9,
                (S212 = 'Points-Table'!$A$10), 'Points-Table'!$C$10,
                (S212 = 'Points-Table'!$A$11), 'Points-Table'!$C$11,
                (S212 = 'Points-Table'!$A$12), 'Points-Table'!$C$12,
                (S212 = 'Points-Table'!$A$13), 'Points-Table'!$C$13,
                true, 0
              )
            </f>
      </c>
      <c r="U212" s="13"/>
      <c r="V212" s="13">
        <f>
              Ifs(
                (U212 = 'Points-Table'!$A$4), 'Points-Table'!$C$4,
                (U212 = 'Points-Table'!$A$5), 'Points-Table'!$C$5,
                (U212 = 'Points-Table'!$A$6), 'Points-Table'!$C$6,
                (U212 = 'Points-Table'!$A$7), 'Points-Table'!$C$7,
                (U212 = 'Points-Table'!$A$8), 'Points-Table'!$C$8,
                (U212 = 'Points-Table'!$A$9), 'Points-Table'!$C$9,
                (U212 = 'Points-Table'!$A$10), 'Points-Table'!$C$10,
                (U212 = 'Points-Table'!$A$11), 'Points-Table'!$C$11,
                (U212 = 'Points-Table'!$A$12), 'Points-Table'!$C$12,
                (U212 = 'Points-Table'!$A$13), 'Points-Table'!$C$13,
                true, 0
              )
            </f>
      </c>
      <c r="W212" s="13"/>
      <c r="X212" s="13">
        <f>
              Ifs(
                (W212 = 'Points-Table'!$A$4), 'Points-Table'!$C$4,
                (W212 = 'Points-Table'!$A$5), 'Points-Table'!$C$5,
                (W212 = 'Points-Table'!$A$6), 'Points-Table'!$C$6,
                (W212 = 'Points-Table'!$A$7), 'Points-Table'!$C$7,
                (W212 = 'Points-Table'!$A$8), 'Points-Table'!$C$8,
                (W212 = 'Points-Table'!$A$9), 'Points-Table'!$C$9,
                (W212 = 'Points-Table'!$A$10), 'Points-Table'!$C$10,
                (W212 = 'Points-Table'!$A$11), 'Points-Table'!$C$11,
                (W212 = 'Points-Table'!$A$12), 'Points-Table'!$C$12,
                (W212 = 'Points-Table'!$A$13), 'Points-Table'!$C$13,
                true, 0
              )
            </f>
      </c>
      <c r="Y212" s="13"/>
      <c r="Z212" s="13">
        <f>
              Ifs(
                (Y212 = 'Points-Table'!$A$4), 'Points-Table'!$C$4,
                (Y212 = 'Points-Table'!$A$5), 'Points-Table'!$C$5,
                (Y212 = 'Points-Table'!$A$6), 'Points-Table'!$C$6,
                (Y212 = 'Points-Table'!$A$7), 'Points-Table'!$C$7,
                (Y212 = 'Points-Table'!$A$8), 'Points-Table'!$C$8,
                (Y212 = 'Points-Table'!$A$9), 'Points-Table'!$C$9,
                (Y212 = 'Points-Table'!$A$10), 'Points-Table'!$C$10,
                (Y212 = 'Points-Table'!$A$11), 'Points-Table'!$C$11,
                (Y212 = 'Points-Table'!$A$12), 'Points-Table'!$C$12,
                (Y212 = 'Points-Table'!$A$13), 'Points-Table'!$C$13,
                true, 0
              )
            </f>
      </c>
      <c r="AA212" s="13">
        <f>SUM(V212,X212,Z212)</f>
      </c>
      <c r="AB212" s="13">
        <f>
      Ifs( 
        ISBETWEEN(AA212, 0, 'Points-Table'!C$20, TRUE, False), 'Points-Table'!A$20,
        ISBETWEEN(AA212, 'Points-Table'!C$20, 'Points-Table'!C$21, TRUE, False), 'Points-Table'!A$21,
        ISBETWEEN(AA212, 'Points-Table'!C$22, 10000, TRUE, TRUE), 'Points-Table'!A$22,
        true, 
        0)
      </f>
      </c>
      <c r="AC212" s="13" t="s">
        <v>56</v>
      </c>
      <c r="AD212" s="13" t="s">
        <v>56</v>
      </c>
      <c r="AE212" s="13" t="s">
        <v>56</v>
      </c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  <row r="1049" spans="1:26" x14ac:dyDescent="0.25">
      <c r="Q1049" s="14"/>
      <c r="R1049" s="15"/>
      <c r="S1049" s="14"/>
      <c r="T1049" s="15"/>
      <c r="U1049" s="14"/>
      <c r="V1049" s="15"/>
      <c r="W1049" s="14"/>
      <c r="X1049" s="15"/>
      <c r="Y1049" s="14"/>
      <c r="Z1049" s="15"/>
    </row>
    <row r="1050" spans="1:26" x14ac:dyDescent="0.25">
      <c r="Q1050" s="14"/>
      <c r="R1050" s="15"/>
      <c r="S1050" s="14"/>
      <c r="T1050" s="15"/>
      <c r="U1050" s="14"/>
      <c r="V1050" s="15"/>
      <c r="W1050" s="14"/>
      <c r="X1050" s="15"/>
      <c r="Y1050" s="14"/>
      <c r="Z1050" s="15"/>
    </row>
    <row r="1051" spans="1:26" x14ac:dyDescent="0.25">
      <c r="Q1051" s="14"/>
      <c r="R1051" s="15"/>
      <c r="S1051" s="14"/>
      <c r="T1051" s="15"/>
      <c r="U1051" s="14"/>
      <c r="V1051" s="15"/>
      <c r="W1051" s="14"/>
      <c r="X1051" s="15"/>
      <c r="Y1051" s="14"/>
      <c r="Z1051" s="15"/>
    </row>
    <row r="1052" spans="1:26" x14ac:dyDescent="0.25">
      <c r="Q1052" s="14"/>
      <c r="R1052" s="15"/>
      <c r="S1052" s="14"/>
      <c r="T1052" s="15"/>
      <c r="U1052" s="14"/>
      <c r="V1052" s="15"/>
      <c r="W1052" s="14"/>
      <c r="X1052" s="15"/>
      <c r="Y1052" s="14"/>
      <c r="Z1052" s="15"/>
    </row>
    <row r="1053" spans="1:26" x14ac:dyDescent="0.25">
      <c r="Q1053" s="14"/>
      <c r="R1053" s="15"/>
      <c r="S1053" s="14"/>
      <c r="T1053" s="15"/>
      <c r="U1053" s="14"/>
      <c r="V1053" s="15"/>
      <c r="W1053" s="14"/>
      <c r="X1053" s="15"/>
      <c r="Y1053" s="14"/>
      <c r="Z1053" s="15"/>
    </row>
    <row r="1054" spans="1:26" x14ac:dyDescent="0.25">
      <c r="Q1054" s="14"/>
      <c r="R1054" s="15"/>
      <c r="S1054" s="14"/>
      <c r="T1054" s="15"/>
      <c r="U1054" s="14"/>
      <c r="V1054" s="15"/>
      <c r="W1054" s="14"/>
      <c r="X1054" s="15"/>
      <c r="Y1054" s="14"/>
      <c r="Z1054" s="15"/>
    </row>
    <row r="1055" spans="1:26" x14ac:dyDescent="0.25">
      <c r="Q1055" s="14"/>
      <c r="R1055" s="15"/>
      <c r="S1055" s="14"/>
      <c r="T1055" s="15"/>
      <c r="U1055" s="14"/>
      <c r="V1055" s="15"/>
      <c r="W1055" s="14"/>
      <c r="X1055" s="15"/>
      <c r="Y1055" s="14"/>
      <c r="Z1055" s="15"/>
    </row>
    <row r="1056" spans="1:26" x14ac:dyDescent="0.25">
      <c r="Q1056" s="14"/>
      <c r="R1056" s="15"/>
      <c r="S1056" s="14"/>
      <c r="T1056" s="15"/>
      <c r="U1056" s="14"/>
      <c r="V1056" s="15"/>
      <c r="W1056" s="14"/>
      <c r="X1056" s="15"/>
      <c r="Y1056" s="14"/>
      <c r="Z1056" s="15"/>
    </row>
    <row r="1057" spans="1:26" x14ac:dyDescent="0.25">
      <c r="Q1057" s="14"/>
      <c r="R1057" s="15"/>
      <c r="S1057" s="14"/>
      <c r="T1057" s="15"/>
      <c r="U1057" s="14"/>
      <c r="V1057" s="15"/>
      <c r="W1057" s="14"/>
      <c r="X1057" s="15"/>
      <c r="Y1057" s="14"/>
      <c r="Z1057" s="15"/>
    </row>
    <row r="1058" spans="1:26" x14ac:dyDescent="0.25">
      <c r="Q1058" s="14"/>
      <c r="R1058" s="15"/>
      <c r="S1058" s="14"/>
      <c r="T1058" s="15"/>
      <c r="U1058" s="14"/>
      <c r="V1058" s="15"/>
      <c r="W1058" s="14"/>
      <c r="X1058" s="15"/>
      <c r="Y1058" s="14"/>
      <c r="Z1058" s="15"/>
    </row>
    <row r="1059" spans="1:26" x14ac:dyDescent="0.25">
      <c r="Q1059" s="14"/>
      <c r="R1059" s="15"/>
      <c r="S1059" s="14"/>
      <c r="T1059" s="15"/>
      <c r="U1059" s="14"/>
      <c r="V1059" s="15"/>
      <c r="W1059" s="14"/>
      <c r="X1059" s="15"/>
      <c r="Y1059" s="14"/>
      <c r="Z1059" s="15"/>
    </row>
    <row r="1060" spans="1:26" x14ac:dyDescent="0.25">
      <c r="Q1060" s="14"/>
      <c r="R1060" s="15"/>
      <c r="S1060" s="14"/>
      <c r="T1060" s="15"/>
      <c r="U1060" s="14"/>
      <c r="V1060" s="15"/>
      <c r="W1060" s="14"/>
      <c r="X1060" s="15"/>
      <c r="Y1060" s="14"/>
      <c r="Z1060" s="15"/>
    </row>
    <row r="1061" spans="1:26" x14ac:dyDescent="0.25">
      <c r="Q1061" s="14"/>
      <c r="R1061" s="15"/>
      <c r="S1061" s="14"/>
      <c r="T1061" s="15"/>
      <c r="U1061" s="14"/>
      <c r="V1061" s="15"/>
      <c r="W1061" s="14"/>
      <c r="X1061" s="15"/>
      <c r="Y1061" s="14"/>
      <c r="Z1061" s="15"/>
    </row>
    <row r="1062" spans="1:26" x14ac:dyDescent="0.25">
      <c r="Q1062" s="14"/>
      <c r="R1062" s="15"/>
      <c r="S1062" s="14"/>
      <c r="T1062" s="15"/>
      <c r="U1062" s="14"/>
      <c r="V1062" s="15"/>
      <c r="W1062" s="14"/>
      <c r="X1062" s="15"/>
      <c r="Y1062" s="14"/>
      <c r="Z1062" s="15"/>
    </row>
    <row r="1063" spans="1:26" x14ac:dyDescent="0.25">
      <c r="Q1063" s="14"/>
      <c r="R1063" s="15"/>
      <c r="S1063" s="14"/>
      <c r="T1063" s="15"/>
      <c r="U1063" s="14"/>
      <c r="V1063" s="15"/>
      <c r="W1063" s="14"/>
      <c r="X1063" s="15"/>
      <c r="Y1063" s="14"/>
      <c r="Z1063" s="15"/>
    </row>
    <row r="1064" spans="1:26" x14ac:dyDescent="0.25">
      <c r="Q1064" s="14"/>
      <c r="R1064" s="15"/>
      <c r="S1064" s="14"/>
      <c r="T1064" s="15"/>
      <c r="U1064" s="14"/>
      <c r="V1064" s="15"/>
      <c r="W1064" s="14"/>
      <c r="X1064" s="15"/>
      <c r="Y1064" s="14"/>
      <c r="Z1064" s="15"/>
    </row>
    <row r="1065" spans="1:26" x14ac:dyDescent="0.25">
      <c r="Q1065" s="14"/>
      <c r="R1065" s="15"/>
      <c r="S1065" s="14"/>
      <c r="T1065" s="15"/>
      <c r="U1065" s="14"/>
      <c r="V1065" s="15"/>
      <c r="W1065" s="14"/>
      <c r="X1065" s="15"/>
      <c r="Y1065" s="14"/>
      <c r="Z1065" s="15"/>
    </row>
    <row r="1066" spans="1:26" x14ac:dyDescent="0.25">
      <c r="Q1066" s="14"/>
      <c r="R1066" s="15"/>
      <c r="S1066" s="14"/>
      <c r="T1066" s="15"/>
      <c r="U1066" s="14"/>
      <c r="V1066" s="15"/>
      <c r="W1066" s="14"/>
      <c r="X1066" s="15"/>
      <c r="Y1066" s="14"/>
      <c r="Z1066" s="15"/>
    </row>
    <row r="1067" spans="1:26" x14ac:dyDescent="0.25">
      <c r="Q1067" s="14"/>
      <c r="R1067" s="15"/>
      <c r="S1067" s="14"/>
      <c r="T1067" s="15"/>
      <c r="U1067" s="14"/>
      <c r="V1067" s="15"/>
      <c r="W1067" s="14"/>
      <c r="X1067" s="15"/>
      <c r="Y1067" s="14"/>
      <c r="Z1067" s="15"/>
    </row>
    <row r="1068" spans="1:26" x14ac:dyDescent="0.25">
      <c r="Q1068" s="14"/>
      <c r="R1068" s="15"/>
      <c r="S1068" s="14"/>
      <c r="T1068" s="15"/>
      <c r="U1068" s="14"/>
      <c r="V1068" s="15"/>
      <c r="W1068" s="14"/>
      <c r="X1068" s="15"/>
      <c r="Y1068" s="14"/>
      <c r="Z1068" s="15"/>
    </row>
    <row r="1069" spans="1:26" x14ac:dyDescent="0.25">
      <c r="Q1069" s="14"/>
      <c r="R1069" s="15"/>
      <c r="S1069" s="14"/>
      <c r="T1069" s="15"/>
      <c r="U1069" s="14"/>
      <c r="V1069" s="15"/>
      <c r="W1069" s="14"/>
      <c r="X1069" s="15"/>
      <c r="Y1069" s="14"/>
      <c r="Z1069" s="15"/>
    </row>
    <row r="1070" spans="1:26" x14ac:dyDescent="0.25">
      <c r="Q1070" s="14"/>
      <c r="R1070" s="15"/>
      <c r="S1070" s="14"/>
      <c r="T1070" s="15"/>
      <c r="U1070" s="14"/>
      <c r="V1070" s="15"/>
      <c r="W1070" s="14"/>
      <c r="X1070" s="15"/>
      <c r="Y1070" s="14"/>
      <c r="Z1070" s="15"/>
    </row>
    <row r="1071" spans="1:26" x14ac:dyDescent="0.25">
      <c r="Q1071" s="14"/>
      <c r="R1071" s="15"/>
      <c r="S1071" s="14"/>
      <c r="T1071" s="15"/>
      <c r="U1071" s="14"/>
      <c r="V1071" s="15"/>
      <c r="W1071" s="14"/>
      <c r="X1071" s="15"/>
      <c r="Y1071" s="14"/>
      <c r="Z1071" s="15"/>
    </row>
    <row r="1072" spans="1:26" x14ac:dyDescent="0.25">
      <c r="Q1072" s="14"/>
      <c r="R1072" s="15"/>
      <c r="S1072" s="14"/>
      <c r="T1072" s="15"/>
      <c r="U1072" s="14"/>
      <c r="V1072" s="15"/>
      <c r="W1072" s="14"/>
      <c r="X1072" s="15"/>
      <c r="Y1072" s="14"/>
      <c r="Z1072" s="15"/>
    </row>
    <row r="1073" spans="1:26" x14ac:dyDescent="0.25">
      <c r="Q1073" s="14"/>
      <c r="R1073" s="15"/>
      <c r="S1073" s="14"/>
      <c r="T1073" s="15"/>
      <c r="U1073" s="14"/>
      <c r="V1073" s="15"/>
      <c r="W1073" s="14"/>
      <c r="X1073" s="15"/>
      <c r="Y1073" s="14"/>
      <c r="Z1073" s="15"/>
    </row>
    <row r="1074" spans="1:26" x14ac:dyDescent="0.25">
      <c r="Q1074" s="14"/>
      <c r="R1074" s="15"/>
      <c r="S1074" s="14"/>
      <c r="T1074" s="15"/>
      <c r="U1074" s="14"/>
      <c r="V1074" s="15"/>
      <c r="W1074" s="14"/>
      <c r="X1074" s="15"/>
      <c r="Y1074" s="14"/>
      <c r="Z1074" s="15"/>
    </row>
    <row r="1075" spans="1:26" x14ac:dyDescent="0.25">
      <c r="Q1075" s="14"/>
      <c r="R1075" s="15"/>
      <c r="S1075" s="14"/>
      <c r="T1075" s="15"/>
      <c r="U1075" s="14"/>
      <c r="V1075" s="15"/>
      <c r="W1075" s="14"/>
      <c r="X1075" s="15"/>
      <c r="Y1075" s="14"/>
      <c r="Z1075" s="15"/>
    </row>
    <row r="1076" spans="1:26" x14ac:dyDescent="0.25">
      <c r="Q1076" s="14"/>
      <c r="R1076" s="15"/>
      <c r="S1076" s="14"/>
      <c r="T1076" s="15"/>
      <c r="U1076" s="14"/>
      <c r="V1076" s="15"/>
      <c r="W1076" s="14"/>
      <c r="X1076" s="15"/>
      <c r="Y1076" s="14"/>
      <c r="Z1076" s="15"/>
    </row>
    <row r="1077" spans="1:26" x14ac:dyDescent="0.25">
      <c r="Q1077" s="14"/>
      <c r="R1077" s="15"/>
      <c r="S1077" s="14"/>
      <c r="T1077" s="15"/>
      <c r="U1077" s="14"/>
      <c r="V1077" s="15"/>
      <c r="W1077" s="14"/>
      <c r="X1077" s="15"/>
      <c r="Y1077" s="14"/>
      <c r="Z1077" s="15"/>
    </row>
    <row r="1078" spans="1:26" x14ac:dyDescent="0.25">
      <c r="Q1078" s="14"/>
      <c r="R1078" s="15"/>
      <c r="S1078" s="14"/>
      <c r="T1078" s="15"/>
      <c r="U1078" s="14"/>
      <c r="V1078" s="15"/>
      <c r="W1078" s="14"/>
      <c r="X1078" s="15"/>
      <c r="Y1078" s="14"/>
      <c r="Z1078" s="15"/>
    </row>
    <row r="1079" spans="1:26" x14ac:dyDescent="0.25">
      <c r="Q1079" s="14"/>
      <c r="R1079" s="15"/>
      <c r="S1079" s="14"/>
      <c r="T1079" s="15"/>
      <c r="U1079" s="14"/>
      <c r="V1079" s="15"/>
      <c r="W1079" s="14"/>
      <c r="X1079" s="15"/>
      <c r="Y1079" s="14"/>
      <c r="Z1079" s="15"/>
    </row>
    <row r="1080" spans="1:26" x14ac:dyDescent="0.25">
      <c r="Q1080" s="14"/>
      <c r="R1080" s="15"/>
      <c r="S1080" s="14"/>
      <c r="T1080" s="15"/>
      <c r="U1080" s="14"/>
      <c r="V1080" s="15"/>
      <c r="W1080" s="14"/>
      <c r="X1080" s="15"/>
      <c r="Y1080" s="14"/>
      <c r="Z1080" s="15"/>
    </row>
    <row r="1081" spans="1:26" x14ac:dyDescent="0.25">
      <c r="Q1081" s="14"/>
      <c r="R1081" s="15"/>
      <c r="S1081" s="14"/>
      <c r="T1081" s="15"/>
      <c r="U1081" s="14"/>
      <c r="V1081" s="15"/>
      <c r="W1081" s="14"/>
      <c r="X1081" s="15"/>
      <c r="Y1081" s="14"/>
      <c r="Z1081" s="15"/>
    </row>
    <row r="1082" spans="1:26" x14ac:dyDescent="0.25">
      <c r="Q1082" s="14"/>
      <c r="R1082" s="15"/>
      <c r="S1082" s="14"/>
      <c r="T1082" s="15"/>
      <c r="U1082" s="14"/>
      <c r="V1082" s="15"/>
      <c r="W1082" s="14"/>
      <c r="X1082" s="15"/>
      <c r="Y1082" s="14"/>
      <c r="Z1082" s="15"/>
    </row>
    <row r="1083" spans="1:26" x14ac:dyDescent="0.25">
      <c r="Q1083" s="14"/>
      <c r="R1083" s="15"/>
      <c r="S1083" s="14"/>
      <c r="T1083" s="15"/>
      <c r="U1083" s="14"/>
      <c r="V1083" s="15"/>
      <c r="W1083" s="14"/>
      <c r="X1083" s="15"/>
      <c r="Y1083" s="14"/>
      <c r="Z1083" s="15"/>
    </row>
    <row r="1084" spans="1:26" x14ac:dyDescent="0.25">
      <c r="Q1084" s="14"/>
      <c r="R1084" s="15"/>
      <c r="S1084" s="14"/>
      <c r="T1084" s="15"/>
      <c r="U1084" s="14"/>
      <c r="V1084" s="15"/>
      <c r="W1084" s="14"/>
      <c r="X1084" s="15"/>
      <c r="Y1084" s="14"/>
      <c r="Z1084" s="15"/>
    </row>
    <row r="1085" spans="1:26" x14ac:dyDescent="0.25">
      <c r="Q1085" s="14"/>
      <c r="R1085" s="15"/>
      <c r="S1085" s="14"/>
      <c r="T1085" s="15"/>
      <c r="U1085" s="14"/>
      <c r="V1085" s="15"/>
      <c r="W1085" s="14"/>
      <c r="X1085" s="15"/>
      <c r="Y1085" s="14"/>
      <c r="Z1085" s="15"/>
    </row>
    <row r="1086" spans="1:26" x14ac:dyDescent="0.25">
      <c r="Q1086" s="14"/>
      <c r="R1086" s="15"/>
      <c r="S1086" s="14"/>
      <c r="T1086" s="15"/>
      <c r="U1086" s="14"/>
      <c r="V1086" s="15"/>
      <c r="W1086" s="14"/>
      <c r="X1086" s="15"/>
      <c r="Y1086" s="14"/>
      <c r="Z1086" s="15"/>
    </row>
    <row r="1087" spans="1:26" x14ac:dyDescent="0.25">
      <c r="Q1087" s="14"/>
      <c r="R1087" s="15"/>
      <c r="S1087" s="14"/>
      <c r="T1087" s="15"/>
      <c r="U1087" s="14"/>
      <c r="V1087" s="15"/>
      <c r="W1087" s="14"/>
      <c r="X1087" s="15"/>
      <c r="Y1087" s="14"/>
      <c r="Z1087" s="15"/>
    </row>
    <row r="1088" spans="1:26" x14ac:dyDescent="0.25">
      <c r="Q1088" s="14"/>
      <c r="R1088" s="15"/>
      <c r="S1088" s="14"/>
      <c r="T1088" s="15"/>
      <c r="U1088" s="14"/>
      <c r="V1088" s="15"/>
      <c r="W1088" s="14"/>
      <c r="X1088" s="15"/>
      <c r="Y1088" s="14"/>
      <c r="Z1088" s="15"/>
    </row>
    <row r="1089" spans="1:26" x14ac:dyDescent="0.25">
      <c r="Q1089" s="14"/>
      <c r="R1089" s="15"/>
      <c r="S1089" s="14"/>
      <c r="T1089" s="15"/>
      <c r="U1089" s="14"/>
      <c r="V1089" s="15"/>
      <c r="W1089" s="14"/>
      <c r="X1089" s="15"/>
      <c r="Y1089" s="14"/>
      <c r="Z1089" s="15"/>
    </row>
    <row r="1090" spans="1:26" x14ac:dyDescent="0.25">
      <c r="Q1090" s="14"/>
      <c r="R1090" s="15"/>
      <c r="S1090" s="14"/>
      <c r="T1090" s="15"/>
      <c r="U1090" s="14"/>
      <c r="V1090" s="15"/>
      <c r="W1090" s="14"/>
      <c r="X1090" s="15"/>
      <c r="Y1090" s="14"/>
      <c r="Z1090" s="15"/>
    </row>
    <row r="1091" spans="1:26" x14ac:dyDescent="0.25">
      <c r="Q1091" s="14"/>
      <c r="R1091" s="15"/>
      <c r="S1091" s="14"/>
      <c r="T1091" s="15"/>
      <c r="U1091" s="14"/>
      <c r="V1091" s="15"/>
      <c r="W1091" s="14"/>
      <c r="X1091" s="15"/>
      <c r="Y1091" s="14"/>
      <c r="Z1091" s="15"/>
    </row>
    <row r="1092" spans="1:26" x14ac:dyDescent="0.25">
      <c r="Q1092" s="14"/>
      <c r="R1092" s="15"/>
      <c r="S1092" s="14"/>
      <c r="T1092" s="15"/>
      <c r="U1092" s="14"/>
      <c r="V1092" s="15"/>
      <c r="W1092" s="14"/>
      <c r="X1092" s="15"/>
      <c r="Y1092" s="14"/>
      <c r="Z1092" s="15"/>
    </row>
    <row r="1093" spans="1:26" x14ac:dyDescent="0.25">
      <c r="Q1093" s="14"/>
      <c r="R1093" s="15"/>
      <c r="S1093" s="14"/>
      <c r="T1093" s="15"/>
      <c r="U1093" s="14"/>
      <c r="V1093" s="15"/>
      <c r="W1093" s="14"/>
      <c r="X1093" s="15"/>
      <c r="Y1093" s="14"/>
      <c r="Z1093" s="15"/>
    </row>
    <row r="1094" spans="1:26" x14ac:dyDescent="0.25">
      <c r="Q1094" s="14"/>
      <c r="R1094" s="15"/>
      <c r="S1094" s="14"/>
      <c r="T1094" s="15"/>
      <c r="U1094" s="14"/>
      <c r="V1094" s="15"/>
      <c r="W1094" s="14"/>
      <c r="X1094" s="15"/>
      <c r="Y1094" s="14"/>
      <c r="Z1094" s="15"/>
    </row>
    <row r="1095" spans="1:26" x14ac:dyDescent="0.25">
      <c r="Q1095" s="14"/>
      <c r="R1095" s="15"/>
      <c r="S1095" s="14"/>
      <c r="T1095" s="15"/>
      <c r="U1095" s="14"/>
      <c r="V1095" s="15"/>
      <c r="W1095" s="14"/>
      <c r="X1095" s="15"/>
      <c r="Y1095" s="14"/>
      <c r="Z1095" s="15"/>
    </row>
    <row r="1096" spans="1:26" x14ac:dyDescent="0.25">
      <c r="Q1096" s="14"/>
      <c r="R1096" s="15"/>
      <c r="S1096" s="14"/>
      <c r="T1096" s="15"/>
      <c r="U1096" s="14"/>
      <c r="V1096" s="15"/>
      <c r="W1096" s="14"/>
      <c r="X1096" s="15"/>
      <c r="Y1096" s="14"/>
      <c r="Z1096" s="15"/>
    </row>
    <row r="1097" spans="1:26" x14ac:dyDescent="0.25">
      <c r="Q1097" s="14"/>
      <c r="R1097" s="15"/>
      <c r="S1097" s="14"/>
      <c r="T1097" s="15"/>
      <c r="U1097" s="14"/>
      <c r="V1097" s="15"/>
      <c r="W1097" s="14"/>
      <c r="X1097" s="15"/>
      <c r="Y1097" s="14"/>
      <c r="Z1097" s="15"/>
    </row>
    <row r="1098" spans="1:26" x14ac:dyDescent="0.25">
      <c r="Q1098" s="14"/>
      <c r="R1098" s="15"/>
      <c r="S1098" s="14"/>
      <c r="T1098" s="15"/>
      <c r="U1098" s="14"/>
      <c r="V1098" s="15"/>
      <c r="W1098" s="14"/>
      <c r="X1098" s="15"/>
      <c r="Y1098" s="14"/>
      <c r="Z1098" s="15"/>
    </row>
    <row r="1099" spans="1:26" x14ac:dyDescent="0.25">
      <c r="Q1099" s="14"/>
      <c r="R1099" s="15"/>
      <c r="S1099" s="14"/>
      <c r="T1099" s="15"/>
      <c r="U1099" s="14"/>
      <c r="V1099" s="15"/>
      <c r="W1099" s="14"/>
      <c r="X1099" s="15"/>
      <c r="Y1099" s="14"/>
      <c r="Z1099" s="15"/>
    </row>
    <row r="1100" spans="1:26" x14ac:dyDescent="0.25">
      <c r="Q1100" s="14"/>
      <c r="R1100" s="15"/>
      <c r="S1100" s="14"/>
      <c r="T1100" s="15"/>
      <c r="U1100" s="14"/>
      <c r="V1100" s="15"/>
      <c r="W1100" s="14"/>
      <c r="X1100" s="15"/>
      <c r="Y1100" s="14"/>
      <c r="Z1100" s="15"/>
    </row>
    <row r="1101" spans="1:26" x14ac:dyDescent="0.25">
      <c r="Q1101" s="14"/>
      <c r="R1101" s="15"/>
      <c r="S1101" s="14"/>
      <c r="T1101" s="15"/>
      <c r="U1101" s="14"/>
      <c r="V1101" s="15"/>
      <c r="W1101" s="14"/>
      <c r="X1101" s="15"/>
      <c r="Y1101" s="14"/>
      <c r="Z1101" s="15"/>
    </row>
    <row r="1102" spans="1:26" x14ac:dyDescent="0.25">
      <c r="Q1102" s="14"/>
      <c r="R1102" s="15"/>
      <c r="S1102" s="14"/>
      <c r="T1102" s="15"/>
      <c r="U1102" s="14"/>
      <c r="V1102" s="15"/>
      <c r="W1102" s="14"/>
      <c r="X1102" s="15"/>
      <c r="Y1102" s="14"/>
      <c r="Z1102" s="15"/>
    </row>
    <row r="1103" spans="1:26" x14ac:dyDescent="0.25">
      <c r="Q1103" s="14"/>
      <c r="R1103" s="15"/>
      <c r="S1103" s="14"/>
      <c r="T1103" s="15"/>
      <c r="U1103" s="14"/>
      <c r="V1103" s="15"/>
      <c r="W1103" s="14"/>
      <c r="X1103" s="15"/>
      <c r="Y1103" s="14"/>
      <c r="Z1103" s="15"/>
    </row>
    <row r="1104" spans="1:26" x14ac:dyDescent="0.25">
      <c r="Q1104" s="14"/>
      <c r="R1104" s="15"/>
      <c r="S1104" s="14"/>
      <c r="T1104" s="15"/>
      <c r="U1104" s="14"/>
      <c r="V1104" s="15"/>
      <c r="W1104" s="14"/>
      <c r="X1104" s="15"/>
      <c r="Y1104" s="14"/>
      <c r="Z1104" s="15"/>
    </row>
    <row r="1105" spans="1:26" x14ac:dyDescent="0.25">
      <c r="Q1105" s="14"/>
      <c r="R1105" s="15"/>
      <c r="S1105" s="14"/>
      <c r="T1105" s="15"/>
      <c r="U1105" s="14"/>
      <c r="V1105" s="15"/>
      <c r="W1105" s="14"/>
      <c r="X1105" s="15"/>
      <c r="Y1105" s="14"/>
      <c r="Z1105" s="15"/>
    </row>
    <row r="1106" spans="1:26" x14ac:dyDescent="0.25">
      <c r="Q1106" s="14"/>
      <c r="R1106" s="15"/>
      <c r="S1106" s="14"/>
      <c r="T1106" s="15"/>
      <c r="U1106" s="14"/>
      <c r="V1106" s="15"/>
      <c r="W1106" s="14"/>
      <c r="X1106" s="15"/>
      <c r="Y1106" s="14"/>
      <c r="Z1106" s="15"/>
    </row>
    <row r="1107" spans="1:26" x14ac:dyDescent="0.25">
      <c r="Q1107" s="14"/>
      <c r="R1107" s="15"/>
      <c r="S1107" s="14"/>
      <c r="T1107" s="15"/>
      <c r="U1107" s="14"/>
      <c r="V1107" s="15"/>
      <c r="W1107" s="14"/>
      <c r="X1107" s="15"/>
      <c r="Y1107" s="14"/>
      <c r="Z1107" s="15"/>
    </row>
    <row r="1108" spans="1:26" x14ac:dyDescent="0.25">
      <c r="Q1108" s="14"/>
      <c r="R1108" s="15"/>
      <c r="S1108" s="14"/>
      <c r="T1108" s="15"/>
      <c r="U1108" s="14"/>
      <c r="V1108" s="15"/>
      <c r="W1108" s="14"/>
      <c r="X1108" s="15"/>
      <c r="Y1108" s="14"/>
      <c r="Z1108" s="15"/>
    </row>
    <row r="1109" spans="1:26" x14ac:dyDescent="0.25">
      <c r="Q1109" s="14"/>
      <c r="R1109" s="15"/>
      <c r="S1109" s="14"/>
      <c r="T1109" s="15"/>
      <c r="U1109" s="14"/>
      <c r="V1109" s="15"/>
      <c r="W1109" s="14"/>
      <c r="X1109" s="15"/>
      <c r="Y1109" s="14"/>
      <c r="Z1109" s="15"/>
    </row>
    <row r="1110" spans="1:26" x14ac:dyDescent="0.25">
      <c r="Q1110" s="14"/>
      <c r="R1110" s="15"/>
      <c r="S1110" s="14"/>
      <c r="T1110" s="15"/>
      <c r="U1110" s="14"/>
      <c r="V1110" s="15"/>
      <c r="W1110" s="14"/>
      <c r="X1110" s="15"/>
      <c r="Y1110" s="14"/>
      <c r="Z1110" s="15"/>
    </row>
    <row r="1111" spans="1:26" x14ac:dyDescent="0.25">
      <c r="Q1111" s="14"/>
      <c r="R1111" s="15"/>
      <c r="S1111" s="14"/>
      <c r="T1111" s="15"/>
      <c r="U1111" s="14"/>
      <c r="V1111" s="15"/>
      <c r="W1111" s="14"/>
      <c r="X1111" s="15"/>
      <c r="Y1111" s="14"/>
      <c r="Z1111" s="15"/>
    </row>
    <row r="1112" spans="1:26" x14ac:dyDescent="0.25">
      <c r="Q1112" s="14"/>
      <c r="R1112" s="15"/>
      <c r="S1112" s="14"/>
      <c r="T1112" s="15"/>
      <c r="U1112" s="14"/>
      <c r="V1112" s="15"/>
      <c r="W1112" s="14"/>
      <c r="X1112" s="15"/>
      <c r="Y1112" s="14"/>
      <c r="Z1112" s="15"/>
    </row>
    <row r="1113" spans="1:26" x14ac:dyDescent="0.25">
      <c r="Q1113" s="14"/>
      <c r="R1113" s="15"/>
      <c r="S1113" s="14"/>
      <c r="T1113" s="15"/>
      <c r="U1113" s="14"/>
      <c r="V1113" s="15"/>
      <c r="W1113" s="14"/>
      <c r="X1113" s="15"/>
      <c r="Y1113" s="14"/>
      <c r="Z1113" s="15"/>
    </row>
    <row r="1114" spans="1:26" x14ac:dyDescent="0.25">
      <c r="Q1114" s="14"/>
      <c r="R1114" s="15"/>
      <c r="S1114" s="14"/>
      <c r="T1114" s="15"/>
      <c r="U1114" s="14"/>
      <c r="V1114" s="15"/>
      <c r="W1114" s="14"/>
      <c r="X1114" s="15"/>
      <c r="Y1114" s="14"/>
      <c r="Z1114" s="15"/>
    </row>
    <row r="1115" spans="1:26" x14ac:dyDescent="0.25">
      <c r="Q1115" s="14"/>
      <c r="R1115" s="15"/>
      <c r="S1115" s="14"/>
      <c r="T1115" s="15"/>
      <c r="U1115" s="14"/>
      <c r="V1115" s="15"/>
      <c r="W1115" s="14"/>
      <c r="X1115" s="15"/>
      <c r="Y1115" s="14"/>
      <c r="Z1115" s="15"/>
    </row>
    <row r="1116" spans="1:26" x14ac:dyDescent="0.25">
      <c r="Q1116" s="14"/>
      <c r="R1116" s="15"/>
      <c r="S1116" s="14"/>
      <c r="T1116" s="15"/>
      <c r="U1116" s="14"/>
      <c r="V1116" s="15"/>
      <c r="W1116" s="14"/>
      <c r="X1116" s="15"/>
      <c r="Y1116" s="14"/>
      <c r="Z1116" s="15"/>
    </row>
    <row r="1117" spans="1:26" x14ac:dyDescent="0.25">
      <c r="Q1117" s="14"/>
      <c r="R1117" s="15"/>
      <c r="S1117" s="14"/>
      <c r="T1117" s="15"/>
      <c r="U1117" s="14"/>
      <c r="V1117" s="15"/>
      <c r="W1117" s="14"/>
      <c r="X1117" s="15"/>
      <c r="Y1117" s="14"/>
      <c r="Z1117" s="15"/>
    </row>
    <row r="1118" spans="1:26" x14ac:dyDescent="0.25">
      <c r="Q1118" s="14"/>
      <c r="R1118" s="15"/>
      <c r="S1118" s="14"/>
      <c r="T1118" s="15"/>
      <c r="U1118" s="14"/>
      <c r="V1118" s="15"/>
      <c r="W1118" s="14"/>
      <c r="X1118" s="15"/>
      <c r="Y1118" s="14"/>
      <c r="Z1118" s="15"/>
    </row>
    <row r="1119" spans="1:26" x14ac:dyDescent="0.25">
      <c r="Q1119" s="14"/>
      <c r="R1119" s="15"/>
      <c r="S1119" s="14"/>
      <c r="T1119" s="15"/>
      <c r="U1119" s="14"/>
      <c r="V1119" s="15"/>
      <c r="W1119" s="14"/>
      <c r="X1119" s="15"/>
      <c r="Y1119" s="14"/>
      <c r="Z1119" s="15"/>
    </row>
    <row r="1120" spans="1:26" x14ac:dyDescent="0.25">
      <c r="Q1120" s="14"/>
      <c r="R1120" s="15"/>
      <c r="S1120" s="14"/>
      <c r="T1120" s="15"/>
      <c r="U1120" s="14"/>
      <c r="V1120" s="15"/>
      <c r="W1120" s="14"/>
      <c r="X1120" s="15"/>
      <c r="Y1120" s="14"/>
      <c r="Z1120" s="15"/>
    </row>
    <row r="1121" spans="1:26" x14ac:dyDescent="0.25">
      <c r="Q1121" s="14"/>
      <c r="R1121" s="15"/>
      <c r="S1121" s="14"/>
      <c r="T1121" s="15"/>
      <c r="U1121" s="14"/>
      <c r="V1121" s="15"/>
      <c r="W1121" s="14"/>
      <c r="X1121" s="15"/>
      <c r="Y1121" s="14"/>
      <c r="Z1121" s="15"/>
    </row>
    <row r="1122" spans="1:26" x14ac:dyDescent="0.25">
      <c r="Q1122" s="14"/>
      <c r="R1122" s="15"/>
      <c r="S1122" s="14"/>
      <c r="T1122" s="15"/>
      <c r="U1122" s="14"/>
      <c r="V1122" s="15"/>
      <c r="W1122" s="14"/>
      <c r="X1122" s="15"/>
      <c r="Y1122" s="14"/>
      <c r="Z1122" s="15"/>
    </row>
    <row r="1123" spans="1:26" x14ac:dyDescent="0.25">
      <c r="Q1123" s="14"/>
      <c r="R1123" s="15"/>
      <c r="S1123" s="14"/>
      <c r="T1123" s="15"/>
      <c r="U1123" s="14"/>
      <c r="V1123" s="15"/>
      <c r="W1123" s="14"/>
      <c r="X1123" s="15"/>
      <c r="Y1123" s="14"/>
      <c r="Z1123" s="15"/>
    </row>
    <row r="1124" spans="1:26" x14ac:dyDescent="0.25">
      <c r="Q1124" s="14"/>
      <c r="R1124" s="15"/>
      <c r="S1124" s="14"/>
      <c r="T1124" s="15"/>
      <c r="U1124" s="14"/>
      <c r="V1124" s="15"/>
      <c r="W1124" s="14"/>
      <c r="X1124" s="15"/>
      <c r="Y1124" s="14"/>
      <c r="Z1124" s="15"/>
    </row>
    <row r="1125" spans="1:26" x14ac:dyDescent="0.25">
      <c r="Q1125" s="14"/>
      <c r="R1125" s="15"/>
      <c r="S1125" s="14"/>
      <c r="T1125" s="15"/>
      <c r="U1125" s="14"/>
      <c r="V1125" s="15"/>
      <c r="W1125" s="14"/>
      <c r="X1125" s="15"/>
      <c r="Y1125" s="14"/>
      <c r="Z1125" s="15"/>
    </row>
    <row r="1126" spans="1:26" x14ac:dyDescent="0.25">
      <c r="Q1126" s="14"/>
      <c r="R1126" s="15"/>
      <c r="S1126" s="14"/>
      <c r="T1126" s="15"/>
      <c r="U1126" s="14"/>
      <c r="V1126" s="15"/>
      <c r="W1126" s="14"/>
      <c r="X1126" s="15"/>
      <c r="Y1126" s="14"/>
      <c r="Z1126" s="15"/>
    </row>
    <row r="1127" spans="1:26" x14ac:dyDescent="0.25">
      <c r="Q1127" s="14"/>
      <c r="R1127" s="15"/>
      <c r="S1127" s="14"/>
      <c r="T1127" s="15"/>
      <c r="U1127" s="14"/>
      <c r="V1127" s="15"/>
      <c r="W1127" s="14"/>
      <c r="X1127" s="15"/>
      <c r="Y1127" s="14"/>
      <c r="Z1127" s="15"/>
    </row>
    <row r="1128" spans="1:26" x14ac:dyDescent="0.25">
      <c r="Q1128" s="14"/>
      <c r="R1128" s="15"/>
      <c r="S1128" s="14"/>
      <c r="T1128" s="15"/>
      <c r="U1128" s="14"/>
      <c r="V1128" s="15"/>
      <c r="W1128" s="14"/>
      <c r="X1128" s="15"/>
      <c r="Y1128" s="14"/>
      <c r="Z1128" s="15"/>
    </row>
    <row r="1129" spans="1:26" x14ac:dyDescent="0.25">
      <c r="Q1129" s="14"/>
      <c r="R1129" s="15"/>
      <c r="S1129" s="14"/>
      <c r="T1129" s="15"/>
      <c r="U1129" s="14"/>
      <c r="V1129" s="15"/>
      <c r="W1129" s="14"/>
      <c r="X1129" s="15"/>
      <c r="Y1129" s="14"/>
      <c r="Z1129" s="15"/>
    </row>
    <row r="1130" spans="1:26" x14ac:dyDescent="0.25">
      <c r="Q1130" s="14"/>
      <c r="R1130" s="15"/>
      <c r="S1130" s="14"/>
      <c r="T1130" s="15"/>
      <c r="U1130" s="14"/>
      <c r="V1130" s="15"/>
      <c r="W1130" s="14"/>
      <c r="X1130" s="15"/>
      <c r="Y1130" s="14"/>
      <c r="Z1130" s="15"/>
    </row>
    <row r="1131" spans="1:26" x14ac:dyDescent="0.25">
      <c r="Q1131" s="14"/>
      <c r="R1131" s="15"/>
      <c r="S1131" s="14"/>
      <c r="T1131" s="15"/>
      <c r="U1131" s="14"/>
      <c r="V1131" s="15"/>
      <c r="W1131" s="14"/>
      <c r="X1131" s="15"/>
      <c r="Y1131" s="14"/>
      <c r="Z1131" s="15"/>
    </row>
    <row r="1132" spans="1:26" x14ac:dyDescent="0.25">
      <c r="Q1132" s="14"/>
      <c r="R1132" s="15"/>
      <c r="S1132" s="14"/>
      <c r="T1132" s="15"/>
      <c r="U1132" s="14"/>
      <c r="V1132" s="15"/>
      <c r="W1132" s="14"/>
      <c r="X1132" s="15"/>
      <c r="Y1132" s="14"/>
      <c r="Z1132" s="15"/>
    </row>
    <row r="1133" spans="1:26" x14ac:dyDescent="0.25">
      <c r="Q1133" s="14"/>
      <c r="R1133" s="15"/>
      <c r="S1133" s="14"/>
      <c r="T1133" s="15"/>
      <c r="U1133" s="14"/>
      <c r="V1133" s="15"/>
      <c r="W1133" s="14"/>
      <c r="X1133" s="15"/>
      <c r="Y1133" s="14"/>
      <c r="Z1133" s="15"/>
    </row>
    <row r="1134" spans="1:26" x14ac:dyDescent="0.25">
      <c r="Q1134" s="14"/>
      <c r="R1134" s="15"/>
      <c r="S1134" s="14"/>
      <c r="T1134" s="15"/>
      <c r="U1134" s="14"/>
      <c r="V1134" s="15"/>
      <c r="W1134" s="14"/>
      <c r="X1134" s="15"/>
      <c r="Y1134" s="14"/>
      <c r="Z1134" s="15"/>
    </row>
    <row r="1135" spans="1:26" x14ac:dyDescent="0.25">
      <c r="Q1135" s="14"/>
      <c r="R1135" s="15"/>
      <c r="S1135" s="14"/>
      <c r="T1135" s="15"/>
      <c r="U1135" s="14"/>
      <c r="V1135" s="15"/>
      <c r="W1135" s="14"/>
      <c r="X1135" s="15"/>
      <c r="Y1135" s="14"/>
      <c r="Z1135" s="15"/>
    </row>
    <row r="1136" spans="1:26" x14ac:dyDescent="0.25">
      <c r="Q1136" s="14"/>
      <c r="R1136" s="15"/>
      <c r="S1136" s="14"/>
      <c r="T1136" s="15"/>
      <c r="U1136" s="14"/>
      <c r="V1136" s="15"/>
      <c r="W1136" s="14"/>
      <c r="X1136" s="15"/>
      <c r="Y1136" s="14"/>
      <c r="Z1136" s="15"/>
    </row>
    <row r="1137" spans="1:26" x14ac:dyDescent="0.25">
      <c r="Q1137" s="14"/>
      <c r="R1137" s="15"/>
      <c r="S1137" s="14"/>
      <c r="T1137" s="15"/>
      <c r="U1137" s="14"/>
      <c r="V1137" s="15"/>
      <c r="W1137" s="14"/>
      <c r="X1137" s="15"/>
      <c r="Y1137" s="14"/>
      <c r="Z1137" s="15"/>
    </row>
    <row r="1138" spans="1:26" x14ac:dyDescent="0.25">
      <c r="Q1138" s="14"/>
      <c r="R1138" s="15"/>
      <c r="S1138" s="14"/>
      <c r="T1138" s="15"/>
      <c r="U1138" s="14"/>
      <c r="V1138" s="15"/>
      <c r="W1138" s="14"/>
      <c r="X1138" s="15"/>
      <c r="Y1138" s="14"/>
      <c r="Z1138" s="15"/>
    </row>
    <row r="1139" spans="1:26" x14ac:dyDescent="0.25">
      <c r="Q1139" s="14"/>
      <c r="R1139" s="15"/>
      <c r="S1139" s="14"/>
      <c r="T1139" s="15"/>
      <c r="U1139" s="14"/>
      <c r="V1139" s="15"/>
      <c r="W1139" s="14"/>
      <c r="X1139" s="15"/>
      <c r="Y1139" s="14"/>
      <c r="Z1139" s="15"/>
    </row>
    <row r="1140" spans="1:26" x14ac:dyDescent="0.25">
      <c r="Q1140" s="14"/>
      <c r="R1140" s="15"/>
      <c r="S1140" s="14"/>
      <c r="T1140" s="15"/>
      <c r="U1140" s="14"/>
      <c r="V1140" s="15"/>
      <c r="W1140" s="14"/>
      <c r="X1140" s="15"/>
      <c r="Y1140" s="14"/>
      <c r="Z1140" s="15"/>
    </row>
    <row r="1141" spans="1:26" x14ac:dyDescent="0.25">
      <c r="Q1141" s="14"/>
      <c r="R1141" s="15"/>
      <c r="S1141" s="14"/>
      <c r="T1141" s="15"/>
      <c r="U1141" s="14"/>
      <c r="V1141" s="15"/>
      <c r="W1141" s="14"/>
      <c r="X1141" s="15"/>
      <c r="Y1141" s="14"/>
      <c r="Z1141" s="15"/>
    </row>
    <row r="1142" spans="1:26" x14ac:dyDescent="0.25">
      <c r="Q1142" s="14"/>
      <c r="R1142" s="15"/>
      <c r="S1142" s="14"/>
      <c r="T1142" s="15"/>
      <c r="U1142" s="14"/>
      <c r="V1142" s="15"/>
      <c r="W1142" s="14"/>
      <c r="X1142" s="15"/>
      <c r="Y1142" s="14"/>
      <c r="Z1142" s="15"/>
    </row>
    <row r="1143" spans="1:26" x14ac:dyDescent="0.25">
      <c r="Q1143" s="14"/>
      <c r="R1143" s="15"/>
      <c r="S1143" s="14"/>
      <c r="T1143" s="15"/>
      <c r="U1143" s="14"/>
      <c r="V1143" s="15"/>
      <c r="W1143" s="14"/>
      <c r="X1143" s="15"/>
      <c r="Y1143" s="14"/>
      <c r="Z1143" s="15"/>
    </row>
    <row r="1144" spans="1:26" x14ac:dyDescent="0.25">
      <c r="Q1144" s="14"/>
      <c r="R1144" s="15"/>
      <c r="S1144" s="14"/>
      <c r="T1144" s="15"/>
      <c r="U1144" s="14"/>
      <c r="V1144" s="15"/>
      <c r="W1144" s="14"/>
      <c r="X1144" s="15"/>
      <c r="Y1144" s="14"/>
      <c r="Z1144" s="15"/>
    </row>
    <row r="1145" spans="1:26" x14ac:dyDescent="0.25">
      <c r="Q1145" s="14"/>
      <c r="R1145" s="15"/>
      <c r="S1145" s="14"/>
      <c r="T1145" s="15"/>
      <c r="U1145" s="14"/>
      <c r="V1145" s="15"/>
      <c r="W1145" s="14"/>
      <c r="X1145" s="15"/>
      <c r="Y1145" s="14"/>
      <c r="Z1145" s="15"/>
    </row>
    <row r="1146" spans="1:26" x14ac:dyDescent="0.25">
      <c r="Q1146" s="14"/>
      <c r="R1146" s="15"/>
      <c r="S1146" s="14"/>
      <c r="T1146" s="15"/>
      <c r="U1146" s="14"/>
      <c r="V1146" s="15"/>
      <c r="W1146" s="14"/>
      <c r="X1146" s="15"/>
      <c r="Y1146" s="14"/>
      <c r="Z1146" s="15"/>
    </row>
    <row r="1147" spans="1:26" x14ac:dyDescent="0.25">
      <c r="Q1147" s="14"/>
      <c r="R1147" s="15"/>
      <c r="S1147" s="14"/>
      <c r="T1147" s="15"/>
      <c r="U1147" s="14"/>
      <c r="V1147" s="15"/>
      <c r="W1147" s="14"/>
      <c r="X1147" s="15"/>
      <c r="Y1147" s="14"/>
      <c r="Z1147" s="15"/>
    </row>
    <row r="1148" spans="1:26" x14ac:dyDescent="0.25">
      <c r="Q1148" s="14"/>
      <c r="R1148" s="15"/>
      <c r="S1148" s="14"/>
      <c r="T1148" s="15"/>
      <c r="U1148" s="14"/>
      <c r="V1148" s="15"/>
      <c r="W1148" s="14"/>
      <c r="X1148" s="15"/>
      <c r="Y1148" s="14"/>
      <c r="Z1148" s="15"/>
    </row>
    <row r="1149" spans="1:26" x14ac:dyDescent="0.25">
      <c r="Q1149" s="14"/>
      <c r="R1149" s="15"/>
      <c r="S1149" s="14"/>
      <c r="T1149" s="15"/>
      <c r="U1149" s="14"/>
      <c r="V1149" s="15"/>
      <c r="W1149" s="14"/>
      <c r="X1149" s="15"/>
      <c r="Y1149" s="14"/>
      <c r="Z1149" s="15"/>
    </row>
    <row r="1150" spans="1:26" x14ac:dyDescent="0.25">
      <c r="Q1150" s="14"/>
      <c r="R1150" s="15"/>
      <c r="S1150" s="14"/>
      <c r="T1150" s="15"/>
      <c r="U1150" s="14"/>
      <c r="V1150" s="15"/>
      <c r="W1150" s="14"/>
      <c r="X1150" s="15"/>
      <c r="Y1150" s="14"/>
      <c r="Z1150" s="15"/>
    </row>
    <row r="1151" spans="1:26" x14ac:dyDescent="0.25">
      <c r="Q1151" s="14"/>
      <c r="R1151" s="15"/>
      <c r="S1151" s="14"/>
      <c r="T1151" s="15"/>
      <c r="U1151" s="14"/>
      <c r="V1151" s="15"/>
      <c r="W1151" s="14"/>
      <c r="X1151" s="15"/>
      <c r="Y1151" s="14"/>
      <c r="Z1151" s="15"/>
    </row>
    <row r="1152" spans="1:26" x14ac:dyDescent="0.25">
      <c r="Q1152" s="14"/>
      <c r="R1152" s="15"/>
      <c r="S1152" s="14"/>
      <c r="T1152" s="15"/>
      <c r="U1152" s="14"/>
      <c r="V1152" s="15"/>
      <c r="W1152" s="14"/>
      <c r="X1152" s="15"/>
      <c r="Y1152" s="14"/>
      <c r="Z1152" s="15"/>
    </row>
    <row r="1153" spans="1:26" x14ac:dyDescent="0.25">
      <c r="Q1153" s="14"/>
      <c r="R1153" s="15"/>
      <c r="S1153" s="14"/>
      <c r="T1153" s="15"/>
      <c r="U1153" s="14"/>
      <c r="V1153" s="15"/>
      <c r="W1153" s="14"/>
      <c r="X1153" s="15"/>
      <c r="Y1153" s="14"/>
      <c r="Z1153" s="15"/>
    </row>
    <row r="1154" spans="1:26" x14ac:dyDescent="0.25">
      <c r="Q1154" s="14"/>
      <c r="R1154" s="15"/>
      <c r="S1154" s="14"/>
      <c r="T1154" s="15"/>
      <c r="U1154" s="14"/>
      <c r="V1154" s="15"/>
      <c r="W1154" s="14"/>
      <c r="X1154" s="15"/>
      <c r="Y1154" s="14"/>
      <c r="Z1154" s="15"/>
    </row>
    <row r="1155" spans="1:26" x14ac:dyDescent="0.25">
      <c r="Q1155" s="14"/>
      <c r="R1155" s="15"/>
      <c r="S1155" s="14"/>
      <c r="T1155" s="15"/>
      <c r="U1155" s="14"/>
      <c r="V1155" s="15"/>
      <c r="W1155" s="14"/>
      <c r="X1155" s="15"/>
      <c r="Y1155" s="14"/>
      <c r="Z1155" s="15"/>
    </row>
    <row r="1156" spans="1:26" x14ac:dyDescent="0.25">
      <c r="Q1156" s="14"/>
      <c r="R1156" s="15"/>
      <c r="S1156" s="14"/>
      <c r="T1156" s="15"/>
      <c r="U1156" s="14"/>
      <c r="V1156" s="15"/>
      <c r="W1156" s="14"/>
      <c r="X1156" s="15"/>
      <c r="Y1156" s="14"/>
      <c r="Z1156" s="15"/>
    </row>
    <row r="1157" spans="1:26" x14ac:dyDescent="0.25">
      <c r="Q1157" s="14"/>
      <c r="R1157" s="15"/>
      <c r="S1157" s="14"/>
      <c r="T1157" s="15"/>
      <c r="U1157" s="14"/>
      <c r="V1157" s="15"/>
      <c r="W1157" s="14"/>
      <c r="X1157" s="15"/>
      <c r="Y1157" s="14"/>
      <c r="Z1157" s="15"/>
    </row>
    <row r="1158" spans="1:26" x14ac:dyDescent="0.25">
      <c r="Q1158" s="14"/>
      <c r="R1158" s="15"/>
      <c r="S1158" s="14"/>
      <c r="T1158" s="15"/>
      <c r="U1158" s="14"/>
      <c r="V1158" s="15"/>
      <c r="W1158" s="14"/>
      <c r="X1158" s="15"/>
      <c r="Y1158" s="14"/>
      <c r="Z1158" s="15"/>
    </row>
    <row r="1159" spans="1:26" x14ac:dyDescent="0.25">
      <c r="Q1159" s="14"/>
      <c r="R1159" s="15"/>
      <c r="S1159" s="14"/>
      <c r="T1159" s="15"/>
      <c r="U1159" s="14"/>
      <c r="V1159" s="15"/>
      <c r="W1159" s="14"/>
      <c r="X1159" s="15"/>
      <c r="Y1159" s="14"/>
      <c r="Z1159" s="15"/>
    </row>
    <row r="1160" spans="1:26" x14ac:dyDescent="0.25">
      <c r="Q1160" s="14"/>
      <c r="R1160" s="15"/>
      <c r="S1160" s="14"/>
      <c r="T1160" s="15"/>
      <c r="U1160" s="14"/>
      <c r="V1160" s="15"/>
      <c r="W1160" s="14"/>
      <c r="X1160" s="15"/>
      <c r="Y1160" s="14"/>
      <c r="Z1160" s="15"/>
    </row>
    <row r="1161" spans="1:26" x14ac:dyDescent="0.25">
      <c r="Q1161" s="14"/>
      <c r="R1161" s="15"/>
      <c r="S1161" s="14"/>
      <c r="T1161" s="15"/>
      <c r="U1161" s="14"/>
      <c r="V1161" s="15"/>
      <c r="W1161" s="14"/>
      <c r="X1161" s="15"/>
      <c r="Y1161" s="14"/>
      <c r="Z1161" s="15"/>
    </row>
    <row r="1162" spans="1:26" x14ac:dyDescent="0.25">
      <c r="Q1162" s="14"/>
      <c r="R1162" s="15"/>
      <c r="S1162" s="14"/>
      <c r="T1162" s="15"/>
      <c r="U1162" s="14"/>
      <c r="V1162" s="15"/>
      <c r="W1162" s="14"/>
      <c r="X1162" s="15"/>
      <c r="Y1162" s="14"/>
      <c r="Z1162" s="15"/>
    </row>
    <row r="1163" spans="1:26" x14ac:dyDescent="0.25">
      <c r="Q1163" s="14"/>
      <c r="R1163" s="15"/>
      <c r="S1163" s="14"/>
      <c r="T1163" s="15"/>
      <c r="U1163" s="14"/>
      <c r="V1163" s="15"/>
      <c r="W1163" s="14"/>
      <c r="X1163" s="15"/>
      <c r="Y1163" s="14"/>
      <c r="Z1163" s="15"/>
    </row>
    <row r="1164" spans="1:26" x14ac:dyDescent="0.25">
      <c r="Q1164" s="14"/>
      <c r="R1164" s="15"/>
      <c r="S1164" s="14"/>
      <c r="T1164" s="15"/>
      <c r="U1164" s="14"/>
      <c r="V1164" s="15"/>
      <c r="W1164" s="14"/>
      <c r="X1164" s="15"/>
      <c r="Y1164" s="14"/>
      <c r="Z1164" s="15"/>
    </row>
    <row r="1165" spans="1:26" x14ac:dyDescent="0.25">
      <c r="Q1165" s="14"/>
      <c r="R1165" s="15"/>
      <c r="S1165" s="14"/>
      <c r="T1165" s="15"/>
      <c r="U1165" s="14"/>
      <c r="V1165" s="15"/>
      <c r="W1165" s="14"/>
      <c r="X1165" s="15"/>
      <c r="Y1165" s="14"/>
      <c r="Z1165" s="15"/>
    </row>
    <row r="1166" spans="1:26" x14ac:dyDescent="0.25">
      <c r="Q1166" s="14"/>
      <c r="R1166" s="15"/>
      <c r="S1166" s="14"/>
      <c r="T1166" s="15"/>
      <c r="U1166" s="14"/>
      <c r="V1166" s="15"/>
      <c r="W1166" s="14"/>
      <c r="X1166" s="15"/>
      <c r="Y1166" s="14"/>
      <c r="Z1166" s="15"/>
    </row>
    <row r="1167" spans="1:26" x14ac:dyDescent="0.25">
      <c r="Q1167" s="14"/>
      <c r="R1167" s="15"/>
      <c r="S1167" s="14"/>
      <c r="T1167" s="15"/>
      <c r="U1167" s="14"/>
      <c r="V1167" s="15"/>
      <c r="W1167" s="14"/>
      <c r="X1167" s="15"/>
      <c r="Y1167" s="14"/>
      <c r="Z1167" s="15"/>
    </row>
    <row r="1168" spans="1:26" x14ac:dyDescent="0.25">
      <c r="Q1168" s="14"/>
      <c r="R1168" s="15"/>
      <c r="S1168" s="14"/>
      <c r="T1168" s="15"/>
      <c r="U1168" s="14"/>
      <c r="V1168" s="15"/>
      <c r="W1168" s="14"/>
      <c r="X1168" s="15"/>
      <c r="Y1168" s="14"/>
      <c r="Z1168" s="15"/>
    </row>
    <row r="1169" spans="1:26" x14ac:dyDescent="0.25">
      <c r="Q1169" s="14"/>
      <c r="R1169" s="15"/>
      <c r="S1169" s="14"/>
      <c r="T1169" s="15"/>
      <c r="U1169" s="14"/>
      <c r="V1169" s="15"/>
      <c r="W1169" s="14"/>
      <c r="X1169" s="15"/>
      <c r="Y1169" s="14"/>
      <c r="Z1169" s="15"/>
    </row>
    <row r="1170" spans="1:26" x14ac:dyDescent="0.25">
      <c r="Q1170" s="14"/>
      <c r="R1170" s="15"/>
      <c r="S1170" s="14"/>
      <c r="T1170" s="15"/>
      <c r="U1170" s="14"/>
      <c r="V1170" s="15"/>
      <c r="W1170" s="14"/>
      <c r="X1170" s="15"/>
      <c r="Y1170" s="14"/>
      <c r="Z1170" s="15"/>
    </row>
    <row r="1171" spans="1:26" x14ac:dyDescent="0.25">
      <c r="Q1171" s="14"/>
      <c r="R1171" s="15"/>
      <c r="S1171" s="14"/>
      <c r="T1171" s="15"/>
      <c r="U1171" s="14"/>
      <c r="V1171" s="15"/>
      <c r="W1171" s="14"/>
      <c r="X1171" s="15"/>
      <c r="Y1171" s="14"/>
      <c r="Z1171" s="15"/>
    </row>
    <row r="1172" spans="1:26" x14ac:dyDescent="0.25">
      <c r="Q1172" s="14"/>
      <c r="R1172" s="15"/>
      <c r="S1172" s="14"/>
      <c r="T1172" s="15"/>
      <c r="U1172" s="14"/>
      <c r="V1172" s="15"/>
      <c r="W1172" s="14"/>
      <c r="X1172" s="15"/>
      <c r="Y1172" s="14"/>
      <c r="Z1172" s="15"/>
    </row>
    <row r="1173" spans="1:26" x14ac:dyDescent="0.25">
      <c r="Q1173" s="14"/>
      <c r="R1173" s="15"/>
      <c r="S1173" s="14"/>
      <c r="T1173" s="15"/>
      <c r="U1173" s="14"/>
      <c r="V1173" s="15"/>
      <c r="W1173" s="14"/>
      <c r="X1173" s="15"/>
      <c r="Y1173" s="14"/>
      <c r="Z1173" s="15"/>
    </row>
    <row r="1174" spans="1:26" x14ac:dyDescent="0.25">
      <c r="Q1174" s="14"/>
      <c r="R1174" s="15"/>
      <c r="S1174" s="14"/>
      <c r="T1174" s="15"/>
      <c r="U1174" s="14"/>
      <c r="V1174" s="15"/>
      <c r="W1174" s="14"/>
      <c r="X1174" s="15"/>
      <c r="Y1174" s="14"/>
      <c r="Z1174" s="15"/>
    </row>
    <row r="1175" spans="1:26" x14ac:dyDescent="0.25">
      <c r="Q1175" s="14"/>
      <c r="R1175" s="15"/>
      <c r="S1175" s="14"/>
      <c r="T1175" s="15"/>
      <c r="U1175" s="14"/>
      <c r="V1175" s="15"/>
      <c r="W1175" s="14"/>
      <c r="X1175" s="15"/>
      <c r="Y1175" s="14"/>
      <c r="Z1175" s="15"/>
    </row>
    <row r="1176" spans="1:26" x14ac:dyDescent="0.25">
      <c r="Q1176" s="14"/>
      <c r="R1176" s="15"/>
      <c r="S1176" s="14"/>
      <c r="T1176" s="15"/>
      <c r="U1176" s="14"/>
      <c r="V1176" s="15"/>
      <c r="W1176" s="14"/>
      <c r="X1176" s="15"/>
      <c r="Y1176" s="14"/>
      <c r="Z1176" s="15"/>
    </row>
    <row r="1177" spans="1:26" x14ac:dyDescent="0.25">
      <c r="Q1177" s="14"/>
      <c r="R1177" s="15"/>
      <c r="S1177" s="14"/>
      <c r="T1177" s="15"/>
      <c r="U1177" s="14"/>
      <c r="V1177" s="15"/>
      <c r="W1177" s="14"/>
      <c r="X1177" s="15"/>
      <c r="Y1177" s="14"/>
      <c r="Z1177" s="15"/>
    </row>
    <row r="1178" spans="1:26" x14ac:dyDescent="0.25">
      <c r="Q1178" s="14"/>
      <c r="R1178" s="15"/>
      <c r="S1178" s="14"/>
      <c r="T1178" s="15"/>
      <c r="U1178" s="14"/>
      <c r="V1178" s="15"/>
      <c r="W1178" s="14"/>
      <c r="X1178" s="15"/>
      <c r="Y1178" s="14"/>
      <c r="Z1178" s="15"/>
    </row>
    <row r="1179" spans="1:26" x14ac:dyDescent="0.25">
      <c r="Q1179" s="14"/>
      <c r="R1179" s="15"/>
      <c r="S1179" s="14"/>
      <c r="T1179" s="15"/>
      <c r="U1179" s="14"/>
      <c r="V1179" s="15"/>
      <c r="W1179" s="14"/>
      <c r="X1179" s="15"/>
      <c r="Y1179" s="14"/>
      <c r="Z1179" s="15"/>
    </row>
    <row r="1180" spans="1:26" x14ac:dyDescent="0.25">
      <c r="Q1180" s="14"/>
      <c r="R1180" s="15"/>
      <c r="S1180" s="14"/>
      <c r="T1180" s="15"/>
      <c r="U1180" s="14"/>
      <c r="V1180" s="15"/>
      <c r="W1180" s="14"/>
      <c r="X1180" s="15"/>
      <c r="Y1180" s="14"/>
      <c r="Z1180" s="15"/>
    </row>
    <row r="1181" spans="1:26" x14ac:dyDescent="0.25">
      <c r="Q1181" s="14"/>
      <c r="R1181" s="15"/>
      <c r="S1181" s="14"/>
      <c r="T1181" s="15"/>
      <c r="U1181" s="14"/>
      <c r="V1181" s="15"/>
      <c r="W1181" s="14"/>
      <c r="X1181" s="15"/>
      <c r="Y1181" s="14"/>
      <c r="Z1181" s="15"/>
    </row>
    <row r="1182" spans="1:26" x14ac:dyDescent="0.25">
      <c r="Q1182" s="14"/>
      <c r="R1182" s="15"/>
      <c r="S1182" s="14"/>
      <c r="T1182" s="15"/>
      <c r="U1182" s="14"/>
      <c r="V1182" s="15"/>
      <c r="W1182" s="14"/>
      <c r="X1182" s="15"/>
      <c r="Y1182" s="14"/>
      <c r="Z1182" s="15"/>
    </row>
    <row r="1183" spans="1:26" x14ac:dyDescent="0.25">
      <c r="Q1183" s="14"/>
      <c r="R1183" s="15"/>
      <c r="S1183" s="14"/>
      <c r="T1183" s="15"/>
      <c r="U1183" s="14"/>
      <c r="V1183" s="15"/>
      <c r="W1183" s="14"/>
      <c r="X1183" s="15"/>
      <c r="Y1183" s="14"/>
      <c r="Z1183" s="15"/>
    </row>
    <row r="1184" spans="1:26" x14ac:dyDescent="0.25">
      <c r="Q1184" s="14"/>
      <c r="R1184" s="15"/>
      <c r="S1184" s="14"/>
      <c r="T1184" s="15"/>
      <c r="U1184" s="14"/>
      <c r="V1184" s="15"/>
      <c r="W1184" s="14"/>
      <c r="X1184" s="15"/>
      <c r="Y1184" s="14"/>
      <c r="Z1184" s="15"/>
    </row>
    <row r="1185" spans="1:26" x14ac:dyDescent="0.25">
      <c r="Q1185" s="14"/>
      <c r="R1185" s="15"/>
      <c r="S1185" s="14"/>
      <c r="T1185" s="15"/>
      <c r="U1185" s="14"/>
      <c r="V1185" s="15"/>
      <c r="W1185" s="14"/>
      <c r="X1185" s="15"/>
      <c r="Y1185" s="14"/>
      <c r="Z1185" s="15"/>
    </row>
    <row r="1186" spans="1:26" x14ac:dyDescent="0.25">
      <c r="Q1186" s="14"/>
      <c r="R1186" s="15"/>
      <c r="S1186" s="14"/>
      <c r="T1186" s="15"/>
      <c r="U1186" s="14"/>
      <c r="V1186" s="15"/>
      <c r="W1186" s="14"/>
      <c r="X1186" s="15"/>
      <c r="Y1186" s="14"/>
      <c r="Z1186" s="15"/>
    </row>
    <row r="1187" spans="1:26" x14ac:dyDescent="0.25">
      <c r="Q1187" s="14"/>
      <c r="R1187" s="15"/>
      <c r="S1187" s="14"/>
      <c r="T1187" s="15"/>
      <c r="U1187" s="14"/>
      <c r="V1187" s="15"/>
      <c r="W1187" s="14"/>
      <c r="X1187" s="15"/>
      <c r="Y1187" s="14"/>
      <c r="Z1187" s="15"/>
    </row>
    <row r="1188" spans="1:26" x14ac:dyDescent="0.25">
      <c r="Q1188" s="14"/>
      <c r="R1188" s="15"/>
      <c r="S1188" s="14"/>
      <c r="T1188" s="15"/>
      <c r="U1188" s="14"/>
      <c r="V1188" s="15"/>
      <c r="W1188" s="14"/>
      <c r="X1188" s="15"/>
      <c r="Y1188" s="14"/>
      <c r="Z1188" s="15"/>
    </row>
    <row r="1189" spans="1:26" x14ac:dyDescent="0.25">
      <c r="Q1189" s="14"/>
      <c r="R1189" s="15"/>
      <c r="S1189" s="14"/>
      <c r="T1189" s="15"/>
      <c r="U1189" s="14"/>
      <c r="V1189" s="15"/>
      <c r="W1189" s="14"/>
      <c r="X1189" s="15"/>
      <c r="Y1189" s="14"/>
      <c r="Z1189" s="15"/>
    </row>
    <row r="1190" spans="1:26" x14ac:dyDescent="0.25">
      <c r="Q1190" s="14"/>
      <c r="R1190" s="15"/>
      <c r="S1190" s="14"/>
      <c r="T1190" s="15"/>
      <c r="U1190" s="14"/>
      <c r="V1190" s="15"/>
      <c r="W1190" s="14"/>
      <c r="X1190" s="15"/>
      <c r="Y1190" s="14"/>
      <c r="Z1190" s="15"/>
    </row>
    <row r="1191" spans="1:26" x14ac:dyDescent="0.25">
      <c r="Q1191" s="14"/>
      <c r="R1191" s="15"/>
      <c r="S1191" s="14"/>
      <c r="T1191" s="15"/>
      <c r="U1191" s="14"/>
      <c r="V1191" s="15"/>
      <c r="W1191" s="14"/>
      <c r="X1191" s="15"/>
      <c r="Y1191" s="14"/>
      <c r="Z1191" s="15"/>
    </row>
    <row r="1192" spans="1:26" x14ac:dyDescent="0.25">
      <c r="Q1192" s="14"/>
      <c r="R1192" s="15"/>
      <c r="S1192" s="14"/>
      <c r="T1192" s="15"/>
      <c r="U1192" s="14"/>
      <c r="V1192" s="15"/>
      <c r="W1192" s="14"/>
      <c r="X1192" s="15"/>
      <c r="Y1192" s="14"/>
      <c r="Z1192" s="15"/>
    </row>
    <row r="1193" spans="1:26" x14ac:dyDescent="0.25">
      <c r="Q1193" s="14"/>
      <c r="R1193" s="15"/>
      <c r="S1193" s="14"/>
      <c r="T1193" s="15"/>
      <c r="U1193" s="14"/>
      <c r="V1193" s="15"/>
      <c r="W1193" s="14"/>
      <c r="X1193" s="15"/>
      <c r="Y1193" s="14"/>
      <c r="Z1193" s="15"/>
    </row>
    <row r="1194" spans="1:26" x14ac:dyDescent="0.25">
      <c r="Q1194" s="14"/>
      <c r="R1194" s="15"/>
      <c r="S1194" s="14"/>
      <c r="T1194" s="15"/>
      <c r="U1194" s="14"/>
      <c r="V1194" s="15"/>
      <c r="W1194" s="14"/>
      <c r="X1194" s="15"/>
      <c r="Y1194" s="14"/>
      <c r="Z1194" s="15"/>
    </row>
    <row r="1195" spans="1:26" x14ac:dyDescent="0.25">
      <c r="Q1195" s="14"/>
      <c r="R1195" s="15"/>
      <c r="S1195" s="14"/>
      <c r="T1195" s="15"/>
      <c r="U1195" s="14"/>
      <c r="V1195" s="15"/>
      <c r="W1195" s="14"/>
      <c r="X1195" s="15"/>
      <c r="Y1195" s="14"/>
      <c r="Z1195" s="15"/>
    </row>
    <row r="1196" spans="1:26" x14ac:dyDescent="0.25">
      <c r="Q1196" s="14"/>
      <c r="R1196" s="15"/>
      <c r="S1196" s="14"/>
      <c r="T1196" s="15"/>
      <c r="U1196" s="14"/>
      <c r="V1196" s="15"/>
      <c r="W1196" s="14"/>
      <c r="X1196" s="15"/>
      <c r="Y1196" s="14"/>
      <c r="Z1196" s="15"/>
    </row>
    <row r="1197" spans="1:26" x14ac:dyDescent="0.25">
      <c r="Q1197" s="14"/>
      <c r="R1197" s="15"/>
      <c r="S1197" s="14"/>
      <c r="T1197" s="15"/>
      <c r="U1197" s="14"/>
      <c r="V1197" s="15"/>
      <c r="W1197" s="14"/>
      <c r="X1197" s="15"/>
      <c r="Y1197" s="14"/>
      <c r="Z1197" s="15"/>
    </row>
    <row r="1198" spans="1:26" x14ac:dyDescent="0.25">
      <c r="Q1198" s="14"/>
      <c r="R1198" s="15"/>
      <c r="S1198" s="14"/>
      <c r="T1198" s="15"/>
      <c r="U1198" s="14"/>
      <c r="V1198" s="15"/>
      <c r="W1198" s="14"/>
      <c r="X1198" s="15"/>
      <c r="Y1198" s="14"/>
      <c r="Z1198" s="15"/>
    </row>
    <row r="1199" spans="1:26" x14ac:dyDescent="0.25">
      <c r="Q1199" s="14"/>
      <c r="R1199" s="15"/>
      <c r="S1199" s="14"/>
      <c r="T1199" s="15"/>
      <c r="U1199" s="14"/>
      <c r="V1199" s="15"/>
      <c r="W1199" s="14"/>
      <c r="X1199" s="15"/>
      <c r="Y1199" s="14"/>
      <c r="Z1199" s="15"/>
    </row>
    <row r="1200" spans="1:26" x14ac:dyDescent="0.25">
      <c r="Q1200" s="14"/>
      <c r="R1200" s="15"/>
      <c r="S1200" s="14"/>
      <c r="T1200" s="15"/>
      <c r="U1200" s="14"/>
      <c r="V1200" s="15"/>
      <c r="W1200" s="14"/>
      <c r="X1200" s="15"/>
      <c r="Y1200" s="14"/>
      <c r="Z1200" s="15"/>
    </row>
    <row r="1201" spans="1:26" x14ac:dyDescent="0.25">
      <c r="Q1201" s="14"/>
      <c r="R1201" s="15"/>
      <c r="S1201" s="14"/>
      <c r="T1201" s="15"/>
      <c r="U1201" s="14"/>
      <c r="V1201" s="15"/>
      <c r="W1201" s="14"/>
      <c r="X1201" s="15"/>
      <c r="Y1201" s="14"/>
      <c r="Z1201" s="15"/>
    </row>
    <row r="1202" spans="1:26" x14ac:dyDescent="0.25">
      <c r="Q1202" s="14"/>
      <c r="R1202" s="15"/>
      <c r="S1202" s="14"/>
      <c r="T1202" s="15"/>
      <c r="U1202" s="14"/>
      <c r="V1202" s="15"/>
      <c r="W1202" s="14"/>
      <c r="X1202" s="15"/>
      <c r="Y1202" s="14"/>
      <c r="Z1202" s="15"/>
    </row>
    <row r="1203" spans="1:26" x14ac:dyDescent="0.25">
      <c r="Q1203" s="14"/>
      <c r="R1203" s="15"/>
      <c r="S1203" s="14"/>
      <c r="T1203" s="15"/>
      <c r="U1203" s="14"/>
      <c r="V1203" s="15"/>
      <c r="W1203" s="14"/>
      <c r="X1203" s="15"/>
      <c r="Y1203" s="14"/>
      <c r="Z1203" s="15"/>
    </row>
    <row r="1204" spans="1:26" x14ac:dyDescent="0.25">
      <c r="Q1204" s="14"/>
      <c r="R1204" s="15"/>
      <c r="S1204" s="14"/>
      <c r="T1204" s="15"/>
      <c r="U1204" s="14"/>
      <c r="V1204" s="15"/>
      <c r="W1204" s="14"/>
      <c r="X1204" s="15"/>
      <c r="Y1204" s="14"/>
      <c r="Z1204" s="15"/>
    </row>
    <row r="1205" spans="1:26" x14ac:dyDescent="0.25">
      <c r="Q1205" s="14"/>
      <c r="R1205" s="15"/>
      <c r="S1205" s="14"/>
      <c r="T1205" s="15"/>
      <c r="U1205" s="14"/>
      <c r="V1205" s="15"/>
      <c r="W1205" s="14"/>
      <c r="X1205" s="15"/>
      <c r="Y1205" s="14"/>
      <c r="Z1205" s="15"/>
    </row>
    <row r="1206" spans="1:26" x14ac:dyDescent="0.25">
      <c r="Q1206" s="14"/>
      <c r="R1206" s="15"/>
      <c r="S1206" s="14"/>
      <c r="T1206" s="15"/>
      <c r="U1206" s="14"/>
      <c r="V1206" s="15"/>
      <c r="W1206" s="14"/>
      <c r="X1206" s="15"/>
      <c r="Y1206" s="14"/>
      <c r="Z1206" s="15"/>
    </row>
    <row r="1207" spans="1:26" x14ac:dyDescent="0.25">
      <c r="Q1207" s="14"/>
      <c r="R1207" s="15"/>
      <c r="S1207" s="14"/>
      <c r="T1207" s="15"/>
      <c r="U1207" s="14"/>
      <c r="V1207" s="15"/>
      <c r="W1207" s="14"/>
      <c r="X1207" s="15"/>
      <c r="Y1207" s="14"/>
      <c r="Z1207" s="15"/>
    </row>
    <row r="1208" spans="1:26" x14ac:dyDescent="0.25">
      <c r="Q1208" s="14"/>
      <c r="R1208" s="15"/>
      <c r="S1208" s="14"/>
      <c r="T1208" s="15"/>
      <c r="U1208" s="14"/>
      <c r="V1208" s="15"/>
      <c r="W1208" s="14"/>
      <c r="X1208" s="15"/>
      <c r="Y1208" s="14"/>
      <c r="Z1208" s="15"/>
    </row>
    <row r="1209" spans="1:26" x14ac:dyDescent="0.25">
      <c r="Q1209" s="14"/>
      <c r="R1209" s="15"/>
      <c r="S1209" s="14"/>
      <c r="T1209" s="15"/>
      <c r="U1209" s="14"/>
      <c r="V1209" s="15"/>
      <c r="W1209" s="14"/>
      <c r="X1209" s="15"/>
      <c r="Y1209" s="14"/>
      <c r="Z1209" s="15"/>
    </row>
    <row r="1210" spans="1:26" x14ac:dyDescent="0.25">
      <c r="Q1210" s="14"/>
      <c r="R1210" s="15"/>
      <c r="S1210" s="14"/>
      <c r="T1210" s="15"/>
      <c r="U1210" s="14"/>
      <c r="V1210" s="15"/>
      <c r="W1210" s="14"/>
      <c r="X1210" s="15"/>
      <c r="Y1210" s="14"/>
      <c r="Z1210" s="15"/>
    </row>
    <row r="1211" spans="1:26" x14ac:dyDescent="0.25">
      <c r="Q1211" s="14"/>
      <c r="R1211" s="15"/>
      <c r="S1211" s="14"/>
      <c r="T1211" s="15"/>
      <c r="U1211" s="14"/>
      <c r="V1211" s="15"/>
      <c r="W1211" s="14"/>
      <c r="X1211" s="15"/>
      <c r="Y1211" s="14"/>
      <c r="Z1211" s="15"/>
    </row>
    <row r="1212" spans="1:26" x14ac:dyDescent="0.25">
      <c r="Q1212" s="14"/>
      <c r="R1212" s="15"/>
      <c r="S1212" s="14"/>
      <c r="T1212" s="15"/>
      <c r="U1212" s="14"/>
      <c r="V1212" s="15"/>
      <c r="W1212" s="14"/>
      <c r="X1212" s="15"/>
      <c r="Y1212" s="14"/>
      <c r="Z1212" s="15"/>
    </row>
    <row r="1213" spans="1:26" x14ac:dyDescent="0.25">
      <c r="Q1213" s="14"/>
      <c r="R1213" s="15"/>
      <c r="S1213" s="14"/>
      <c r="T1213" s="15"/>
      <c r="U1213" s="14"/>
      <c r="V1213" s="15"/>
      <c r="W1213" s="14"/>
      <c r="X1213" s="15"/>
      <c r="Y1213" s="14"/>
      <c r="Z1213" s="15"/>
    </row>
    <row r="1214" spans="1:26" x14ac:dyDescent="0.25">
      <c r="Q1214" s="14"/>
      <c r="R1214" s="15"/>
      <c r="S1214" s="14"/>
      <c r="T1214" s="15"/>
      <c r="U1214" s="14"/>
      <c r="V1214" s="15"/>
      <c r="W1214" s="14"/>
      <c r="X1214" s="15"/>
      <c r="Y1214" s="14"/>
      <c r="Z1214" s="15"/>
    </row>
    <row r="1215" spans="1:26" x14ac:dyDescent="0.25">
      <c r="Q1215" s="14"/>
      <c r="R1215" s="15"/>
      <c r="S1215" s="14"/>
      <c r="T1215" s="15"/>
      <c r="U1215" s="14"/>
      <c r="V1215" s="15"/>
      <c r="W1215" s="14"/>
      <c r="X1215" s="15"/>
      <c r="Y1215" s="14"/>
      <c r="Z1215" s="15"/>
    </row>
    <row r="1216" spans="1:26" x14ac:dyDescent="0.25">
      <c r="Q1216" s="14"/>
      <c r="R1216" s="15"/>
      <c r="S1216" s="14"/>
      <c r="T1216" s="15"/>
      <c r="U1216" s="14"/>
      <c r="V1216" s="15"/>
      <c r="W1216" s="14"/>
      <c r="X1216" s="15"/>
      <c r="Y1216" s="14"/>
      <c r="Z1216" s="15"/>
    </row>
    <row r="1217" spans="1:26" x14ac:dyDescent="0.25">
      <c r="Q1217" s="14"/>
      <c r="R1217" s="15"/>
      <c r="S1217" s="14"/>
      <c r="T1217" s="15"/>
      <c r="U1217" s="14"/>
      <c r="V1217" s="15"/>
      <c r="W1217" s="14"/>
      <c r="X1217" s="15"/>
      <c r="Y1217" s="14"/>
      <c r="Z1217" s="15"/>
    </row>
    <row r="1218" spans="1:26" x14ac:dyDescent="0.25">
      <c r="Q1218" s="14"/>
      <c r="R1218" s="15"/>
      <c r="S1218" s="14"/>
      <c r="T1218" s="15"/>
      <c r="U1218" s="14"/>
      <c r="V1218" s="15"/>
      <c r="W1218" s="14"/>
      <c r="X1218" s="15"/>
      <c r="Y1218" s="14"/>
      <c r="Z1218" s="15"/>
    </row>
    <row r="1219" spans="1:26" x14ac:dyDescent="0.25">
      <c r="Q1219" s="14"/>
      <c r="R1219" s="15"/>
      <c r="S1219" s="14"/>
      <c r="T1219" s="15"/>
      <c r="U1219" s="14"/>
      <c r="V1219" s="15"/>
      <c r="W1219" s="14"/>
      <c r="X1219" s="15"/>
      <c r="Y1219" s="14"/>
      <c r="Z1219" s="15"/>
    </row>
    <row r="1220" spans="1:26" x14ac:dyDescent="0.25">
      <c r="Q1220" s="14"/>
      <c r="R1220" s="15"/>
      <c r="S1220" s="14"/>
      <c r="T1220" s="15"/>
      <c r="U1220" s="14"/>
      <c r="V1220" s="15"/>
      <c r="W1220" s="14"/>
      <c r="X1220" s="15"/>
      <c r="Y1220" s="14"/>
      <c r="Z1220" s="15"/>
    </row>
    <row r="1221" spans="1:26" x14ac:dyDescent="0.25">
      <c r="Q1221" s="14"/>
      <c r="R1221" s="15"/>
      <c r="S1221" s="14"/>
      <c r="T1221" s="15"/>
      <c r="U1221" s="14"/>
      <c r="V1221" s="15"/>
      <c r="W1221" s="14"/>
      <c r="X1221" s="15"/>
      <c r="Y1221" s="14"/>
      <c r="Z1221" s="15"/>
    </row>
    <row r="1222" spans="1:26" x14ac:dyDescent="0.25">
      <c r="Q1222" s="14"/>
      <c r="R1222" s="15"/>
      <c r="S1222" s="14"/>
      <c r="T1222" s="15"/>
      <c r="U1222" s="14"/>
      <c r="V1222" s="15"/>
      <c r="W1222" s="14"/>
      <c r="X1222" s="15"/>
      <c r="Y1222" s="14"/>
      <c r="Z1222" s="15"/>
    </row>
    <row r="1223" spans="1:26" x14ac:dyDescent="0.25">
      <c r="Q1223" s="14"/>
      <c r="R1223" s="15"/>
      <c r="S1223" s="14"/>
      <c r="T1223" s="15"/>
      <c r="U1223" s="14"/>
      <c r="V1223" s="15"/>
      <c r="W1223" s="14"/>
      <c r="X1223" s="15"/>
      <c r="Y1223" s="14"/>
      <c r="Z1223" s="15"/>
    </row>
    <row r="1224" spans="1:26" x14ac:dyDescent="0.25">
      <c r="Q1224" s="14"/>
      <c r="R1224" s="15"/>
      <c r="S1224" s="14"/>
      <c r="T1224" s="15"/>
      <c r="U1224" s="14"/>
      <c r="V1224" s="15"/>
      <c r="W1224" s="14"/>
      <c r="X1224" s="15"/>
      <c r="Y1224" s="14"/>
      <c r="Z1224" s="15"/>
    </row>
    <row r="1225" spans="1:26" x14ac:dyDescent="0.25">
      <c r="Q1225" s="14"/>
      <c r="R1225" s="15"/>
      <c r="S1225" s="14"/>
      <c r="T1225" s="15"/>
      <c r="U1225" s="14"/>
      <c r="V1225" s="15"/>
      <c r="W1225" s="14"/>
      <c r="X1225" s="15"/>
      <c r="Y1225" s="14"/>
      <c r="Z1225" s="15"/>
    </row>
    <row r="1226" spans="1:26" x14ac:dyDescent="0.25">
      <c r="Q1226" s="14"/>
      <c r="R1226" s="15"/>
      <c r="S1226" s="14"/>
      <c r="T1226" s="15"/>
      <c r="U1226" s="14"/>
      <c r="V1226" s="15"/>
      <c r="W1226" s="14"/>
      <c r="X1226" s="15"/>
      <c r="Y1226" s="14"/>
      <c r="Z1226" s="15"/>
    </row>
    <row r="1227" spans="1:26" x14ac:dyDescent="0.25">
      <c r="Q1227" s="14"/>
      <c r="R1227" s="15"/>
      <c r="S1227" s="14"/>
      <c r="T1227" s="15"/>
      <c r="U1227" s="14"/>
      <c r="V1227" s="15"/>
      <c r="W1227" s="14"/>
      <c r="X1227" s="15"/>
      <c r="Y1227" s="14"/>
      <c r="Z1227" s="15"/>
    </row>
    <row r="1228" spans="1:26" x14ac:dyDescent="0.25">
      <c r="Q1228" s="14"/>
      <c r="R1228" s="15"/>
      <c r="S1228" s="14"/>
      <c r="T1228" s="15"/>
      <c r="U1228" s="14"/>
      <c r="V1228" s="15"/>
      <c r="W1228" s="14"/>
      <c r="X1228" s="15"/>
      <c r="Y1228" s="14"/>
      <c r="Z1228" s="15"/>
    </row>
    <row r="1229" spans="1:26" x14ac:dyDescent="0.25">
      <c r="Q1229" s="14"/>
      <c r="R1229" s="15"/>
      <c r="S1229" s="14"/>
      <c r="T1229" s="15"/>
      <c r="U1229" s="14"/>
      <c r="V1229" s="15"/>
      <c r="W1229" s="14"/>
      <c r="X1229" s="15"/>
      <c r="Y1229" s="14"/>
      <c r="Z1229" s="15"/>
    </row>
    <row r="1230" spans="1:26" x14ac:dyDescent="0.25">
      <c r="Q1230" s="14"/>
      <c r="R1230" s="15"/>
      <c r="S1230" s="14"/>
      <c r="T1230" s="15"/>
      <c r="U1230" s="14"/>
      <c r="V1230" s="15"/>
      <c r="W1230" s="14"/>
      <c r="X1230" s="15"/>
      <c r="Y1230" s="14"/>
      <c r="Z1230" s="15"/>
    </row>
    <row r="1231" spans="1:26" x14ac:dyDescent="0.25">
      <c r="Q1231" s="14"/>
      <c r="R1231" s="15"/>
      <c r="S1231" s="14"/>
      <c r="T1231" s="15"/>
      <c r="U1231" s="14"/>
      <c r="V1231" s="15"/>
      <c r="W1231" s="14"/>
      <c r="X1231" s="15"/>
      <c r="Y1231" s="14"/>
      <c r="Z1231" s="15"/>
    </row>
    <row r="1232" spans="1:26" x14ac:dyDescent="0.25">
      <c r="Q1232" s="14"/>
      <c r="R1232" s="15"/>
      <c r="S1232" s="14"/>
      <c r="T1232" s="15"/>
      <c r="U1232" s="14"/>
      <c r="V1232" s="15"/>
      <c r="W1232" s="14"/>
      <c r="X1232" s="15"/>
      <c r="Y1232" s="14"/>
      <c r="Z1232" s="15"/>
    </row>
    <row r="1233" spans="1:26" x14ac:dyDescent="0.25">
      <c r="Q1233" s="14"/>
      <c r="R1233" s="15"/>
      <c r="S1233" s="14"/>
      <c r="T1233" s="15"/>
      <c r="U1233" s="14"/>
      <c r="V1233" s="15"/>
      <c r="W1233" s="14"/>
      <c r="X1233" s="15"/>
      <c r="Y1233" s="14"/>
      <c r="Z1233" s="15"/>
    </row>
    <row r="1234" spans="1:26" x14ac:dyDescent="0.25">
      <c r="Q1234" s="14"/>
      <c r="R1234" s="15"/>
      <c r="S1234" s="14"/>
      <c r="T1234" s="15"/>
      <c r="U1234" s="14"/>
      <c r="V1234" s="15"/>
      <c r="W1234" s="14"/>
      <c r="X1234" s="15"/>
      <c r="Y1234" s="14"/>
      <c r="Z1234" s="15"/>
    </row>
    <row r="1235" spans="1:26" x14ac:dyDescent="0.25">
      <c r="Q1235" s="14"/>
      <c r="R1235" s="15"/>
      <c r="S1235" s="14"/>
      <c r="T1235" s="15"/>
      <c r="U1235" s="14"/>
      <c r="V1235" s="15"/>
      <c r="W1235" s="14"/>
      <c r="X1235" s="15"/>
      <c r="Y1235" s="14"/>
      <c r="Z1235" s="15"/>
    </row>
    <row r="1236" spans="1:26" x14ac:dyDescent="0.25">
      <c r="Q1236" s="14"/>
      <c r="R1236" s="15"/>
      <c r="S1236" s="14"/>
      <c r="T1236" s="15"/>
      <c r="U1236" s="14"/>
      <c r="V1236" s="15"/>
      <c r="W1236" s="14"/>
      <c r="X1236" s="15"/>
      <c r="Y1236" s="14"/>
      <c r="Z1236" s="15"/>
    </row>
    <row r="1237" spans="1:26" x14ac:dyDescent="0.25">
      <c r="Q1237" s="14"/>
      <c r="R1237" s="15"/>
      <c r="S1237" s="14"/>
      <c r="T1237" s="15"/>
      <c r="U1237" s="14"/>
      <c r="V1237" s="15"/>
      <c r="W1237" s="14"/>
      <c r="X1237" s="15"/>
      <c r="Y1237" s="14"/>
      <c r="Z1237" s="15"/>
    </row>
    <row r="1238" spans="1:26" x14ac:dyDescent="0.25">
      <c r="Q1238" s="14"/>
      <c r="R1238" s="15"/>
      <c r="S1238" s="14"/>
      <c r="T1238" s="15"/>
      <c r="U1238" s="14"/>
      <c r="V1238" s="15"/>
      <c r="W1238" s="14"/>
      <c r="X1238" s="15"/>
      <c r="Y1238" s="14"/>
      <c r="Z1238" s="15"/>
    </row>
    <row r="1239" spans="1:26" x14ac:dyDescent="0.25">
      <c r="Q1239" s="14"/>
      <c r="R1239" s="15"/>
      <c r="S1239" s="14"/>
      <c r="T1239" s="15"/>
      <c r="U1239" s="14"/>
      <c r="V1239" s="15"/>
      <c r="W1239" s="14"/>
      <c r="X1239" s="15"/>
      <c r="Y1239" s="14"/>
      <c r="Z1239" s="15"/>
    </row>
    <row r="1240" spans="1:26" x14ac:dyDescent="0.25">
      <c r="Q1240" s="14"/>
      <c r="R1240" s="15"/>
      <c r="S1240" s="14"/>
      <c r="T1240" s="15"/>
      <c r="U1240" s="14"/>
      <c r="V1240" s="15"/>
      <c r="W1240" s="14"/>
      <c r="X1240" s="15"/>
      <c r="Y1240" s="14"/>
      <c r="Z1240" s="15"/>
    </row>
    <row r="1241" spans="1:26" x14ac:dyDescent="0.25">
      <c r="Q1241" s="14"/>
      <c r="R1241" s="15"/>
      <c r="S1241" s="14"/>
      <c r="T1241" s="15"/>
      <c r="U1241" s="14"/>
      <c r="V1241" s="15"/>
      <c r="W1241" s="14"/>
      <c r="X1241" s="15"/>
      <c r="Y1241" s="14"/>
      <c r="Z1241" s="15"/>
    </row>
    <row r="1242" spans="1:26" x14ac:dyDescent="0.25">
      <c r="Q1242" s="14"/>
      <c r="R1242" s="15"/>
      <c r="S1242" s="14"/>
      <c r="T1242" s="15"/>
      <c r="U1242" s="14"/>
      <c r="V1242" s="15"/>
      <c r="W1242" s="14"/>
      <c r="X1242" s="15"/>
      <c r="Y1242" s="14"/>
      <c r="Z1242" s="15"/>
    </row>
    <row r="1243" spans="1:26" x14ac:dyDescent="0.25">
      <c r="Q1243" s="14"/>
      <c r="R1243" s="15"/>
      <c r="S1243" s="14"/>
      <c r="T1243" s="15"/>
      <c r="U1243" s="14"/>
      <c r="V1243" s="15"/>
      <c r="W1243" s="14"/>
      <c r="X1243" s="15"/>
      <c r="Y1243" s="14"/>
      <c r="Z1243" s="15"/>
    </row>
    <row r="1244" spans="1:26" x14ac:dyDescent="0.25">
      <c r="Q1244" s="14"/>
      <c r="R1244" s="15"/>
      <c r="S1244" s="14"/>
      <c r="T1244" s="15"/>
      <c r="U1244" s="14"/>
      <c r="V1244" s="15"/>
      <c r="W1244" s="14"/>
      <c r="X1244" s="15"/>
      <c r="Y1244" s="14"/>
      <c r="Z1244" s="15"/>
    </row>
    <row r="1245" spans="1:26" x14ac:dyDescent="0.25">
      <c r="Q1245" s="14"/>
      <c r="R1245" s="15"/>
      <c r="S1245" s="14"/>
      <c r="T1245" s="15"/>
      <c r="U1245" s="14"/>
      <c r="V1245" s="15"/>
      <c r="W1245" s="14"/>
      <c r="X1245" s="15"/>
      <c r="Y1245" s="14"/>
      <c r="Z1245" s="15"/>
    </row>
    <row r="1246" spans="1:26" x14ac:dyDescent="0.25">
      <c r="Q1246" s="14"/>
      <c r="R1246" s="15"/>
      <c r="S1246" s="14"/>
      <c r="T1246" s="15"/>
      <c r="U1246" s="14"/>
      <c r="V1246" s="15"/>
      <c r="W1246" s="14"/>
      <c r="X1246" s="15"/>
      <c r="Y1246" s="14"/>
      <c r="Z1246" s="15"/>
    </row>
    <row r="1247" spans="1:26" x14ac:dyDescent="0.25">
      <c r="Q1247" s="14"/>
      <c r="R1247" s="15"/>
      <c r="S1247" s="14"/>
      <c r="T1247" s="15"/>
      <c r="U1247" s="14"/>
      <c r="V1247" s="15"/>
      <c r="W1247" s="14"/>
      <c r="X1247" s="15"/>
      <c r="Y1247" s="14"/>
      <c r="Z1247" s="15"/>
    </row>
    <row r="1248" spans="1:26" x14ac:dyDescent="0.25">
      <c r="Q1248" s="14"/>
      <c r="R1248" s="15"/>
      <c r="S1248" s="14"/>
      <c r="T1248" s="15"/>
      <c r="U1248" s="14"/>
      <c r="V1248" s="15"/>
      <c r="W1248" s="14"/>
      <c r="X1248" s="15"/>
      <c r="Y1248" s="14"/>
      <c r="Z1248" s="15"/>
    </row>
    <row r="1249" spans="1:26" x14ac:dyDescent="0.25">
      <c r="Q1249" s="14"/>
      <c r="R1249" s="15"/>
      <c r="S1249" s="14"/>
      <c r="T1249" s="15"/>
      <c r="U1249" s="14"/>
      <c r="V1249" s="15"/>
      <c r="W1249" s="14"/>
      <c r="X1249" s="15"/>
      <c r="Y1249" s="14"/>
      <c r="Z1249" s="15"/>
    </row>
    <row r="1250" spans="1:26" x14ac:dyDescent="0.25">
      <c r="Q1250" s="14"/>
      <c r="R1250" s="15"/>
      <c r="S1250" s="14"/>
      <c r="T1250" s="15"/>
      <c r="U1250" s="14"/>
      <c r="V1250" s="15"/>
      <c r="W1250" s="14"/>
      <c r="X1250" s="15"/>
      <c r="Y1250" s="14"/>
      <c r="Z1250" s="15"/>
    </row>
    <row r="1251" spans="1:26" x14ac:dyDescent="0.25">
      <c r="Q1251" s="14"/>
      <c r="R1251" s="15"/>
      <c r="S1251" s="14"/>
      <c r="T1251" s="15"/>
      <c r="U1251" s="14"/>
      <c r="V1251" s="15"/>
      <c r="W1251" s="14"/>
      <c r="X1251" s="15"/>
      <c r="Y1251" s="14"/>
      <c r="Z1251" s="15"/>
    </row>
    <row r="1252" spans="1:26" x14ac:dyDescent="0.25">
      <c r="Q1252" s="14"/>
      <c r="R1252" s="15"/>
      <c r="S1252" s="14"/>
      <c r="T1252" s="15"/>
      <c r="U1252" s="14"/>
      <c r="V1252" s="15"/>
      <c r="W1252" s="14"/>
      <c r="X1252" s="15"/>
      <c r="Y1252" s="14"/>
      <c r="Z1252" s="15"/>
    </row>
    <row r="1253" spans="1:26" x14ac:dyDescent="0.25">
      <c r="Q1253" s="14"/>
      <c r="R1253" s="15"/>
      <c r="S1253" s="14"/>
      <c r="T1253" s="15"/>
      <c r="U1253" s="14"/>
      <c r="V1253" s="15"/>
      <c r="W1253" s="14"/>
      <c r="X1253" s="15"/>
      <c r="Y1253" s="14"/>
      <c r="Z1253" s="15"/>
    </row>
    <row r="1254" spans="1:26" x14ac:dyDescent="0.25">
      <c r="Q1254" s="14"/>
      <c r="R1254" s="15"/>
      <c r="S1254" s="14"/>
      <c r="T1254" s="15"/>
      <c r="U1254" s="14"/>
      <c r="V1254" s="15"/>
      <c r="W1254" s="14"/>
      <c r="X1254" s="15"/>
      <c r="Y1254" s="14"/>
      <c r="Z1254" s="15"/>
    </row>
    <row r="1255" spans="1:26" x14ac:dyDescent="0.25">
      <c r="Q1255" s="14"/>
      <c r="R1255" s="15"/>
      <c r="S1255" s="14"/>
      <c r="T1255" s="15"/>
      <c r="U1255" s="14"/>
      <c r="V1255" s="15"/>
      <c r="W1255" s="14"/>
      <c r="X1255" s="15"/>
      <c r="Y1255" s="14"/>
      <c r="Z1255" s="15"/>
    </row>
    <row r="1256" spans="1:26" x14ac:dyDescent="0.25">
      <c r="Q1256" s="14"/>
      <c r="R1256" s="15"/>
      <c r="S1256" s="14"/>
      <c r="T1256" s="15"/>
      <c r="U1256" s="14"/>
      <c r="V1256" s="15"/>
      <c r="W1256" s="14"/>
      <c r="X1256" s="15"/>
      <c r="Y1256" s="14"/>
      <c r="Z1256" s="15"/>
    </row>
    <row r="1257" spans="1:26" x14ac:dyDescent="0.25">
      <c r="Q1257" s="14"/>
      <c r="R1257" s="15"/>
      <c r="S1257" s="14"/>
      <c r="T1257" s="15"/>
      <c r="U1257" s="14"/>
      <c r="V1257" s="15"/>
      <c r="W1257" s="14"/>
      <c r="X1257" s="15"/>
      <c r="Y1257" s="14"/>
      <c r="Z1257" s="15"/>
    </row>
    <row r="1258" spans="1:26" x14ac:dyDescent="0.25">
      <c r="Q1258" s="14"/>
      <c r="R1258" s="15"/>
      <c r="S1258" s="14"/>
      <c r="T1258" s="15"/>
      <c r="U1258" s="14"/>
      <c r="V1258" s="15"/>
      <c r="W1258" s="14"/>
      <c r="X1258" s="15"/>
      <c r="Y1258" s="14"/>
      <c r="Z1258" s="15"/>
    </row>
    <row r="1259" spans="1:26" x14ac:dyDescent="0.25">
      <c r="Q1259" s="14"/>
      <c r="R1259" s="15"/>
      <c r="S1259" s="14"/>
      <c r="T1259" s="15"/>
      <c r="U1259" s="14"/>
      <c r="V1259" s="15"/>
      <c r="W1259" s="14"/>
      <c r="X1259" s="15"/>
      <c r="Y1259" s="14"/>
      <c r="Z1259" s="15"/>
    </row>
    <row r="1260" spans="1:26" x14ac:dyDescent="0.25">
      <c r="Q1260" s="14"/>
      <c r="R1260" s="15"/>
      <c r="S1260" s="14"/>
      <c r="T1260" s="15"/>
      <c r="U1260" s="14"/>
      <c r="V1260" s="15"/>
      <c r="W1260" s="14"/>
      <c r="X1260" s="15"/>
      <c r="Y1260" s="14"/>
      <c r="Z1260" s="15"/>
    </row>
    <row r="1261" spans="1:26" x14ac:dyDescent="0.25">
      <c r="Q1261" s="14"/>
      <c r="R1261" s="15"/>
      <c r="S1261" s="14"/>
      <c r="T1261" s="15"/>
      <c r="U1261" s="14"/>
      <c r="V1261" s="15"/>
      <c r="W1261" s="14"/>
      <c r="X1261" s="15"/>
      <c r="Y1261" s="14"/>
      <c r="Z1261" s="15"/>
    </row>
    <row r="1262" spans="1:26" x14ac:dyDescent="0.25">
      <c r="Q1262" s="14"/>
      <c r="R1262" s="15"/>
      <c r="S1262" s="14"/>
      <c r="T1262" s="15"/>
      <c r="U1262" s="14"/>
      <c r="V1262" s="15"/>
      <c r="W1262" s="14"/>
      <c r="X1262" s="15"/>
      <c r="Y1262" s="14"/>
      <c r="Z1262" s="15"/>
    </row>
    <row r="1263" spans="1:26" x14ac:dyDescent="0.25">
      <c r="Q1263" s="14"/>
      <c r="R1263" s="15"/>
      <c r="S1263" s="14"/>
      <c r="T1263" s="15"/>
      <c r="U1263" s="14"/>
      <c r="V1263" s="15"/>
      <c r="W1263" s="14"/>
      <c r="X1263" s="15"/>
      <c r="Y1263" s="14"/>
      <c r="Z1263" s="15"/>
    </row>
    <row r="1264" spans="1:26" x14ac:dyDescent="0.25">
      <c r="Q1264" s="14"/>
      <c r="R1264" s="15"/>
      <c r="S1264" s="14"/>
      <c r="T1264" s="15"/>
      <c r="U1264" s="14"/>
      <c r="V1264" s="15"/>
      <c r="W1264" s="14"/>
      <c r="X1264" s="15"/>
      <c r="Y1264" s="14"/>
      <c r="Z1264" s="15"/>
    </row>
    <row r="1265" spans="1:26" x14ac:dyDescent="0.25">
      <c r="Q1265" s="14"/>
      <c r="R1265" s="15"/>
      <c r="S1265" s="14"/>
      <c r="T1265" s="15"/>
      <c r="U1265" s="14"/>
      <c r="V1265" s="15"/>
      <c r="W1265" s="14"/>
      <c r="X1265" s="15"/>
      <c r="Y1265" s="14"/>
      <c r="Z1265" s="15"/>
    </row>
    <row r="1266" spans="1:26" x14ac:dyDescent="0.25">
      <c r="Q1266" s="14"/>
      <c r="R1266" s="15"/>
      <c r="S1266" s="14"/>
      <c r="T1266" s="15"/>
      <c r="U1266" s="14"/>
      <c r="V1266" s="15"/>
      <c r="W1266" s="14"/>
      <c r="X1266" s="15"/>
      <c r="Y1266" s="14"/>
      <c r="Z1266" s="15"/>
    </row>
    <row r="1267" spans="1:26" x14ac:dyDescent="0.25">
      <c r="Q1267" s="14"/>
      <c r="R1267" s="15"/>
      <c r="S1267" s="14"/>
      <c r="T1267" s="15"/>
      <c r="U1267" s="14"/>
      <c r="V1267" s="15"/>
      <c r="W1267" s="14"/>
      <c r="X1267" s="15"/>
      <c r="Y1267" s="14"/>
      <c r="Z1267" s="15"/>
    </row>
    <row r="1268" spans="1:26" x14ac:dyDescent="0.25">
      <c r="Q1268" s="14"/>
      <c r="R1268" s="15"/>
      <c r="S1268" s="14"/>
      <c r="T1268" s="15"/>
      <c r="U1268" s="14"/>
      <c r="V1268" s="15"/>
      <c r="W1268" s="14"/>
      <c r="X1268" s="15"/>
      <c r="Y1268" s="14"/>
      <c r="Z1268" s="15"/>
    </row>
    <row r="1269" spans="1:26" x14ac:dyDescent="0.25">
      <c r="Q1269" s="14"/>
      <c r="R1269" s="15"/>
      <c r="S1269" s="14"/>
      <c r="T1269" s="15"/>
      <c r="U1269" s="14"/>
      <c r="V1269" s="15"/>
      <c r="W1269" s="14"/>
      <c r="X1269" s="15"/>
      <c r="Y1269" s="14"/>
      <c r="Z1269" s="15"/>
    </row>
    <row r="1270" spans="1:26" x14ac:dyDescent="0.25">
      <c r="Q1270" s="14"/>
      <c r="R1270" s="15"/>
      <c r="S1270" s="14"/>
      <c r="T1270" s="15"/>
      <c r="U1270" s="14"/>
      <c r="V1270" s="15"/>
      <c r="W1270" s="14"/>
      <c r="X1270" s="15"/>
      <c r="Y1270" s="14"/>
      <c r="Z1270" s="15"/>
    </row>
    <row r="1271" spans="1:26" x14ac:dyDescent="0.25">
      <c r="Q1271" s="14"/>
      <c r="R1271" s="15"/>
      <c r="S1271" s="14"/>
      <c r="T1271" s="15"/>
      <c r="U1271" s="14"/>
      <c r="V1271" s="15"/>
      <c r="W1271" s="14"/>
      <c r="X1271" s="15"/>
      <c r="Y1271" s="14"/>
      <c r="Z1271" s="15"/>
    </row>
    <row r="1272" spans="1:26" x14ac:dyDescent="0.25">
      <c r="Q1272" s="14"/>
      <c r="R1272" s="15"/>
      <c r="S1272" s="14"/>
      <c r="T1272" s="15"/>
      <c r="U1272" s="14"/>
      <c r="V1272" s="15"/>
      <c r="W1272" s="14"/>
      <c r="X1272" s="15"/>
      <c r="Y1272" s="14"/>
      <c r="Z1272" s="15"/>
    </row>
    <row r="1273" spans="1:26" x14ac:dyDescent="0.25">
      <c r="Q1273" s="14"/>
      <c r="R1273" s="15"/>
      <c r="S1273" s="14"/>
      <c r="T1273" s="15"/>
      <c r="U1273" s="14"/>
      <c r="V1273" s="15"/>
      <c r="W1273" s="14"/>
      <c r="X1273" s="15"/>
      <c r="Y1273" s="14"/>
      <c r="Z1273" s="15"/>
    </row>
    <row r="1274" spans="1:26" x14ac:dyDescent="0.25">
      <c r="Q1274" s="14"/>
      <c r="R1274" s="15"/>
      <c r="S1274" s="14"/>
      <c r="T1274" s="15"/>
      <c r="U1274" s="14"/>
      <c r="V1274" s="15"/>
      <c r="W1274" s="14"/>
      <c r="X1274" s="15"/>
      <c r="Y1274" s="14"/>
      <c r="Z1274" s="15"/>
    </row>
    <row r="1275" spans="1:26" x14ac:dyDescent="0.25">
      <c r="Q1275" s="14"/>
      <c r="R1275" s="15"/>
      <c r="S1275" s="14"/>
      <c r="T1275" s="15"/>
      <c r="U1275" s="14"/>
      <c r="V1275" s="15"/>
      <c r="W1275" s="14"/>
      <c r="X1275" s="15"/>
      <c r="Y1275" s="14"/>
      <c r="Z1275" s="15"/>
    </row>
    <row r="1276" spans="1:26" x14ac:dyDescent="0.25">
      <c r="Q1276" s="14"/>
      <c r="R1276" s="15"/>
      <c r="S1276" s="14"/>
      <c r="T1276" s="15"/>
      <c r="U1276" s="14"/>
      <c r="V1276" s="15"/>
      <c r="W1276" s="14"/>
      <c r="X1276" s="15"/>
      <c r="Y1276" s="14"/>
      <c r="Z1276" s="15"/>
    </row>
    <row r="1277" spans="1:26" x14ac:dyDescent="0.25">
      <c r="Q1277" s="14"/>
      <c r="R1277" s="15"/>
      <c r="S1277" s="14"/>
      <c r="T1277" s="15"/>
      <c r="U1277" s="14"/>
      <c r="V1277" s="15"/>
      <c r="W1277" s="14"/>
      <c r="X1277" s="15"/>
      <c r="Y1277" s="14"/>
      <c r="Z1277" s="15"/>
    </row>
    <row r="1278" spans="1:26" x14ac:dyDescent="0.25">
      <c r="Q1278" s="14"/>
      <c r="R1278" s="15"/>
      <c r="S1278" s="14"/>
      <c r="T1278" s="15"/>
      <c r="U1278" s="14"/>
      <c r="V1278" s="15"/>
      <c r="W1278" s="14"/>
      <c r="X1278" s="15"/>
      <c r="Y1278" s="14"/>
      <c r="Z1278" s="15"/>
    </row>
    <row r="1279" spans="1:26" x14ac:dyDescent="0.25">
      <c r="Q1279" s="14"/>
      <c r="R1279" s="15"/>
      <c r="S1279" s="14"/>
      <c r="T1279" s="15"/>
      <c r="U1279" s="14"/>
      <c r="V1279" s="15"/>
      <c r="W1279" s="14"/>
      <c r="X1279" s="15"/>
      <c r="Y1279" s="14"/>
      <c r="Z1279" s="15"/>
    </row>
    <row r="1280" spans="1:26" x14ac:dyDescent="0.25">
      <c r="Q1280" s="14"/>
      <c r="R1280" s="15"/>
      <c r="S1280" s="14"/>
      <c r="T1280" s="15"/>
      <c r="U1280" s="14"/>
      <c r="V1280" s="15"/>
      <c r="W1280" s="14"/>
      <c r="X1280" s="15"/>
      <c r="Y1280" s="14"/>
      <c r="Z1280" s="15"/>
    </row>
    <row r="1281" spans="1:26" x14ac:dyDescent="0.25">
      <c r="Q1281" s="14"/>
      <c r="R1281" s="15"/>
      <c r="S1281" s="14"/>
      <c r="T1281" s="15"/>
      <c r="U1281" s="14"/>
      <c r="V1281" s="15"/>
      <c r="W1281" s="14"/>
      <c r="X1281" s="15"/>
      <c r="Y1281" s="14"/>
      <c r="Z1281" s="15"/>
    </row>
    <row r="1282" spans="1:26" x14ac:dyDescent="0.25">
      <c r="Q1282" s="14"/>
      <c r="R1282" s="15"/>
      <c r="S1282" s="14"/>
      <c r="T1282" s="15"/>
      <c r="U1282" s="14"/>
      <c r="V1282" s="15"/>
      <c r="W1282" s="14"/>
      <c r="X1282" s="15"/>
      <c r="Y1282" s="14"/>
      <c r="Z1282" s="15"/>
    </row>
    <row r="1283" spans="1:26" x14ac:dyDescent="0.25">
      <c r="Q1283" s="14"/>
      <c r="R1283" s="15"/>
      <c r="S1283" s="14"/>
      <c r="T1283" s="15"/>
      <c r="U1283" s="14"/>
      <c r="V1283" s="15"/>
      <c r="W1283" s="14"/>
      <c r="X1283" s="15"/>
      <c r="Y1283" s="14"/>
      <c r="Z1283" s="15"/>
    </row>
    <row r="1284" spans="1:26" x14ac:dyDescent="0.25">
      <c r="Q1284" s="14"/>
      <c r="R1284" s="15"/>
      <c r="S1284" s="14"/>
      <c r="T1284" s="15"/>
      <c r="U1284" s="14"/>
      <c r="V1284" s="15"/>
      <c r="W1284" s="14"/>
      <c r="X1284" s="15"/>
      <c r="Y1284" s="14"/>
      <c r="Z1284" s="15"/>
    </row>
    <row r="1285" spans="1:26" x14ac:dyDescent="0.25">
      <c r="Q1285" s="14"/>
      <c r="R1285" s="15"/>
      <c r="S1285" s="14"/>
      <c r="T1285" s="15"/>
      <c r="U1285" s="14"/>
      <c r="V1285" s="15"/>
      <c r="W1285" s="14"/>
      <c r="X1285" s="15"/>
      <c r="Y1285" s="14"/>
      <c r="Z1285" s="15"/>
    </row>
    <row r="1286" spans="1:26" x14ac:dyDescent="0.25">
      <c r="Q1286" s="14"/>
      <c r="R1286" s="15"/>
      <c r="S1286" s="14"/>
      <c r="T1286" s="15"/>
      <c r="U1286" s="14"/>
      <c r="V1286" s="15"/>
      <c r="W1286" s="14"/>
      <c r="X1286" s="15"/>
      <c r="Y1286" s="14"/>
      <c r="Z1286" s="15"/>
    </row>
    <row r="1287" spans="1:26" x14ac:dyDescent="0.25">
      <c r="Q1287" s="14"/>
      <c r="R1287" s="15"/>
      <c r="S1287" s="14"/>
      <c r="T1287" s="15"/>
      <c r="U1287" s="14"/>
      <c r="V1287" s="15"/>
      <c r="W1287" s="14"/>
      <c r="X1287" s="15"/>
      <c r="Y1287" s="14"/>
      <c r="Z1287" s="15"/>
    </row>
    <row r="1288" spans="1:26" x14ac:dyDescent="0.25">
      <c r="Q1288" s="14"/>
      <c r="R1288" s="15"/>
      <c r="S1288" s="14"/>
      <c r="T1288" s="15"/>
      <c r="U1288" s="14"/>
      <c r="V1288" s="15"/>
      <c r="W1288" s="14"/>
      <c r="X1288" s="15"/>
      <c r="Y1288" s="14"/>
      <c r="Z1288" s="15"/>
    </row>
    <row r="1289" spans="1:26" x14ac:dyDescent="0.25">
      <c r="Q1289" s="14"/>
      <c r="R1289" s="15"/>
      <c r="S1289" s="14"/>
      <c r="T1289" s="15"/>
      <c r="U1289" s="14"/>
      <c r="V1289" s="15"/>
      <c r="W1289" s="14"/>
      <c r="X1289" s="15"/>
      <c r="Y1289" s="14"/>
      <c r="Z1289" s="15"/>
    </row>
    <row r="1290" spans="1:26" x14ac:dyDescent="0.25">
      <c r="Q1290" s="14"/>
      <c r="R1290" s="15"/>
      <c r="S1290" s="14"/>
      <c r="T1290" s="15"/>
      <c r="U1290" s="14"/>
      <c r="V1290" s="15"/>
      <c r="W1290" s="14"/>
      <c r="X1290" s="15"/>
      <c r="Y1290" s="14"/>
      <c r="Z1290" s="15"/>
    </row>
    <row r="1291" spans="1:26" x14ac:dyDescent="0.25">
      <c r="Q1291" s="14"/>
      <c r="R1291" s="15"/>
      <c r="S1291" s="14"/>
      <c r="T1291" s="15"/>
      <c r="U1291" s="14"/>
      <c r="V1291" s="15"/>
      <c r="W1291" s="14"/>
      <c r="X1291" s="15"/>
      <c r="Y1291" s="14"/>
      <c r="Z1291" s="15"/>
    </row>
    <row r="1292" spans="1:26" x14ac:dyDescent="0.25">
      <c r="Q1292" s="14"/>
      <c r="R1292" s="15"/>
      <c r="S1292" s="14"/>
      <c r="T1292" s="15"/>
      <c r="U1292" s="14"/>
      <c r="V1292" s="15"/>
      <c r="W1292" s="14"/>
      <c r="X1292" s="15"/>
      <c r="Y1292" s="14"/>
      <c r="Z1292" s="15"/>
    </row>
    <row r="1293" spans="1:26" x14ac:dyDescent="0.25">
      <c r="Q1293" s="14"/>
      <c r="R1293" s="15"/>
      <c r="S1293" s="14"/>
      <c r="T1293" s="15"/>
      <c r="U1293" s="14"/>
      <c r="V1293" s="15"/>
      <c r="W1293" s="14"/>
      <c r="X1293" s="15"/>
      <c r="Y1293" s="14"/>
      <c r="Z1293" s="15"/>
    </row>
    <row r="1294" spans="1:26" x14ac:dyDescent="0.25">
      <c r="Q1294" s="14"/>
      <c r="R1294" s="15"/>
      <c r="S1294" s="14"/>
      <c r="T1294" s="15"/>
      <c r="U1294" s="14"/>
      <c r="V1294" s="15"/>
      <c r="W1294" s="14"/>
      <c r="X1294" s="15"/>
      <c r="Y1294" s="14"/>
      <c r="Z1294" s="15"/>
    </row>
    <row r="1295" spans="1:26" x14ac:dyDescent="0.25">
      <c r="Q1295" s="14"/>
      <c r="R1295" s="15"/>
      <c r="S1295" s="14"/>
      <c r="T1295" s="15"/>
      <c r="U1295" s="14"/>
      <c r="V1295" s="15"/>
      <c r="W1295" s="14"/>
      <c r="X1295" s="15"/>
      <c r="Y1295" s="14"/>
      <c r="Z1295" s="15"/>
    </row>
    <row r="1296" spans="1:26" x14ac:dyDescent="0.25">
      <c r="Q1296" s="14"/>
      <c r="R1296" s="15"/>
      <c r="S1296" s="14"/>
      <c r="T1296" s="15"/>
      <c r="U1296" s="14"/>
      <c r="V1296" s="15"/>
      <c r="W1296" s="14"/>
      <c r="X1296" s="15"/>
      <c r="Y1296" s="14"/>
      <c r="Z1296" s="15"/>
    </row>
    <row r="1297" spans="1:26" x14ac:dyDescent="0.25">
      <c r="Q1297" s="14"/>
      <c r="R1297" s="15"/>
      <c r="S1297" s="14"/>
      <c r="T1297" s="15"/>
      <c r="U1297" s="14"/>
      <c r="V1297" s="15"/>
      <c r="W1297" s="14"/>
      <c r="X1297" s="15"/>
      <c r="Y1297" s="14"/>
      <c r="Z1297" s="15"/>
    </row>
    <row r="1298" spans="1:26" x14ac:dyDescent="0.25">
      <c r="Q1298" s="14"/>
      <c r="R1298" s="15"/>
      <c r="S1298" s="14"/>
      <c r="T1298" s="15"/>
      <c r="U1298" s="14"/>
      <c r="V1298" s="15"/>
      <c r="W1298" s="14"/>
      <c r="X1298" s="15"/>
      <c r="Y1298" s="14"/>
      <c r="Z1298" s="15"/>
    </row>
    <row r="1299" spans="1:26" x14ac:dyDescent="0.25">
      <c r="Q1299" s="14"/>
      <c r="R1299" s="15"/>
      <c r="S1299" s="14"/>
      <c r="T1299" s="15"/>
      <c r="U1299" s="14"/>
      <c r="V1299" s="15"/>
      <c r="W1299" s="14"/>
      <c r="X1299" s="15"/>
      <c r="Y1299" s="14"/>
      <c r="Z1299" s="15"/>
    </row>
    <row r="1300" spans="1:26" x14ac:dyDescent="0.25">
      <c r="Q1300" s="14"/>
      <c r="R1300" s="15"/>
      <c r="S1300" s="14"/>
      <c r="T1300" s="15"/>
      <c r="U1300" s="14"/>
      <c r="V1300" s="15"/>
      <c r="W1300" s="14"/>
      <c r="X1300" s="15"/>
      <c r="Y1300" s="14"/>
      <c r="Z1300" s="15"/>
    </row>
    <row r="1301" spans="1:26" x14ac:dyDescent="0.25">
      <c r="Q1301" s="14"/>
      <c r="R1301" s="15"/>
      <c r="S1301" s="14"/>
      <c r="T1301" s="15"/>
      <c r="U1301" s="14"/>
      <c r="V1301" s="15"/>
      <c r="W1301" s="14"/>
      <c r="X1301" s="15"/>
      <c r="Y1301" s="14"/>
      <c r="Z1301" s="15"/>
    </row>
    <row r="1302" spans="1:26" x14ac:dyDescent="0.25">
      <c r="Q1302" s="14"/>
      <c r="R1302" s="15"/>
      <c r="S1302" s="14"/>
      <c r="T1302" s="15"/>
      <c r="U1302" s="14"/>
      <c r="V1302" s="15"/>
      <c r="W1302" s="14"/>
      <c r="X1302" s="15"/>
      <c r="Y1302" s="14"/>
      <c r="Z1302" s="15"/>
    </row>
    <row r="1303" spans="1:26" x14ac:dyDescent="0.25">
      <c r="Q1303" s="14"/>
      <c r="R1303" s="15"/>
      <c r="S1303" s="14"/>
      <c r="T1303" s="15"/>
      <c r="U1303" s="14"/>
      <c r="V1303" s="15"/>
      <c r="W1303" s="14"/>
      <c r="X1303" s="15"/>
      <c r="Y1303" s="14"/>
      <c r="Z1303" s="15"/>
    </row>
    <row r="1304" spans="1:26" x14ac:dyDescent="0.25">
      <c r="Q1304" s="14"/>
      <c r="R1304" s="15"/>
      <c r="S1304" s="14"/>
      <c r="T1304" s="15"/>
      <c r="U1304" s="14"/>
      <c r="V1304" s="15"/>
      <c r="W1304" s="14"/>
      <c r="X1304" s="15"/>
      <c r="Y1304" s="14"/>
      <c r="Z1304" s="15"/>
    </row>
    <row r="1305" spans="1:26" x14ac:dyDescent="0.25">
      <c r="Q1305" s="14"/>
      <c r="R1305" s="15"/>
      <c r="S1305" s="14"/>
      <c r="T1305" s="15"/>
      <c r="U1305" s="14"/>
      <c r="V1305" s="15"/>
      <c r="W1305" s="14"/>
      <c r="X1305" s="15"/>
      <c r="Y1305" s="14"/>
      <c r="Z1305" s="15"/>
    </row>
    <row r="1306" spans="1:26" x14ac:dyDescent="0.25">
      <c r="Q1306" s="14"/>
      <c r="R1306" s="15"/>
      <c r="S1306" s="14"/>
      <c r="T1306" s="15"/>
      <c r="U1306" s="14"/>
      <c r="V1306" s="15"/>
      <c r="W1306" s="14"/>
      <c r="X1306" s="15"/>
      <c r="Y1306" s="14"/>
      <c r="Z1306" s="15"/>
    </row>
    <row r="1307" spans="1:26" x14ac:dyDescent="0.25">
      <c r="Q1307" s="14"/>
      <c r="R1307" s="15"/>
      <c r="S1307" s="14"/>
      <c r="T1307" s="15"/>
      <c r="U1307" s="14"/>
      <c r="V1307" s="15"/>
      <c r="W1307" s="14"/>
      <c r="X1307" s="15"/>
      <c r="Y1307" s="14"/>
      <c r="Z1307" s="15"/>
    </row>
    <row r="1308" spans="1:26" x14ac:dyDescent="0.25">
      <c r="Q1308" s="14"/>
      <c r="R1308" s="15"/>
      <c r="S1308" s="14"/>
      <c r="T1308" s="15"/>
      <c r="U1308" s="14"/>
      <c r="V1308" s="15"/>
      <c r="W1308" s="14"/>
      <c r="X1308" s="15"/>
      <c r="Y1308" s="14"/>
      <c r="Z1308" s="15"/>
    </row>
    <row r="1309" spans="1:26" x14ac:dyDescent="0.25">
      <c r="Q1309" s="14"/>
      <c r="R1309" s="15"/>
      <c r="S1309" s="14"/>
      <c r="T1309" s="15"/>
      <c r="U1309" s="14"/>
      <c r="V1309" s="15"/>
      <c r="W1309" s="14"/>
      <c r="X1309" s="15"/>
      <c r="Y1309" s="14"/>
      <c r="Z1309" s="15"/>
    </row>
    <row r="1310" spans="1:26" x14ac:dyDescent="0.25">
      <c r="Q1310" s="14"/>
      <c r="R1310" s="15"/>
      <c r="S1310" s="14"/>
      <c r="T1310" s="15"/>
      <c r="U1310" s="14"/>
      <c r="V1310" s="15"/>
      <c r="W1310" s="14"/>
      <c r="X1310" s="15"/>
      <c r="Y1310" s="14"/>
      <c r="Z1310" s="15"/>
    </row>
    <row r="1311" spans="1:26" x14ac:dyDescent="0.25">
      <c r="Q1311" s="14"/>
      <c r="R1311" s="15"/>
      <c r="S1311" s="14"/>
      <c r="T1311" s="15"/>
      <c r="U1311" s="14"/>
      <c r="V1311" s="15"/>
      <c r="W1311" s="14"/>
      <c r="X1311" s="15"/>
      <c r="Y1311" s="14"/>
      <c r="Z1311" s="15"/>
    </row>
    <row r="1312" spans="1:26" x14ac:dyDescent="0.25">
      <c r="Q1312" s="14"/>
      <c r="R1312" s="15"/>
      <c r="S1312" s="14"/>
      <c r="T1312" s="15"/>
      <c r="U1312" s="14"/>
      <c r="V1312" s="15"/>
      <c r="W1312" s="14"/>
      <c r="X1312" s="15"/>
      <c r="Y1312" s="14"/>
      <c r="Z1312" s="15"/>
    </row>
    <row r="1313" spans="1:26" x14ac:dyDescent="0.25">
      <c r="Q1313" s="14"/>
      <c r="R1313" s="15"/>
      <c r="S1313" s="14"/>
      <c r="T1313" s="15"/>
      <c r="U1313" s="14"/>
      <c r="V1313" s="15"/>
      <c r="W1313" s="14"/>
      <c r="X1313" s="15"/>
      <c r="Y1313" s="14"/>
      <c r="Z1313" s="15"/>
    </row>
    <row r="1314" spans="1:26" x14ac:dyDescent="0.25">
      <c r="Q1314" s="14"/>
      <c r="R1314" s="15"/>
      <c r="S1314" s="14"/>
      <c r="T1314" s="15"/>
      <c r="U1314" s="14"/>
      <c r="V1314" s="15"/>
      <c r="W1314" s="14"/>
      <c r="X1314" s="15"/>
      <c r="Y1314" s="14"/>
      <c r="Z1314" s="15"/>
    </row>
    <row r="1315" spans="1:26" x14ac:dyDescent="0.25">
      <c r="Q1315" s="14"/>
      <c r="R1315" s="15"/>
      <c r="S1315" s="14"/>
      <c r="T1315" s="15"/>
      <c r="U1315" s="14"/>
      <c r="V1315" s="15"/>
      <c r="W1315" s="14"/>
      <c r="X1315" s="15"/>
      <c r="Y1315" s="14"/>
      <c r="Z1315" s="15"/>
    </row>
    <row r="1316" spans="1:26" x14ac:dyDescent="0.25">
      <c r="Q1316" s="14"/>
      <c r="R1316" s="15"/>
      <c r="S1316" s="14"/>
      <c r="T1316" s="15"/>
      <c r="U1316" s="14"/>
      <c r="V1316" s="15"/>
      <c r="W1316" s="14"/>
      <c r="X1316" s="15"/>
      <c r="Y1316" s="14"/>
      <c r="Z1316" s="15"/>
    </row>
    <row r="1317" spans="1:26" x14ac:dyDescent="0.25">
      <c r="Q1317" s="14"/>
      <c r="R1317" s="15"/>
      <c r="S1317" s="14"/>
      <c r="T1317" s="15"/>
      <c r="U1317" s="14"/>
      <c r="V1317" s="15"/>
      <c r="W1317" s="14"/>
      <c r="X1317" s="15"/>
      <c r="Y1317" s="14"/>
      <c r="Z1317" s="15"/>
    </row>
    <row r="1318" spans="1:26" x14ac:dyDescent="0.25">
      <c r="Q1318" s="14"/>
      <c r="R1318" s="15"/>
      <c r="S1318" s="14"/>
      <c r="T1318" s="15"/>
      <c r="U1318" s="14"/>
      <c r="V1318" s="15"/>
      <c r="W1318" s="14"/>
      <c r="X1318" s="15"/>
      <c r="Y1318" s="14"/>
      <c r="Z1318" s="15"/>
    </row>
    <row r="1319" spans="1:26" x14ac:dyDescent="0.25">
      <c r="Q1319" s="14"/>
      <c r="R1319" s="15"/>
      <c r="S1319" s="14"/>
      <c r="T1319" s="15"/>
      <c r="U1319" s="14"/>
      <c r="V1319" s="15"/>
      <c r="W1319" s="14"/>
      <c r="X1319" s="15"/>
      <c r="Y1319" s="14"/>
      <c r="Z1319" s="15"/>
    </row>
    <row r="1320" spans="1:26" x14ac:dyDescent="0.25">
      <c r="Q1320" s="14"/>
      <c r="R1320" s="15"/>
      <c r="S1320" s="14"/>
      <c r="T1320" s="15"/>
      <c r="U1320" s="14"/>
      <c r="V1320" s="15"/>
      <c r="W1320" s="14"/>
      <c r="X1320" s="15"/>
      <c r="Y1320" s="14"/>
      <c r="Z1320" s="15"/>
    </row>
    <row r="1321" spans="1:26" x14ac:dyDescent="0.25">
      <c r="Q1321" s="14"/>
      <c r="R1321" s="15"/>
      <c r="S1321" s="14"/>
      <c r="T1321" s="15"/>
      <c r="U1321" s="14"/>
      <c r="V1321" s="15"/>
      <c r="W1321" s="14"/>
      <c r="X1321" s="15"/>
      <c r="Y1321" s="14"/>
      <c r="Z1321" s="15"/>
    </row>
    <row r="1322" spans="1:26" x14ac:dyDescent="0.25">
      <c r="Q1322" s="14"/>
      <c r="R1322" s="15"/>
      <c r="S1322" s="14"/>
      <c r="T1322" s="15"/>
      <c r="U1322" s="14"/>
      <c r="V1322" s="15"/>
      <c r="W1322" s="14"/>
      <c r="X1322" s="15"/>
      <c r="Y1322" s="14"/>
      <c r="Z1322" s="15"/>
    </row>
    <row r="1323" spans="1:26" x14ac:dyDescent="0.25">
      <c r="Q1323" s="14"/>
      <c r="R1323" s="15"/>
      <c r="S1323" s="14"/>
      <c r="T1323" s="15"/>
      <c r="U1323" s="14"/>
      <c r="V1323" s="15"/>
      <c r="W1323" s="14"/>
      <c r="X1323" s="15"/>
      <c r="Y1323" s="14"/>
      <c r="Z1323" s="15"/>
    </row>
    <row r="1324" spans="1:26" x14ac:dyDescent="0.25">
      <c r="Q1324" s="14"/>
      <c r="R1324" s="15"/>
      <c r="S1324" s="14"/>
      <c r="T1324" s="15"/>
      <c r="U1324" s="14"/>
      <c r="V1324" s="15"/>
      <c r="W1324" s="14"/>
      <c r="X1324" s="15"/>
      <c r="Y1324" s="14"/>
      <c r="Z1324" s="15"/>
    </row>
    <row r="1325" spans="1:26" x14ac:dyDescent="0.25">
      <c r="Q1325" s="14"/>
      <c r="R1325" s="15"/>
      <c r="S1325" s="14"/>
      <c r="T1325" s="15"/>
      <c r="U1325" s="14"/>
      <c r="V1325" s="15"/>
      <c r="W1325" s="14"/>
      <c r="X1325" s="15"/>
      <c r="Y1325" s="14"/>
      <c r="Z1325" s="15"/>
    </row>
    <row r="1326" spans="1:26" x14ac:dyDescent="0.25">
      <c r="Q1326" s="14"/>
      <c r="R1326" s="15"/>
      <c r="S1326" s="14"/>
      <c r="T1326" s="15"/>
      <c r="U1326" s="14"/>
      <c r="V1326" s="15"/>
      <c r="W1326" s="14"/>
      <c r="X1326" s="15"/>
      <c r="Y1326" s="14"/>
      <c r="Z1326" s="15"/>
    </row>
    <row r="1327" spans="1:26" x14ac:dyDescent="0.25">
      <c r="Q1327" s="14"/>
      <c r="R1327" s="15"/>
      <c r="S1327" s="14"/>
      <c r="T1327" s="15"/>
      <c r="U1327" s="14"/>
      <c r="V1327" s="15"/>
      <c r="W1327" s="14"/>
      <c r="X1327" s="15"/>
      <c r="Y1327" s="14"/>
      <c r="Z1327" s="15"/>
    </row>
    <row r="1328" spans="1:26" x14ac:dyDescent="0.25">
      <c r="Q1328" s="14"/>
      <c r="R1328" s="15"/>
      <c r="S1328" s="14"/>
      <c r="T1328" s="15"/>
      <c r="U1328" s="14"/>
      <c r="V1328" s="15"/>
      <c r="W1328" s="14"/>
      <c r="X1328" s="15"/>
      <c r="Y1328" s="14"/>
      <c r="Z1328" s="15"/>
    </row>
    <row r="1329" spans="1:26" x14ac:dyDescent="0.25">
      <c r="Q1329" s="14"/>
      <c r="R1329" s="15"/>
      <c r="S1329" s="14"/>
      <c r="T1329" s="15"/>
      <c r="U1329" s="14"/>
      <c r="V1329" s="15"/>
      <c r="W1329" s="14"/>
      <c r="X1329" s="15"/>
      <c r="Y1329" s="14"/>
      <c r="Z1329" s="15"/>
    </row>
    <row r="1330" spans="1:26" x14ac:dyDescent="0.25">
      <c r="Q1330" s="14"/>
      <c r="R1330" s="15"/>
      <c r="S1330" s="14"/>
      <c r="T1330" s="15"/>
      <c r="U1330" s="14"/>
      <c r="V1330" s="15"/>
      <c r="W1330" s="14"/>
      <c r="X1330" s="15"/>
      <c r="Y1330" s="14"/>
      <c r="Z1330" s="15"/>
    </row>
    <row r="1331" spans="1:26" x14ac:dyDescent="0.25">
      <c r="Q1331" s="14"/>
      <c r="R1331" s="15"/>
      <c r="S1331" s="14"/>
      <c r="T1331" s="15"/>
      <c r="U1331" s="14"/>
      <c r="V1331" s="15"/>
      <c r="W1331" s="14"/>
      <c r="X1331" s="15"/>
      <c r="Y1331" s="14"/>
      <c r="Z1331" s="15"/>
    </row>
    <row r="1332" spans="1:26" x14ac:dyDescent="0.25">
      <c r="Q1332" s="14"/>
      <c r="R1332" s="15"/>
      <c r="S1332" s="14"/>
      <c r="T1332" s="15"/>
      <c r="U1332" s="14"/>
      <c r="V1332" s="15"/>
      <c r="W1332" s="14"/>
      <c r="X1332" s="15"/>
      <c r="Y1332" s="14"/>
      <c r="Z1332" s="15"/>
    </row>
    <row r="1333" spans="1:26" x14ac:dyDescent="0.25">
      <c r="Q1333" s="14"/>
      <c r="R1333" s="15"/>
      <c r="S1333" s="14"/>
      <c r="T1333" s="15"/>
      <c r="U1333" s="14"/>
      <c r="V1333" s="15"/>
      <c r="W1333" s="14"/>
      <c r="X1333" s="15"/>
      <c r="Y1333" s="14"/>
      <c r="Z1333" s="15"/>
    </row>
    <row r="1334" spans="1:26" x14ac:dyDescent="0.25">
      <c r="Q1334" s="14"/>
      <c r="R1334" s="15"/>
      <c r="S1334" s="14"/>
      <c r="T1334" s="15"/>
      <c r="U1334" s="14"/>
      <c r="V1334" s="15"/>
      <c r="W1334" s="14"/>
      <c r="X1334" s="15"/>
      <c r="Y1334" s="14"/>
      <c r="Z1334" s="15"/>
    </row>
    <row r="1335" spans="1:26" x14ac:dyDescent="0.25">
      <c r="Q1335" s="14"/>
      <c r="R1335" s="15"/>
      <c r="S1335" s="14"/>
      <c r="T1335" s="15"/>
      <c r="U1335" s="14"/>
      <c r="V1335" s="15"/>
      <c r="W1335" s="14"/>
      <c r="X1335" s="15"/>
      <c r="Y1335" s="14"/>
      <c r="Z1335" s="15"/>
    </row>
    <row r="1336" spans="1:26" x14ac:dyDescent="0.25">
      <c r="Q1336" s="14"/>
      <c r="R1336" s="15"/>
      <c r="S1336" s="14"/>
      <c r="T1336" s="15"/>
      <c r="U1336" s="14"/>
      <c r="V1336" s="15"/>
      <c r="W1336" s="14"/>
      <c r="X1336" s="15"/>
      <c r="Y1336" s="14"/>
      <c r="Z1336" s="15"/>
    </row>
    <row r="1337" spans="1:26" x14ac:dyDescent="0.25">
      <c r="Q1337" s="14"/>
      <c r="R1337" s="15"/>
      <c r="S1337" s="14"/>
      <c r="T1337" s="15"/>
      <c r="U1337" s="14"/>
      <c r="V1337" s="15"/>
      <c r="W1337" s="14"/>
      <c r="X1337" s="15"/>
      <c r="Y1337" s="14"/>
      <c r="Z1337" s="15"/>
    </row>
    <row r="1338" spans="1:26" x14ac:dyDescent="0.25">
      <c r="Q1338" s="14"/>
      <c r="R1338" s="15"/>
      <c r="S1338" s="14"/>
      <c r="T1338" s="15"/>
      <c r="U1338" s="14"/>
      <c r="V1338" s="15"/>
      <c r="W1338" s="14"/>
      <c r="X1338" s="15"/>
      <c r="Y1338" s="14"/>
      <c r="Z1338" s="15"/>
    </row>
    <row r="1339" spans="1:26" x14ac:dyDescent="0.25">
      <c r="Q1339" s="14"/>
      <c r="R1339" s="15"/>
      <c r="S1339" s="14"/>
      <c r="T1339" s="15"/>
      <c r="U1339" s="14"/>
      <c r="V1339" s="15"/>
      <c r="W1339" s="14"/>
      <c r="X1339" s="15"/>
      <c r="Y1339" s="14"/>
      <c r="Z1339" s="15"/>
    </row>
    <row r="1340" spans="1:26" x14ac:dyDescent="0.25">
      <c r="Q1340" s="14"/>
      <c r="R1340" s="15"/>
      <c r="S1340" s="14"/>
      <c r="T1340" s="15"/>
      <c r="U1340" s="14"/>
      <c r="V1340" s="15"/>
      <c r="W1340" s="14"/>
      <c r="X1340" s="15"/>
      <c r="Y1340" s="14"/>
      <c r="Z1340" s="15"/>
    </row>
    <row r="1341" spans="1:26" x14ac:dyDescent="0.25">
      <c r="Q1341" s="14"/>
      <c r="R1341" s="15"/>
      <c r="S1341" s="14"/>
      <c r="T1341" s="15"/>
      <c r="U1341" s="14"/>
      <c r="V1341" s="15"/>
      <c r="W1341" s="14"/>
      <c r="X1341" s="15"/>
      <c r="Y1341" s="14"/>
      <c r="Z1341" s="15"/>
    </row>
    <row r="1342" spans="1:26" x14ac:dyDescent="0.25">
      <c r="Q1342" s="14"/>
      <c r="R1342" s="15"/>
      <c r="S1342" s="14"/>
      <c r="T1342" s="15"/>
      <c r="U1342" s="14"/>
      <c r="V1342" s="15"/>
      <c r="W1342" s="14"/>
      <c r="X1342" s="15"/>
      <c r="Y1342" s="14"/>
      <c r="Z1342" s="15"/>
    </row>
    <row r="1343" spans="1:26" x14ac:dyDescent="0.25">
      <c r="Q1343" s="14"/>
      <c r="R1343" s="15"/>
      <c r="S1343" s="14"/>
      <c r="T1343" s="15"/>
      <c r="U1343" s="14"/>
      <c r="V1343" s="15"/>
      <c r="W1343" s="14"/>
      <c r="X1343" s="15"/>
      <c r="Y1343" s="14"/>
      <c r="Z1343" s="15"/>
    </row>
    <row r="1344" spans="1:26" x14ac:dyDescent="0.25">
      <c r="Q1344" s="14"/>
      <c r="R1344" s="15"/>
      <c r="S1344" s="14"/>
      <c r="T1344" s="15"/>
      <c r="U1344" s="14"/>
      <c r="V1344" s="15"/>
      <c r="W1344" s="14"/>
      <c r="X1344" s="15"/>
      <c r="Y1344" s="14"/>
      <c r="Z1344" s="15"/>
    </row>
    <row r="1345" spans="1:26" x14ac:dyDescent="0.25">
      <c r="Q1345" s="14"/>
      <c r="R1345" s="15"/>
      <c r="S1345" s="14"/>
      <c r="T1345" s="15"/>
      <c r="U1345" s="14"/>
      <c r="V1345" s="15"/>
      <c r="W1345" s="14"/>
      <c r="X1345" s="15"/>
      <c r="Y1345" s="14"/>
      <c r="Z1345" s="15"/>
    </row>
    <row r="1346" spans="1:26" x14ac:dyDescent="0.25">
      <c r="Q1346" s="14"/>
      <c r="R1346" s="15"/>
      <c r="S1346" s="14"/>
      <c r="T1346" s="15"/>
      <c r="U1346" s="14"/>
      <c r="V1346" s="15"/>
      <c r="W1346" s="14"/>
      <c r="X1346" s="15"/>
      <c r="Y1346" s="14"/>
      <c r="Z1346" s="15"/>
    </row>
    <row r="1347" spans="1:26" x14ac:dyDescent="0.25">
      <c r="Q1347" s="14"/>
      <c r="R1347" s="15"/>
      <c r="S1347" s="14"/>
      <c r="T1347" s="15"/>
      <c r="U1347" s="14"/>
      <c r="V1347" s="15"/>
      <c r="W1347" s="14"/>
      <c r="X1347" s="15"/>
      <c r="Y1347" s="14"/>
      <c r="Z1347" s="15"/>
    </row>
    <row r="1348" spans="1:26" x14ac:dyDescent="0.25">
      <c r="Q1348" s="14"/>
      <c r="R1348" s="15"/>
      <c r="S1348" s="14"/>
      <c r="T1348" s="15"/>
      <c r="U1348" s="14"/>
      <c r="V1348" s="15"/>
      <c r="W1348" s="14"/>
      <c r="X1348" s="15"/>
      <c r="Y1348" s="14"/>
      <c r="Z1348" s="15"/>
    </row>
    <row r="1349" spans="1:26" x14ac:dyDescent="0.25">
      <c r="Q1349" s="14"/>
      <c r="R1349" s="15"/>
      <c r="S1349" s="14"/>
      <c r="T1349" s="15"/>
      <c r="U1349" s="14"/>
      <c r="V1349" s="15"/>
      <c r="W1349" s="14"/>
      <c r="X1349" s="15"/>
      <c r="Y1349" s="14"/>
      <c r="Z1349" s="15"/>
    </row>
    <row r="1350" spans="1:26" x14ac:dyDescent="0.25">
      <c r="Q1350" s="14"/>
      <c r="R1350" s="15"/>
      <c r="S1350" s="14"/>
      <c r="T1350" s="15"/>
      <c r="U1350" s="14"/>
      <c r="V1350" s="15"/>
      <c r="W1350" s="14"/>
      <c r="X1350" s="15"/>
      <c r="Y1350" s="14"/>
      <c r="Z1350" s="15"/>
    </row>
    <row r="1351" spans="1:26" x14ac:dyDescent="0.25">
      <c r="Q1351" s="14"/>
      <c r="R1351" s="15"/>
      <c r="S1351" s="14"/>
      <c r="T1351" s="15"/>
      <c r="U1351" s="14"/>
      <c r="V1351" s="15"/>
      <c r="W1351" s="14"/>
      <c r="X1351" s="15"/>
      <c r="Y1351" s="14"/>
      <c r="Z1351" s="15"/>
    </row>
    <row r="1352" spans="1:26" x14ac:dyDescent="0.25">
      <c r="Q1352" s="14"/>
      <c r="R1352" s="15"/>
      <c r="S1352" s="14"/>
      <c r="T1352" s="15"/>
      <c r="U1352" s="14"/>
      <c r="V1352" s="15"/>
      <c r="W1352" s="14"/>
      <c r="X1352" s="15"/>
      <c r="Y1352" s="14"/>
      <c r="Z1352" s="15"/>
    </row>
    <row r="1353" spans="1:26" x14ac:dyDescent="0.25">
      <c r="Q1353" s="14"/>
      <c r="R1353" s="15"/>
      <c r="S1353" s="14"/>
      <c r="T1353" s="15"/>
      <c r="U1353" s="14"/>
      <c r="V1353" s="15"/>
      <c r="W1353" s="14"/>
      <c r="X1353" s="15"/>
      <c r="Y1353" s="14"/>
      <c r="Z1353" s="15"/>
    </row>
    <row r="1354" spans="1:26" x14ac:dyDescent="0.25">
      <c r="Q1354" s="14"/>
      <c r="R1354" s="15"/>
      <c r="S1354" s="14"/>
      <c r="T1354" s="15"/>
      <c r="U1354" s="14"/>
      <c r="V1354" s="15"/>
      <c r="W1354" s="14"/>
      <c r="X1354" s="15"/>
      <c r="Y1354" s="14"/>
      <c r="Z1354" s="15"/>
    </row>
    <row r="1355" spans="1:26" x14ac:dyDescent="0.25">
      <c r="Q1355" s="14"/>
      <c r="R1355" s="15"/>
      <c r="S1355" s="14"/>
      <c r="T1355" s="15"/>
      <c r="U1355" s="14"/>
      <c r="V1355" s="15"/>
      <c r="W1355" s="14"/>
      <c r="X1355" s="15"/>
      <c r="Y1355" s="14"/>
      <c r="Z1355" s="15"/>
    </row>
    <row r="1356" spans="1:26" x14ac:dyDescent="0.25">
      <c r="Q1356" s="14"/>
      <c r="R1356" s="15"/>
      <c r="S1356" s="14"/>
      <c r="T1356" s="15"/>
      <c r="U1356" s="14"/>
      <c r="V1356" s="15"/>
      <c r="W1356" s="14"/>
      <c r="X1356" s="15"/>
      <c r="Y1356" s="14"/>
      <c r="Z1356" s="15"/>
    </row>
    <row r="1357" spans="1:26" x14ac:dyDescent="0.25">
      <c r="Q1357" s="14"/>
      <c r="R1357" s="15"/>
      <c r="S1357" s="14"/>
      <c r="T1357" s="15"/>
      <c r="U1357" s="14"/>
      <c r="V1357" s="15"/>
      <c r="W1357" s="14"/>
      <c r="X1357" s="15"/>
      <c r="Y1357" s="14"/>
      <c r="Z1357" s="15"/>
    </row>
    <row r="1358" spans="1:26" x14ac:dyDescent="0.25">
      <c r="Q1358" s="14"/>
      <c r="R1358" s="15"/>
      <c r="S1358" s="14"/>
      <c r="T1358" s="15"/>
      <c r="U1358" s="14"/>
      <c r="V1358" s="15"/>
      <c r="W1358" s="14"/>
      <c r="X1358" s="15"/>
      <c r="Y1358" s="14"/>
      <c r="Z1358" s="15"/>
    </row>
    <row r="1359" spans="1:26" x14ac:dyDescent="0.25">
      <c r="Q1359" s="14"/>
      <c r="R1359" s="15"/>
      <c r="S1359" s="14"/>
      <c r="T1359" s="15"/>
      <c r="U1359" s="14"/>
      <c r="V1359" s="15"/>
      <c r="W1359" s="14"/>
      <c r="X1359" s="15"/>
      <c r="Y1359" s="14"/>
      <c r="Z1359" s="15"/>
    </row>
    <row r="1360" spans="1:26" x14ac:dyDescent="0.25">
      <c r="Q1360" s="14"/>
      <c r="R1360" s="15"/>
      <c r="S1360" s="14"/>
      <c r="T1360" s="15"/>
      <c r="U1360" s="14"/>
      <c r="V1360" s="15"/>
      <c r="W1360" s="14"/>
      <c r="X1360" s="15"/>
      <c r="Y1360" s="14"/>
      <c r="Z1360" s="15"/>
    </row>
    <row r="1361" spans="1:26" x14ac:dyDescent="0.25">
      <c r="Q1361" s="14"/>
      <c r="R1361" s="15"/>
      <c r="S1361" s="14"/>
      <c r="T1361" s="15"/>
      <c r="U1361" s="14"/>
      <c r="V1361" s="15"/>
      <c r="W1361" s="14"/>
      <c r="X1361" s="15"/>
      <c r="Y1361" s="14"/>
      <c r="Z1361" s="15"/>
    </row>
    <row r="1362" spans="1:26" x14ac:dyDescent="0.25">
      <c r="Q1362" s="14"/>
      <c r="R1362" s="15"/>
      <c r="S1362" s="14"/>
      <c r="T1362" s="15"/>
      <c r="U1362" s="14"/>
      <c r="V1362" s="15"/>
      <c r="W1362" s="14"/>
      <c r="X1362" s="15"/>
      <c r="Y1362" s="14"/>
      <c r="Z1362" s="15"/>
    </row>
    <row r="1363" spans="1:26" x14ac:dyDescent="0.25">
      <c r="Q1363" s="14"/>
      <c r="R1363" s="15"/>
      <c r="S1363" s="14"/>
      <c r="T1363" s="15"/>
      <c r="U1363" s="14"/>
      <c r="V1363" s="15"/>
      <c r="W1363" s="14"/>
      <c r="X1363" s="15"/>
      <c r="Y1363" s="14"/>
      <c r="Z1363" s="15"/>
    </row>
    <row r="1364" spans="1:26" x14ac:dyDescent="0.25">
      <c r="Q1364" s="14"/>
      <c r="R1364" s="15"/>
      <c r="S1364" s="14"/>
      <c r="T1364" s="15"/>
      <c r="U1364" s="14"/>
      <c r="V1364" s="15"/>
      <c r="W1364" s="14"/>
      <c r="X1364" s="15"/>
      <c r="Y1364" s="14"/>
      <c r="Z1364" s="15"/>
    </row>
    <row r="1365" spans="1:26" x14ac:dyDescent="0.25">
      <c r="Q1365" s="14"/>
      <c r="R1365" s="15"/>
      <c r="S1365" s="14"/>
      <c r="T1365" s="15"/>
      <c r="U1365" s="14"/>
      <c r="V1365" s="15"/>
      <c r="W1365" s="14"/>
      <c r="X1365" s="15"/>
      <c r="Y1365" s="14"/>
      <c r="Z1365" s="15"/>
    </row>
    <row r="1366" spans="1:26" x14ac:dyDescent="0.25">
      <c r="Q1366" s="14"/>
      <c r="R1366" s="15"/>
      <c r="S1366" s="14"/>
      <c r="T1366" s="15"/>
      <c r="U1366" s="14"/>
      <c r="V1366" s="15"/>
      <c r="W1366" s="14"/>
      <c r="X1366" s="15"/>
      <c r="Y1366" s="14"/>
      <c r="Z1366" s="15"/>
    </row>
    <row r="1367" spans="1:26" x14ac:dyDescent="0.25">
      <c r="Q1367" s="14"/>
      <c r="R1367" s="15"/>
      <c r="S1367" s="14"/>
      <c r="T1367" s="15"/>
      <c r="U1367" s="14"/>
      <c r="V1367" s="15"/>
      <c r="W1367" s="14"/>
      <c r="X1367" s="15"/>
      <c r="Y1367" s="14"/>
      <c r="Z1367" s="15"/>
    </row>
    <row r="1368" spans="1:26" x14ac:dyDescent="0.25">
      <c r="Q1368" s="14"/>
      <c r="R1368" s="15"/>
      <c r="S1368" s="14"/>
      <c r="T1368" s="15"/>
      <c r="U1368" s="14"/>
      <c r="V1368" s="15"/>
      <c r="W1368" s="14"/>
      <c r="X1368" s="15"/>
      <c r="Y1368" s="14"/>
      <c r="Z1368" s="15"/>
    </row>
    <row r="1369" spans="1:26" x14ac:dyDescent="0.25">
      <c r="Q1369" s="14"/>
      <c r="R1369" s="15"/>
      <c r="S1369" s="14"/>
      <c r="T1369" s="15"/>
      <c r="U1369" s="14"/>
      <c r="V1369" s="15"/>
      <c r="W1369" s="14"/>
      <c r="X1369" s="15"/>
      <c r="Y1369" s="14"/>
      <c r="Z1369" s="15"/>
    </row>
    <row r="1370" spans="1:26" x14ac:dyDescent="0.25">
      <c r="Q1370" s="14"/>
      <c r="R1370" s="15"/>
      <c r="S1370" s="14"/>
      <c r="T1370" s="15"/>
      <c r="U1370" s="14"/>
      <c r="V1370" s="15"/>
      <c r="W1370" s="14"/>
      <c r="X1370" s="15"/>
      <c r="Y1370" s="14"/>
      <c r="Z1370" s="15"/>
    </row>
    <row r="1371" spans="1:26" x14ac:dyDescent="0.25">
      <c r="Q1371" s="14"/>
      <c r="R1371" s="15"/>
      <c r="S1371" s="14"/>
      <c r="T1371" s="15"/>
      <c r="U1371" s="14"/>
      <c r="V1371" s="15"/>
      <c r="W1371" s="14"/>
      <c r="X1371" s="15"/>
      <c r="Y1371" s="14"/>
      <c r="Z1371" s="15"/>
    </row>
    <row r="1372" spans="1:26" x14ac:dyDescent="0.25">
      <c r="Q1372" s="14"/>
      <c r="R1372" s="15"/>
      <c r="S1372" s="14"/>
      <c r="T1372" s="15"/>
      <c r="U1372" s="14"/>
      <c r="V1372" s="15"/>
      <c r="W1372" s="14"/>
      <c r="X1372" s="15"/>
      <c r="Y1372" s="14"/>
      <c r="Z1372" s="15"/>
    </row>
    <row r="1373" spans="1:26" x14ac:dyDescent="0.25">
      <c r="Q1373" s="14"/>
      <c r="R1373" s="15"/>
      <c r="S1373" s="14"/>
      <c r="T1373" s="15"/>
      <c r="U1373" s="14"/>
      <c r="V1373" s="15"/>
      <c r="W1373" s="14"/>
      <c r="X1373" s="15"/>
      <c r="Y1373" s="14"/>
      <c r="Z1373" s="15"/>
    </row>
    <row r="1374" spans="1:26" x14ac:dyDescent="0.25">
      <c r="Q1374" s="14"/>
      <c r="R1374" s="15"/>
      <c r="S1374" s="14"/>
      <c r="T1374" s="15"/>
      <c r="U1374" s="14"/>
      <c r="V1374" s="15"/>
      <c r="W1374" s="14"/>
      <c r="X1374" s="15"/>
      <c r="Y1374" s="14"/>
      <c r="Z1374" s="15"/>
    </row>
    <row r="1375" spans="1:26" x14ac:dyDescent="0.25">
      <c r="Q1375" s="14"/>
      <c r="R1375" s="15"/>
      <c r="S1375" s="14"/>
      <c r="T1375" s="15"/>
      <c r="U1375" s="14"/>
      <c r="V1375" s="15"/>
      <c r="W1375" s="14"/>
      <c r="X1375" s="15"/>
      <c r="Y1375" s="14"/>
      <c r="Z1375" s="15"/>
    </row>
    <row r="1376" spans="1:26" x14ac:dyDescent="0.25">
      <c r="Q1376" s="14"/>
      <c r="R1376" s="15"/>
      <c r="S1376" s="14"/>
      <c r="T1376" s="15"/>
      <c r="U1376" s="14"/>
      <c r="V1376" s="15"/>
      <c r="W1376" s="14"/>
      <c r="X1376" s="15"/>
      <c r="Y1376" s="14"/>
      <c r="Z1376" s="15"/>
    </row>
    <row r="1377" spans="1:26" x14ac:dyDescent="0.25">
      <c r="Q1377" s="14"/>
      <c r="R1377" s="15"/>
      <c r="S1377" s="14"/>
      <c r="T1377" s="15"/>
      <c r="U1377" s="14"/>
      <c r="V1377" s="15"/>
      <c r="W1377" s="14"/>
      <c r="X1377" s="15"/>
      <c r="Y1377" s="14"/>
      <c r="Z1377" s="15"/>
    </row>
    <row r="1378" spans="1:26" x14ac:dyDescent="0.25">
      <c r="Q1378" s="14"/>
      <c r="R1378" s="15"/>
      <c r="S1378" s="14"/>
      <c r="T1378" s="15"/>
      <c r="U1378" s="14"/>
      <c r="V1378" s="15"/>
      <c r="W1378" s="14"/>
      <c r="X1378" s="15"/>
      <c r="Y1378" s="14"/>
      <c r="Z1378" s="15"/>
    </row>
    <row r="1379" spans="1:26" x14ac:dyDescent="0.25">
      <c r="Q1379" s="14"/>
      <c r="R1379" s="15"/>
      <c r="S1379" s="14"/>
      <c r="T1379" s="15"/>
      <c r="U1379" s="14"/>
      <c r="V1379" s="15"/>
      <c r="W1379" s="14"/>
      <c r="X1379" s="15"/>
      <c r="Y1379" s="14"/>
      <c r="Z1379" s="15"/>
    </row>
    <row r="1380" spans="1:26" x14ac:dyDescent="0.25">
      <c r="Q1380" s="14"/>
      <c r="R1380" s="15"/>
      <c r="S1380" s="14"/>
      <c r="T1380" s="15"/>
      <c r="U1380" s="14"/>
      <c r="V1380" s="15"/>
      <c r="W1380" s="14"/>
      <c r="X1380" s="15"/>
      <c r="Y1380" s="14"/>
      <c r="Z1380" s="15"/>
    </row>
    <row r="1381" spans="1:26" x14ac:dyDescent="0.25">
      <c r="Q1381" s="14"/>
      <c r="R1381" s="15"/>
      <c r="S1381" s="14"/>
      <c r="T1381" s="15"/>
      <c r="U1381" s="14"/>
      <c r="V1381" s="15"/>
      <c r="W1381" s="14"/>
      <c r="X1381" s="15"/>
      <c r="Y1381" s="14"/>
      <c r="Z1381" s="15"/>
    </row>
    <row r="1382" spans="1:26" x14ac:dyDescent="0.25">
      <c r="Q1382" s="14"/>
      <c r="R1382" s="15"/>
      <c r="S1382" s="14"/>
      <c r="T1382" s="15"/>
      <c r="U1382" s="14"/>
      <c r="V1382" s="15"/>
      <c r="W1382" s="14"/>
      <c r="X1382" s="15"/>
      <c r="Y1382" s="14"/>
      <c r="Z1382" s="15"/>
    </row>
    <row r="1383" spans="1:26" x14ac:dyDescent="0.25">
      <c r="Q1383" s="14"/>
      <c r="R1383" s="15"/>
      <c r="S1383" s="14"/>
      <c r="T1383" s="15"/>
      <c r="U1383" s="14"/>
      <c r="V1383" s="15"/>
      <c r="W1383" s="14"/>
      <c r="X1383" s="15"/>
      <c r="Y1383" s="14"/>
      <c r="Z1383" s="15"/>
    </row>
    <row r="1384" spans="1:26" x14ac:dyDescent="0.25">
      <c r="Q1384" s="14"/>
      <c r="R1384" s="15"/>
      <c r="S1384" s="14"/>
      <c r="T1384" s="15"/>
      <c r="U1384" s="14"/>
      <c r="V1384" s="15"/>
      <c r="W1384" s="14"/>
      <c r="X1384" s="15"/>
      <c r="Y1384" s="14"/>
      <c r="Z1384" s="15"/>
    </row>
    <row r="1385" spans="1:26" x14ac:dyDescent="0.25">
      <c r="Q1385" s="14"/>
      <c r="R1385" s="15"/>
      <c r="S1385" s="14"/>
      <c r="T1385" s="15"/>
      <c r="U1385" s="14"/>
      <c r="V1385" s="15"/>
      <c r="W1385" s="14"/>
      <c r="X1385" s="15"/>
      <c r="Y1385" s="14"/>
      <c r="Z1385" s="15"/>
    </row>
    <row r="1386" spans="1:26" x14ac:dyDescent="0.25">
      <c r="Q1386" s="14"/>
      <c r="R1386" s="15"/>
      <c r="S1386" s="14"/>
      <c r="T1386" s="15"/>
      <c r="U1386" s="14"/>
      <c r="V1386" s="15"/>
      <c r="W1386" s="14"/>
      <c r="X1386" s="15"/>
      <c r="Y1386" s="14"/>
      <c r="Z1386" s="15"/>
    </row>
    <row r="1387" spans="1:26" x14ac:dyDescent="0.25">
      <c r="Q1387" s="14"/>
      <c r="R1387" s="15"/>
      <c r="S1387" s="14"/>
      <c r="T1387" s="15"/>
      <c r="U1387" s="14"/>
      <c r="V1387" s="15"/>
      <c r="W1387" s="14"/>
      <c r="X1387" s="15"/>
      <c r="Y1387" s="14"/>
      <c r="Z1387" s="15"/>
    </row>
    <row r="1388" spans="1:26" x14ac:dyDescent="0.25">
      <c r="Q1388" s="14"/>
      <c r="R1388" s="15"/>
      <c r="S1388" s="14"/>
      <c r="T1388" s="15"/>
      <c r="U1388" s="14"/>
      <c r="V1388" s="15"/>
      <c r="W1388" s="14"/>
      <c r="X1388" s="15"/>
      <c r="Y1388" s="14"/>
      <c r="Z1388" s="15"/>
    </row>
    <row r="1389" spans="1:26" x14ac:dyDescent="0.25">
      <c r="Q1389" s="14"/>
      <c r="R1389" s="15"/>
      <c r="S1389" s="14"/>
      <c r="T1389" s="15"/>
      <c r="U1389" s="14"/>
      <c r="V1389" s="15"/>
      <c r="W1389" s="14"/>
      <c r="X1389" s="15"/>
      <c r="Y1389" s="14"/>
      <c r="Z1389" s="15"/>
    </row>
    <row r="1390" spans="1:26" x14ac:dyDescent="0.25">
      <c r="Q1390" s="14"/>
      <c r="R1390" s="15"/>
      <c r="S1390" s="14"/>
      <c r="T1390" s="15"/>
      <c r="U1390" s="14"/>
      <c r="V1390" s="15"/>
      <c r="W1390" s="14"/>
      <c r="X1390" s="15"/>
      <c r="Y1390" s="14"/>
      <c r="Z1390" s="15"/>
    </row>
    <row r="1391" spans="1:26" x14ac:dyDescent="0.25">
      <c r="Q1391" s="14"/>
      <c r="R1391" s="15"/>
      <c r="S1391" s="14"/>
      <c r="T1391" s="15"/>
      <c r="U1391" s="14"/>
      <c r="V1391" s="15"/>
      <c r="W1391" s="14"/>
      <c r="X1391" s="15"/>
      <c r="Y1391" s="14"/>
      <c r="Z1391" s="15"/>
    </row>
    <row r="1392" spans="1:26" x14ac:dyDescent="0.25">
      <c r="Q1392" s="14"/>
      <c r="R1392" s="15"/>
      <c r="S1392" s="14"/>
      <c r="T1392" s="15"/>
      <c r="U1392" s="14"/>
      <c r="V1392" s="15"/>
      <c r="W1392" s="14"/>
      <c r="X1392" s="15"/>
      <c r="Y1392" s="14"/>
      <c r="Z1392" s="15"/>
    </row>
    <row r="1393" spans="1:26" x14ac:dyDescent="0.25">
      <c r="Q1393" s="14"/>
      <c r="R1393" s="15"/>
      <c r="S1393" s="14"/>
      <c r="T1393" s="15"/>
      <c r="U1393" s="14"/>
      <c r="V1393" s="15"/>
      <c r="W1393" s="14"/>
      <c r="X1393" s="15"/>
      <c r="Y1393" s="14"/>
      <c r="Z1393" s="15"/>
    </row>
    <row r="1394" spans="1:26" x14ac:dyDescent="0.25">
      <c r="Q1394" s="14"/>
      <c r="R1394" s="15"/>
      <c r="S1394" s="14"/>
      <c r="T1394" s="15"/>
      <c r="U1394" s="14"/>
      <c r="V1394" s="15"/>
      <c r="W1394" s="14"/>
      <c r="X1394" s="15"/>
      <c r="Y1394" s="14"/>
      <c r="Z1394" s="15"/>
    </row>
    <row r="1395" spans="1:26" x14ac:dyDescent="0.25">
      <c r="Q1395" s="14"/>
      <c r="R1395" s="15"/>
      <c r="S1395" s="14"/>
      <c r="T1395" s="15"/>
      <c r="U1395" s="14"/>
      <c r="V1395" s="15"/>
      <c r="W1395" s="14"/>
      <c r="X1395" s="15"/>
      <c r="Y1395" s="14"/>
      <c r="Z1395" s="15"/>
    </row>
    <row r="1396" spans="1:26" x14ac:dyDescent="0.25">
      <c r="Q1396" s="14"/>
      <c r="R1396" s="15"/>
      <c r="S1396" s="14"/>
      <c r="T1396" s="15"/>
      <c r="U1396" s="14"/>
      <c r="V1396" s="15"/>
      <c r="W1396" s="14"/>
      <c r="X1396" s="15"/>
      <c r="Y1396" s="14"/>
      <c r="Z1396" s="15"/>
    </row>
    <row r="1397" spans="1:26" x14ac:dyDescent="0.25">
      <c r="Q1397" s="14"/>
      <c r="R1397" s="15"/>
      <c r="S1397" s="14"/>
      <c r="T1397" s="15"/>
      <c r="U1397" s="14"/>
      <c r="V1397" s="15"/>
      <c r="W1397" s="14"/>
      <c r="X1397" s="15"/>
      <c r="Y1397" s="14"/>
      <c r="Z1397" s="15"/>
    </row>
    <row r="1398" spans="1:26" x14ac:dyDescent="0.25">
      <c r="Q1398" s="14"/>
      <c r="R1398" s="15"/>
      <c r="S1398" s="14"/>
      <c r="T1398" s="15"/>
      <c r="U1398" s="14"/>
      <c r="V1398" s="15"/>
      <c r="W1398" s="14"/>
      <c r="X1398" s="15"/>
      <c r="Y1398" s="14"/>
      <c r="Z1398" s="15"/>
    </row>
    <row r="1399" spans="1:26" x14ac:dyDescent="0.25">
      <c r="Q1399" s="14"/>
      <c r="R1399" s="15"/>
      <c r="S1399" s="14"/>
      <c r="T1399" s="15"/>
      <c r="U1399" s="14"/>
      <c r="V1399" s="15"/>
      <c r="W1399" s="14"/>
      <c r="X1399" s="15"/>
      <c r="Y1399" s="14"/>
      <c r="Z1399" s="15"/>
    </row>
    <row r="1400" spans="1:26" x14ac:dyDescent="0.25">
      <c r="Q1400" s="14"/>
      <c r="R1400" s="15"/>
      <c r="S1400" s="14"/>
      <c r="T1400" s="15"/>
      <c r="U1400" s="14"/>
      <c r="V1400" s="15"/>
      <c r="W1400" s="14"/>
      <c r="X1400" s="15"/>
      <c r="Y1400" s="14"/>
      <c r="Z1400" s="15"/>
    </row>
    <row r="1401" spans="1:26" x14ac:dyDescent="0.25">
      <c r="Q1401" s="14"/>
      <c r="R1401" s="15"/>
      <c r="S1401" s="14"/>
      <c r="T1401" s="15"/>
      <c r="U1401" s="14"/>
      <c r="V1401" s="15"/>
      <c r="W1401" s="14"/>
      <c r="X1401" s="15"/>
      <c r="Y1401" s="14"/>
      <c r="Z1401" s="15"/>
    </row>
    <row r="1402" spans="1:26" x14ac:dyDescent="0.25">
      <c r="Q1402" s="14"/>
      <c r="R1402" s="15"/>
      <c r="S1402" s="14"/>
      <c r="T1402" s="15"/>
      <c r="U1402" s="14"/>
      <c r="V1402" s="15"/>
      <c r="W1402" s="14"/>
      <c r="X1402" s="15"/>
      <c r="Y1402" s="14"/>
      <c r="Z1402" s="15"/>
    </row>
    <row r="1403" spans="1:26" x14ac:dyDescent="0.25">
      <c r="Q1403" s="14"/>
      <c r="R1403" s="15"/>
      <c r="S1403" s="14"/>
      <c r="T1403" s="15"/>
      <c r="U1403" s="14"/>
      <c r="V1403" s="15"/>
      <c r="W1403" s="14"/>
      <c r="X1403" s="15"/>
      <c r="Y1403" s="14"/>
      <c r="Z1403" s="15"/>
    </row>
    <row r="1404" spans="1:26" x14ac:dyDescent="0.25">
      <c r="Q1404" s="14"/>
      <c r="R1404" s="15"/>
      <c r="S1404" s="14"/>
      <c r="T1404" s="15"/>
      <c r="U1404" s="14"/>
      <c r="V1404" s="15"/>
      <c r="W1404" s="14"/>
      <c r="X1404" s="15"/>
      <c r="Y1404" s="14"/>
      <c r="Z1404" s="15"/>
    </row>
    <row r="1405" spans="1:26" x14ac:dyDescent="0.25">
      <c r="Q1405" s="14"/>
      <c r="R1405" s="15"/>
      <c r="S1405" s="14"/>
      <c r="T1405" s="15"/>
      <c r="U1405" s="14"/>
      <c r="V1405" s="15"/>
      <c r="W1405" s="14"/>
      <c r="X1405" s="15"/>
      <c r="Y1405" s="14"/>
      <c r="Z1405" s="15"/>
    </row>
    <row r="1406" spans="1:26" x14ac:dyDescent="0.25">
      <c r="Q1406" s="14"/>
      <c r="R1406" s="15"/>
      <c r="S1406" s="14"/>
      <c r="T1406" s="15"/>
      <c r="U1406" s="14"/>
      <c r="V1406" s="15"/>
      <c r="W1406" s="14"/>
      <c r="X1406" s="15"/>
      <c r="Y1406" s="14"/>
      <c r="Z1406" s="15"/>
    </row>
    <row r="1407" spans="1:26" x14ac:dyDescent="0.25">
      <c r="Q1407" s="14"/>
      <c r="R1407" s="15"/>
      <c r="S1407" s="14"/>
      <c r="T1407" s="15"/>
      <c r="U1407" s="14"/>
      <c r="V1407" s="15"/>
      <c r="W1407" s="14"/>
      <c r="X1407" s="15"/>
      <c r="Y1407" s="14"/>
      <c r="Z1407" s="15"/>
    </row>
    <row r="1408" spans="1:26" x14ac:dyDescent="0.25">
      <c r="Q1408" s="14"/>
      <c r="R1408" s="15"/>
      <c r="S1408" s="14"/>
      <c r="T1408" s="15"/>
      <c r="U1408" s="14"/>
      <c r="V1408" s="15"/>
      <c r="W1408" s="14"/>
      <c r="X1408" s="15"/>
      <c r="Y1408" s="14"/>
      <c r="Z1408" s="15"/>
    </row>
    <row r="1409" spans="1:26" x14ac:dyDescent="0.25">
      <c r="Q1409" s="14"/>
      <c r="R1409" s="15"/>
      <c r="S1409" s="14"/>
      <c r="T1409" s="15"/>
      <c r="U1409" s="14"/>
      <c r="V1409" s="15"/>
      <c r="W1409" s="14"/>
      <c r="X1409" s="15"/>
      <c r="Y1409" s="14"/>
      <c r="Z1409" s="15"/>
    </row>
    <row r="1410" spans="1:26" x14ac:dyDescent="0.25">
      <c r="Q1410" s="14"/>
      <c r="R1410" s="15"/>
      <c r="S1410" s="14"/>
      <c r="T1410" s="15"/>
      <c r="U1410" s="14"/>
      <c r="V1410" s="15"/>
      <c r="W1410" s="14"/>
      <c r="X1410" s="15"/>
      <c r="Y1410" s="14"/>
      <c r="Z1410" s="15"/>
    </row>
    <row r="1411" spans="1:26" x14ac:dyDescent="0.25">
      <c r="Q1411" s="14"/>
      <c r="R1411" s="15"/>
      <c r="S1411" s="14"/>
      <c r="T1411" s="15"/>
      <c r="U1411" s="14"/>
      <c r="V1411" s="15"/>
      <c r="W1411" s="14"/>
      <c r="X1411" s="15"/>
      <c r="Y1411" s="14"/>
      <c r="Z1411" s="15"/>
    </row>
    <row r="1412" spans="1:26" x14ac:dyDescent="0.25">
      <c r="Q1412" s="14"/>
      <c r="R1412" s="15"/>
      <c r="S1412" s="14"/>
      <c r="T1412" s="15"/>
      <c r="U1412" s="14"/>
      <c r="V1412" s="15"/>
      <c r="W1412" s="14"/>
      <c r="X1412" s="15"/>
      <c r="Y1412" s="14"/>
      <c r="Z1412" s="15"/>
    </row>
    <row r="1413" spans="1:26" x14ac:dyDescent="0.25">
      <c r="Q1413" s="14"/>
      <c r="R1413" s="15"/>
      <c r="S1413" s="14"/>
      <c r="T1413" s="15"/>
      <c r="U1413" s="14"/>
      <c r="V1413" s="15"/>
      <c r="W1413" s="14"/>
      <c r="X1413" s="15"/>
      <c r="Y1413" s="14"/>
      <c r="Z1413" s="15"/>
    </row>
    <row r="1414" spans="1:26" x14ac:dyDescent="0.25">
      <c r="Q1414" s="14"/>
      <c r="R1414" s="15"/>
      <c r="S1414" s="14"/>
      <c r="T1414" s="15"/>
      <c r="U1414" s="14"/>
      <c r="V1414" s="15"/>
      <c r="W1414" s="14"/>
      <c r="X1414" s="15"/>
      <c r="Y1414" s="14"/>
      <c r="Z1414" s="15"/>
    </row>
    <row r="1415" spans="1:26" x14ac:dyDescent="0.25">
      <c r="Q1415" s="14"/>
      <c r="R1415" s="15"/>
      <c r="S1415" s="14"/>
      <c r="T1415" s="15"/>
      <c r="U1415" s="14"/>
      <c r="V1415" s="15"/>
      <c r="W1415" s="14"/>
      <c r="X1415" s="15"/>
      <c r="Y1415" s="14"/>
      <c r="Z1415" s="15"/>
    </row>
    <row r="1416" spans="1:26" x14ac:dyDescent="0.25">
      <c r="Q1416" s="14"/>
      <c r="R1416" s="15"/>
      <c r="S1416" s="14"/>
      <c r="T1416" s="15"/>
      <c r="U1416" s="14"/>
      <c r="V1416" s="15"/>
      <c r="W1416" s="14"/>
      <c r="X1416" s="15"/>
      <c r="Y1416" s="14"/>
      <c r="Z1416" s="15"/>
    </row>
    <row r="1417" spans="1:26" x14ac:dyDescent="0.25">
      <c r="Q1417" s="14"/>
      <c r="R1417" s="15"/>
      <c r="S1417" s="14"/>
      <c r="T1417" s="15"/>
      <c r="U1417" s="14"/>
      <c r="V1417" s="15"/>
      <c r="W1417" s="14"/>
      <c r="X1417" s="15"/>
      <c r="Y1417" s="14"/>
      <c r="Z1417" s="15"/>
    </row>
    <row r="1418" spans="1:26" x14ac:dyDescent="0.25">
      <c r="Q1418" s="14"/>
      <c r="R1418" s="15"/>
      <c r="S1418" s="14"/>
      <c r="T1418" s="15"/>
      <c r="U1418" s="14"/>
      <c r="V1418" s="15"/>
      <c r="W1418" s="14"/>
      <c r="X1418" s="15"/>
      <c r="Y1418" s="14"/>
      <c r="Z1418" s="15"/>
    </row>
    <row r="1419" spans="1:26" x14ac:dyDescent="0.25">
      <c r="Q1419" s="14"/>
      <c r="R1419" s="15"/>
      <c r="S1419" s="14"/>
      <c r="T1419" s="15"/>
      <c r="U1419" s="14"/>
      <c r="V1419" s="15"/>
      <c r="W1419" s="14"/>
      <c r="X1419" s="15"/>
      <c r="Y1419" s="14"/>
      <c r="Z1419" s="15"/>
    </row>
    <row r="1420" spans="1:26" x14ac:dyDescent="0.25">
      <c r="Q1420" s="14"/>
      <c r="R1420" s="15"/>
      <c r="S1420" s="14"/>
      <c r="T1420" s="15"/>
      <c r="U1420" s="14"/>
      <c r="V1420" s="15"/>
      <c r="W1420" s="14"/>
      <c r="X1420" s="15"/>
      <c r="Y1420" s="14"/>
      <c r="Z1420" s="15"/>
    </row>
    <row r="1421" spans="1:26" x14ac:dyDescent="0.25">
      <c r="Q1421" s="14"/>
      <c r="R1421" s="15"/>
      <c r="S1421" s="14"/>
      <c r="T1421" s="15"/>
      <c r="U1421" s="14"/>
      <c r="V1421" s="15"/>
      <c r="W1421" s="14"/>
      <c r="X1421" s="15"/>
      <c r="Y1421" s="14"/>
      <c r="Z1421" s="15"/>
    </row>
    <row r="1422" spans="1:26" x14ac:dyDescent="0.25">
      <c r="Q1422" s="14"/>
      <c r="R1422" s="15"/>
      <c r="S1422" s="14"/>
      <c r="T1422" s="15"/>
      <c r="U1422" s="14"/>
      <c r="V1422" s="15"/>
      <c r="W1422" s="14"/>
      <c r="X1422" s="15"/>
      <c r="Y1422" s="14"/>
      <c r="Z1422" s="15"/>
    </row>
  </sheetData>
  <dataValidations count="87">
    <dataValidation type="list" allowBlank="1" sqref="L10:L1211">
      <formula1>"Must Have,Should Have,Could Have,Will not Have"</formula1>
    </dataValidation>
    <dataValidation type="list" allowBlank="1" sqref="L2:L1211">
      <formula1>"Must Have,Should Have,Could Have,Will not Have"</formula1>
    </dataValidation>
    <dataValidation type="list" allowBlank="1" sqref="Q10">
      <formula1>"0,1,2,3,5,8,13,21,34,55,89"</formula1>
    </dataValidation>
    <dataValidation type="list" allowBlank="1" sqref="Q1000:Q1211">
      <formula1>"0,1,2,3,5,8,13,21,34,55,89"</formula1>
    </dataValidation>
    <dataValidation type="list" allowBlank="1" sqref="Q107">
      <formula1>"0,1,2,3,5,8,13,21,34,55,89"</formula1>
    </dataValidation>
    <dataValidation type="list" allowBlank="1" sqref="Q13:Q17">
      <formula1>"0,1,2,3,5,8,13,21,34,55,89"</formula1>
    </dataValidation>
    <dataValidation type="list" allowBlank="1" sqref="Q152:Q154">
      <formula1>"0,1,2,3,5,8,13,21,34,55,89"</formula1>
    </dataValidation>
    <dataValidation type="list" allowBlank="1" sqref="Q157:Q158">
      <formula1>"0,1,2,3,5,8,13,21,34,55,89"</formula1>
    </dataValidation>
    <dataValidation type="list" allowBlank="1" sqref="Q160">
      <formula1>"0,1,2,3,5,8,13,21,34,55,89"</formula1>
    </dataValidation>
    <dataValidation type="list" allowBlank="1" sqref="Q168:Q171">
      <formula1>"0,1,2,3,5,8,13,21,34,55,89"</formula1>
    </dataValidation>
    <dataValidation type="list" allowBlank="1" sqref="Q180">
      <formula1>"0,1,2,3,5,8,13,21,34,55,89"</formula1>
    </dataValidation>
    <dataValidation type="list" allowBlank="1" sqref="Q195">
      <formula1>"0,1,2,3,5,8,13,21,34,55,89"</formula1>
    </dataValidation>
    <dataValidation type="list" allowBlank="1" sqref="Q20">
      <formula1>"0,1,2,3,5,8,13,21,34,55,89"</formula1>
    </dataValidation>
    <dataValidation type="list" allowBlank="1" sqref="Q204:Q205">
      <formula1>"0,1,2,3,5,8,13,21,34,55,89"</formula1>
    </dataValidation>
    <dataValidation type="list" allowBlank="1" sqref="Q207:Q210">
      <formula1>"0,1,2,3,5,8,13,21,34,55,89"</formula1>
    </dataValidation>
    <dataValidation type="list" allowBlank="1" sqref="Q212:Q1211">
      <formula1>"0,1,2,3,5,8,13,21,34,55,89"</formula1>
    </dataValidation>
    <dataValidation type="list" allowBlank="1" sqref="Q3">
      <formula1>"0,1,2,3,5,8,13,21,34,55,89"</formula1>
    </dataValidation>
    <dataValidation type="list" allowBlank="1" sqref="Q46">
      <formula1>"0,1,2,3,5,8,13,21,34,55,89"</formula1>
    </dataValidation>
    <dataValidation type="list" allowBlank="1" sqref="Q67:Q71">
      <formula1>"0,1,2,3,5,8,13,21,34,55,89"</formula1>
    </dataValidation>
    <dataValidation type="list" allowBlank="1" sqref="S10">
      <formula1>"0,1,2,3,5,8,13,21,34,55,89"</formula1>
    </dataValidation>
    <dataValidation type="list" allowBlank="1" sqref="S1000:S1211">
      <formula1>"0,1,2,3,5,8,13,21,34,55,89"</formula1>
    </dataValidation>
    <dataValidation type="list" allowBlank="1" sqref="S107">
      <formula1>"0,1,2,3,5,8,13,21,34,55,89"</formula1>
    </dataValidation>
    <dataValidation type="list" allowBlank="1" sqref="S13:S17">
      <formula1>"0,1,2,3,5,8,13,21,34,55,89"</formula1>
    </dataValidation>
    <dataValidation type="list" allowBlank="1" sqref="S152:S154">
      <formula1>"0,1,2,3,5,8,13,21,34,55,89"</formula1>
    </dataValidation>
    <dataValidation type="list" allowBlank="1" sqref="S157:S158">
      <formula1>"0,1,2,3,5,8,13,21,34,55,89"</formula1>
    </dataValidation>
    <dataValidation type="list" allowBlank="1" sqref="S160">
      <formula1>"0,1,2,3,5,8,13,21,34,55,89"</formula1>
    </dataValidation>
    <dataValidation type="list" allowBlank="1" sqref="S168:S171">
      <formula1>"0,1,2,3,5,8,13,21,34,55,89"</formula1>
    </dataValidation>
    <dataValidation type="list" allowBlank="1" sqref="S180">
      <formula1>"0,1,2,3,5,8,13,21,34,55,89"</formula1>
    </dataValidation>
    <dataValidation type="list" allowBlank="1" sqref="S195">
      <formula1>"0,1,2,3,5,8,13,21,34,55,89"</formula1>
    </dataValidation>
    <dataValidation type="list" allowBlank="1" sqref="S20">
      <formula1>"0,1,2,3,5,8,13,21,34,55,89"</formula1>
    </dataValidation>
    <dataValidation type="list" allowBlank="1" sqref="S204:S206">
      <formula1>"0,1,2,3,5,8,13,21,34,55,89"</formula1>
    </dataValidation>
    <dataValidation type="list" allowBlank="1" sqref="S211:S1211">
      <formula1>"0,1,2,3,5,8,13,21,34,55,89"</formula1>
    </dataValidation>
    <dataValidation type="list" allowBlank="1" sqref="S3">
      <formula1>"0,1,2,3,5,8,13,21,34,55,89"</formula1>
    </dataValidation>
    <dataValidation type="list" allowBlank="1" sqref="S46">
      <formula1>"0,1,2,3,5,8,13,21,34,55,89"</formula1>
    </dataValidation>
    <dataValidation type="list" allowBlank="1" sqref="S67:S71">
      <formula1>"0,1,2,3,5,8,13,21,34,55,89"</formula1>
    </dataValidation>
    <dataValidation type="list" allowBlank="1" sqref="U10:U50">
      <formula1>"0,1,2,3,5,8,13,21,34,55,89"</formula1>
    </dataValidation>
    <dataValidation type="list" allowBlank="1" sqref="U1000:U1211">
      <formula1>"0,1,2,3,5,8,13,21,34,55,89"</formula1>
    </dataValidation>
    <dataValidation type="list" allowBlank="1" sqref="U103:U133">
      <formula1>"0,1,2,3,5,8,13,21,34,55,89"</formula1>
    </dataValidation>
    <dataValidation type="list" allowBlank="1" sqref="U135:U139">
      <formula1>"0,1,2,3,5,8,13,21,34,55,89"</formula1>
    </dataValidation>
    <dataValidation type="list" allowBlank="1" sqref="U143:U149">
      <formula1>"0,1,2,3,5,8,13,21,34,55,89"</formula1>
    </dataValidation>
    <dataValidation type="list" allowBlank="1" sqref="U151:U191">
      <formula1>"0,1,2,3,5,8,13,21,34,55,89"</formula1>
    </dataValidation>
    <dataValidation type="list" allowBlank="1" sqref="U194:U195">
      <formula1>"0,1,2,3,5,8,13,21,34,55,89"</formula1>
    </dataValidation>
    <dataValidation type="list" allowBlank="1" sqref="U197:U201">
      <formula1>"0,1,2,3,5,8,13,21,34,55,89"</formula1>
    </dataValidation>
    <dataValidation type="list" allowBlank="1" sqref="U2:U50">
      <formula1>"0,1,2,3,5,8,13,21,34,55,89"</formula1>
    </dataValidation>
    <dataValidation type="list" allowBlank="1" sqref="U204:U205">
      <formula1>"0,1,2,3,5,8,13,21,34,55,89"</formula1>
    </dataValidation>
    <dataValidation type="list" allowBlank="1" sqref="U212:U1211">
      <formula1>"0,1,2,3,5,8,13,21,34,55,89"</formula1>
    </dataValidation>
    <dataValidation type="list" allowBlank="1" sqref="U53:U55">
      <formula1>"0,1,2,3,5,8,13,21,34,55,89"</formula1>
    </dataValidation>
    <dataValidation type="list" allowBlank="1" sqref="U67:U71">
      <formula1>"0,1,2,3,5,8,13,21,34,55,89"</formula1>
    </dataValidation>
    <dataValidation type="list" allowBlank="1" sqref="U82:U84">
      <formula1>"0,1,2,3,5,8,13,21,34,55,89"</formula1>
    </dataValidation>
    <dataValidation type="list" allowBlank="1" sqref="U86:U88">
      <formula1>"0,1,2,3,5,8,13,21,34,55,89"</formula1>
    </dataValidation>
    <dataValidation type="list" allowBlank="1" sqref="U91:U97">
      <formula1>"0,1,2,3,5,8,13,21,34,55,89"</formula1>
    </dataValidation>
    <dataValidation type="list" allowBlank="1" sqref="U99">
      <formula1>"0,1,2,3,5,8,13,21,34,55,89"</formula1>
    </dataValidation>
    <dataValidation type="list" allowBlank="1" sqref="W10:W50">
      <formula1>"0,1,2,3,5,8,13,21,34,55,89"</formula1>
    </dataValidation>
    <dataValidation type="list" allowBlank="1" sqref="W1000:W1211">
      <formula1>"0,1,2,3,5,8,13,21,34,55,89"</formula1>
    </dataValidation>
    <dataValidation type="list" allowBlank="1" sqref="W103:W133">
      <formula1>"0,1,2,3,5,8,13,21,34,55,89"</formula1>
    </dataValidation>
    <dataValidation type="list" allowBlank="1" sqref="W135:W139">
      <formula1>"0,1,2,3,5,8,13,21,34,55,89"</formula1>
    </dataValidation>
    <dataValidation type="list" allowBlank="1" sqref="W143:W149">
      <formula1>"0,1,2,3,5,8,13,21,34,55,89"</formula1>
    </dataValidation>
    <dataValidation type="list" allowBlank="1" sqref="W151:W191">
      <formula1>"0,1,2,3,5,8,13,21,34,55,89"</formula1>
    </dataValidation>
    <dataValidation type="list" allowBlank="1" sqref="W194:W195">
      <formula1>"0,1,2,3,5,8,13,21,34,55,89"</formula1>
    </dataValidation>
    <dataValidation type="list" allowBlank="1" sqref="W197:W201">
      <formula1>"0,1,2,3,5,8,13,21,34,55,89"</formula1>
    </dataValidation>
    <dataValidation type="list" allowBlank="1" sqref="W2:W50">
      <formula1>"0,1,2,3,5,8,13,21,34,55,89"</formula1>
    </dataValidation>
    <dataValidation type="list" allowBlank="1" sqref="W204:W205">
      <formula1>"0,1,2,3,5,8,13,21,34,55,89"</formula1>
    </dataValidation>
    <dataValidation type="list" allowBlank="1" sqref="W212:W1211">
      <formula1>"0,1,2,3,5,8,13,21,34,55,89"</formula1>
    </dataValidation>
    <dataValidation type="list" allowBlank="1" sqref="W53:W55">
      <formula1>"0,1,2,3,5,8,13,21,34,55,89"</formula1>
    </dataValidation>
    <dataValidation type="list" allowBlank="1" sqref="W67:W71">
      <formula1>"0,1,2,3,5,8,13,21,34,55,89"</formula1>
    </dataValidation>
    <dataValidation type="list" allowBlank="1" sqref="W82:W84">
      <formula1>"0,1,2,3,5,8,13,21,34,55,89"</formula1>
    </dataValidation>
    <dataValidation type="list" allowBlank="1" sqref="W86:W87">
      <formula1>"0,1,2,3,5,8,13,21,34,55,89"</formula1>
    </dataValidation>
    <dataValidation type="list" allowBlank="1" sqref="W92:W97">
      <formula1>"0,1,2,3,5,8,13,21,34,55,89"</formula1>
    </dataValidation>
    <dataValidation type="list" allowBlank="1" sqref="W99">
      <formula1>"0,1,2,3,5,8,13,21,34,55,89"</formula1>
    </dataValidation>
    <dataValidation type="list" allowBlank="1" sqref="Y10:Y50">
      <formula1>"0,1,2,3,5,8,13,21,34,55,89"</formula1>
    </dataValidation>
    <dataValidation type="list" allowBlank="1" sqref="Y1000:Y1211">
      <formula1>"0,1,2,3,5,8,13,21,34,55,89"</formula1>
    </dataValidation>
    <dataValidation type="list" allowBlank="1" sqref="Y103:Y133">
      <formula1>"0,1,2,3,5,8,13,21,34,55,89"</formula1>
    </dataValidation>
    <dataValidation type="list" allowBlank="1" sqref="Y135:Y139">
      <formula1>"0,1,2,3,5,8,13,21,34,55,89"</formula1>
    </dataValidation>
    <dataValidation type="list" allowBlank="1" sqref="Y143:Y149">
      <formula1>"0,1,2,3,5,8,13,21,34,55,89"</formula1>
    </dataValidation>
    <dataValidation type="list" allowBlank="1" sqref="Y151:Y192">
      <formula1>"0,1,2,3,5,8,13,21,34,55,89"</formula1>
    </dataValidation>
    <dataValidation type="list" allowBlank="1" sqref="Y194:Y195">
      <formula1>"0,1,2,3,5,8,13,21,34,55,89"</formula1>
    </dataValidation>
    <dataValidation type="list" allowBlank="1" sqref="Y197:Y201">
      <formula1>"0,1,2,3,5,8,13,21,34,55,89"</formula1>
    </dataValidation>
    <dataValidation type="list" allowBlank="1" sqref="Y2:Y50">
      <formula1>"0,1,2,3,5,8,13,21,34,55,89"</formula1>
    </dataValidation>
    <dataValidation type="list" allowBlank="1" sqref="Y204:Y205">
      <formula1>"0,1,2,3,5,8,13,21,34,55,89"</formula1>
    </dataValidation>
    <dataValidation type="list" allowBlank="1" sqref="Y212:Y1211">
      <formula1>"0,1,2,3,5,8,13,21,34,55,89"</formula1>
    </dataValidation>
    <dataValidation type="list" allowBlank="1" sqref="Y53:Y55">
      <formula1>"0,1,2,3,5,8,13,21,34,55,89"</formula1>
    </dataValidation>
    <dataValidation type="list" allowBlank="1" sqref="Y67:Y71">
      <formula1>"0,1,2,3,5,8,13,21,34,55,89"</formula1>
    </dataValidation>
    <dataValidation type="list" allowBlank="1" sqref="Y82:Y84">
      <formula1>"0,1,2,3,5,8,13,21,34,55,89"</formula1>
    </dataValidation>
    <dataValidation type="list" allowBlank="1" sqref="Y86">
      <formula1>"0,1,2,3,5,8,13,21,34,55,89"</formula1>
    </dataValidation>
    <dataValidation type="list" allowBlank="1" sqref="Y88">
      <formula1>"0,1,2,3,5,8,13,21,34,55,89"</formula1>
    </dataValidation>
    <dataValidation type="list" allowBlank="1" sqref="Y92:Y97">
      <formula1>"0,1,2,3,5,8,13,21,34,55,89"</formula1>
    </dataValidation>
    <dataValidation type="list" allowBlank="1" sqref="Y99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24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10">
        <f>SUM(R2:R1006)</f>
      </c>
      <c r="S1" s="2" t="s">
        <v>74</v>
      </c>
      <c r="T1" s="10">
        <f>SUM(T2:T1006)</f>
      </c>
      <c r="U1" s="2" t="s">
        <v>75</v>
      </c>
      <c r="V1" s="10">
        <f>SUM(V2:V1006)</f>
      </c>
      <c r="W1" s="2" t="s">
        <v>76</v>
      </c>
      <c r="X1" s="10">
        <f>SUM(X2:X1006)</f>
      </c>
      <c r="Y1" s="2" t="s">
        <v>77</v>
      </c>
      <c r="Z1" s="10">
        <f>SUM(Z2:Z1006)</f>
      </c>
      <c r="AA1" s="10">
        <f>SUM(AA2:AA1006)</f>
      </c>
      <c r="AB1" s="2" t="s">
        <v>78</v>
      </c>
      <c r="AC1" s="2" t="s">
        <v>79</v>
      </c>
      <c r="AD1" s="2" t="s">
        <v>80</v>
      </c>
      <c r="AE1" s="2" t="s">
        <v>81</v>
      </c>
    </row>
    <row r="2" spans="1:31" s="13" customFormat="1" x14ac:dyDescent="0.25">
      <c r="A2" s="13" t="s">
        <v>89</v>
      </c>
      <c r="B2" s="13" t="s">
        <v>345</v>
      </c>
      <c r="D2" s="13"/>
      <c r="E2" s="13"/>
      <c r="F2" s="13"/>
      <c r="G2" s="13"/>
      <c r="H2" s="13"/>
      <c r="I2" s="13"/>
      <c r="J2" s="13"/>
      <c r="K2" s="13" t="s">
        <v>83</v>
      </c>
      <c r="L2" s="13" t="s">
        <v>84</v>
      </c>
      <c r="M2" s="13"/>
      <c r="N2" s="13"/>
      <c r="O2" s="13"/>
      <c r="P2" s="13"/>
      <c r="Q2" s="13">
        <v>2</v>
      </c>
      <c r="R2" s="13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3">
        <v>2</v>
      </c>
      <c r="T2" s="13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3">
        <v>3</v>
      </c>
      <c r="V2" s="13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3">
        <v>5</v>
      </c>
      <c r="X2" s="13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3">
        <v>8</v>
      </c>
      <c r="Z2" s="13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13">
        <f>SUM(V2,X2,Z2)</f>
      </c>
      <c r="AB2" s="13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13" t="s">
        <v>56</v>
      </c>
      <c r="AD2" s="13" t="s">
        <v>56</v>
      </c>
      <c r="AE2" s="13" t="s">
        <v>56</v>
      </c>
    </row>
    <row r="3" spans="1:31" s="13" customFormat="1" x14ac:dyDescent="0.25">
      <c r="A3" s="13" t="s">
        <v>89</v>
      </c>
      <c r="B3" s="13" t="s">
        <v>346</v>
      </c>
      <c r="D3" s="13"/>
      <c r="E3" s="13"/>
      <c r="F3" s="13"/>
      <c r="G3" s="13"/>
      <c r="H3" s="13"/>
      <c r="I3" s="13"/>
      <c r="J3" s="13"/>
      <c r="K3" s="13" t="s">
        <v>83</v>
      </c>
      <c r="L3" s="13" t="s">
        <v>84</v>
      </c>
      <c r="M3" s="13"/>
      <c r="N3" s="13"/>
      <c r="O3" s="13"/>
      <c r="P3" s="13"/>
      <c r="Q3" s="13"/>
      <c r="R3" s="13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3"/>
      <c r="T3" s="13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3">
        <v>3</v>
      </c>
      <c r="V3" s="13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3">
        <v>5</v>
      </c>
      <c r="X3" s="13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3">
        <v>8</v>
      </c>
      <c r="Z3" s="13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13">
        <f>SUM(V3,X3,Z3)</f>
      </c>
      <c r="AB3" s="13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13" t="s">
        <v>56</v>
      </c>
      <c r="AD3" s="13" t="s">
        <v>56</v>
      </c>
      <c r="AE3" s="13" t="s">
        <v>56</v>
      </c>
    </row>
    <row r="4" spans="1:31" s="6" customFormat="1" x14ac:dyDescent="0.25">
      <c r="A4" s="6" t="s">
        <v>89</v>
      </c>
      <c r="B4" s="6" t="s">
        <v>347</v>
      </c>
      <c r="D4" s="6" t="s">
        <v>348</v>
      </c>
      <c r="E4" s="6"/>
      <c r="F4" s="6"/>
      <c r="G4" s="6"/>
      <c r="H4" s="6"/>
      <c r="I4" s="6"/>
      <c r="J4" s="6"/>
      <c r="K4" s="6" t="s">
        <v>83</v>
      </c>
      <c r="L4" s="6" t="s">
        <v>84</v>
      </c>
      <c r="M4" s="6"/>
      <c r="N4" s="6"/>
      <c r="O4" s="6"/>
      <c r="P4" s="6"/>
      <c r="Q4" s="11"/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/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3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5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56</v>
      </c>
      <c r="AD4" s="6" t="s">
        <v>56</v>
      </c>
      <c r="AE4" s="6" t="s">
        <v>56</v>
      </c>
    </row>
    <row r="5" spans="1:31" s="6" customFormat="1" x14ac:dyDescent="0.25">
      <c r="A5" s="6" t="s">
        <v>89</v>
      </c>
      <c r="B5" s="6" t="s">
        <v>90</v>
      </c>
      <c r="D5" s="6"/>
      <c r="E5" s="6"/>
      <c r="F5" s="6"/>
      <c r="G5" s="6"/>
      <c r="H5" s="6"/>
      <c r="I5" s="6"/>
      <c r="J5" s="6"/>
      <c r="K5" s="6" t="s">
        <v>83</v>
      </c>
      <c r="L5" s="6" t="s">
        <v>84</v>
      </c>
      <c r="M5" s="6"/>
      <c r="N5" s="6"/>
      <c r="O5" s="6"/>
      <c r="P5" s="6"/>
      <c r="Q5" s="11"/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/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2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2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5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56</v>
      </c>
      <c r="AD5" s="6" t="s">
        <v>56</v>
      </c>
      <c r="AE5" s="6" t="s">
        <v>56</v>
      </c>
    </row>
    <row r="6" spans="1:31" s="13" customFormat="1" x14ac:dyDescent="0.25">
      <c r="A6" s="13" t="s">
        <v>89</v>
      </c>
      <c r="B6" s="13" t="s">
        <v>349</v>
      </c>
      <c r="D6" s="13"/>
      <c r="E6" s="13"/>
      <c r="F6" s="13"/>
      <c r="G6" s="13"/>
      <c r="H6" s="13"/>
      <c r="I6" s="13"/>
      <c r="J6" s="13"/>
      <c r="K6" s="13" t="s">
        <v>83</v>
      </c>
      <c r="L6" s="13" t="s">
        <v>84</v>
      </c>
      <c r="M6" s="13"/>
      <c r="N6" s="13"/>
      <c r="O6" s="13"/>
      <c r="P6" s="13"/>
      <c r="Q6" s="13"/>
      <c r="R6" s="13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3"/>
      <c r="T6" s="13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3"/>
      <c r="V6" s="13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3"/>
      <c r="X6" s="13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3"/>
      <c r="Z6" s="13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13">
        <f>SUM(V6,X6,Z6)</f>
      </c>
      <c r="AB6" s="13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13" t="s">
        <v>56</v>
      </c>
      <c r="AD6" s="13" t="s">
        <v>56</v>
      </c>
      <c r="AE6" s="13" t="s">
        <v>56</v>
      </c>
    </row>
    <row r="7" spans="1:31" s="6" customFormat="1" x14ac:dyDescent="0.25">
      <c r="A7" s="6" t="s">
        <v>350</v>
      </c>
      <c r="B7" s="6" t="s">
        <v>351</v>
      </c>
      <c r="D7" s="6"/>
      <c r="E7" s="6"/>
      <c r="F7" s="6"/>
      <c r="G7" s="6"/>
      <c r="H7" s="6"/>
      <c r="I7" s="6"/>
      <c r="J7" s="6"/>
      <c r="K7" s="6" t="s">
        <v>83</v>
      </c>
      <c r="L7" s="6" t="s">
        <v>84</v>
      </c>
      <c r="M7" s="6"/>
      <c r="N7" s="6"/>
      <c r="O7" s="6"/>
      <c r="P7" s="6"/>
      <c r="Q7" s="11">
        <v>0</v>
      </c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>
        <v>0</v>
      </c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8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8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8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56</v>
      </c>
      <c r="AD7" s="6" t="s">
        <v>56</v>
      </c>
      <c r="AE7" s="6" t="s">
        <v>56</v>
      </c>
    </row>
    <row r="8" spans="1:31" s="6" customFormat="1" x14ac:dyDescent="0.25">
      <c r="A8" s="6" t="s">
        <v>350</v>
      </c>
      <c r="B8" s="6" t="s">
        <v>352</v>
      </c>
      <c r="D8" s="6" t="s">
        <v>353</v>
      </c>
      <c r="E8" s="6"/>
      <c r="F8" s="6"/>
      <c r="G8" s="6"/>
      <c r="H8" s="6"/>
      <c r="I8" s="6"/>
      <c r="J8" s="6"/>
      <c r="K8" s="6" t="s">
        <v>83</v>
      </c>
      <c r="L8" s="6" t="s">
        <v>84</v>
      </c>
      <c r="M8" s="6"/>
      <c r="N8" s="6"/>
      <c r="O8" s="6"/>
      <c r="P8" s="6"/>
      <c r="Q8" s="11">
        <v>0</v>
      </c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>
        <v>0</v>
      </c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8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5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8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56</v>
      </c>
      <c r="AD8" s="6" t="s">
        <v>56</v>
      </c>
      <c r="AE8" s="6" t="s">
        <v>56</v>
      </c>
    </row>
    <row r="9" spans="1:31" s="6" customFormat="1" x14ac:dyDescent="0.25">
      <c r="A9" s="6" t="s">
        <v>350</v>
      </c>
      <c r="B9" s="6" t="s">
        <v>125</v>
      </c>
      <c r="D9" s="6"/>
      <c r="E9" s="6"/>
      <c r="F9" s="6"/>
      <c r="G9" s="6"/>
      <c r="H9" s="6"/>
      <c r="I9" s="6"/>
      <c r="J9" s="6"/>
      <c r="K9" s="6" t="s">
        <v>83</v>
      </c>
      <c r="L9" s="6" t="s">
        <v>84</v>
      </c>
      <c r="M9" s="6"/>
      <c r="N9" s="6"/>
      <c r="O9" s="6"/>
      <c r="P9" s="6"/>
      <c r="Q9" s="11"/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/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3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1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5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56</v>
      </c>
      <c r="AD9" s="6" t="s">
        <v>56</v>
      </c>
      <c r="AE9" s="6" t="s">
        <v>56</v>
      </c>
    </row>
    <row r="10" spans="1:31" s="6" customFormat="1" x14ac:dyDescent="0.25">
      <c r="A10" s="6" t="s">
        <v>350</v>
      </c>
      <c r="B10" s="6" t="s">
        <v>254</v>
      </c>
      <c r="D10" s="6"/>
      <c r="E10" s="6"/>
      <c r="F10" s="6"/>
      <c r="G10" s="6"/>
      <c r="H10" s="6"/>
      <c r="I10" s="6"/>
      <c r="J10" s="6"/>
      <c r="K10" s="6" t="s">
        <v>83</v>
      </c>
      <c r="L10" s="6" t="s">
        <v>84</v>
      </c>
      <c r="M10" s="6"/>
      <c r="N10" s="6"/>
      <c r="O10" s="6"/>
      <c r="P10" s="6"/>
      <c r="Q10" s="11"/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/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5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1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5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56</v>
      </c>
      <c r="AD10" s="6" t="s">
        <v>56</v>
      </c>
      <c r="AE10" s="6" t="s">
        <v>56</v>
      </c>
    </row>
    <row r="11" spans="1:31" s="13" customFormat="1" x14ac:dyDescent="0.25">
      <c r="A11" s="13" t="s">
        <v>350</v>
      </c>
      <c r="B11" s="13" t="s">
        <v>354</v>
      </c>
      <c r="D11" s="13"/>
      <c r="E11" s="13"/>
      <c r="F11" s="13" t="s">
        <v>355</v>
      </c>
      <c r="G11" s="13"/>
      <c r="H11" s="13"/>
      <c r="I11" s="13"/>
      <c r="J11" s="13"/>
      <c r="K11" s="13" t="s">
        <v>83</v>
      </c>
      <c r="L11" s="13" t="s">
        <v>84</v>
      </c>
      <c r="M11" s="13"/>
      <c r="N11" s="13"/>
      <c r="O11" s="13"/>
      <c r="P11" s="13"/>
      <c r="Q11" s="13"/>
      <c r="R11" s="13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3"/>
      <c r="T11" s="13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3">
        <v>8</v>
      </c>
      <c r="V11" s="13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3">
        <v>5</v>
      </c>
      <c r="X11" s="13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3">
        <v>5</v>
      </c>
      <c r="Z11" s="13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13">
        <f>SUM(V11,X11,Z11)</f>
      </c>
      <c r="AB11" s="13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13" t="s">
        <v>56</v>
      </c>
      <c r="AD11" s="13" t="s">
        <v>56</v>
      </c>
      <c r="AE11" s="13" t="s">
        <v>56</v>
      </c>
    </row>
    <row r="12" spans="1:31" s="6" customFormat="1" x14ac:dyDescent="0.25">
      <c r="A12" s="6" t="s">
        <v>356</v>
      </c>
      <c r="B12" s="6" t="s">
        <v>357</v>
      </c>
      <c r="D12" s="6"/>
      <c r="E12" s="6"/>
      <c r="F12" s="6"/>
      <c r="G12" s="6"/>
      <c r="H12" s="6"/>
      <c r="I12" s="6"/>
      <c r="J12" s="6"/>
      <c r="K12" s="6" t="s">
        <v>83</v>
      </c>
      <c r="L12" s="6" t="s">
        <v>84</v>
      </c>
      <c r="M12" s="6"/>
      <c r="N12" s="6"/>
      <c r="O12" s="6"/>
      <c r="P12" s="6"/>
      <c r="Q12" s="11">
        <v>0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0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5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5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5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56</v>
      </c>
      <c r="AD12" s="6" t="s">
        <v>56</v>
      </c>
      <c r="AE12" s="6" t="s">
        <v>56</v>
      </c>
    </row>
    <row r="13" spans="1:31" s="6" customFormat="1" x14ac:dyDescent="0.25">
      <c r="A13" s="6" t="s">
        <v>356</v>
      </c>
      <c r="B13" s="6" t="s">
        <v>358</v>
      </c>
      <c r="C13" s="6" t="s">
        <v>359</v>
      </c>
      <c r="D13" s="6"/>
      <c r="E13" s="6"/>
      <c r="F13" s="6"/>
      <c r="G13" s="6"/>
      <c r="H13" s="6"/>
      <c r="I13" s="6"/>
      <c r="J13" s="6"/>
      <c r="K13" s="6" t="s">
        <v>83</v>
      </c>
      <c r="L13" s="6" t="s">
        <v>84</v>
      </c>
      <c r="M13" s="6"/>
      <c r="N13" s="6"/>
      <c r="O13" s="6"/>
      <c r="P13" s="6"/>
      <c r="Q13" s="11"/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/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3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1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3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56</v>
      </c>
      <c r="AD13" s="6" t="s">
        <v>56</v>
      </c>
      <c r="AE13" s="6" t="s">
        <v>56</v>
      </c>
    </row>
    <row r="14" spans="1:31" s="6" customFormat="1" x14ac:dyDescent="0.25">
      <c r="A14" s="6" t="s">
        <v>356</v>
      </c>
      <c r="B14" s="6" t="s">
        <v>358</v>
      </c>
      <c r="C14" s="6" t="s">
        <v>360</v>
      </c>
      <c r="D14" s="6"/>
      <c r="E14" s="6"/>
      <c r="F14" s="6"/>
      <c r="G14" s="6"/>
      <c r="H14" s="6"/>
      <c r="I14" s="6"/>
      <c r="J14" s="6"/>
      <c r="K14" s="6" t="s">
        <v>83</v>
      </c>
      <c r="L14" s="6" t="s">
        <v>84</v>
      </c>
      <c r="M14" s="6"/>
      <c r="N14" s="6"/>
      <c r="O14" s="6"/>
      <c r="P14" s="6"/>
      <c r="Q14" s="11"/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/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3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1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3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56</v>
      </c>
      <c r="AD14" s="6" t="s">
        <v>56</v>
      </c>
      <c r="AE14" s="6" t="s">
        <v>56</v>
      </c>
    </row>
    <row r="15" spans="1:31" s="6" customFormat="1" x14ac:dyDescent="0.25">
      <c r="A15" s="6" t="s">
        <v>356</v>
      </c>
      <c r="B15" s="6" t="s">
        <v>361</v>
      </c>
      <c r="D15" s="6"/>
      <c r="E15" s="6"/>
      <c r="F15" s="6"/>
      <c r="G15" s="6"/>
      <c r="H15" s="6"/>
      <c r="I15" s="6"/>
      <c r="J15" s="6"/>
      <c r="K15" s="6" t="s">
        <v>83</v>
      </c>
      <c r="L15" s="6" t="s">
        <v>84</v>
      </c>
      <c r="M15" s="6"/>
      <c r="N15" s="6"/>
      <c r="O15" s="6"/>
      <c r="P15" s="6"/>
      <c r="Q15" s="11">
        <v>0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0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3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3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3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56</v>
      </c>
      <c r="AD15" s="6" t="s">
        <v>56</v>
      </c>
      <c r="AE15" s="6" t="s">
        <v>56</v>
      </c>
    </row>
    <row r="16" spans="1:31" s="6" customFormat="1" x14ac:dyDescent="0.25">
      <c r="A16" s="6" t="s">
        <v>356</v>
      </c>
      <c r="B16" s="6" t="s">
        <v>362</v>
      </c>
      <c r="D16" s="6"/>
      <c r="E16" s="6"/>
      <c r="F16" s="6"/>
      <c r="G16" s="6"/>
      <c r="H16" s="6"/>
      <c r="I16" s="6"/>
      <c r="J16" s="6"/>
      <c r="K16" s="6" t="s">
        <v>83</v>
      </c>
      <c r="L16" s="6" t="s">
        <v>84</v>
      </c>
      <c r="M16" s="6"/>
      <c r="N16" s="6"/>
      <c r="O16" s="6"/>
      <c r="P16" s="6"/>
      <c r="Q16" s="11"/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/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3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3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5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56</v>
      </c>
      <c r="AD16" s="6" t="s">
        <v>56</v>
      </c>
      <c r="AE16" s="6" t="s">
        <v>56</v>
      </c>
    </row>
    <row r="17" spans="1:31" s="6" customFormat="1" x14ac:dyDescent="0.25">
      <c r="A17" s="6" t="s">
        <v>356</v>
      </c>
      <c r="B17" s="6" t="s">
        <v>363</v>
      </c>
      <c r="C17" s="6" t="s">
        <v>0</v>
      </c>
      <c r="D17" s="6"/>
      <c r="E17" s="6"/>
      <c r="F17" s="6"/>
      <c r="G17" s="6"/>
      <c r="H17" s="6"/>
      <c r="I17" s="6"/>
      <c r="J17" s="6"/>
      <c r="K17" s="6" t="s">
        <v>83</v>
      </c>
      <c r="L17" s="6" t="s">
        <v>84</v>
      </c>
      <c r="M17" s="6"/>
      <c r="N17" s="6"/>
      <c r="O17" s="6"/>
      <c r="P17" s="6"/>
      <c r="Q17" s="11"/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/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2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1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3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56</v>
      </c>
      <c r="AD17" s="6" t="s">
        <v>56</v>
      </c>
      <c r="AE17" s="6" t="s">
        <v>56</v>
      </c>
    </row>
    <row r="18" spans="1:31" s="6" customFormat="1" x14ac:dyDescent="0.25">
      <c r="A18" s="6" t="s">
        <v>356</v>
      </c>
      <c r="B18" s="6" t="s">
        <v>363</v>
      </c>
      <c r="C18" s="6" t="s">
        <v>364</v>
      </c>
      <c r="D18" s="6"/>
      <c r="E18" s="6"/>
      <c r="F18" s="6"/>
      <c r="G18" s="6"/>
      <c r="H18" s="6"/>
      <c r="I18" s="6"/>
      <c r="J18" s="6"/>
      <c r="K18" s="6" t="s">
        <v>83</v>
      </c>
      <c r="L18" s="6" t="s">
        <v>84</v>
      </c>
      <c r="M18" s="6"/>
      <c r="N18" s="6"/>
      <c r="O18" s="6"/>
      <c r="P18" s="6"/>
      <c r="Q18" s="11"/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/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2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1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>
        <v>2</v>
      </c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56</v>
      </c>
      <c r="AD18" s="6" t="s">
        <v>56</v>
      </c>
      <c r="AE18" s="6" t="s">
        <v>56</v>
      </c>
    </row>
    <row r="19" spans="1:31" s="6" customFormat="1" x14ac:dyDescent="0.25">
      <c r="A19" s="6" t="s">
        <v>356</v>
      </c>
      <c r="B19" s="6" t="s">
        <v>365</v>
      </c>
      <c r="D19" s="6"/>
      <c r="E19" s="6"/>
      <c r="F19" s="6"/>
      <c r="G19" s="6"/>
      <c r="H19" s="6"/>
      <c r="I19" s="6"/>
      <c r="J19" s="6"/>
      <c r="K19" s="6" t="s">
        <v>83</v>
      </c>
      <c r="L19" s="6" t="s">
        <v>84</v>
      </c>
      <c r="M19" s="6"/>
      <c r="N19" s="6"/>
      <c r="O19" s="6"/>
      <c r="P19" s="6"/>
      <c r="Q19" s="11"/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/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3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3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5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56</v>
      </c>
      <c r="AD19" s="6" t="s">
        <v>56</v>
      </c>
      <c r="AE19" s="6" t="s">
        <v>56</v>
      </c>
    </row>
    <row r="20" spans="1:31" s="6" customFormat="1" x14ac:dyDescent="0.25">
      <c r="A20" s="6" t="s">
        <v>356</v>
      </c>
      <c r="B20" s="6" t="s">
        <v>366</v>
      </c>
      <c r="D20" s="6"/>
      <c r="E20" s="6"/>
      <c r="F20" s="6"/>
      <c r="G20" s="6"/>
      <c r="H20" s="6"/>
      <c r="I20" s="6"/>
      <c r="J20" s="6"/>
      <c r="K20" s="6" t="s">
        <v>83</v>
      </c>
      <c r="L20" s="6" t="s">
        <v>84</v>
      </c>
      <c r="M20" s="6"/>
      <c r="N20" s="6"/>
      <c r="O20" s="6"/>
      <c r="P20" s="6"/>
      <c r="Q20" s="11"/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/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3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5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5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56</v>
      </c>
      <c r="AD20" s="6" t="s">
        <v>56</v>
      </c>
      <c r="AE20" s="6" t="s">
        <v>56</v>
      </c>
    </row>
    <row r="21" spans="1:31" s="6" customFormat="1" x14ac:dyDescent="0.25">
      <c r="A21" s="6" t="s">
        <v>356</v>
      </c>
      <c r="B21" s="6" t="s">
        <v>367</v>
      </c>
      <c r="D21" s="6"/>
      <c r="E21" s="6"/>
      <c r="F21" s="6"/>
      <c r="G21" s="6"/>
      <c r="H21" s="6"/>
      <c r="I21" s="6"/>
      <c r="J21" s="6"/>
      <c r="K21" s="6" t="s">
        <v>83</v>
      </c>
      <c r="L21" s="6" t="s">
        <v>84</v>
      </c>
      <c r="M21" s="6"/>
      <c r="N21" s="6"/>
      <c r="O21" s="6"/>
      <c r="P21" s="6"/>
      <c r="Q21" s="11">
        <v>0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0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5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5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5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56</v>
      </c>
      <c r="AD21" s="6" t="s">
        <v>56</v>
      </c>
      <c r="AE21" s="6" t="s">
        <v>56</v>
      </c>
    </row>
    <row r="22" spans="1:31" s="6" customFormat="1" x14ac:dyDescent="0.25">
      <c r="A22" s="6" t="s">
        <v>356</v>
      </c>
      <c r="B22" s="6" t="s">
        <v>368</v>
      </c>
      <c r="C22" s="6" t="s">
        <v>0</v>
      </c>
      <c r="D22" s="6"/>
      <c r="E22" s="6"/>
      <c r="F22" s="6"/>
      <c r="G22" s="6"/>
      <c r="H22" s="6"/>
      <c r="I22" s="6"/>
      <c r="J22" s="6"/>
      <c r="K22" s="6" t="s">
        <v>83</v>
      </c>
      <c r="L22" s="6" t="s">
        <v>84</v>
      </c>
      <c r="M22" s="6"/>
      <c r="N22" s="6"/>
      <c r="O22" s="6"/>
      <c r="P22" s="6"/>
      <c r="Q22" s="11"/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/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2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1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2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56</v>
      </c>
      <c r="AD22" s="6" t="s">
        <v>56</v>
      </c>
      <c r="AE22" s="6" t="s">
        <v>56</v>
      </c>
    </row>
    <row r="23" spans="1:31" s="6" customFormat="1" x14ac:dyDescent="0.25">
      <c r="A23" s="6" t="s">
        <v>356</v>
      </c>
      <c r="B23" s="6" t="s">
        <v>368</v>
      </c>
      <c r="C23" s="6" t="s">
        <v>364</v>
      </c>
      <c r="D23" s="6"/>
      <c r="E23" s="6"/>
      <c r="F23" s="6"/>
      <c r="G23" s="6"/>
      <c r="H23" s="6"/>
      <c r="I23" s="6"/>
      <c r="J23" s="6"/>
      <c r="K23" s="6" t="s">
        <v>83</v>
      </c>
      <c r="L23" s="6" t="s">
        <v>84</v>
      </c>
      <c r="M23" s="6"/>
      <c r="N23" s="6"/>
      <c r="O23" s="6"/>
      <c r="P23" s="6"/>
      <c r="Q23" s="11"/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/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2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1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2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56</v>
      </c>
      <c r="AD23" s="6" t="s">
        <v>56</v>
      </c>
      <c r="AE23" s="6" t="s">
        <v>56</v>
      </c>
    </row>
    <row r="24" spans="1:31" s="6" customFormat="1" x14ac:dyDescent="0.25">
      <c r="A24" s="6" t="s">
        <v>356</v>
      </c>
      <c r="B24" s="6" t="s">
        <v>369</v>
      </c>
      <c r="D24" s="6"/>
      <c r="E24" s="6"/>
      <c r="F24" s="6"/>
      <c r="G24" s="6"/>
      <c r="H24" s="6"/>
      <c r="I24" s="6"/>
      <c r="J24" s="6"/>
      <c r="K24" s="6" t="s">
        <v>83</v>
      </c>
      <c r="L24" s="6" t="s">
        <v>84</v>
      </c>
      <c r="M24" s="6"/>
      <c r="N24" s="6"/>
      <c r="O24" s="6"/>
      <c r="P24" s="6"/>
      <c r="Q24" s="11"/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/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3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3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5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56</v>
      </c>
      <c r="AD24" s="6" t="s">
        <v>56</v>
      </c>
      <c r="AE24" s="6" t="s">
        <v>56</v>
      </c>
    </row>
    <row r="25" spans="1:31" s="6" customFormat="1" x14ac:dyDescent="0.25">
      <c r="A25" s="6" t="s">
        <v>356</v>
      </c>
      <c r="B25" s="6" t="s">
        <v>370</v>
      </c>
      <c r="D25" s="6"/>
      <c r="E25" s="6"/>
      <c r="F25" s="6"/>
      <c r="G25" s="6"/>
      <c r="H25" s="6"/>
      <c r="I25" s="6"/>
      <c r="J25" s="6"/>
      <c r="K25" s="6" t="s">
        <v>83</v>
      </c>
      <c r="L25" s="6" t="s">
        <v>84</v>
      </c>
      <c r="M25" s="6"/>
      <c r="N25" s="6"/>
      <c r="O25" s="6"/>
      <c r="P25" s="6"/>
      <c r="Q25" s="11"/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/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3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5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5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56</v>
      </c>
      <c r="AD25" s="6" t="s">
        <v>56</v>
      </c>
      <c r="AE25" s="6" t="s">
        <v>56</v>
      </c>
    </row>
    <row r="26" spans="1:31" s="6" customFormat="1" x14ac:dyDescent="0.25">
      <c r="A26" s="6" t="s">
        <v>356</v>
      </c>
      <c r="B26" s="6" t="s">
        <v>371</v>
      </c>
      <c r="D26" s="6"/>
      <c r="E26" s="6"/>
      <c r="F26" s="6"/>
      <c r="G26" s="6"/>
      <c r="H26" s="6"/>
      <c r="I26" s="6"/>
      <c r="J26" s="6"/>
      <c r="K26" s="6" t="s">
        <v>83</v>
      </c>
      <c r="L26" s="6" t="s">
        <v>84</v>
      </c>
      <c r="M26" s="6"/>
      <c r="N26" s="6"/>
      <c r="O26" s="6"/>
      <c r="P26" s="6"/>
      <c r="Q26" s="11">
        <v>0</v>
      </c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>
        <v>0</v>
      </c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5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5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5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56</v>
      </c>
      <c r="AD26" s="6" t="s">
        <v>56</v>
      </c>
      <c r="AE26" s="6" t="s">
        <v>56</v>
      </c>
    </row>
    <row r="27" spans="1:31" s="6" customFormat="1" x14ac:dyDescent="0.25">
      <c r="A27" s="6" t="s">
        <v>356</v>
      </c>
      <c r="B27" s="6" t="s">
        <v>125</v>
      </c>
      <c r="D27" s="6" t="s">
        <v>372</v>
      </c>
      <c r="E27" s="6"/>
      <c r="F27" s="6"/>
      <c r="G27" s="6"/>
      <c r="H27" s="6"/>
      <c r="I27" s="6"/>
      <c r="J27" s="6"/>
      <c r="K27" s="6" t="s">
        <v>83</v>
      </c>
      <c r="L27" s="6" t="s">
        <v>84</v>
      </c>
      <c r="M27" s="6"/>
      <c r="N27" s="6"/>
      <c r="O27" s="6"/>
      <c r="P27" s="6"/>
      <c r="Q27" s="11"/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/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3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2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5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56</v>
      </c>
      <c r="AD27" s="6" t="s">
        <v>56</v>
      </c>
      <c r="AE27" s="6" t="s">
        <v>56</v>
      </c>
    </row>
    <row r="28" spans="1:31" s="6" customFormat="1" x14ac:dyDescent="0.25">
      <c r="A28" s="6" t="s">
        <v>356</v>
      </c>
      <c r="B28" s="6" t="s">
        <v>254</v>
      </c>
      <c r="D28" s="6" t="s">
        <v>372</v>
      </c>
      <c r="E28" s="6"/>
      <c r="F28" s="6"/>
      <c r="G28" s="6"/>
      <c r="H28" s="6"/>
      <c r="I28" s="6"/>
      <c r="J28" s="6"/>
      <c r="K28" s="6" t="s">
        <v>83</v>
      </c>
      <c r="L28" s="6" t="s">
        <v>84</v>
      </c>
      <c r="M28" s="6"/>
      <c r="N28" s="6"/>
      <c r="O28" s="6"/>
      <c r="P28" s="6"/>
      <c r="Q28" s="11"/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/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3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2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3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56</v>
      </c>
      <c r="AD28" s="6" t="s">
        <v>56</v>
      </c>
      <c r="AE28" s="6" t="s">
        <v>56</v>
      </c>
    </row>
    <row r="29" spans="1:31" s="6" customFormat="1" x14ac:dyDescent="0.25">
      <c r="A29" s="6" t="s">
        <v>373</v>
      </c>
      <c r="B29" s="6" t="s">
        <v>374</v>
      </c>
      <c r="D29" s="6"/>
      <c r="E29" s="6"/>
      <c r="F29" s="6"/>
      <c r="G29" s="6"/>
      <c r="H29" s="6"/>
      <c r="I29" s="6"/>
      <c r="J29" s="6"/>
      <c r="K29" s="6" t="s">
        <v>83</v>
      </c>
      <c r="L29" s="6" t="s">
        <v>84</v>
      </c>
      <c r="M29" s="6"/>
      <c r="N29" s="6"/>
      <c r="O29" s="6"/>
      <c r="P29" s="6"/>
      <c r="Q29" s="11">
        <v>0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0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8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8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8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56</v>
      </c>
      <c r="AD29" s="6" t="s">
        <v>56</v>
      </c>
      <c r="AE29" s="6" t="s">
        <v>56</v>
      </c>
    </row>
    <row r="30" spans="1:31" s="6" customFormat="1" x14ac:dyDescent="0.25">
      <c r="A30" s="6" t="s">
        <v>373</v>
      </c>
      <c r="B30" s="6" t="s">
        <v>125</v>
      </c>
      <c r="D30" s="6"/>
      <c r="E30" s="6"/>
      <c r="F30" s="6"/>
      <c r="G30" s="6"/>
      <c r="H30" s="6"/>
      <c r="I30" s="6"/>
      <c r="J30" s="6"/>
      <c r="K30" s="6" t="s">
        <v>83</v>
      </c>
      <c r="L30" s="6" t="s">
        <v>84</v>
      </c>
      <c r="M30" s="6"/>
      <c r="N30" s="6"/>
      <c r="O30" s="6"/>
      <c r="P30" s="6"/>
      <c r="Q30" s="11"/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/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1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1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3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56</v>
      </c>
      <c r="AD30" s="6" t="s">
        <v>56</v>
      </c>
      <c r="AE30" s="6" t="s">
        <v>56</v>
      </c>
    </row>
    <row r="31" spans="1:31" s="6" customFormat="1" x14ac:dyDescent="0.25">
      <c r="A31" s="6" t="s">
        <v>373</v>
      </c>
      <c r="B31" s="6" t="s">
        <v>254</v>
      </c>
      <c r="D31" s="6"/>
      <c r="E31" s="6"/>
      <c r="F31" s="6"/>
      <c r="G31" s="6"/>
      <c r="H31" s="6"/>
      <c r="I31" s="6"/>
      <c r="J31" s="6"/>
      <c r="K31" s="6" t="s">
        <v>83</v>
      </c>
      <c r="L31" s="6" t="s">
        <v>84</v>
      </c>
      <c r="M31" s="6"/>
      <c r="N31" s="6"/>
      <c r="O31" s="6"/>
      <c r="P31" s="6"/>
      <c r="Q31" s="11"/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/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1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5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56</v>
      </c>
      <c r="AD31" s="6" t="s">
        <v>56</v>
      </c>
      <c r="AE31" s="6" t="s">
        <v>56</v>
      </c>
    </row>
    <row r="32" spans="1:31" s="6" customFormat="1" x14ac:dyDescent="0.25">
      <c r="A32" s="6" t="s">
        <v>266</v>
      </c>
      <c r="B32" s="6" t="s">
        <v>110</v>
      </c>
      <c r="D32" s="6"/>
      <c r="E32" s="6"/>
      <c r="F32" s="6"/>
      <c r="G32" s="6"/>
      <c r="H32" s="6"/>
      <c r="I32" s="6"/>
      <c r="J32" s="6"/>
      <c r="K32" s="6" t="s">
        <v>83</v>
      </c>
      <c r="L32" s="6" t="s">
        <v>84</v>
      </c>
      <c r="M32" s="6"/>
      <c r="N32" s="6"/>
      <c r="O32" s="6"/>
      <c r="P32" s="6"/>
      <c r="Q32" s="11">
        <v>0</v>
      </c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>
        <v>0</v>
      </c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8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5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8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56</v>
      </c>
      <c r="AD32" s="6" t="s">
        <v>56</v>
      </c>
      <c r="AE32" s="6" t="s">
        <v>56</v>
      </c>
    </row>
    <row r="33" spans="1:31" s="13" customFormat="1" x14ac:dyDescent="0.25">
      <c r="A33" s="13" t="s">
        <v>266</v>
      </c>
      <c r="B33" s="13" t="s">
        <v>375</v>
      </c>
      <c r="D33" s="13"/>
      <c r="E33" s="13"/>
      <c r="F33" s="13"/>
      <c r="G33" s="13"/>
      <c r="H33" s="13"/>
      <c r="I33" s="13"/>
      <c r="J33" s="13"/>
      <c r="K33" s="13" t="s">
        <v>83</v>
      </c>
      <c r="L33" s="13" t="s">
        <v>84</v>
      </c>
      <c r="M33" s="13"/>
      <c r="N33" s="13"/>
      <c r="O33" s="13"/>
      <c r="P33" s="13"/>
      <c r="Q33" s="13"/>
      <c r="R33" s="13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3"/>
      <c r="T33" s="13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3">
        <v>5</v>
      </c>
      <c r="V33" s="13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3">
        <v>5</v>
      </c>
      <c r="X33" s="13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3">
        <v>5</v>
      </c>
      <c r="Z33" s="13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13">
        <f>SUM(V33,X33,Z33)</f>
      </c>
      <c r="AB33" s="13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13" t="s">
        <v>56</v>
      </c>
      <c r="AD33" s="13" t="s">
        <v>56</v>
      </c>
      <c r="AE33" s="13" t="s">
        <v>56</v>
      </c>
    </row>
    <row r="34" spans="1:31" s="13" customFormat="1" x14ac:dyDescent="0.25">
      <c r="A34" s="13" t="s">
        <v>266</v>
      </c>
      <c r="B34" s="13" t="s">
        <v>376</v>
      </c>
      <c r="D34" s="13"/>
      <c r="E34" s="13"/>
      <c r="F34" s="13"/>
      <c r="G34" s="13"/>
      <c r="H34" s="13"/>
      <c r="I34" s="13"/>
      <c r="J34" s="13"/>
      <c r="K34" s="13" t="s">
        <v>83</v>
      </c>
      <c r="L34" s="13" t="s">
        <v>84</v>
      </c>
      <c r="M34" s="13"/>
      <c r="N34" s="13"/>
      <c r="O34" s="13"/>
      <c r="P34" s="13"/>
      <c r="Q34" s="13">
        <v>1</v>
      </c>
      <c r="R34" s="13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3">
        <v>1</v>
      </c>
      <c r="T34" s="13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3">
        <v>5</v>
      </c>
      <c r="V34" s="13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3">
        <v>5</v>
      </c>
      <c r="X34" s="13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3">
        <v>5</v>
      </c>
      <c r="Z34" s="13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13">
        <f>SUM(V34,X34,Z34)</f>
      </c>
      <c r="AB34" s="13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13" t="s">
        <v>56</v>
      </c>
      <c r="AD34" s="13" t="s">
        <v>56</v>
      </c>
      <c r="AE34" s="13" t="s">
        <v>56</v>
      </c>
    </row>
    <row r="35" spans="1:31" s="6" customFormat="1" x14ac:dyDescent="0.25">
      <c r="A35" s="6" t="s">
        <v>377</v>
      </c>
      <c r="B35" s="6" t="s">
        <v>378</v>
      </c>
      <c r="C35" s="6" t="s">
        <v>379</v>
      </c>
      <c r="D35" s="6"/>
      <c r="E35" s="6"/>
      <c r="F35" s="6"/>
      <c r="G35" s="6"/>
      <c r="H35" s="6"/>
      <c r="I35" s="6"/>
      <c r="J35" s="6"/>
      <c r="K35" s="6" t="s">
        <v>83</v>
      </c>
      <c r="L35" s="6" t="s">
        <v>84</v>
      </c>
      <c r="M35" s="6"/>
      <c r="N35" s="6"/>
      <c r="O35" s="6"/>
      <c r="P35" s="6"/>
      <c r="Q35" s="11"/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/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3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1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3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56</v>
      </c>
      <c r="AD35" s="6" t="s">
        <v>56</v>
      </c>
      <c r="AE35" s="6" t="s">
        <v>56</v>
      </c>
    </row>
    <row r="36" spans="1:31" s="6" customFormat="1" x14ac:dyDescent="0.25">
      <c r="A36" s="6" t="s">
        <v>377</v>
      </c>
      <c r="B36" s="6" t="s">
        <v>378</v>
      </c>
      <c r="C36" s="6" t="s">
        <v>380</v>
      </c>
      <c r="D36" s="6"/>
      <c r="E36" s="6"/>
      <c r="F36" s="6"/>
      <c r="G36" s="6"/>
      <c r="H36" s="6"/>
      <c r="I36" s="6"/>
      <c r="J36" s="6"/>
      <c r="K36" s="6" t="s">
        <v>83</v>
      </c>
      <c r="L36" s="6" t="s">
        <v>84</v>
      </c>
      <c r="M36" s="6"/>
      <c r="N36" s="6"/>
      <c r="O36" s="6"/>
      <c r="P36" s="6"/>
      <c r="Q36" s="11"/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/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3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1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2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56</v>
      </c>
      <c r="AD36" s="6" t="s">
        <v>56</v>
      </c>
      <c r="AE36" s="6" t="s">
        <v>56</v>
      </c>
    </row>
    <row r="37" spans="1:31" s="6" customFormat="1" x14ac:dyDescent="0.25">
      <c r="A37" s="6" t="s">
        <v>377</v>
      </c>
      <c r="B37" s="6" t="s">
        <v>125</v>
      </c>
      <c r="D37" s="6"/>
      <c r="E37" s="6"/>
      <c r="F37" s="6"/>
      <c r="G37" s="6"/>
      <c r="H37" s="6"/>
      <c r="I37" s="6"/>
      <c r="J37" s="6"/>
      <c r="K37" s="6" t="s">
        <v>83</v>
      </c>
      <c r="L37" s="6" t="s">
        <v>84</v>
      </c>
      <c r="M37" s="6"/>
      <c r="N37" s="6"/>
      <c r="O37" s="6"/>
      <c r="P37" s="6"/>
      <c r="Q37" s="11"/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/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3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2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5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56</v>
      </c>
      <c r="AD37" s="6" t="s">
        <v>56</v>
      </c>
      <c r="AE37" s="6" t="s">
        <v>56</v>
      </c>
    </row>
    <row r="38" spans="1:31" s="6" customFormat="1" x14ac:dyDescent="0.25">
      <c r="A38" s="6" t="s">
        <v>317</v>
      </c>
      <c r="D38" s="6"/>
      <c r="E38" s="6"/>
      <c r="F38" s="6"/>
      <c r="G38" s="6"/>
      <c r="H38" s="6"/>
      <c r="I38" s="6"/>
      <c r="J38" s="6"/>
      <c r="K38" s="6" t="s">
        <v>83</v>
      </c>
      <c r="L38" s="6" t="s">
        <v>84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5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2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2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56</v>
      </c>
      <c r="AD38" s="6" t="s">
        <v>56</v>
      </c>
      <c r="AE38" s="6" t="s">
        <v>56</v>
      </c>
    </row>
    <row r="39" spans="1:31" s="6" customFormat="1" x14ac:dyDescent="0.25">
      <c r="A39" s="6" t="s">
        <v>302</v>
      </c>
      <c r="B39" s="6" t="s">
        <v>381</v>
      </c>
      <c r="D39" s="6"/>
      <c r="E39" s="6"/>
      <c r="F39" s="6"/>
      <c r="G39" s="6"/>
      <c r="H39" s="6"/>
      <c r="I39" s="6"/>
      <c r="J39" s="6"/>
      <c r="K39" s="6" t="s">
        <v>83</v>
      </c>
      <c r="L39" s="6" t="s">
        <v>84</v>
      </c>
      <c r="M39" s="6"/>
      <c r="N39" s="6"/>
      <c r="O39" s="6"/>
      <c r="P39" s="6"/>
      <c r="Q39" s="11"/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/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/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/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21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56</v>
      </c>
      <c r="AD39" s="6" t="s">
        <v>56</v>
      </c>
      <c r="AE39" s="6" t="s">
        <v>56</v>
      </c>
    </row>
    <row r="40" spans="1:31" s="6" customFormat="1" x14ac:dyDescent="0.25">
      <c r="A40" s="6" t="s">
        <v>302</v>
      </c>
      <c r="B40" s="6" t="s">
        <v>382</v>
      </c>
      <c r="D40" s="6"/>
      <c r="E40" s="6"/>
      <c r="F40" s="6"/>
      <c r="G40" s="6"/>
      <c r="H40" s="6"/>
      <c r="I40" s="6"/>
      <c r="J40" s="6"/>
      <c r="K40" s="6" t="s">
        <v>83</v>
      </c>
      <c r="L40" s="6" t="s">
        <v>84</v>
      </c>
      <c r="M40" s="6"/>
      <c r="N40" s="6"/>
      <c r="O40" s="6"/>
      <c r="P40" s="6"/>
      <c r="Q40" s="11"/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/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/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/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13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56</v>
      </c>
      <c r="AD40" s="6" t="s">
        <v>56</v>
      </c>
      <c r="AE40" s="6" t="s">
        <v>56</v>
      </c>
    </row>
    <row r="41" spans="1:31" s="6" customFormat="1" x14ac:dyDescent="0.25">
      <c r="A41" s="6" t="s">
        <v>302</v>
      </c>
      <c r="B41" s="6" t="s">
        <v>383</v>
      </c>
      <c r="D41" s="6"/>
      <c r="E41" s="6"/>
      <c r="F41" s="6"/>
      <c r="G41" s="6"/>
      <c r="H41" s="6"/>
      <c r="I41" s="6"/>
      <c r="J41" s="6"/>
      <c r="K41" s="6" t="s">
        <v>83</v>
      </c>
      <c r="L41" s="6" t="s">
        <v>84</v>
      </c>
      <c r="M41" s="6"/>
      <c r="N41" s="6"/>
      <c r="O41" s="6"/>
      <c r="P41" s="6"/>
      <c r="Q41" s="11"/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/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/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/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34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56</v>
      </c>
      <c r="AD41" s="6" t="s">
        <v>56</v>
      </c>
      <c r="AE41" s="6" t="s">
        <v>56</v>
      </c>
    </row>
    <row r="42" spans="1:31" s="13" customFormat="1" x14ac:dyDescent="0.25">
      <c r="A42" s="13" t="s">
        <v>302</v>
      </c>
      <c r="B42" s="13" t="s">
        <v>384</v>
      </c>
      <c r="D42" s="13"/>
      <c r="E42" s="13"/>
      <c r="F42" s="13"/>
      <c r="G42" s="13"/>
      <c r="H42" s="13"/>
      <c r="I42" s="13"/>
      <c r="J42" s="13"/>
      <c r="K42" s="13" t="s">
        <v>83</v>
      </c>
      <c r="L42" s="13" t="s">
        <v>84</v>
      </c>
      <c r="M42" s="13"/>
      <c r="N42" s="13"/>
      <c r="O42" s="13"/>
      <c r="P42" s="13"/>
      <c r="Q42" s="13"/>
      <c r="R42" s="13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3"/>
      <c r="T42" s="13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3"/>
      <c r="V42" s="13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3"/>
      <c r="X42" s="13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3"/>
      <c r="Z42" s="13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13">
        <f>SUM(V42,X42,Z42)</f>
      </c>
      <c r="AB42" s="13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13" t="s">
        <v>56</v>
      </c>
      <c r="AD42" s="13" t="s">
        <v>56</v>
      </c>
      <c r="AE42" s="13" t="s">
        <v>56</v>
      </c>
    </row>
    <row r="43" spans="1:31" s="13" customFormat="1" x14ac:dyDescent="0.25">
      <c r="A43" s="13" t="s">
        <v>302</v>
      </c>
      <c r="B43" s="13" t="s">
        <v>385</v>
      </c>
      <c r="D43" s="13"/>
      <c r="E43" s="13"/>
      <c r="F43" s="13"/>
      <c r="G43" s="13"/>
      <c r="H43" s="13"/>
      <c r="I43" s="13"/>
      <c r="J43" s="13"/>
      <c r="K43" s="13" t="s">
        <v>83</v>
      </c>
      <c r="L43" s="13" t="s">
        <v>84</v>
      </c>
      <c r="M43" s="13"/>
      <c r="N43" s="13"/>
      <c r="O43" s="13"/>
      <c r="P43" s="13"/>
      <c r="Q43" s="13"/>
      <c r="R43" s="13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3"/>
      <c r="T43" s="13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3">
        <v>5</v>
      </c>
      <c r="V43" s="13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3">
        <v>2</v>
      </c>
      <c r="X43" s="13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3">
        <v>5</v>
      </c>
      <c r="Z43" s="13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13">
        <f>SUM(V43,X43,Z43)</f>
      </c>
      <c r="AB43" s="13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13" t="s">
        <v>56</v>
      </c>
      <c r="AD43" s="13" t="s">
        <v>56</v>
      </c>
      <c r="AE43" s="13" t="s">
        <v>56</v>
      </c>
    </row>
    <row r="44" spans="1:31" s="6" customFormat="1" x14ac:dyDescent="0.25">
      <c r="A44" s="6" t="s">
        <v>302</v>
      </c>
      <c r="B44" s="6" t="s">
        <v>386</v>
      </c>
      <c r="D44" s="6"/>
      <c r="E44" s="6"/>
      <c r="F44" s="6"/>
      <c r="G44" s="6"/>
      <c r="H44" s="6"/>
      <c r="I44" s="6"/>
      <c r="J44" s="6"/>
      <c r="K44" s="6" t="s">
        <v>83</v>
      </c>
      <c r="L44" s="6" t="s">
        <v>84</v>
      </c>
      <c r="M44" s="6"/>
      <c r="N44" s="6"/>
      <c r="O44" s="6"/>
      <c r="P44" s="6"/>
      <c r="Q44" s="11"/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/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/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/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5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56</v>
      </c>
      <c r="AD44" s="6" t="s">
        <v>56</v>
      </c>
      <c r="AE44" s="6" t="s">
        <v>56</v>
      </c>
    </row>
    <row r="45" spans="1:31" s="6" customFormat="1" x14ac:dyDescent="0.25">
      <c r="A45" s="6" t="s">
        <v>302</v>
      </c>
      <c r="B45" s="6" t="s">
        <v>331</v>
      </c>
      <c r="D45" s="6"/>
      <c r="E45" s="6"/>
      <c r="F45" s="6"/>
      <c r="G45" s="6"/>
      <c r="H45" s="6"/>
      <c r="I45" s="6"/>
      <c r="J45" s="6"/>
      <c r="K45" s="6" t="s">
        <v>83</v>
      </c>
      <c r="L45" s="6" t="s">
        <v>84</v>
      </c>
      <c r="M45" s="6"/>
      <c r="N45" s="6"/>
      <c r="O45" s="6"/>
      <c r="P45" s="6"/>
      <c r="Q45" s="11"/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/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5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/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5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56</v>
      </c>
      <c r="AD45" s="6" t="s">
        <v>56</v>
      </c>
      <c r="AE45" s="6" t="s">
        <v>56</v>
      </c>
    </row>
    <row r="46" spans="1:31" s="6" customFormat="1" x14ac:dyDescent="0.25">
      <c r="A46" s="6" t="s">
        <v>387</v>
      </c>
      <c r="B46" s="6" t="s">
        <v>388</v>
      </c>
      <c r="D46" s="6"/>
      <c r="E46" s="6"/>
      <c r="F46" s="6"/>
      <c r="G46" s="6"/>
      <c r="H46" s="6"/>
      <c r="I46" s="6"/>
      <c r="J46" s="6"/>
      <c r="K46" s="6" t="s">
        <v>83</v>
      </c>
      <c r="L46" s="6" t="s">
        <v>84</v>
      </c>
      <c r="M46" s="6"/>
      <c r="N46" s="6"/>
      <c r="O46" s="6"/>
      <c r="P46" s="6"/>
      <c r="Q46" s="11"/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/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/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/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/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56</v>
      </c>
      <c r="AD46" s="6" t="s">
        <v>56</v>
      </c>
      <c r="AE46" s="6" t="s">
        <v>56</v>
      </c>
    </row>
    <row r="47" spans="1:31" s="6" customFormat="1" x14ac:dyDescent="0.25">
      <c r="A47" s="6" t="s">
        <v>387</v>
      </c>
      <c r="B47" s="6" t="s">
        <v>389</v>
      </c>
      <c r="D47" s="6"/>
      <c r="E47" s="6"/>
      <c r="F47" s="6"/>
      <c r="G47" s="6"/>
      <c r="H47" s="6"/>
      <c r="I47" s="6"/>
      <c r="J47" s="6"/>
      <c r="K47" s="6" t="s">
        <v>83</v>
      </c>
      <c r="L47" s="6" t="s">
        <v>84</v>
      </c>
      <c r="M47" s="6"/>
      <c r="N47" s="6"/>
      <c r="O47" s="6"/>
      <c r="P47" s="6"/>
      <c r="Q47" s="11"/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/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/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/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/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56</v>
      </c>
      <c r="AD47" s="6" t="s">
        <v>56</v>
      </c>
      <c r="AE47" s="6" t="s">
        <v>56</v>
      </c>
    </row>
    <row r="48" spans="1:31" s="6" customFormat="1" x14ac:dyDescent="0.25">
      <c r="A48" s="6" t="s">
        <v>387</v>
      </c>
      <c r="B48" s="6" t="s">
        <v>390</v>
      </c>
      <c r="D48" s="6"/>
      <c r="E48" s="6"/>
      <c r="F48" s="6"/>
      <c r="G48" s="6"/>
      <c r="H48" s="6"/>
      <c r="I48" s="6"/>
      <c r="J48" s="6"/>
      <c r="K48" s="6" t="s">
        <v>83</v>
      </c>
      <c r="L48" s="6" t="s">
        <v>84</v>
      </c>
      <c r="M48" s="6"/>
      <c r="N48" s="6"/>
      <c r="O48" s="6"/>
      <c r="P48" s="6"/>
      <c r="Q48" s="11"/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/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/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/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/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56</v>
      </c>
      <c r="AD48" s="6" t="s">
        <v>56</v>
      </c>
      <c r="AE48" s="6" t="s">
        <v>56</v>
      </c>
    </row>
    <row r="49" spans="1:31" s="6" customFormat="1" x14ac:dyDescent="0.25">
      <c r="A49" s="6" t="s">
        <v>387</v>
      </c>
      <c r="B49" s="6" t="s">
        <v>391</v>
      </c>
      <c r="D49" s="6"/>
      <c r="E49" s="6"/>
      <c r="F49" s="6"/>
      <c r="G49" s="6"/>
      <c r="H49" s="6"/>
      <c r="I49" s="6"/>
      <c r="J49" s="6"/>
      <c r="K49" s="6" t="s">
        <v>83</v>
      </c>
      <c r="L49" s="6" t="s">
        <v>84</v>
      </c>
      <c r="M49" s="6"/>
      <c r="N49" s="6"/>
      <c r="O49" s="6"/>
      <c r="P49" s="6"/>
      <c r="Q49" s="11"/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/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/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/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/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56</v>
      </c>
      <c r="AD49" s="6" t="s">
        <v>56</v>
      </c>
      <c r="AE49" s="6" t="s">
        <v>56</v>
      </c>
    </row>
    <row r="50" spans="1:31" s="6" customFormat="1" x14ac:dyDescent="0.25">
      <c r="A50" s="6" t="s">
        <v>387</v>
      </c>
      <c r="B50" s="6" t="s">
        <v>392</v>
      </c>
      <c r="D50" s="6"/>
      <c r="E50" s="6"/>
      <c r="F50" s="6"/>
      <c r="G50" s="6"/>
      <c r="H50" s="6"/>
      <c r="I50" s="6"/>
      <c r="J50" s="6"/>
      <c r="K50" s="6" t="s">
        <v>83</v>
      </c>
      <c r="L50" s="6" t="s">
        <v>84</v>
      </c>
      <c r="M50" s="6"/>
      <c r="N50" s="6"/>
      <c r="O50" s="6"/>
      <c r="P50" s="6"/>
      <c r="Q50" s="11"/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/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/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/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/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56</v>
      </c>
      <c r="AD50" s="6" t="s">
        <v>56</v>
      </c>
      <c r="AE50" s="6" t="s">
        <v>56</v>
      </c>
    </row>
    <row r="51" spans="1:31" s="6" customFormat="1" x14ac:dyDescent="0.25">
      <c r="A51" s="6" t="s">
        <v>387</v>
      </c>
      <c r="B51" s="6" t="s">
        <v>393</v>
      </c>
      <c r="D51" s="6"/>
      <c r="E51" s="6"/>
      <c r="F51" s="6"/>
      <c r="G51" s="6"/>
      <c r="H51" s="6"/>
      <c r="I51" s="6"/>
      <c r="J51" s="6"/>
      <c r="K51" s="6" t="s">
        <v>83</v>
      </c>
      <c r="L51" s="6" t="s">
        <v>84</v>
      </c>
      <c r="M51" s="6"/>
      <c r="N51" s="6"/>
      <c r="O51" s="6"/>
      <c r="P51" s="6"/>
      <c r="Q51" s="11"/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/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/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/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/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56</v>
      </c>
      <c r="AD51" s="6" t="s">
        <v>56</v>
      </c>
      <c r="AE51" s="6" t="s">
        <v>56</v>
      </c>
    </row>
    <row r="52" spans="1:31" s="6" customFormat="1" x14ac:dyDescent="0.25">
      <c r="A52" s="6" t="s">
        <v>387</v>
      </c>
      <c r="B52" s="6" t="s">
        <v>394</v>
      </c>
      <c r="D52" s="6"/>
      <c r="E52" s="6"/>
      <c r="F52" s="6"/>
      <c r="G52" s="6"/>
      <c r="H52" s="6"/>
      <c r="I52" s="6"/>
      <c r="J52" s="6"/>
      <c r="K52" s="6" t="s">
        <v>83</v>
      </c>
      <c r="L52" s="6" t="s">
        <v>84</v>
      </c>
      <c r="M52" s="6"/>
      <c r="N52" s="6"/>
      <c r="O52" s="6"/>
      <c r="P52" s="6"/>
      <c r="Q52" s="11"/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/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/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/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/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56</v>
      </c>
      <c r="AD52" s="6" t="s">
        <v>56</v>
      </c>
      <c r="AE52" s="6" t="s">
        <v>56</v>
      </c>
    </row>
    <row r="53" spans="1:31" s="6" customFormat="1" x14ac:dyDescent="0.25">
      <c r="A53" s="6" t="s">
        <v>387</v>
      </c>
      <c r="B53" s="6" t="s">
        <v>395</v>
      </c>
      <c r="D53" s="6"/>
      <c r="E53" s="6"/>
      <c r="F53" s="6"/>
      <c r="G53" s="6"/>
      <c r="H53" s="6"/>
      <c r="I53" s="6"/>
      <c r="J53" s="6"/>
      <c r="K53" s="6" t="s">
        <v>83</v>
      </c>
      <c r="L53" s="6" t="s">
        <v>84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/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/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/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56</v>
      </c>
      <c r="AD53" s="6" t="s">
        <v>56</v>
      </c>
      <c r="AE53" s="6" t="s">
        <v>56</v>
      </c>
    </row>
    <row r="54" spans="1:31" s="6" customFormat="1" x14ac:dyDescent="0.25">
      <c r="A54" s="6" t="s">
        <v>387</v>
      </c>
      <c r="B54" s="6" t="s">
        <v>396</v>
      </c>
      <c r="D54" s="6"/>
      <c r="E54" s="6"/>
      <c r="F54" s="6"/>
      <c r="G54" s="6"/>
      <c r="H54" s="6"/>
      <c r="I54" s="6"/>
      <c r="J54" s="6"/>
      <c r="K54" s="6" t="s">
        <v>83</v>
      </c>
      <c r="L54" s="6" t="s">
        <v>84</v>
      </c>
      <c r="M54" s="6"/>
      <c r="N54" s="6"/>
      <c r="O54" s="6"/>
      <c r="P54" s="6"/>
      <c r="Q54" s="11"/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/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/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/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/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56</v>
      </c>
      <c r="AD54" s="6" t="s">
        <v>56</v>
      </c>
      <c r="AE54" s="6" t="s">
        <v>56</v>
      </c>
    </row>
    <row r="55" spans="1:31" s="6" customFormat="1" x14ac:dyDescent="0.25">
      <c r="A55" s="6" t="s">
        <v>387</v>
      </c>
      <c r="B55" s="6" t="s">
        <v>397</v>
      </c>
      <c r="D55" s="6"/>
      <c r="E55" s="6"/>
      <c r="F55" s="6"/>
      <c r="G55" s="6"/>
      <c r="H55" s="6"/>
      <c r="I55" s="6"/>
      <c r="J55" s="6"/>
      <c r="K55" s="6" t="s">
        <v>83</v>
      </c>
      <c r="L55" s="6" t="s">
        <v>84</v>
      </c>
      <c r="M55" s="6"/>
      <c r="N55" s="6"/>
      <c r="O55" s="6"/>
      <c r="P55" s="6"/>
      <c r="Q55" s="11"/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/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/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/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/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56</v>
      </c>
      <c r="AD55" s="6" t="s">
        <v>56</v>
      </c>
      <c r="AE55" s="6" t="s">
        <v>56</v>
      </c>
    </row>
    <row r="56" spans="1:31" s="6" customFormat="1" x14ac:dyDescent="0.25">
      <c r="A56" s="6" t="s">
        <v>387</v>
      </c>
      <c r="B56" s="6" t="s">
        <v>398</v>
      </c>
      <c r="D56" s="6"/>
      <c r="E56" s="6"/>
      <c r="F56" s="6"/>
      <c r="G56" s="6"/>
      <c r="H56" s="6"/>
      <c r="I56" s="6"/>
      <c r="J56" s="6"/>
      <c r="K56" s="6" t="s">
        <v>83</v>
      </c>
      <c r="L56" s="6" t="s">
        <v>84</v>
      </c>
      <c r="M56" s="6"/>
      <c r="N56" s="6"/>
      <c r="O56" s="6"/>
      <c r="P56" s="6"/>
      <c r="Q56" s="11"/>
      <c r="R56" s="12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1"/>
      <c r="T56" s="12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1"/>
      <c r="V56" s="12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1"/>
      <c r="X56" s="12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1"/>
      <c r="Z56" s="12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6">
        <f>SUM(V56,X56,Z56)</f>
      </c>
      <c r="AB56" s="6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6" t="s">
        <v>56</v>
      </c>
      <c r="AD56" s="6" t="s">
        <v>56</v>
      </c>
      <c r="AE56" s="6" t="s">
        <v>56</v>
      </c>
    </row>
    <row r="57" spans="1:31" s="6" customFormat="1" x14ac:dyDescent="0.25">
      <c r="A57" s="6" t="s">
        <v>387</v>
      </c>
      <c r="B57" s="6" t="s">
        <v>399</v>
      </c>
      <c r="D57" s="6"/>
      <c r="E57" s="6"/>
      <c r="F57" s="6"/>
      <c r="G57" s="6"/>
      <c r="H57" s="6"/>
      <c r="I57" s="6"/>
      <c r="J57" s="6"/>
      <c r="K57" s="6" t="s">
        <v>83</v>
      </c>
      <c r="L57" s="6" t="s">
        <v>84</v>
      </c>
      <c r="M57" s="6"/>
      <c r="N57" s="6"/>
      <c r="O57" s="6"/>
      <c r="P57" s="6"/>
      <c r="Q57" s="11"/>
      <c r="R57" s="12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1"/>
      <c r="T57" s="12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1"/>
      <c r="V57" s="12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1"/>
      <c r="X57" s="12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1"/>
      <c r="Z57" s="12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6">
        <f>SUM(V57,X57,Z57)</f>
      </c>
      <c r="AB57" s="6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6" t="s">
        <v>56</v>
      </c>
      <c r="AD57" s="6" t="s">
        <v>56</v>
      </c>
      <c r="AE57" s="6" t="s">
        <v>56</v>
      </c>
    </row>
    <row r="58" spans="1:31" s="6" customFormat="1" x14ac:dyDescent="0.25">
      <c r="A58" s="6" t="s">
        <v>387</v>
      </c>
      <c r="B58" s="6" t="s">
        <v>400</v>
      </c>
      <c r="D58" s="6"/>
      <c r="E58" s="6"/>
      <c r="F58" s="6"/>
      <c r="G58" s="6"/>
      <c r="H58" s="6"/>
      <c r="I58" s="6"/>
      <c r="J58" s="6"/>
      <c r="K58" s="6" t="s">
        <v>83</v>
      </c>
      <c r="L58" s="6" t="s">
        <v>84</v>
      </c>
      <c r="M58" s="6"/>
      <c r="N58" s="6"/>
      <c r="O58" s="6"/>
      <c r="P58" s="6"/>
      <c r="Q58" s="11"/>
      <c r="R58" s="12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1"/>
      <c r="T58" s="12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1"/>
      <c r="V58" s="12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1"/>
      <c r="X58" s="12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1"/>
      <c r="Z58" s="12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6">
        <f>SUM(V58,X58,Z58)</f>
      </c>
      <c r="AB58" s="6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6" t="s">
        <v>56</v>
      </c>
      <c r="AD58" s="6" t="s">
        <v>56</v>
      </c>
      <c r="AE58" s="6" t="s">
        <v>56</v>
      </c>
    </row>
    <row r="59" spans="1:31" s="6" customFormat="1" x14ac:dyDescent="0.25">
      <c r="A59" s="6" t="s">
        <v>387</v>
      </c>
      <c r="B59" s="6" t="s">
        <v>401</v>
      </c>
      <c r="D59" s="6"/>
      <c r="E59" s="6"/>
      <c r="F59" s="6"/>
      <c r="G59" s="6"/>
      <c r="H59" s="6"/>
      <c r="I59" s="6"/>
      <c r="J59" s="6"/>
      <c r="K59" s="6" t="s">
        <v>83</v>
      </c>
      <c r="L59" s="6" t="s">
        <v>84</v>
      </c>
      <c r="M59" s="6"/>
      <c r="N59" s="6"/>
      <c r="O59" s="6"/>
      <c r="P59" s="6"/>
      <c r="Q59" s="11"/>
      <c r="R59" s="12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1"/>
      <c r="T59" s="12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1"/>
      <c r="V59" s="12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1"/>
      <c r="X59" s="12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1"/>
      <c r="Z59" s="12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6">
        <f>SUM(V59,X59,Z59)</f>
      </c>
      <c r="AB59" s="6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6" t="s">
        <v>56</v>
      </c>
      <c r="AD59" s="6" t="s">
        <v>56</v>
      </c>
      <c r="AE59" s="6" t="s">
        <v>56</v>
      </c>
    </row>
    <row r="60" spans="1:31" s="6" customFormat="1" x14ac:dyDescent="0.25">
      <c r="A60" s="6" t="s">
        <v>387</v>
      </c>
      <c r="B60" s="6" t="s">
        <v>402</v>
      </c>
      <c r="D60" s="6"/>
      <c r="E60" s="6"/>
      <c r="F60" s="6"/>
      <c r="G60" s="6"/>
      <c r="H60" s="6"/>
      <c r="I60" s="6"/>
      <c r="J60" s="6"/>
      <c r="K60" s="6" t="s">
        <v>83</v>
      </c>
      <c r="L60" s="6" t="s">
        <v>84</v>
      </c>
      <c r="M60" s="6"/>
      <c r="N60" s="6"/>
      <c r="O60" s="6"/>
      <c r="P60" s="6"/>
      <c r="Q60" s="11"/>
      <c r="R60" s="12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1"/>
      <c r="T60" s="12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1"/>
      <c r="V60" s="12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1"/>
      <c r="X60" s="12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1"/>
      <c r="Z60" s="12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6">
        <f>SUM(V60,X60,Z60)</f>
      </c>
      <c r="AB60" s="6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6" t="s">
        <v>56</v>
      </c>
      <c r="AD60" s="6" t="s">
        <v>56</v>
      </c>
      <c r="AE60" s="6" t="s">
        <v>56</v>
      </c>
    </row>
    <row r="61" spans="1:31" s="6" customFormat="1" x14ac:dyDescent="0.25">
      <c r="A61" s="6" t="s">
        <v>387</v>
      </c>
      <c r="B61" s="6" t="s">
        <v>403</v>
      </c>
      <c r="D61" s="6"/>
      <c r="E61" s="6"/>
      <c r="F61" s="6"/>
      <c r="G61" s="6"/>
      <c r="H61" s="6"/>
      <c r="I61" s="6"/>
      <c r="J61" s="6"/>
      <c r="K61" s="6" t="s">
        <v>83</v>
      </c>
      <c r="L61" s="6" t="s">
        <v>84</v>
      </c>
      <c r="M61" s="6"/>
      <c r="N61" s="6"/>
      <c r="O61" s="6"/>
      <c r="P61" s="6"/>
      <c r="Q61" s="11"/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/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/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/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/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56</v>
      </c>
      <c r="AD61" s="6" t="s">
        <v>56</v>
      </c>
      <c r="AE61" s="6" t="s">
        <v>56</v>
      </c>
    </row>
    <row r="62" spans="1:31" s="6" customFormat="1" x14ac:dyDescent="0.25">
      <c r="A62" s="6" t="s">
        <v>387</v>
      </c>
      <c r="B62" s="6" t="s">
        <v>404</v>
      </c>
      <c r="D62" s="6"/>
      <c r="E62" s="6"/>
      <c r="F62" s="6"/>
      <c r="G62" s="6"/>
      <c r="H62" s="6"/>
      <c r="I62" s="6"/>
      <c r="J62" s="6"/>
      <c r="K62" s="6" t="s">
        <v>83</v>
      </c>
      <c r="L62" s="6" t="s">
        <v>84</v>
      </c>
      <c r="M62" s="6"/>
      <c r="N62" s="6"/>
      <c r="O62" s="6"/>
      <c r="P62" s="6"/>
      <c r="Q62" s="11"/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/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/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/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/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56</v>
      </c>
      <c r="AD62" s="6" t="s">
        <v>56</v>
      </c>
      <c r="AE62" s="6" t="s">
        <v>56</v>
      </c>
    </row>
    <row r="63" spans="1:31" s="13" customFormat="1" x14ac:dyDescent="0.25">
      <c r="A63" s="13" t="s">
        <v>343</v>
      </c>
      <c r="D63" s="13"/>
      <c r="E63" s="13"/>
      <c r="F63" s="13"/>
      <c r="G63" s="13"/>
      <c r="H63" s="13"/>
      <c r="I63" s="13"/>
      <c r="J63" s="13"/>
      <c r="K63" s="13" t="s">
        <v>83</v>
      </c>
      <c r="L63" s="13" t="s">
        <v>84</v>
      </c>
      <c r="M63" s="13"/>
      <c r="N63" s="13"/>
      <c r="O63" s="13"/>
      <c r="P63" s="13"/>
      <c r="Q63" s="13"/>
      <c r="R63" s="13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3">
        <v>8</v>
      </c>
      <c r="T63" s="13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3"/>
      <c r="V63" s="13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3"/>
      <c r="X63" s="13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3"/>
      <c r="Z63" s="13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13">
        <f>SUM(V63,X63,Z63)</f>
      </c>
      <c r="AB63" s="13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13" t="s">
        <v>56</v>
      </c>
      <c r="AD63" s="13" t="s">
        <v>56</v>
      </c>
      <c r="AE63" s="13" t="s">
        <v>56</v>
      </c>
    </row>
    <row r="64" spans="1:26" x14ac:dyDescent="0.25">
      <c r="Q64" s="14"/>
      <c r="R64" s="15"/>
      <c r="S64" s="14"/>
      <c r="T64" s="15"/>
      <c r="U64" s="14"/>
      <c r="V64" s="15"/>
      <c r="W64" s="14"/>
      <c r="X64" s="15"/>
      <c r="Y64" s="14"/>
      <c r="Z64" s="15"/>
    </row>
    <row r="65" spans="1:26" x14ac:dyDescent="0.25">
      <c r="Q65" s="14"/>
      <c r="R65" s="15"/>
      <c r="S65" s="14"/>
      <c r="T65" s="15"/>
      <c r="U65" s="14"/>
      <c r="V65" s="15"/>
      <c r="W65" s="14"/>
      <c r="X65" s="15"/>
      <c r="Y65" s="14"/>
      <c r="Z65" s="15"/>
    </row>
    <row r="66" spans="1:26" x14ac:dyDescent="0.25">
      <c r="Q66" s="14"/>
      <c r="R66" s="15"/>
      <c r="S66" s="14"/>
      <c r="T66" s="15"/>
      <c r="U66" s="14"/>
      <c r="V66" s="15"/>
      <c r="W66" s="14"/>
      <c r="X66" s="15"/>
      <c r="Y66" s="14"/>
      <c r="Z66" s="15"/>
    </row>
    <row r="67" spans="1:26" x14ac:dyDescent="0.25">
      <c r="Q67" s="14"/>
      <c r="R67" s="15"/>
      <c r="S67" s="14"/>
      <c r="T67" s="15"/>
      <c r="U67" s="14"/>
      <c r="V67" s="15"/>
      <c r="W67" s="14"/>
      <c r="X67" s="15"/>
      <c r="Y67" s="14"/>
      <c r="Z67" s="15"/>
    </row>
    <row r="68" spans="1:26" x14ac:dyDescent="0.25">
      <c r="Q68" s="14"/>
      <c r="R68" s="15"/>
      <c r="S68" s="14"/>
      <c r="T68" s="15"/>
      <c r="U68" s="14"/>
      <c r="V68" s="15"/>
      <c r="W68" s="14"/>
      <c r="X68" s="15"/>
      <c r="Y68" s="14"/>
      <c r="Z68" s="15"/>
    </row>
    <row r="69" spans="1:26" x14ac:dyDescent="0.25">
      <c r="Q69" s="14"/>
      <c r="R69" s="15"/>
      <c r="S69" s="14"/>
      <c r="T69" s="15"/>
      <c r="U69" s="14"/>
      <c r="V69" s="15"/>
      <c r="W69" s="14"/>
      <c r="X69" s="15"/>
      <c r="Y69" s="14"/>
      <c r="Z69" s="15"/>
    </row>
    <row r="70" spans="1:26" x14ac:dyDescent="0.25">
      <c r="Q70" s="14"/>
      <c r="R70" s="15"/>
      <c r="S70" s="14"/>
      <c r="T70" s="15"/>
      <c r="U70" s="14"/>
      <c r="V70" s="15"/>
      <c r="W70" s="14"/>
      <c r="X70" s="15"/>
      <c r="Y70" s="14"/>
      <c r="Z70" s="15"/>
    </row>
    <row r="71" spans="1:26" x14ac:dyDescent="0.25">
      <c r="Q71" s="14"/>
      <c r="R71" s="15"/>
      <c r="S71" s="14"/>
      <c r="T71" s="15"/>
      <c r="U71" s="14"/>
      <c r="V71" s="15"/>
      <c r="W71" s="14"/>
      <c r="X71" s="15"/>
      <c r="Y71" s="14"/>
      <c r="Z71" s="15"/>
    </row>
    <row r="72" spans="1:26" x14ac:dyDescent="0.25">
      <c r="Q72" s="14"/>
      <c r="R72" s="15"/>
      <c r="S72" s="14"/>
      <c r="T72" s="15"/>
      <c r="U72" s="14"/>
      <c r="V72" s="15"/>
      <c r="W72" s="14"/>
      <c r="X72" s="15"/>
      <c r="Y72" s="14"/>
      <c r="Z72" s="15"/>
    </row>
    <row r="73" spans="1:26" x14ac:dyDescent="0.25">
      <c r="Q73" s="14"/>
      <c r="R73" s="15"/>
      <c r="S73" s="14"/>
      <c r="T73" s="15"/>
      <c r="U73" s="14"/>
      <c r="V73" s="15"/>
      <c r="W73" s="14"/>
      <c r="X73" s="15"/>
      <c r="Y73" s="14"/>
      <c r="Z73" s="15"/>
    </row>
    <row r="74" spans="1:26" x14ac:dyDescent="0.25">
      <c r="Q74" s="14"/>
      <c r="R74" s="15"/>
      <c r="S74" s="14"/>
      <c r="T74" s="15"/>
      <c r="U74" s="14"/>
      <c r="V74" s="15"/>
      <c r="W74" s="14"/>
      <c r="X74" s="15"/>
      <c r="Y74" s="14"/>
      <c r="Z74" s="15"/>
    </row>
    <row r="75" spans="1:26" x14ac:dyDescent="0.25">
      <c r="Q75" s="14"/>
      <c r="R75" s="15"/>
      <c r="S75" s="14"/>
      <c r="T75" s="15"/>
      <c r="U75" s="14"/>
      <c r="V75" s="15"/>
      <c r="W75" s="14"/>
      <c r="X75" s="15"/>
      <c r="Y75" s="14"/>
      <c r="Z75" s="15"/>
    </row>
    <row r="76" spans="1:26" x14ac:dyDescent="0.25">
      <c r="Q76" s="14"/>
      <c r="R76" s="15"/>
      <c r="S76" s="14"/>
      <c r="T76" s="15"/>
      <c r="U76" s="14"/>
      <c r="V76" s="15"/>
      <c r="W76" s="14"/>
      <c r="X76" s="15"/>
      <c r="Y76" s="14"/>
      <c r="Z76" s="15"/>
    </row>
    <row r="77" spans="1:26" x14ac:dyDescent="0.25">
      <c r="Q77" s="14"/>
      <c r="R77" s="15"/>
      <c r="S77" s="14"/>
      <c r="T77" s="15"/>
      <c r="U77" s="14"/>
      <c r="V77" s="15"/>
      <c r="W77" s="14"/>
      <c r="X77" s="15"/>
      <c r="Y77" s="14"/>
      <c r="Z77" s="15"/>
    </row>
    <row r="78" spans="1:26" x14ac:dyDescent="0.25">
      <c r="Q78" s="14"/>
      <c r="R78" s="15"/>
      <c r="S78" s="14"/>
      <c r="T78" s="15"/>
      <c r="U78" s="14"/>
      <c r="V78" s="15"/>
      <c r="W78" s="14"/>
      <c r="X78" s="15"/>
      <c r="Y78" s="14"/>
      <c r="Z78" s="15"/>
    </row>
    <row r="79" spans="1:26" x14ac:dyDescent="0.25">
      <c r="Q79" s="14"/>
      <c r="R79" s="15"/>
      <c r="S79" s="14"/>
      <c r="T79" s="15"/>
      <c r="U79" s="14"/>
      <c r="V79" s="15"/>
      <c r="W79" s="14"/>
      <c r="X79" s="15"/>
      <c r="Y79" s="14"/>
      <c r="Z79" s="15"/>
    </row>
    <row r="80" spans="1:26" x14ac:dyDescent="0.25">
      <c r="Q80" s="14"/>
      <c r="R80" s="15"/>
      <c r="S80" s="14"/>
      <c r="T80" s="15"/>
      <c r="U80" s="14"/>
      <c r="V80" s="15"/>
      <c r="W80" s="14"/>
      <c r="X80" s="15"/>
      <c r="Y80" s="14"/>
      <c r="Z80" s="15"/>
    </row>
    <row r="81" spans="1:26" x14ac:dyDescent="0.25">
      <c r="Q81" s="14"/>
      <c r="R81" s="15"/>
      <c r="S81" s="14"/>
      <c r="T81" s="15"/>
      <c r="U81" s="14"/>
      <c r="V81" s="15"/>
      <c r="W81" s="14"/>
      <c r="X81" s="15"/>
      <c r="Y81" s="14"/>
      <c r="Z81" s="15"/>
    </row>
    <row r="82" spans="1:26" x14ac:dyDescent="0.25">
      <c r="Q82" s="14"/>
      <c r="R82" s="15"/>
      <c r="S82" s="14"/>
      <c r="T82" s="15"/>
      <c r="U82" s="14"/>
      <c r="V82" s="15"/>
      <c r="W82" s="14"/>
      <c r="X82" s="15"/>
      <c r="Y82" s="14"/>
      <c r="Z82" s="15"/>
    </row>
    <row r="83" spans="1:26" x14ac:dyDescent="0.25">
      <c r="Q83" s="14"/>
      <c r="R83" s="15"/>
      <c r="S83" s="14"/>
      <c r="T83" s="15"/>
      <c r="U83" s="14"/>
      <c r="V83" s="15"/>
      <c r="W83" s="14"/>
      <c r="X83" s="15"/>
      <c r="Y83" s="14"/>
      <c r="Z83" s="15"/>
    </row>
    <row r="84" spans="1:26" x14ac:dyDescent="0.25">
      <c r="Q84" s="14"/>
      <c r="R84" s="15"/>
      <c r="S84" s="14"/>
      <c r="T84" s="15"/>
      <c r="U84" s="14"/>
      <c r="V84" s="15"/>
      <c r="W84" s="14"/>
      <c r="X84" s="15"/>
      <c r="Y84" s="14"/>
      <c r="Z84" s="15"/>
    </row>
    <row r="85" spans="1:26" x14ac:dyDescent="0.25">
      <c r="Q85" s="14"/>
      <c r="R85" s="15"/>
      <c r="S85" s="14"/>
      <c r="T85" s="15"/>
      <c r="U85" s="14"/>
      <c r="V85" s="15"/>
      <c r="W85" s="14"/>
      <c r="X85" s="15"/>
      <c r="Y85" s="14"/>
      <c r="Z85" s="15"/>
    </row>
    <row r="86" spans="1:26" x14ac:dyDescent="0.25">
      <c r="Q86" s="14"/>
      <c r="R86" s="15"/>
      <c r="S86" s="14"/>
      <c r="T86" s="15"/>
      <c r="U86" s="14"/>
      <c r="V86" s="15"/>
      <c r="W86" s="14"/>
      <c r="X86" s="15"/>
      <c r="Y86" s="14"/>
      <c r="Z86" s="15"/>
    </row>
    <row r="87" spans="1:26" x14ac:dyDescent="0.25">
      <c r="Q87" s="14"/>
      <c r="R87" s="15"/>
      <c r="S87" s="14"/>
      <c r="T87" s="15"/>
      <c r="U87" s="14"/>
      <c r="V87" s="15"/>
      <c r="W87" s="14"/>
      <c r="X87" s="15"/>
      <c r="Y87" s="14"/>
      <c r="Z87" s="15"/>
    </row>
    <row r="88" spans="1:26" x14ac:dyDescent="0.25">
      <c r="Q88" s="14"/>
      <c r="R88" s="15"/>
      <c r="S88" s="14"/>
      <c r="T88" s="15"/>
      <c r="U88" s="14"/>
      <c r="V88" s="15"/>
      <c r="W88" s="14"/>
      <c r="X88" s="15"/>
      <c r="Y88" s="14"/>
      <c r="Z88" s="15"/>
    </row>
    <row r="89" spans="1:26" x14ac:dyDescent="0.25">
      <c r="Q89" s="14"/>
      <c r="R89" s="15"/>
      <c r="S89" s="14"/>
      <c r="T89" s="15"/>
      <c r="U89" s="14"/>
      <c r="V89" s="15"/>
      <c r="W89" s="14"/>
      <c r="X89" s="15"/>
      <c r="Y89" s="14"/>
      <c r="Z89" s="15"/>
    </row>
    <row r="90" spans="1:26" x14ac:dyDescent="0.25">
      <c r="Q90" s="14"/>
      <c r="R90" s="15"/>
      <c r="S90" s="14"/>
      <c r="T90" s="15"/>
      <c r="U90" s="14"/>
      <c r="V90" s="15"/>
      <c r="W90" s="14"/>
      <c r="X90" s="15"/>
      <c r="Y90" s="14"/>
      <c r="Z90" s="15"/>
    </row>
    <row r="91" spans="1:26" x14ac:dyDescent="0.25">
      <c r="Q91" s="14"/>
      <c r="R91" s="15"/>
      <c r="S91" s="14"/>
      <c r="T91" s="15"/>
      <c r="U91" s="14"/>
      <c r="V91" s="15"/>
      <c r="W91" s="14"/>
      <c r="X91" s="15"/>
      <c r="Y91" s="14"/>
      <c r="Z91" s="15"/>
    </row>
    <row r="92" spans="1:26" x14ac:dyDescent="0.25">
      <c r="Q92" s="14"/>
      <c r="R92" s="15"/>
      <c r="S92" s="14"/>
      <c r="T92" s="15"/>
      <c r="U92" s="14"/>
      <c r="V92" s="15"/>
      <c r="W92" s="14"/>
      <c r="X92" s="15"/>
      <c r="Y92" s="14"/>
      <c r="Z92" s="15"/>
    </row>
    <row r="93" spans="1:26" x14ac:dyDescent="0.25">
      <c r="Q93" s="14"/>
      <c r="R93" s="15"/>
      <c r="S93" s="14"/>
      <c r="T93" s="15"/>
      <c r="U93" s="14"/>
      <c r="V93" s="15"/>
      <c r="W93" s="14"/>
      <c r="X93" s="15"/>
      <c r="Y93" s="14"/>
      <c r="Z93" s="15"/>
    </row>
    <row r="94" spans="1:26" x14ac:dyDescent="0.25">
      <c r="Q94" s="14"/>
      <c r="R94" s="15"/>
      <c r="S94" s="14"/>
      <c r="T94" s="15"/>
      <c r="U94" s="14"/>
      <c r="V94" s="15"/>
      <c r="W94" s="14"/>
      <c r="X94" s="15"/>
      <c r="Y94" s="14"/>
      <c r="Z94" s="15"/>
    </row>
    <row r="95" spans="1:26" x14ac:dyDescent="0.25">
      <c r="Q95" s="14"/>
      <c r="R95" s="15"/>
      <c r="S95" s="14"/>
      <c r="T95" s="15"/>
      <c r="U95" s="14"/>
      <c r="V95" s="15"/>
      <c r="W95" s="14"/>
      <c r="X95" s="15"/>
      <c r="Y95" s="14"/>
      <c r="Z95" s="15"/>
    </row>
    <row r="96" spans="1:26" x14ac:dyDescent="0.25">
      <c r="Q96" s="14"/>
      <c r="R96" s="15"/>
      <c r="S96" s="14"/>
      <c r="T96" s="15"/>
      <c r="U96" s="14"/>
      <c r="V96" s="15"/>
      <c r="W96" s="14"/>
      <c r="X96" s="15"/>
      <c r="Y96" s="14"/>
      <c r="Z96" s="15"/>
    </row>
    <row r="97" spans="1:26" x14ac:dyDescent="0.25">
      <c r="Q97" s="14"/>
      <c r="R97" s="15"/>
      <c r="S97" s="14"/>
      <c r="T97" s="15"/>
      <c r="U97" s="14"/>
      <c r="V97" s="15"/>
      <c r="W97" s="14"/>
      <c r="X97" s="15"/>
      <c r="Y97" s="14"/>
      <c r="Z97" s="15"/>
    </row>
    <row r="98" spans="1:26" x14ac:dyDescent="0.25">
      <c r="Q98" s="14"/>
      <c r="R98" s="15"/>
      <c r="S98" s="14"/>
      <c r="T98" s="15"/>
      <c r="U98" s="14"/>
      <c r="V98" s="15"/>
      <c r="W98" s="14"/>
      <c r="X98" s="15"/>
      <c r="Y98" s="14"/>
      <c r="Z98" s="15"/>
    </row>
    <row r="99" spans="1:26" x14ac:dyDescent="0.25">
      <c r="Q99" s="14"/>
      <c r="R99" s="15"/>
      <c r="S99" s="14"/>
      <c r="T99" s="15"/>
      <c r="U99" s="14"/>
      <c r="V99" s="15"/>
      <c r="W99" s="14"/>
      <c r="X99" s="15"/>
      <c r="Y99" s="14"/>
      <c r="Z99" s="15"/>
    </row>
    <row r="100" spans="1:26" x14ac:dyDescent="0.25">
      <c r="Q100" s="14"/>
      <c r="R100" s="15"/>
      <c r="S100" s="14"/>
      <c r="T100" s="15"/>
      <c r="U100" s="14"/>
      <c r="V100" s="15"/>
      <c r="W100" s="14"/>
      <c r="X100" s="15"/>
      <c r="Y100" s="14"/>
      <c r="Z100" s="15"/>
    </row>
    <row r="101" spans="1:26" x14ac:dyDescent="0.25">
      <c r="Q101" s="14"/>
      <c r="R101" s="15"/>
      <c r="S101" s="14"/>
      <c r="T101" s="15"/>
      <c r="U101" s="14"/>
      <c r="V101" s="15"/>
      <c r="W101" s="14"/>
      <c r="X101" s="15"/>
      <c r="Y101" s="14"/>
      <c r="Z101" s="15"/>
    </row>
    <row r="102" spans="1:26" x14ac:dyDescent="0.25">
      <c r="Q102" s="14"/>
      <c r="R102" s="15"/>
      <c r="S102" s="14"/>
      <c r="T102" s="15"/>
      <c r="U102" s="14"/>
      <c r="V102" s="15"/>
      <c r="W102" s="14"/>
      <c r="X102" s="15"/>
      <c r="Y102" s="14"/>
      <c r="Z102" s="15"/>
    </row>
    <row r="103" spans="1:26" x14ac:dyDescent="0.25">
      <c r="Q103" s="14"/>
      <c r="R103" s="15"/>
      <c r="S103" s="14"/>
      <c r="T103" s="15"/>
      <c r="U103" s="14"/>
      <c r="V103" s="15"/>
      <c r="W103" s="14"/>
      <c r="X103" s="15"/>
      <c r="Y103" s="14"/>
      <c r="Z103" s="15"/>
    </row>
    <row r="104" spans="1:26" x14ac:dyDescent="0.25">
      <c r="Q104" s="14"/>
      <c r="R104" s="15"/>
      <c r="S104" s="14"/>
      <c r="T104" s="15"/>
      <c r="U104" s="14"/>
      <c r="V104" s="15"/>
      <c r="W104" s="14"/>
      <c r="X104" s="15"/>
      <c r="Y104" s="14"/>
      <c r="Z104" s="15"/>
    </row>
    <row r="105" spans="1:26" x14ac:dyDescent="0.25">
      <c r="Q105" s="14"/>
      <c r="R105" s="15"/>
      <c r="S105" s="14"/>
      <c r="T105" s="15"/>
      <c r="U105" s="14"/>
      <c r="V105" s="15"/>
      <c r="W105" s="14"/>
      <c r="X105" s="15"/>
      <c r="Y105" s="14"/>
      <c r="Z105" s="15"/>
    </row>
    <row r="106" spans="1:26" x14ac:dyDescent="0.25">
      <c r="Q106" s="14"/>
      <c r="R106" s="15"/>
      <c r="S106" s="14"/>
      <c r="T106" s="15"/>
      <c r="U106" s="14"/>
      <c r="V106" s="15"/>
      <c r="W106" s="14"/>
      <c r="X106" s="15"/>
      <c r="Y106" s="14"/>
      <c r="Z106" s="15"/>
    </row>
    <row r="107" spans="1:26" x14ac:dyDescent="0.25">
      <c r="Q107" s="14"/>
      <c r="R107" s="15"/>
      <c r="S107" s="14"/>
      <c r="T107" s="15"/>
      <c r="U107" s="14"/>
      <c r="V107" s="15"/>
      <c r="W107" s="14"/>
      <c r="X107" s="15"/>
      <c r="Y107" s="14"/>
      <c r="Z107" s="15"/>
    </row>
    <row r="108" spans="1:26" x14ac:dyDescent="0.25">
      <c r="Q108" s="14"/>
      <c r="R108" s="15"/>
      <c r="S108" s="14"/>
      <c r="T108" s="15"/>
      <c r="U108" s="14"/>
      <c r="V108" s="15"/>
      <c r="W108" s="14"/>
      <c r="X108" s="15"/>
      <c r="Y108" s="14"/>
      <c r="Z108" s="15"/>
    </row>
    <row r="109" spans="1:26" x14ac:dyDescent="0.25">
      <c r="Q109" s="14"/>
      <c r="R109" s="15"/>
      <c r="S109" s="14"/>
      <c r="T109" s="15"/>
      <c r="U109" s="14"/>
      <c r="V109" s="15"/>
      <c r="W109" s="14"/>
      <c r="X109" s="15"/>
      <c r="Y109" s="14"/>
      <c r="Z109" s="15"/>
    </row>
    <row r="110" spans="1:26" x14ac:dyDescent="0.25">
      <c r="Q110" s="14"/>
      <c r="R110" s="15"/>
      <c r="S110" s="14"/>
      <c r="T110" s="15"/>
      <c r="U110" s="14"/>
      <c r="V110" s="15"/>
      <c r="W110" s="14"/>
      <c r="X110" s="15"/>
      <c r="Y110" s="14"/>
      <c r="Z110" s="15"/>
    </row>
    <row r="111" spans="1:26" x14ac:dyDescent="0.25">
      <c r="Q111" s="14"/>
      <c r="R111" s="15"/>
      <c r="S111" s="14"/>
      <c r="T111" s="15"/>
      <c r="U111" s="14"/>
      <c r="V111" s="15"/>
      <c r="W111" s="14"/>
      <c r="X111" s="15"/>
      <c r="Y111" s="14"/>
      <c r="Z111" s="15"/>
    </row>
    <row r="112" spans="1:26" x14ac:dyDescent="0.25">
      <c r="Q112" s="14"/>
      <c r="R112" s="15"/>
      <c r="S112" s="14"/>
      <c r="T112" s="15"/>
      <c r="U112" s="14"/>
      <c r="V112" s="15"/>
      <c r="W112" s="14"/>
      <c r="X112" s="15"/>
      <c r="Y112" s="14"/>
      <c r="Z112" s="15"/>
    </row>
    <row r="113" spans="1:26" x14ac:dyDescent="0.25">
      <c r="Q113" s="14"/>
      <c r="R113" s="15"/>
      <c r="S113" s="14"/>
      <c r="T113" s="15"/>
      <c r="U113" s="14"/>
      <c r="V113" s="15"/>
      <c r="W113" s="14"/>
      <c r="X113" s="15"/>
      <c r="Y113" s="14"/>
      <c r="Z113" s="15"/>
    </row>
    <row r="114" spans="1:26" x14ac:dyDescent="0.25">
      <c r="Q114" s="14"/>
      <c r="R114" s="15"/>
      <c r="S114" s="14"/>
      <c r="T114" s="15"/>
      <c r="U114" s="14"/>
      <c r="V114" s="15"/>
      <c r="W114" s="14"/>
      <c r="X114" s="15"/>
      <c r="Y114" s="14"/>
      <c r="Z114" s="15"/>
    </row>
    <row r="115" spans="1:26" x14ac:dyDescent="0.25">
      <c r="Q115" s="14"/>
      <c r="R115" s="15"/>
      <c r="S115" s="14"/>
      <c r="T115" s="15"/>
      <c r="U115" s="14"/>
      <c r="V115" s="15"/>
      <c r="W115" s="14"/>
      <c r="X115" s="15"/>
      <c r="Y115" s="14"/>
      <c r="Z115" s="15"/>
    </row>
    <row r="116" spans="1:26" x14ac:dyDescent="0.25">
      <c r="Q116" s="14"/>
      <c r="R116" s="15"/>
      <c r="S116" s="14"/>
      <c r="T116" s="15"/>
      <c r="U116" s="14"/>
      <c r="V116" s="15"/>
      <c r="W116" s="14"/>
      <c r="X116" s="15"/>
      <c r="Y116" s="14"/>
      <c r="Z116" s="15"/>
    </row>
    <row r="117" spans="1:26" x14ac:dyDescent="0.25">
      <c r="Q117" s="14"/>
      <c r="R117" s="15"/>
      <c r="S117" s="14"/>
      <c r="T117" s="15"/>
      <c r="U117" s="14"/>
      <c r="V117" s="15"/>
      <c r="W117" s="14"/>
      <c r="X117" s="15"/>
      <c r="Y117" s="14"/>
      <c r="Z117" s="15"/>
    </row>
    <row r="118" spans="1:26" x14ac:dyDescent="0.25">
      <c r="Q118" s="14"/>
      <c r="R118" s="15"/>
      <c r="S118" s="14"/>
      <c r="T118" s="15"/>
      <c r="U118" s="14"/>
      <c r="V118" s="15"/>
      <c r="W118" s="14"/>
      <c r="X118" s="15"/>
      <c r="Y118" s="14"/>
      <c r="Z118" s="15"/>
    </row>
    <row r="119" spans="1:26" x14ac:dyDescent="0.25">
      <c r="Q119" s="14"/>
      <c r="R119" s="15"/>
      <c r="S119" s="14"/>
      <c r="T119" s="15"/>
      <c r="U119" s="14"/>
      <c r="V119" s="15"/>
      <c r="W119" s="14"/>
      <c r="X119" s="15"/>
      <c r="Y119" s="14"/>
      <c r="Z119" s="15"/>
    </row>
    <row r="120" spans="1:26" x14ac:dyDescent="0.25">
      <c r="Q120" s="14"/>
      <c r="R120" s="15"/>
      <c r="S120" s="14"/>
      <c r="T120" s="15"/>
      <c r="U120" s="14"/>
      <c r="V120" s="15"/>
      <c r="W120" s="14"/>
      <c r="X120" s="15"/>
      <c r="Y120" s="14"/>
      <c r="Z120" s="15"/>
    </row>
    <row r="121" spans="1:26" x14ac:dyDescent="0.25">
      <c r="Q121" s="14"/>
      <c r="R121" s="15"/>
      <c r="S121" s="14"/>
      <c r="T121" s="15"/>
      <c r="U121" s="14"/>
      <c r="V121" s="15"/>
      <c r="W121" s="14"/>
      <c r="X121" s="15"/>
      <c r="Y121" s="14"/>
      <c r="Z121" s="15"/>
    </row>
    <row r="122" spans="1:26" x14ac:dyDescent="0.25">
      <c r="Q122" s="14"/>
      <c r="R122" s="15"/>
      <c r="S122" s="14"/>
      <c r="T122" s="15"/>
      <c r="U122" s="14"/>
      <c r="V122" s="15"/>
      <c r="W122" s="14"/>
      <c r="X122" s="15"/>
      <c r="Y122" s="14"/>
      <c r="Z122" s="15"/>
    </row>
    <row r="123" spans="1:26" x14ac:dyDescent="0.25">
      <c r="Q123" s="14"/>
      <c r="R123" s="15"/>
      <c r="S123" s="14"/>
      <c r="T123" s="15"/>
      <c r="U123" s="14"/>
      <c r="V123" s="15"/>
      <c r="W123" s="14"/>
      <c r="X123" s="15"/>
      <c r="Y123" s="14"/>
      <c r="Z123" s="15"/>
    </row>
    <row r="124" spans="1:26" x14ac:dyDescent="0.25">
      <c r="Q124" s="14"/>
      <c r="R124" s="15"/>
      <c r="S124" s="14"/>
      <c r="T124" s="15"/>
      <c r="U124" s="14"/>
      <c r="V124" s="15"/>
      <c r="W124" s="14"/>
      <c r="X124" s="15"/>
      <c r="Y124" s="14"/>
      <c r="Z124" s="15"/>
    </row>
    <row r="125" spans="1:26" x14ac:dyDescent="0.25">
      <c r="Q125" s="14"/>
      <c r="R125" s="15"/>
      <c r="S125" s="14"/>
      <c r="T125" s="15"/>
      <c r="U125" s="14"/>
      <c r="V125" s="15"/>
      <c r="W125" s="14"/>
      <c r="X125" s="15"/>
      <c r="Y125" s="14"/>
      <c r="Z125" s="15"/>
    </row>
    <row r="126" spans="1:26" x14ac:dyDescent="0.25">
      <c r="Q126" s="14"/>
      <c r="R126" s="15"/>
      <c r="S126" s="14"/>
      <c r="T126" s="15"/>
      <c r="U126" s="14"/>
      <c r="V126" s="15"/>
      <c r="W126" s="14"/>
      <c r="X126" s="15"/>
      <c r="Y126" s="14"/>
      <c r="Z126" s="15"/>
    </row>
    <row r="127" spans="1:26" x14ac:dyDescent="0.25">
      <c r="Q127" s="14"/>
      <c r="R127" s="15"/>
      <c r="S127" s="14"/>
      <c r="T127" s="15"/>
      <c r="U127" s="14"/>
      <c r="V127" s="15"/>
      <c r="W127" s="14"/>
      <c r="X127" s="15"/>
      <c r="Y127" s="14"/>
      <c r="Z127" s="15"/>
    </row>
    <row r="128" spans="1:26" x14ac:dyDescent="0.25">
      <c r="Q128" s="14"/>
      <c r="R128" s="15"/>
      <c r="S128" s="14"/>
      <c r="T128" s="15"/>
      <c r="U128" s="14"/>
      <c r="V128" s="15"/>
      <c r="W128" s="14"/>
      <c r="X128" s="15"/>
      <c r="Y128" s="14"/>
      <c r="Z128" s="15"/>
    </row>
    <row r="129" spans="1:26" x14ac:dyDescent="0.25">
      <c r="Q129" s="14"/>
      <c r="R129" s="15"/>
      <c r="S129" s="14"/>
      <c r="T129" s="15"/>
      <c r="U129" s="14"/>
      <c r="V129" s="15"/>
      <c r="W129" s="14"/>
      <c r="X129" s="15"/>
      <c r="Y129" s="14"/>
      <c r="Z129" s="15"/>
    </row>
    <row r="130" spans="1:26" x14ac:dyDescent="0.25">
      <c r="Q130" s="14"/>
      <c r="R130" s="15"/>
      <c r="S130" s="14"/>
      <c r="T130" s="15"/>
      <c r="U130" s="14"/>
      <c r="V130" s="15"/>
      <c r="W130" s="14"/>
      <c r="X130" s="15"/>
      <c r="Y130" s="14"/>
      <c r="Z130" s="15"/>
    </row>
    <row r="131" spans="1:26" x14ac:dyDescent="0.25">
      <c r="Q131" s="14"/>
      <c r="R131" s="15"/>
      <c r="S131" s="14"/>
      <c r="T131" s="15"/>
      <c r="U131" s="14"/>
      <c r="V131" s="15"/>
      <c r="W131" s="14"/>
      <c r="X131" s="15"/>
      <c r="Y131" s="14"/>
      <c r="Z131" s="15"/>
    </row>
    <row r="132" spans="1:26" x14ac:dyDescent="0.25">
      <c r="Q132" s="14"/>
      <c r="R132" s="15"/>
      <c r="S132" s="14"/>
      <c r="T132" s="15"/>
      <c r="U132" s="14"/>
      <c r="V132" s="15"/>
      <c r="W132" s="14"/>
      <c r="X132" s="15"/>
      <c r="Y132" s="14"/>
      <c r="Z132" s="15"/>
    </row>
    <row r="133" spans="1:26" x14ac:dyDescent="0.25">
      <c r="Q133" s="14"/>
      <c r="R133" s="15"/>
      <c r="S133" s="14"/>
      <c r="T133" s="15"/>
      <c r="U133" s="14"/>
      <c r="V133" s="15"/>
      <c r="W133" s="14"/>
      <c r="X133" s="15"/>
      <c r="Y133" s="14"/>
      <c r="Z133" s="15"/>
    </row>
    <row r="134" spans="1:26" x14ac:dyDescent="0.25">
      <c r="Q134" s="14"/>
      <c r="R134" s="15"/>
      <c r="S134" s="14"/>
      <c r="T134" s="15"/>
      <c r="U134" s="14"/>
      <c r="V134" s="15"/>
      <c r="W134" s="14"/>
      <c r="X134" s="15"/>
      <c r="Y134" s="14"/>
      <c r="Z134" s="15"/>
    </row>
    <row r="135" spans="1:26" x14ac:dyDescent="0.25">
      <c r="Q135" s="14"/>
      <c r="R135" s="15"/>
      <c r="S135" s="14"/>
      <c r="T135" s="15"/>
      <c r="U135" s="14"/>
      <c r="V135" s="15"/>
      <c r="W135" s="14"/>
      <c r="X135" s="15"/>
      <c r="Y135" s="14"/>
      <c r="Z135" s="15"/>
    </row>
    <row r="136" spans="1:26" x14ac:dyDescent="0.25">
      <c r="Q136" s="14"/>
      <c r="R136" s="15"/>
      <c r="S136" s="14"/>
      <c r="T136" s="15"/>
      <c r="U136" s="14"/>
      <c r="V136" s="15"/>
      <c r="W136" s="14"/>
      <c r="X136" s="15"/>
      <c r="Y136" s="14"/>
      <c r="Z136" s="15"/>
    </row>
    <row r="137" spans="1:26" x14ac:dyDescent="0.25">
      <c r="Q137" s="14"/>
      <c r="R137" s="15"/>
      <c r="S137" s="14"/>
      <c r="T137" s="15"/>
      <c r="U137" s="14"/>
      <c r="V137" s="15"/>
      <c r="W137" s="14"/>
      <c r="X137" s="15"/>
      <c r="Y137" s="14"/>
      <c r="Z137" s="15"/>
    </row>
    <row r="138" spans="1:26" x14ac:dyDescent="0.25">
      <c r="Q138" s="14"/>
      <c r="R138" s="15"/>
      <c r="S138" s="14"/>
      <c r="T138" s="15"/>
      <c r="U138" s="14"/>
      <c r="V138" s="15"/>
      <c r="W138" s="14"/>
      <c r="X138" s="15"/>
      <c r="Y138" s="14"/>
      <c r="Z138" s="15"/>
    </row>
    <row r="139" spans="1:26" x14ac:dyDescent="0.25">
      <c r="Q139" s="14"/>
      <c r="R139" s="15"/>
      <c r="S139" s="14"/>
      <c r="T139" s="15"/>
      <c r="U139" s="14"/>
      <c r="V139" s="15"/>
      <c r="W139" s="14"/>
      <c r="X139" s="15"/>
      <c r="Y139" s="14"/>
      <c r="Z139" s="15"/>
    </row>
    <row r="140" spans="1:26" x14ac:dyDescent="0.25">
      <c r="Q140" s="14"/>
      <c r="R140" s="15"/>
      <c r="S140" s="14"/>
      <c r="T140" s="15"/>
      <c r="U140" s="14"/>
      <c r="V140" s="15"/>
      <c r="W140" s="14"/>
      <c r="X140" s="15"/>
      <c r="Y140" s="14"/>
      <c r="Z140" s="15"/>
    </row>
    <row r="141" spans="1:26" x14ac:dyDescent="0.25">
      <c r="Q141" s="14"/>
      <c r="R141" s="15"/>
      <c r="S141" s="14"/>
      <c r="T141" s="15"/>
      <c r="U141" s="14"/>
      <c r="V141" s="15"/>
      <c r="W141" s="14"/>
      <c r="X141" s="15"/>
      <c r="Y141" s="14"/>
      <c r="Z141" s="15"/>
    </row>
    <row r="142" spans="1:26" x14ac:dyDescent="0.25">
      <c r="Q142" s="14"/>
      <c r="R142" s="15"/>
      <c r="S142" s="14"/>
      <c r="T142" s="15"/>
      <c r="U142" s="14"/>
      <c r="V142" s="15"/>
      <c r="W142" s="14"/>
      <c r="X142" s="15"/>
      <c r="Y142" s="14"/>
      <c r="Z142" s="15"/>
    </row>
    <row r="143" spans="1:26" x14ac:dyDescent="0.25">
      <c r="Q143" s="14"/>
      <c r="R143" s="15"/>
      <c r="S143" s="14"/>
      <c r="T143" s="15"/>
      <c r="U143" s="14"/>
      <c r="V143" s="15"/>
      <c r="W143" s="14"/>
      <c r="X143" s="15"/>
      <c r="Y143" s="14"/>
      <c r="Z143" s="15"/>
    </row>
    <row r="144" spans="1:26" x14ac:dyDescent="0.25">
      <c r="Q144" s="14"/>
      <c r="R144" s="15"/>
      <c r="S144" s="14"/>
      <c r="T144" s="15"/>
      <c r="U144" s="14"/>
      <c r="V144" s="15"/>
      <c r="W144" s="14"/>
      <c r="X144" s="15"/>
      <c r="Y144" s="14"/>
      <c r="Z144" s="15"/>
    </row>
    <row r="145" spans="1:26" x14ac:dyDescent="0.25">
      <c r="Q145" s="14"/>
      <c r="R145" s="15"/>
      <c r="S145" s="14"/>
      <c r="T145" s="15"/>
      <c r="U145" s="14"/>
      <c r="V145" s="15"/>
      <c r="W145" s="14"/>
      <c r="X145" s="15"/>
      <c r="Y145" s="14"/>
      <c r="Z145" s="15"/>
    </row>
    <row r="146" spans="1:26" x14ac:dyDescent="0.25">
      <c r="Q146" s="14"/>
      <c r="R146" s="15"/>
      <c r="S146" s="14"/>
      <c r="T146" s="15"/>
      <c r="U146" s="14"/>
      <c r="V146" s="15"/>
      <c r="W146" s="14"/>
      <c r="X146" s="15"/>
      <c r="Y146" s="14"/>
      <c r="Z146" s="15"/>
    </row>
    <row r="147" spans="1:26" x14ac:dyDescent="0.25">
      <c r="Q147" s="14"/>
      <c r="R147" s="15"/>
      <c r="S147" s="14"/>
      <c r="T147" s="15"/>
      <c r="U147" s="14"/>
      <c r="V147" s="15"/>
      <c r="W147" s="14"/>
      <c r="X147" s="15"/>
      <c r="Y147" s="14"/>
      <c r="Z147" s="15"/>
    </row>
    <row r="148" spans="1:26" x14ac:dyDescent="0.25">
      <c r="Q148" s="14"/>
      <c r="R148" s="15"/>
      <c r="S148" s="14"/>
      <c r="T148" s="15"/>
      <c r="U148" s="14"/>
      <c r="V148" s="15"/>
      <c r="W148" s="14"/>
      <c r="X148" s="15"/>
      <c r="Y148" s="14"/>
      <c r="Z148" s="15"/>
    </row>
    <row r="149" spans="1:26" x14ac:dyDescent="0.25">
      <c r="Q149" s="14"/>
      <c r="R149" s="15"/>
      <c r="S149" s="14"/>
      <c r="T149" s="15"/>
      <c r="U149" s="14"/>
      <c r="V149" s="15"/>
      <c r="W149" s="14"/>
      <c r="X149" s="15"/>
      <c r="Y149" s="14"/>
      <c r="Z149" s="15"/>
    </row>
    <row r="150" spans="1:26" x14ac:dyDescent="0.25">
      <c r="Q150" s="14"/>
      <c r="R150" s="15"/>
      <c r="S150" s="14"/>
      <c r="T150" s="15"/>
      <c r="U150" s="14"/>
      <c r="V150" s="15"/>
      <c r="W150" s="14"/>
      <c r="X150" s="15"/>
      <c r="Y150" s="14"/>
      <c r="Z150" s="15"/>
    </row>
    <row r="151" spans="1:26" x14ac:dyDescent="0.25">
      <c r="Q151" s="14"/>
      <c r="R151" s="15"/>
      <c r="S151" s="14"/>
      <c r="T151" s="15"/>
      <c r="U151" s="14"/>
      <c r="V151" s="15"/>
      <c r="W151" s="14"/>
      <c r="X151" s="15"/>
      <c r="Y151" s="14"/>
      <c r="Z151" s="15"/>
    </row>
    <row r="152" spans="1:26" x14ac:dyDescent="0.25">
      <c r="Q152" s="14"/>
      <c r="R152" s="15"/>
      <c r="S152" s="14"/>
      <c r="T152" s="15"/>
      <c r="U152" s="14"/>
      <c r="V152" s="15"/>
      <c r="W152" s="14"/>
      <c r="X152" s="15"/>
      <c r="Y152" s="14"/>
      <c r="Z152" s="15"/>
    </row>
    <row r="153" spans="1:26" x14ac:dyDescent="0.25">
      <c r="Q153" s="14"/>
      <c r="R153" s="15"/>
      <c r="S153" s="14"/>
      <c r="T153" s="15"/>
      <c r="U153" s="14"/>
      <c r="V153" s="15"/>
      <c r="W153" s="14"/>
      <c r="X153" s="15"/>
      <c r="Y153" s="14"/>
      <c r="Z153" s="15"/>
    </row>
    <row r="154" spans="1:26" x14ac:dyDescent="0.25">
      <c r="Q154" s="14"/>
      <c r="R154" s="15"/>
      <c r="S154" s="14"/>
      <c r="T154" s="15"/>
      <c r="U154" s="14"/>
      <c r="V154" s="15"/>
      <c r="W154" s="14"/>
      <c r="X154" s="15"/>
      <c r="Y154" s="14"/>
      <c r="Z154" s="15"/>
    </row>
    <row r="155" spans="1:26" x14ac:dyDescent="0.25">
      <c r="Q155" s="14"/>
      <c r="R155" s="15"/>
      <c r="S155" s="14"/>
      <c r="T155" s="15"/>
      <c r="U155" s="14"/>
      <c r="V155" s="15"/>
      <c r="W155" s="14"/>
      <c r="X155" s="15"/>
      <c r="Y155" s="14"/>
      <c r="Z155" s="15"/>
    </row>
    <row r="156" spans="1:26" x14ac:dyDescent="0.25">
      <c r="Q156" s="14"/>
      <c r="R156" s="15"/>
      <c r="S156" s="14"/>
      <c r="T156" s="15"/>
      <c r="U156" s="14"/>
      <c r="V156" s="15"/>
      <c r="W156" s="14"/>
      <c r="X156" s="15"/>
      <c r="Y156" s="14"/>
      <c r="Z156" s="15"/>
    </row>
    <row r="157" spans="1:26" x14ac:dyDescent="0.25">
      <c r="Q157" s="14"/>
      <c r="R157" s="15"/>
      <c r="S157" s="14"/>
      <c r="T157" s="15"/>
      <c r="U157" s="14"/>
      <c r="V157" s="15"/>
      <c r="W157" s="14"/>
      <c r="X157" s="15"/>
      <c r="Y157" s="14"/>
      <c r="Z157" s="15"/>
    </row>
    <row r="158" spans="1:26" x14ac:dyDescent="0.25">
      <c r="Q158" s="14"/>
      <c r="R158" s="15"/>
      <c r="S158" s="14"/>
      <c r="T158" s="15"/>
      <c r="U158" s="14"/>
      <c r="V158" s="15"/>
      <c r="W158" s="14"/>
      <c r="X158" s="15"/>
      <c r="Y158" s="14"/>
      <c r="Z158" s="15"/>
    </row>
    <row r="159" spans="1:26" x14ac:dyDescent="0.25">
      <c r="Q159" s="14"/>
      <c r="R159" s="15"/>
      <c r="S159" s="14"/>
      <c r="T159" s="15"/>
      <c r="U159" s="14"/>
      <c r="V159" s="15"/>
      <c r="W159" s="14"/>
      <c r="X159" s="15"/>
      <c r="Y159" s="14"/>
      <c r="Z159" s="15"/>
    </row>
    <row r="160" spans="1:26" x14ac:dyDescent="0.25">
      <c r="Q160" s="14"/>
      <c r="R160" s="15"/>
      <c r="S160" s="14"/>
      <c r="T160" s="15"/>
      <c r="U160" s="14"/>
      <c r="V160" s="15"/>
      <c r="W160" s="14"/>
      <c r="X160" s="15"/>
      <c r="Y160" s="14"/>
      <c r="Z160" s="15"/>
    </row>
    <row r="161" spans="1:26" x14ac:dyDescent="0.25">
      <c r="Q161" s="14"/>
      <c r="R161" s="15"/>
      <c r="S161" s="14"/>
      <c r="T161" s="15"/>
      <c r="U161" s="14"/>
      <c r="V161" s="15"/>
      <c r="W161" s="14"/>
      <c r="X161" s="15"/>
      <c r="Y161" s="14"/>
      <c r="Z161" s="15"/>
    </row>
    <row r="162" spans="1:26" x14ac:dyDescent="0.25">
      <c r="Q162" s="14"/>
      <c r="R162" s="15"/>
      <c r="S162" s="14"/>
      <c r="T162" s="15"/>
      <c r="U162" s="14"/>
      <c r="V162" s="15"/>
      <c r="W162" s="14"/>
      <c r="X162" s="15"/>
      <c r="Y162" s="14"/>
      <c r="Z162" s="15"/>
    </row>
    <row r="163" spans="1:26" x14ac:dyDescent="0.25">
      <c r="Q163" s="14"/>
      <c r="R163" s="15"/>
      <c r="S163" s="14"/>
      <c r="T163" s="15"/>
      <c r="U163" s="14"/>
      <c r="V163" s="15"/>
      <c r="W163" s="14"/>
      <c r="X163" s="15"/>
      <c r="Y163" s="14"/>
      <c r="Z163" s="15"/>
    </row>
    <row r="164" spans="1:26" x14ac:dyDescent="0.25">
      <c r="Q164" s="14"/>
      <c r="R164" s="15"/>
      <c r="S164" s="14"/>
      <c r="T164" s="15"/>
      <c r="U164" s="14"/>
      <c r="V164" s="15"/>
      <c r="W164" s="14"/>
      <c r="X164" s="15"/>
      <c r="Y164" s="14"/>
      <c r="Z164" s="15"/>
    </row>
    <row r="165" spans="1:26" x14ac:dyDescent="0.25">
      <c r="Q165" s="14"/>
      <c r="R165" s="15"/>
      <c r="S165" s="14"/>
      <c r="T165" s="15"/>
      <c r="U165" s="14"/>
      <c r="V165" s="15"/>
      <c r="W165" s="14"/>
      <c r="X165" s="15"/>
      <c r="Y165" s="14"/>
      <c r="Z165" s="15"/>
    </row>
    <row r="166" spans="1:26" x14ac:dyDescent="0.25">
      <c r="Q166" s="14"/>
      <c r="R166" s="15"/>
      <c r="S166" s="14"/>
      <c r="T166" s="15"/>
      <c r="U166" s="14"/>
      <c r="V166" s="15"/>
      <c r="W166" s="14"/>
      <c r="X166" s="15"/>
      <c r="Y166" s="14"/>
      <c r="Z166" s="15"/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  <row r="1049" spans="1:26" x14ac:dyDescent="0.25">
      <c r="Q1049" s="14"/>
      <c r="R1049" s="15"/>
      <c r="S1049" s="14"/>
      <c r="T1049" s="15"/>
      <c r="U1049" s="14"/>
      <c r="V1049" s="15"/>
      <c r="W1049" s="14"/>
      <c r="X1049" s="15"/>
      <c r="Y1049" s="14"/>
      <c r="Z1049" s="15"/>
    </row>
    <row r="1050" spans="1:26" x14ac:dyDescent="0.25">
      <c r="Q1050" s="14"/>
      <c r="R1050" s="15"/>
      <c r="S1050" s="14"/>
      <c r="T1050" s="15"/>
      <c r="U1050" s="14"/>
      <c r="V1050" s="15"/>
      <c r="W1050" s="14"/>
      <c r="X1050" s="15"/>
      <c r="Y1050" s="14"/>
      <c r="Z1050" s="15"/>
    </row>
    <row r="1051" spans="1:26" x14ac:dyDescent="0.25">
      <c r="Q1051" s="14"/>
      <c r="R1051" s="15"/>
      <c r="S1051" s="14"/>
      <c r="T1051" s="15"/>
      <c r="U1051" s="14"/>
      <c r="V1051" s="15"/>
      <c r="W1051" s="14"/>
      <c r="X1051" s="15"/>
      <c r="Y1051" s="14"/>
      <c r="Z1051" s="15"/>
    </row>
    <row r="1052" spans="1:26" x14ac:dyDescent="0.25">
      <c r="Q1052" s="14"/>
      <c r="R1052" s="15"/>
      <c r="S1052" s="14"/>
      <c r="T1052" s="15"/>
      <c r="U1052" s="14"/>
      <c r="V1052" s="15"/>
      <c r="W1052" s="14"/>
      <c r="X1052" s="15"/>
      <c r="Y1052" s="14"/>
      <c r="Z1052" s="15"/>
    </row>
    <row r="1053" spans="1:26" x14ac:dyDescent="0.25">
      <c r="Q1053" s="14"/>
      <c r="R1053" s="15"/>
      <c r="S1053" s="14"/>
      <c r="T1053" s="15"/>
      <c r="U1053" s="14"/>
      <c r="V1053" s="15"/>
      <c r="W1053" s="14"/>
      <c r="X1053" s="15"/>
      <c r="Y1053" s="14"/>
      <c r="Z1053" s="15"/>
    </row>
    <row r="1054" spans="1:26" x14ac:dyDescent="0.25">
      <c r="Q1054" s="14"/>
      <c r="R1054" s="15"/>
      <c r="S1054" s="14"/>
      <c r="T1054" s="15"/>
      <c r="U1054" s="14"/>
      <c r="V1054" s="15"/>
      <c r="W1054" s="14"/>
      <c r="X1054" s="15"/>
      <c r="Y1054" s="14"/>
      <c r="Z1054" s="15"/>
    </row>
    <row r="1055" spans="1:26" x14ac:dyDescent="0.25">
      <c r="Q1055" s="14"/>
      <c r="R1055" s="15"/>
      <c r="S1055" s="14"/>
      <c r="T1055" s="15"/>
      <c r="U1055" s="14"/>
      <c r="V1055" s="15"/>
      <c r="W1055" s="14"/>
      <c r="X1055" s="15"/>
      <c r="Y1055" s="14"/>
      <c r="Z1055" s="15"/>
    </row>
    <row r="1056" spans="1:26" x14ac:dyDescent="0.25">
      <c r="Q1056" s="14"/>
      <c r="R1056" s="15"/>
      <c r="S1056" s="14"/>
      <c r="T1056" s="15"/>
      <c r="U1056" s="14"/>
      <c r="V1056" s="15"/>
      <c r="W1056" s="14"/>
      <c r="X1056" s="15"/>
      <c r="Y1056" s="14"/>
      <c r="Z1056" s="15"/>
    </row>
    <row r="1057" spans="1:26" x14ac:dyDescent="0.25">
      <c r="Q1057" s="14"/>
      <c r="R1057" s="15"/>
      <c r="S1057" s="14"/>
      <c r="T1057" s="15"/>
      <c r="U1057" s="14"/>
      <c r="V1057" s="15"/>
      <c r="W1057" s="14"/>
      <c r="X1057" s="15"/>
      <c r="Y1057" s="14"/>
      <c r="Z1057" s="15"/>
    </row>
    <row r="1058" spans="1:26" x14ac:dyDescent="0.25">
      <c r="Q1058" s="14"/>
      <c r="R1058" s="15"/>
      <c r="S1058" s="14"/>
      <c r="T1058" s="15"/>
      <c r="U1058" s="14"/>
      <c r="V1058" s="15"/>
      <c r="W1058" s="14"/>
      <c r="X1058" s="15"/>
      <c r="Y1058" s="14"/>
      <c r="Z1058" s="15"/>
    </row>
    <row r="1059" spans="1:26" x14ac:dyDescent="0.25">
      <c r="Q1059" s="14"/>
      <c r="R1059" s="15"/>
      <c r="S1059" s="14"/>
      <c r="T1059" s="15"/>
      <c r="U1059" s="14"/>
      <c r="V1059" s="15"/>
      <c r="W1059" s="14"/>
      <c r="X1059" s="15"/>
      <c r="Y1059" s="14"/>
      <c r="Z1059" s="15"/>
    </row>
    <row r="1060" spans="1:26" x14ac:dyDescent="0.25">
      <c r="Q1060" s="14"/>
      <c r="R1060" s="15"/>
      <c r="S1060" s="14"/>
      <c r="T1060" s="15"/>
      <c r="U1060" s="14"/>
      <c r="V1060" s="15"/>
      <c r="W1060" s="14"/>
      <c r="X1060" s="15"/>
      <c r="Y1060" s="14"/>
      <c r="Z1060" s="15"/>
    </row>
    <row r="1061" spans="1:26" x14ac:dyDescent="0.25">
      <c r="Q1061" s="14"/>
      <c r="R1061" s="15"/>
      <c r="S1061" s="14"/>
      <c r="T1061" s="15"/>
      <c r="U1061" s="14"/>
      <c r="V1061" s="15"/>
      <c r="W1061" s="14"/>
      <c r="X1061" s="15"/>
      <c r="Y1061" s="14"/>
      <c r="Z1061" s="15"/>
    </row>
    <row r="1062" spans="1:26" x14ac:dyDescent="0.25">
      <c r="Q1062" s="14"/>
      <c r="R1062" s="15"/>
      <c r="S1062" s="14"/>
      <c r="T1062" s="15"/>
      <c r="U1062" s="14"/>
      <c r="V1062" s="15"/>
      <c r="W1062" s="14"/>
      <c r="X1062" s="15"/>
      <c r="Y1062" s="14"/>
      <c r="Z1062" s="15"/>
    </row>
    <row r="1063" spans="1:26" x14ac:dyDescent="0.25">
      <c r="Q1063" s="14"/>
      <c r="R1063" s="15"/>
      <c r="S1063" s="14"/>
      <c r="T1063" s="15"/>
      <c r="U1063" s="14"/>
      <c r="V1063" s="15"/>
      <c r="W1063" s="14"/>
      <c r="X1063" s="15"/>
      <c r="Y1063" s="14"/>
      <c r="Z1063" s="15"/>
    </row>
    <row r="1064" spans="1:26" x14ac:dyDescent="0.25">
      <c r="Q1064" s="14"/>
      <c r="R1064" s="15"/>
      <c r="S1064" s="14"/>
      <c r="T1064" s="15"/>
      <c r="U1064" s="14"/>
      <c r="V1064" s="15"/>
      <c r="W1064" s="14"/>
      <c r="X1064" s="15"/>
      <c r="Y1064" s="14"/>
      <c r="Z1064" s="15"/>
    </row>
    <row r="1065" spans="1:26" x14ac:dyDescent="0.25">
      <c r="Q1065" s="14"/>
      <c r="R1065" s="15"/>
      <c r="S1065" s="14"/>
      <c r="T1065" s="15"/>
      <c r="U1065" s="14"/>
      <c r="V1065" s="15"/>
      <c r="W1065" s="14"/>
      <c r="X1065" s="15"/>
      <c r="Y1065" s="14"/>
      <c r="Z1065" s="15"/>
    </row>
    <row r="1066" spans="1:26" x14ac:dyDescent="0.25">
      <c r="Q1066" s="14"/>
      <c r="R1066" s="15"/>
      <c r="S1066" s="14"/>
      <c r="T1066" s="15"/>
      <c r="U1066" s="14"/>
      <c r="V1066" s="15"/>
      <c r="W1066" s="14"/>
      <c r="X1066" s="15"/>
      <c r="Y1066" s="14"/>
      <c r="Z1066" s="15"/>
    </row>
    <row r="1067" spans="1:26" x14ac:dyDescent="0.25">
      <c r="Q1067" s="14"/>
      <c r="R1067" s="15"/>
      <c r="S1067" s="14"/>
      <c r="T1067" s="15"/>
      <c r="U1067" s="14"/>
      <c r="V1067" s="15"/>
      <c r="W1067" s="14"/>
      <c r="X1067" s="15"/>
      <c r="Y1067" s="14"/>
      <c r="Z1067" s="15"/>
    </row>
    <row r="1068" spans="1:26" x14ac:dyDescent="0.25">
      <c r="Q1068" s="14"/>
      <c r="R1068" s="15"/>
      <c r="S1068" s="14"/>
      <c r="T1068" s="15"/>
      <c r="U1068" s="14"/>
      <c r="V1068" s="15"/>
      <c r="W1068" s="14"/>
      <c r="X1068" s="15"/>
      <c r="Y1068" s="14"/>
      <c r="Z1068" s="15"/>
    </row>
    <row r="1069" spans="1:26" x14ac:dyDescent="0.25">
      <c r="Q1069" s="14"/>
      <c r="R1069" s="15"/>
      <c r="S1069" s="14"/>
      <c r="T1069" s="15"/>
      <c r="U1069" s="14"/>
      <c r="V1069" s="15"/>
      <c r="W1069" s="14"/>
      <c r="X1069" s="15"/>
      <c r="Y1069" s="14"/>
      <c r="Z1069" s="15"/>
    </row>
    <row r="1070" spans="1:26" x14ac:dyDescent="0.25">
      <c r="Q1070" s="14"/>
      <c r="R1070" s="15"/>
      <c r="S1070" s="14"/>
      <c r="T1070" s="15"/>
      <c r="U1070" s="14"/>
      <c r="V1070" s="15"/>
      <c r="W1070" s="14"/>
      <c r="X1070" s="15"/>
      <c r="Y1070" s="14"/>
      <c r="Z1070" s="15"/>
    </row>
    <row r="1071" spans="1:26" x14ac:dyDescent="0.25">
      <c r="Q1071" s="14"/>
      <c r="R1071" s="15"/>
      <c r="S1071" s="14"/>
      <c r="T1071" s="15"/>
      <c r="U1071" s="14"/>
      <c r="V1071" s="15"/>
      <c r="W1071" s="14"/>
      <c r="X1071" s="15"/>
      <c r="Y1071" s="14"/>
      <c r="Z1071" s="15"/>
    </row>
    <row r="1072" spans="1:26" x14ac:dyDescent="0.25">
      <c r="Q1072" s="14"/>
      <c r="R1072" s="15"/>
      <c r="S1072" s="14"/>
      <c r="T1072" s="15"/>
      <c r="U1072" s="14"/>
      <c r="V1072" s="15"/>
      <c r="W1072" s="14"/>
      <c r="X1072" s="15"/>
      <c r="Y1072" s="14"/>
      <c r="Z1072" s="15"/>
    </row>
    <row r="1073" spans="1:26" x14ac:dyDescent="0.25">
      <c r="Q1073" s="14"/>
      <c r="R1073" s="15"/>
      <c r="S1073" s="14"/>
      <c r="T1073" s="15"/>
      <c r="U1073" s="14"/>
      <c r="V1073" s="15"/>
      <c r="W1073" s="14"/>
      <c r="X1073" s="15"/>
      <c r="Y1073" s="14"/>
      <c r="Z1073" s="15"/>
    </row>
    <row r="1074" spans="1:26" x14ac:dyDescent="0.25">
      <c r="Q1074" s="14"/>
      <c r="R1074" s="15"/>
      <c r="S1074" s="14"/>
      <c r="T1074" s="15"/>
      <c r="U1074" s="14"/>
      <c r="V1074" s="15"/>
      <c r="W1074" s="14"/>
      <c r="X1074" s="15"/>
      <c r="Y1074" s="14"/>
      <c r="Z1074" s="15"/>
    </row>
    <row r="1075" spans="1:26" x14ac:dyDescent="0.25">
      <c r="Q1075" s="14"/>
      <c r="R1075" s="15"/>
      <c r="S1075" s="14"/>
      <c r="T1075" s="15"/>
      <c r="U1075" s="14"/>
      <c r="V1075" s="15"/>
      <c r="W1075" s="14"/>
      <c r="X1075" s="15"/>
      <c r="Y1075" s="14"/>
      <c r="Z1075" s="15"/>
    </row>
    <row r="1076" spans="1:26" x14ac:dyDescent="0.25">
      <c r="Q1076" s="14"/>
      <c r="R1076" s="15"/>
      <c r="S1076" s="14"/>
      <c r="T1076" s="15"/>
      <c r="U1076" s="14"/>
      <c r="V1076" s="15"/>
      <c r="W1076" s="14"/>
      <c r="X1076" s="15"/>
      <c r="Y1076" s="14"/>
      <c r="Z1076" s="15"/>
    </row>
    <row r="1077" spans="1:26" x14ac:dyDescent="0.25">
      <c r="Q1077" s="14"/>
      <c r="R1077" s="15"/>
      <c r="S1077" s="14"/>
      <c r="T1077" s="15"/>
      <c r="U1077" s="14"/>
      <c r="V1077" s="15"/>
      <c r="W1077" s="14"/>
      <c r="X1077" s="15"/>
      <c r="Y1077" s="14"/>
      <c r="Z1077" s="15"/>
    </row>
    <row r="1078" spans="1:26" x14ac:dyDescent="0.25">
      <c r="Q1078" s="14"/>
      <c r="R1078" s="15"/>
      <c r="S1078" s="14"/>
      <c r="T1078" s="15"/>
      <c r="U1078" s="14"/>
      <c r="V1078" s="15"/>
      <c r="W1078" s="14"/>
      <c r="X1078" s="15"/>
      <c r="Y1078" s="14"/>
      <c r="Z1078" s="15"/>
    </row>
    <row r="1079" spans="1:26" x14ac:dyDescent="0.25">
      <c r="Q1079" s="14"/>
      <c r="R1079" s="15"/>
      <c r="S1079" s="14"/>
      <c r="T1079" s="15"/>
      <c r="U1079" s="14"/>
      <c r="V1079" s="15"/>
      <c r="W1079" s="14"/>
      <c r="X1079" s="15"/>
      <c r="Y1079" s="14"/>
      <c r="Z1079" s="15"/>
    </row>
    <row r="1080" spans="1:26" x14ac:dyDescent="0.25">
      <c r="Q1080" s="14"/>
      <c r="R1080" s="15"/>
      <c r="S1080" s="14"/>
      <c r="T1080" s="15"/>
      <c r="U1080" s="14"/>
      <c r="V1080" s="15"/>
      <c r="W1080" s="14"/>
      <c r="X1080" s="15"/>
      <c r="Y1080" s="14"/>
      <c r="Z1080" s="15"/>
    </row>
    <row r="1081" spans="1:26" x14ac:dyDescent="0.25">
      <c r="Q1081" s="14"/>
      <c r="R1081" s="15"/>
      <c r="S1081" s="14"/>
      <c r="T1081" s="15"/>
      <c r="U1081" s="14"/>
      <c r="V1081" s="15"/>
      <c r="W1081" s="14"/>
      <c r="X1081" s="15"/>
      <c r="Y1081" s="14"/>
      <c r="Z1081" s="15"/>
    </row>
    <row r="1082" spans="1:26" x14ac:dyDescent="0.25">
      <c r="Q1082" s="14"/>
      <c r="R1082" s="15"/>
      <c r="S1082" s="14"/>
      <c r="T1082" s="15"/>
      <c r="U1082" s="14"/>
      <c r="V1082" s="15"/>
      <c r="W1082" s="14"/>
      <c r="X1082" s="15"/>
      <c r="Y1082" s="14"/>
      <c r="Z1082" s="15"/>
    </row>
    <row r="1083" spans="1:26" x14ac:dyDescent="0.25">
      <c r="Q1083" s="14"/>
      <c r="R1083" s="15"/>
      <c r="S1083" s="14"/>
      <c r="T1083" s="15"/>
      <c r="U1083" s="14"/>
      <c r="V1083" s="15"/>
      <c r="W1083" s="14"/>
      <c r="X1083" s="15"/>
      <c r="Y1083" s="14"/>
      <c r="Z1083" s="15"/>
    </row>
    <row r="1084" spans="1:26" x14ac:dyDescent="0.25">
      <c r="Q1084" s="14"/>
      <c r="R1084" s="15"/>
      <c r="S1084" s="14"/>
      <c r="T1084" s="15"/>
      <c r="U1084" s="14"/>
      <c r="V1084" s="15"/>
      <c r="W1084" s="14"/>
      <c r="X1084" s="15"/>
      <c r="Y1084" s="14"/>
      <c r="Z1084" s="15"/>
    </row>
    <row r="1085" spans="1:26" x14ac:dyDescent="0.25">
      <c r="Q1085" s="14"/>
      <c r="R1085" s="15"/>
      <c r="S1085" s="14"/>
      <c r="T1085" s="15"/>
      <c r="U1085" s="14"/>
      <c r="V1085" s="15"/>
      <c r="W1085" s="14"/>
      <c r="X1085" s="15"/>
      <c r="Y1085" s="14"/>
      <c r="Z1085" s="15"/>
    </row>
    <row r="1086" spans="1:26" x14ac:dyDescent="0.25">
      <c r="Q1086" s="14"/>
      <c r="R1086" s="15"/>
      <c r="S1086" s="14"/>
      <c r="T1086" s="15"/>
      <c r="U1086" s="14"/>
      <c r="V1086" s="15"/>
      <c r="W1086" s="14"/>
      <c r="X1086" s="15"/>
      <c r="Y1086" s="14"/>
      <c r="Z1086" s="15"/>
    </row>
    <row r="1087" spans="1:26" x14ac:dyDescent="0.25">
      <c r="Q1087" s="14"/>
      <c r="R1087" s="15"/>
      <c r="S1087" s="14"/>
      <c r="T1087" s="15"/>
      <c r="U1087" s="14"/>
      <c r="V1087" s="15"/>
      <c r="W1087" s="14"/>
      <c r="X1087" s="15"/>
      <c r="Y1087" s="14"/>
      <c r="Z1087" s="15"/>
    </row>
    <row r="1088" spans="1:26" x14ac:dyDescent="0.25">
      <c r="Q1088" s="14"/>
      <c r="R1088" s="15"/>
      <c r="S1088" s="14"/>
      <c r="T1088" s="15"/>
      <c r="U1088" s="14"/>
      <c r="V1088" s="15"/>
      <c r="W1088" s="14"/>
      <c r="X1088" s="15"/>
      <c r="Y1088" s="14"/>
      <c r="Z1088" s="15"/>
    </row>
    <row r="1089" spans="1:26" x14ac:dyDescent="0.25">
      <c r="Q1089" s="14"/>
      <c r="R1089" s="15"/>
      <c r="S1089" s="14"/>
      <c r="T1089" s="15"/>
      <c r="U1089" s="14"/>
      <c r="V1089" s="15"/>
      <c r="W1089" s="14"/>
      <c r="X1089" s="15"/>
      <c r="Y1089" s="14"/>
      <c r="Z1089" s="15"/>
    </row>
    <row r="1090" spans="1:26" x14ac:dyDescent="0.25">
      <c r="Q1090" s="14"/>
      <c r="R1090" s="15"/>
      <c r="S1090" s="14"/>
      <c r="T1090" s="15"/>
      <c r="U1090" s="14"/>
      <c r="V1090" s="15"/>
      <c r="W1090" s="14"/>
      <c r="X1090" s="15"/>
      <c r="Y1090" s="14"/>
      <c r="Z1090" s="15"/>
    </row>
    <row r="1091" spans="1:26" x14ac:dyDescent="0.25">
      <c r="Q1091" s="14"/>
      <c r="R1091" s="15"/>
      <c r="S1091" s="14"/>
      <c r="T1091" s="15"/>
      <c r="U1091" s="14"/>
      <c r="V1091" s="15"/>
      <c r="W1091" s="14"/>
      <c r="X1091" s="15"/>
      <c r="Y1091" s="14"/>
      <c r="Z1091" s="15"/>
    </row>
    <row r="1092" spans="1:26" x14ac:dyDescent="0.25">
      <c r="Q1092" s="14"/>
      <c r="R1092" s="15"/>
      <c r="S1092" s="14"/>
      <c r="T1092" s="15"/>
      <c r="U1092" s="14"/>
      <c r="V1092" s="15"/>
      <c r="W1092" s="14"/>
      <c r="X1092" s="15"/>
      <c r="Y1092" s="14"/>
      <c r="Z1092" s="15"/>
    </row>
    <row r="1093" spans="1:26" x14ac:dyDescent="0.25">
      <c r="Q1093" s="14"/>
      <c r="R1093" s="15"/>
      <c r="S1093" s="14"/>
      <c r="T1093" s="15"/>
      <c r="U1093" s="14"/>
      <c r="V1093" s="15"/>
      <c r="W1093" s="14"/>
      <c r="X1093" s="15"/>
      <c r="Y1093" s="14"/>
      <c r="Z1093" s="15"/>
    </row>
    <row r="1094" spans="1:26" x14ac:dyDescent="0.25">
      <c r="Q1094" s="14"/>
      <c r="R1094" s="15"/>
      <c r="S1094" s="14"/>
      <c r="T1094" s="15"/>
      <c r="U1094" s="14"/>
      <c r="V1094" s="15"/>
      <c r="W1094" s="14"/>
      <c r="X1094" s="15"/>
      <c r="Y1094" s="14"/>
      <c r="Z1094" s="15"/>
    </row>
    <row r="1095" spans="1:26" x14ac:dyDescent="0.25">
      <c r="Q1095" s="14"/>
      <c r="R1095" s="15"/>
      <c r="S1095" s="14"/>
      <c r="T1095" s="15"/>
      <c r="U1095" s="14"/>
      <c r="V1095" s="15"/>
      <c r="W1095" s="14"/>
      <c r="X1095" s="15"/>
      <c r="Y1095" s="14"/>
      <c r="Z1095" s="15"/>
    </row>
    <row r="1096" spans="1:26" x14ac:dyDescent="0.25">
      <c r="Q1096" s="14"/>
      <c r="R1096" s="15"/>
      <c r="S1096" s="14"/>
      <c r="T1096" s="15"/>
      <c r="U1096" s="14"/>
      <c r="V1096" s="15"/>
      <c r="W1096" s="14"/>
      <c r="X1096" s="15"/>
      <c r="Y1096" s="14"/>
      <c r="Z1096" s="15"/>
    </row>
    <row r="1097" spans="1:26" x14ac:dyDescent="0.25">
      <c r="Q1097" s="14"/>
      <c r="R1097" s="15"/>
      <c r="S1097" s="14"/>
      <c r="T1097" s="15"/>
      <c r="U1097" s="14"/>
      <c r="V1097" s="15"/>
      <c r="W1097" s="14"/>
      <c r="X1097" s="15"/>
      <c r="Y1097" s="14"/>
      <c r="Z1097" s="15"/>
    </row>
    <row r="1098" spans="1:26" x14ac:dyDescent="0.25">
      <c r="Q1098" s="14"/>
      <c r="R1098" s="15"/>
      <c r="S1098" s="14"/>
      <c r="T1098" s="15"/>
      <c r="U1098" s="14"/>
      <c r="V1098" s="15"/>
      <c r="W1098" s="14"/>
      <c r="X1098" s="15"/>
      <c r="Y1098" s="14"/>
      <c r="Z1098" s="15"/>
    </row>
    <row r="1099" spans="1:26" x14ac:dyDescent="0.25">
      <c r="Q1099" s="14"/>
      <c r="R1099" s="15"/>
      <c r="S1099" s="14"/>
      <c r="T1099" s="15"/>
      <c r="U1099" s="14"/>
      <c r="V1099" s="15"/>
      <c r="W1099" s="14"/>
      <c r="X1099" s="15"/>
      <c r="Y1099" s="14"/>
      <c r="Z1099" s="15"/>
    </row>
    <row r="1100" spans="1:26" x14ac:dyDescent="0.25">
      <c r="Q1100" s="14"/>
      <c r="R1100" s="15"/>
      <c r="S1100" s="14"/>
      <c r="T1100" s="15"/>
      <c r="U1100" s="14"/>
      <c r="V1100" s="15"/>
      <c r="W1100" s="14"/>
      <c r="X1100" s="15"/>
      <c r="Y1100" s="14"/>
      <c r="Z1100" s="15"/>
    </row>
    <row r="1101" spans="1:26" x14ac:dyDescent="0.25">
      <c r="Q1101" s="14"/>
      <c r="R1101" s="15"/>
      <c r="S1101" s="14"/>
      <c r="T1101" s="15"/>
      <c r="U1101" s="14"/>
      <c r="V1101" s="15"/>
      <c r="W1101" s="14"/>
      <c r="X1101" s="15"/>
      <c r="Y1101" s="14"/>
      <c r="Z1101" s="15"/>
    </row>
    <row r="1102" spans="1:26" x14ac:dyDescent="0.25">
      <c r="Q1102" s="14"/>
      <c r="R1102" s="15"/>
      <c r="S1102" s="14"/>
      <c r="T1102" s="15"/>
      <c r="U1102" s="14"/>
      <c r="V1102" s="15"/>
      <c r="W1102" s="14"/>
      <c r="X1102" s="15"/>
      <c r="Y1102" s="14"/>
      <c r="Z1102" s="15"/>
    </row>
    <row r="1103" spans="1:26" x14ac:dyDescent="0.25">
      <c r="Q1103" s="14"/>
      <c r="R1103" s="15"/>
      <c r="S1103" s="14"/>
      <c r="T1103" s="15"/>
      <c r="U1103" s="14"/>
      <c r="V1103" s="15"/>
      <c r="W1103" s="14"/>
      <c r="X1103" s="15"/>
      <c r="Y1103" s="14"/>
      <c r="Z1103" s="15"/>
    </row>
    <row r="1104" spans="1:26" x14ac:dyDescent="0.25">
      <c r="Q1104" s="14"/>
      <c r="R1104" s="15"/>
      <c r="S1104" s="14"/>
      <c r="T1104" s="15"/>
      <c r="U1104" s="14"/>
      <c r="V1104" s="15"/>
      <c r="W1104" s="14"/>
      <c r="X1104" s="15"/>
      <c r="Y1104" s="14"/>
      <c r="Z1104" s="15"/>
    </row>
    <row r="1105" spans="1:26" x14ac:dyDescent="0.25">
      <c r="Q1105" s="14"/>
      <c r="R1105" s="15"/>
      <c r="S1105" s="14"/>
      <c r="T1105" s="15"/>
      <c r="U1105" s="14"/>
      <c r="V1105" s="15"/>
      <c r="W1105" s="14"/>
      <c r="X1105" s="15"/>
      <c r="Y1105" s="14"/>
      <c r="Z1105" s="15"/>
    </row>
    <row r="1106" spans="1:26" x14ac:dyDescent="0.25">
      <c r="Q1106" s="14"/>
      <c r="R1106" s="15"/>
      <c r="S1106" s="14"/>
      <c r="T1106" s="15"/>
      <c r="U1106" s="14"/>
      <c r="V1106" s="15"/>
      <c r="W1106" s="14"/>
      <c r="X1106" s="15"/>
      <c r="Y1106" s="14"/>
      <c r="Z1106" s="15"/>
    </row>
    <row r="1107" spans="1:26" x14ac:dyDescent="0.25">
      <c r="Q1107" s="14"/>
      <c r="R1107" s="15"/>
      <c r="S1107" s="14"/>
      <c r="T1107" s="15"/>
      <c r="U1107" s="14"/>
      <c r="V1107" s="15"/>
      <c r="W1107" s="14"/>
      <c r="X1107" s="15"/>
      <c r="Y1107" s="14"/>
      <c r="Z1107" s="15"/>
    </row>
    <row r="1108" spans="1:26" x14ac:dyDescent="0.25">
      <c r="Q1108" s="14"/>
      <c r="R1108" s="15"/>
      <c r="S1108" s="14"/>
      <c r="T1108" s="15"/>
      <c r="U1108" s="14"/>
      <c r="V1108" s="15"/>
      <c r="W1108" s="14"/>
      <c r="X1108" s="15"/>
      <c r="Y1108" s="14"/>
      <c r="Z1108" s="15"/>
    </row>
    <row r="1109" spans="1:26" x14ac:dyDescent="0.25">
      <c r="Q1109" s="14"/>
      <c r="R1109" s="15"/>
      <c r="S1109" s="14"/>
      <c r="T1109" s="15"/>
      <c r="U1109" s="14"/>
      <c r="V1109" s="15"/>
      <c r="W1109" s="14"/>
      <c r="X1109" s="15"/>
      <c r="Y1109" s="14"/>
      <c r="Z1109" s="15"/>
    </row>
    <row r="1110" spans="1:26" x14ac:dyDescent="0.25">
      <c r="Q1110" s="14"/>
      <c r="R1110" s="15"/>
      <c r="S1110" s="14"/>
      <c r="T1110" s="15"/>
      <c r="U1110" s="14"/>
      <c r="V1110" s="15"/>
      <c r="W1110" s="14"/>
      <c r="X1110" s="15"/>
      <c r="Y1110" s="14"/>
      <c r="Z1110" s="15"/>
    </row>
    <row r="1111" spans="1:26" x14ac:dyDescent="0.25">
      <c r="Q1111" s="14"/>
      <c r="R1111" s="15"/>
      <c r="S1111" s="14"/>
      <c r="T1111" s="15"/>
      <c r="U1111" s="14"/>
      <c r="V1111" s="15"/>
      <c r="W1111" s="14"/>
      <c r="X1111" s="15"/>
      <c r="Y1111" s="14"/>
      <c r="Z1111" s="15"/>
    </row>
    <row r="1112" spans="1:26" x14ac:dyDescent="0.25">
      <c r="Q1112" s="14"/>
      <c r="R1112" s="15"/>
      <c r="S1112" s="14"/>
      <c r="T1112" s="15"/>
      <c r="U1112" s="14"/>
      <c r="V1112" s="15"/>
      <c r="W1112" s="14"/>
      <c r="X1112" s="15"/>
      <c r="Y1112" s="14"/>
      <c r="Z1112" s="15"/>
    </row>
    <row r="1113" spans="1:26" x14ac:dyDescent="0.25">
      <c r="Q1113" s="14"/>
      <c r="R1113" s="15"/>
      <c r="S1113" s="14"/>
      <c r="T1113" s="15"/>
      <c r="U1113" s="14"/>
      <c r="V1113" s="15"/>
      <c r="W1113" s="14"/>
      <c r="X1113" s="15"/>
      <c r="Y1113" s="14"/>
      <c r="Z1113" s="15"/>
    </row>
    <row r="1114" spans="1:26" x14ac:dyDescent="0.25">
      <c r="Q1114" s="14"/>
      <c r="R1114" s="15"/>
      <c r="S1114" s="14"/>
      <c r="T1114" s="15"/>
      <c r="U1114" s="14"/>
      <c r="V1114" s="15"/>
      <c r="W1114" s="14"/>
      <c r="X1114" s="15"/>
      <c r="Y1114" s="14"/>
      <c r="Z1114" s="15"/>
    </row>
    <row r="1115" spans="1:26" x14ac:dyDescent="0.25">
      <c r="Q1115" s="14"/>
      <c r="R1115" s="15"/>
      <c r="S1115" s="14"/>
      <c r="T1115" s="15"/>
      <c r="U1115" s="14"/>
      <c r="V1115" s="15"/>
      <c r="W1115" s="14"/>
      <c r="X1115" s="15"/>
      <c r="Y1115" s="14"/>
      <c r="Z1115" s="15"/>
    </row>
    <row r="1116" spans="1:26" x14ac:dyDescent="0.25">
      <c r="Q1116" s="14"/>
      <c r="R1116" s="15"/>
      <c r="S1116" s="14"/>
      <c r="T1116" s="15"/>
      <c r="U1116" s="14"/>
      <c r="V1116" s="15"/>
      <c r="W1116" s="14"/>
      <c r="X1116" s="15"/>
      <c r="Y1116" s="14"/>
      <c r="Z1116" s="15"/>
    </row>
    <row r="1117" spans="1:26" x14ac:dyDescent="0.25">
      <c r="Q1117" s="14"/>
      <c r="R1117" s="15"/>
      <c r="S1117" s="14"/>
      <c r="T1117" s="15"/>
      <c r="U1117" s="14"/>
      <c r="V1117" s="15"/>
      <c r="W1117" s="14"/>
      <c r="X1117" s="15"/>
      <c r="Y1117" s="14"/>
      <c r="Z1117" s="15"/>
    </row>
    <row r="1118" spans="1:26" x14ac:dyDescent="0.25">
      <c r="Q1118" s="14"/>
      <c r="R1118" s="15"/>
      <c r="S1118" s="14"/>
      <c r="T1118" s="15"/>
      <c r="U1118" s="14"/>
      <c r="V1118" s="15"/>
      <c r="W1118" s="14"/>
      <c r="X1118" s="15"/>
      <c r="Y1118" s="14"/>
      <c r="Z1118" s="15"/>
    </row>
    <row r="1119" spans="1:26" x14ac:dyDescent="0.25">
      <c r="Q1119" s="14"/>
      <c r="R1119" s="15"/>
      <c r="S1119" s="14"/>
      <c r="T1119" s="15"/>
      <c r="U1119" s="14"/>
      <c r="V1119" s="15"/>
      <c r="W1119" s="14"/>
      <c r="X1119" s="15"/>
      <c r="Y1119" s="14"/>
      <c r="Z1119" s="15"/>
    </row>
    <row r="1120" spans="1:26" x14ac:dyDescent="0.25">
      <c r="Q1120" s="14"/>
      <c r="R1120" s="15"/>
      <c r="S1120" s="14"/>
      <c r="T1120" s="15"/>
      <c r="U1120" s="14"/>
      <c r="V1120" s="15"/>
      <c r="W1120" s="14"/>
      <c r="X1120" s="15"/>
      <c r="Y1120" s="14"/>
      <c r="Z1120" s="15"/>
    </row>
    <row r="1121" spans="1:26" x14ac:dyDescent="0.25">
      <c r="Q1121" s="14"/>
      <c r="R1121" s="15"/>
      <c r="S1121" s="14"/>
      <c r="T1121" s="15"/>
      <c r="U1121" s="14"/>
      <c r="V1121" s="15"/>
      <c r="W1121" s="14"/>
      <c r="X1121" s="15"/>
      <c r="Y1121" s="14"/>
      <c r="Z1121" s="15"/>
    </row>
    <row r="1122" spans="1:26" x14ac:dyDescent="0.25">
      <c r="Q1122" s="14"/>
      <c r="R1122" s="15"/>
      <c r="S1122" s="14"/>
      <c r="T1122" s="15"/>
      <c r="U1122" s="14"/>
      <c r="V1122" s="15"/>
      <c r="W1122" s="14"/>
      <c r="X1122" s="15"/>
      <c r="Y1122" s="14"/>
      <c r="Z1122" s="15"/>
    </row>
    <row r="1123" spans="1:26" x14ac:dyDescent="0.25">
      <c r="Q1123" s="14"/>
      <c r="R1123" s="15"/>
      <c r="S1123" s="14"/>
      <c r="T1123" s="15"/>
      <c r="U1123" s="14"/>
      <c r="V1123" s="15"/>
      <c r="W1123" s="14"/>
      <c r="X1123" s="15"/>
      <c r="Y1123" s="14"/>
      <c r="Z1123" s="15"/>
    </row>
    <row r="1124" spans="1:26" x14ac:dyDescent="0.25">
      <c r="Q1124" s="14"/>
      <c r="R1124" s="15"/>
      <c r="S1124" s="14"/>
      <c r="T1124" s="15"/>
      <c r="U1124" s="14"/>
      <c r="V1124" s="15"/>
      <c r="W1124" s="14"/>
      <c r="X1124" s="15"/>
      <c r="Y1124" s="14"/>
      <c r="Z1124" s="15"/>
    </row>
  </sheetData>
  <dataValidations count="43">
    <dataValidation type="list" allowBlank="1" sqref="L10:L1062">
      <formula1>"Must Have,Should Have,Could Have,Will not Have"</formula1>
    </dataValidation>
    <dataValidation type="list" allowBlank="1" sqref="L2:L1062">
      <formula1>"Must Have,Should Have,Could Have,Will not Have"</formula1>
    </dataValidation>
    <dataValidation type="list" allowBlank="1" sqref="Q100:Q1062">
      <formula1>"0,1,2,3,5,8,13,21,34,55,89"</formula1>
    </dataValidation>
    <dataValidation type="list" allowBlank="1" sqref="Q12">
      <formula1>"0,1,2,3,5,8,13,21,34,55,89"</formula1>
    </dataValidation>
    <dataValidation type="list" allowBlank="1" sqref="Q15">
      <formula1>"0,1,2,3,5,8,13,21,34,55,89"</formula1>
    </dataValidation>
    <dataValidation type="list" allowBlank="1" sqref="Q2">
      <formula1>"0,1,2,3,5,8,13,21,34,55,89"</formula1>
    </dataValidation>
    <dataValidation type="list" allowBlank="1" sqref="Q21">
      <formula1>"0,1,2,3,5,8,13,21,34,55,89"</formula1>
    </dataValidation>
    <dataValidation type="list" allowBlank="1" sqref="Q26">
      <formula1>"0,1,2,3,5,8,13,21,34,55,89"</formula1>
    </dataValidation>
    <dataValidation type="list" allowBlank="1" sqref="Q29">
      <formula1>"0,1,2,3,5,8,13,21,34,55,89"</formula1>
    </dataValidation>
    <dataValidation type="list" allowBlank="1" sqref="Q32">
      <formula1>"0,1,2,3,5,8,13,21,34,55,89"</formula1>
    </dataValidation>
    <dataValidation type="list" allowBlank="1" sqref="Q34">
      <formula1>"0,1,2,3,5,8,13,21,34,55,89"</formula1>
    </dataValidation>
    <dataValidation type="list" allowBlank="1" sqref="Q63:Q1062">
      <formula1>"0,1,2,3,5,8,13,21,34,55,89"</formula1>
    </dataValidation>
    <dataValidation type="list" allowBlank="1" sqref="Q7:Q8">
      <formula1>"0,1,2,3,5,8,13,21,34,55,89"</formula1>
    </dataValidation>
    <dataValidation type="list" allowBlank="1" sqref="S100:S1062">
      <formula1>"0,1,2,3,5,8,13,21,34,55,89"</formula1>
    </dataValidation>
    <dataValidation type="list" allowBlank="1" sqref="S12">
      <formula1>"0,1,2,3,5,8,13,21,34,55,89"</formula1>
    </dataValidation>
    <dataValidation type="list" allowBlank="1" sqref="S15">
      <formula1>"0,1,2,3,5,8,13,21,34,55,89"</formula1>
    </dataValidation>
    <dataValidation type="list" allowBlank="1" sqref="S2">
      <formula1>"0,1,2,3,5,8,13,21,34,55,89"</formula1>
    </dataValidation>
    <dataValidation type="list" allowBlank="1" sqref="S21">
      <formula1>"0,1,2,3,5,8,13,21,34,55,89"</formula1>
    </dataValidation>
    <dataValidation type="list" allowBlank="1" sqref="S26">
      <formula1>"0,1,2,3,5,8,13,21,34,55,89"</formula1>
    </dataValidation>
    <dataValidation type="list" allowBlank="1" sqref="S29">
      <formula1>"0,1,2,3,5,8,13,21,34,55,89"</formula1>
    </dataValidation>
    <dataValidation type="list" allowBlank="1" sqref="S32">
      <formula1>"0,1,2,3,5,8,13,21,34,55,89"</formula1>
    </dataValidation>
    <dataValidation type="list" allowBlank="1" sqref="S34">
      <formula1>"0,1,2,3,5,8,13,21,34,55,89"</formula1>
    </dataValidation>
    <dataValidation type="list" allowBlank="1" sqref="S63:S1062">
      <formula1>"0,1,2,3,5,8,13,21,34,55,89"</formula1>
    </dataValidation>
    <dataValidation type="list" allowBlank="1" sqref="S7:S8">
      <formula1>"0,1,2,3,5,8,13,21,34,55,89"</formula1>
    </dataValidation>
    <dataValidation type="list" allowBlank="1" sqref="U10:U38">
      <formula1>"0,1,2,3,5,8,13,21,34,55,89"</formula1>
    </dataValidation>
    <dataValidation type="list" allowBlank="1" sqref="U100:U1062">
      <formula1>"0,1,2,3,5,8,13,21,34,55,89"</formula1>
    </dataValidation>
    <dataValidation type="list" allowBlank="1" sqref="U2:U5">
      <formula1>"0,1,2,3,5,8,13,21,34,55,89"</formula1>
    </dataValidation>
    <dataValidation type="list" allowBlank="1" sqref="U43">
      <formula1>"0,1,2,3,5,8,13,21,34,55,89"</formula1>
    </dataValidation>
    <dataValidation type="list" allowBlank="1" sqref="U45">
      <formula1>"0,1,2,3,5,8,13,21,34,55,89"</formula1>
    </dataValidation>
    <dataValidation type="list" allowBlank="1" sqref="U63:U1062">
      <formula1>"0,1,2,3,5,8,13,21,34,55,89"</formula1>
    </dataValidation>
    <dataValidation type="list" allowBlank="1" sqref="U7:U38">
      <formula1>"0,1,2,3,5,8,13,21,34,55,89"</formula1>
    </dataValidation>
    <dataValidation type="list" allowBlank="1" sqref="W10:W38">
      <formula1>"0,1,2,3,5,8,13,21,34,55,89"</formula1>
    </dataValidation>
    <dataValidation type="list" allowBlank="1" sqref="W100:W1062">
      <formula1>"0,1,2,3,5,8,13,21,34,55,89"</formula1>
    </dataValidation>
    <dataValidation type="list" allowBlank="1" sqref="W2:W5">
      <formula1>"0,1,2,3,5,8,13,21,34,55,89"</formula1>
    </dataValidation>
    <dataValidation type="list" allowBlank="1" sqref="W43">
      <formula1>"0,1,2,3,5,8,13,21,34,55,89"</formula1>
    </dataValidation>
    <dataValidation type="list" allowBlank="1" sqref="W63:W1062">
      <formula1>"0,1,2,3,5,8,13,21,34,55,89"</formula1>
    </dataValidation>
    <dataValidation type="list" allowBlank="1" sqref="W7:W38">
      <formula1>"0,1,2,3,5,8,13,21,34,55,89"</formula1>
    </dataValidation>
    <dataValidation type="list" allowBlank="1" sqref="Y10:Y41">
      <formula1>"0,1,2,3,5,8,13,21,34,55,89"</formula1>
    </dataValidation>
    <dataValidation type="list" allowBlank="1" sqref="Y100:Y1062">
      <formula1>"0,1,2,3,5,8,13,21,34,55,89"</formula1>
    </dataValidation>
    <dataValidation type="list" allowBlank="1" sqref="Y2:Y5">
      <formula1>"0,1,2,3,5,8,13,21,34,55,89"</formula1>
    </dataValidation>
    <dataValidation type="list" allowBlank="1" sqref="Y43:Y45">
      <formula1>"0,1,2,3,5,8,13,21,34,55,89"</formula1>
    </dataValidation>
    <dataValidation type="list" allowBlank="1" sqref="Y63:Y1062">
      <formula1>"0,1,2,3,5,8,13,21,34,55,89"</formula1>
    </dataValidation>
    <dataValidation type="list" allowBlank="1" sqref="Y7:Y41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405</v>
      </c>
      <c r="B1" t="s">
        <v>3</v>
      </c>
      <c r="C1" t="s">
        <v>22</v>
      </c>
      <c r="D1" t="s">
        <v>406</v>
      </c>
      <c r="E1" t="s">
        <v>45</v>
      </c>
      <c r="F1" t="s">
        <v>407</v>
      </c>
      <c r="G1" t="s">
        <v>408</v>
      </c>
    </row>
    <row r="2" spans="1:1" s="1" customFormat="1" x14ac:dyDescent="0.25">
      <c r="A2" s="2" t="s">
        <v>409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410</v>
      </c>
    </row>
    <row r="9" spans="1:6" s="1" customFormat="1" x14ac:dyDescent="0.25">
      <c r="A9" s="2" t="s">
        <v>411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84</v>
      </c>
      <c r="C10" s="4" t="s">
        <v>412</v>
      </c>
      <c r="D10" s="4" t="s">
        <v>413</v>
      </c>
      <c r="E10" s="4" t="s">
        <v>414</v>
      </c>
      <c r="F10" s="4" t="s">
        <v>9</v>
      </c>
    </row>
    <row r="11" spans="1:6" s="5" customFormat="1" x14ac:dyDescent="0.25">
      <c r="A11" s="7" t="s">
        <v>415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416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417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418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419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420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421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422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423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84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412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413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424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425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84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412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413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424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426</v>
      </c>
      <c r="B53" s="2"/>
      <c r="C53" s="2"/>
      <c r="D53" s="2"/>
    </row>
    <row r="54" spans="1:4" s="3" customFormat="1" x14ac:dyDescent="0.25">
      <c r="A54" s="4" t="s">
        <v>405</v>
      </c>
      <c r="B54" s="4" t="s">
        <v>3</v>
      </c>
      <c r="C54" s="4" t="s">
        <v>22</v>
      </c>
      <c r="D54" s="4" t="s">
        <v>406</v>
      </c>
    </row>
    <row r="55" spans="1:4" s="5" customFormat="1" x14ac:dyDescent="0.25">
      <c r="A55" s="6" t="s">
        <v>427</v>
      </c>
      <c r="B55" s="6" t="s">
        <v>427</v>
      </c>
      <c r="C55" s="6" t="s">
        <v>427</v>
      </c>
      <c r="D55" s="6" t="s">
        <v>427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405</v>
      </c>
      <c r="B1" t="s">
        <v>3</v>
      </c>
      <c r="C1" t="s">
        <v>22</v>
      </c>
      <c r="D1" t="s">
        <v>406</v>
      </c>
      <c r="E1" t="s">
        <v>45</v>
      </c>
      <c r="F1" t="s">
        <v>407</v>
      </c>
      <c r="G1" t="s">
        <v>408</v>
      </c>
    </row>
    <row r="2" spans="1:1" s="1" customFormat="1" x14ac:dyDescent="0.25">
      <c r="A2" s="2" t="s">
        <v>409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428</v>
      </c>
    </row>
    <row r="9" spans="1:6" s="1" customFormat="1" x14ac:dyDescent="0.25">
      <c r="A9" s="2" t="s">
        <v>411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84</v>
      </c>
      <c r="C10" s="4" t="s">
        <v>412</v>
      </c>
      <c r="D10" s="4" t="s">
        <v>413</v>
      </c>
      <c r="E10" s="4" t="s">
        <v>414</v>
      </c>
      <c r="F10" s="4" t="s">
        <v>9</v>
      </c>
    </row>
    <row r="11" spans="1:6" s="5" customFormat="1" x14ac:dyDescent="0.25">
      <c r="A11" s="7" t="s">
        <v>415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416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417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418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419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420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421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422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423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84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412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413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424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425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84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412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413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424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426</v>
      </c>
      <c r="B53" s="2"/>
      <c r="C53" s="2"/>
      <c r="D53" s="2"/>
    </row>
    <row r="54" spans="1:4" s="3" customFormat="1" x14ac:dyDescent="0.25">
      <c r="A54" s="4" t="s">
        <v>405</v>
      </c>
      <c r="B54" s="4" t="s">
        <v>3</v>
      </c>
      <c r="C54" s="4" t="s">
        <v>22</v>
      </c>
      <c r="D54" s="4" t="s">
        <v>406</v>
      </c>
    </row>
    <row r="55" spans="1:4" s="5" customFormat="1" x14ac:dyDescent="0.25">
      <c r="A55" s="6" t="s">
        <v>427</v>
      </c>
      <c r="B55" s="6" t="s">
        <v>427</v>
      </c>
      <c r="C55" s="6" t="s">
        <v>427</v>
      </c>
      <c r="D55" s="6" t="s">
        <v>427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25" outlineLevelRow="0" outlineLevelCol="0" x14ac:dyDescent="55" defaultColWidth="20" customHeight="1"/>
  <cols>
    <col min="1" max="1" width="20" customWidth="1"/>
  </cols>
  <sheetData>
    <row r="1" hidden="1" spans="1:7" x14ac:dyDescent="0.25">
      <c r="A1" t="s">
        <v>429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</row>
    <row r="2" spans="1:7" s="1" customFormat="1" x14ac:dyDescent="0.25">
      <c r="A2" s="2" t="s">
        <v>436</v>
      </c>
      <c r="B2" s="2"/>
      <c r="C2" s="2"/>
      <c r="D2" s="2"/>
      <c r="E2" s="2"/>
      <c r="F2" s="2"/>
      <c r="G2" s="2"/>
    </row>
    <row r="3" spans="1:7" s="3" customFormat="1" x14ac:dyDescent="0.25">
      <c r="A3" s="4" t="s">
        <v>437</v>
      </c>
      <c r="B3" s="4" t="s">
        <v>438</v>
      </c>
      <c r="C3" s="4" t="s">
        <v>439</v>
      </c>
      <c r="D3" s="4" t="s">
        <v>432</v>
      </c>
      <c r="E3" s="4" t="s">
        <v>433</v>
      </c>
      <c r="F3" s="4" t="s">
        <v>434</v>
      </c>
      <c r="G3" s="4" t="s">
        <v>435</v>
      </c>
    </row>
    <row r="4" spans="1:7" s="5" customFormat="1" x14ac:dyDescent="0.25">
      <c r="A4" s="6">
        <v>1</v>
      </c>
      <c r="B4" s="6" t="s">
        <v>440</v>
      </c>
      <c r="C4" s="6">
        <v>0.5</v>
      </c>
      <c r="D4" s="6">
        <v>0.5</v>
      </c>
      <c r="E4" s="6">
        <v>1</v>
      </c>
      <c r="F4" s="6">
        <v>100</v>
      </c>
      <c r="G4" s="6">
        <v>100</v>
      </c>
    </row>
    <row r="5" spans="1:7" s="5" customFormat="1" x14ac:dyDescent="0.25">
      <c r="A5" s="6">
        <v>2</v>
      </c>
      <c r="B5" s="6" t="s">
        <v>441</v>
      </c>
      <c r="C5" s="6">
        <v>1</v>
      </c>
      <c r="D5" s="6">
        <v>0.5</v>
      </c>
      <c r="E5" s="6">
        <v>1</v>
      </c>
      <c r="F5" s="6">
        <v>50</v>
      </c>
      <c r="G5" s="6">
        <v>50</v>
      </c>
    </row>
    <row r="6" spans="1:7" s="5" customFormat="1" x14ac:dyDescent="0.25">
      <c r="A6" s="6">
        <v>3</v>
      </c>
      <c r="B6" s="6" t="s">
        <v>442</v>
      </c>
      <c r="C6" s="6">
        <v>2</v>
      </c>
      <c r="D6" s="6">
        <v>1</v>
      </c>
      <c r="E6" s="6">
        <v>1</v>
      </c>
      <c r="F6" s="6">
        <v>50</v>
      </c>
      <c r="G6" s="6">
        <v>33.34</v>
      </c>
    </row>
    <row r="7" spans="1:7" s="5" customFormat="1" x14ac:dyDescent="0.25">
      <c r="A7" s="6">
        <v>5</v>
      </c>
      <c r="B7" s="6" t="s">
        <v>443</v>
      </c>
      <c r="C7" s="6">
        <v>4</v>
      </c>
      <c r="D7" s="6">
        <v>2</v>
      </c>
      <c r="E7" s="6">
        <v>2</v>
      </c>
      <c r="F7" s="6">
        <v>50</v>
      </c>
      <c r="G7" s="6">
        <v>40</v>
      </c>
    </row>
    <row r="8" spans="1:7" s="5" customFormat="1" x14ac:dyDescent="0.25">
      <c r="A8" s="6">
        <v>8</v>
      </c>
      <c r="B8" s="6" t="s">
        <v>444</v>
      </c>
      <c r="C8" s="6">
        <v>7</v>
      </c>
      <c r="D8" s="6">
        <v>3</v>
      </c>
      <c r="E8" s="6">
        <v>3</v>
      </c>
      <c r="F8" s="6">
        <v>42.86</v>
      </c>
      <c r="G8" s="6">
        <v>37.5</v>
      </c>
    </row>
    <row r="9" spans="1:7" s="5" customFormat="1" x14ac:dyDescent="0.25">
      <c r="A9" s="6">
        <v>13</v>
      </c>
      <c r="B9" s="6" t="s">
        <v>445</v>
      </c>
      <c r="C9" s="6">
        <v>11</v>
      </c>
      <c r="D9" s="6">
        <v>4</v>
      </c>
      <c r="E9" s="6">
        <v>5</v>
      </c>
      <c r="F9" s="6">
        <v>36.37</v>
      </c>
      <c r="G9" s="6">
        <v>38.47</v>
      </c>
    </row>
    <row r="10" spans="1:7" s="5" customFormat="1" x14ac:dyDescent="0.25">
      <c r="A10" s="6">
        <v>21</v>
      </c>
      <c r="B10" s="6" t="s">
        <v>446</v>
      </c>
      <c r="C10" s="6">
        <v>16</v>
      </c>
      <c r="D10" s="6">
        <v>5</v>
      </c>
      <c r="E10" s="6">
        <v>8</v>
      </c>
      <c r="F10" s="6">
        <v>31.25</v>
      </c>
      <c r="G10" s="6">
        <v>38.1</v>
      </c>
    </row>
    <row r="11" spans="1:7" s="5" customFormat="1" x14ac:dyDescent="0.25">
      <c r="A11" s="6">
        <v>34</v>
      </c>
      <c r="B11" s="6" t="s">
        <v>447</v>
      </c>
      <c r="C11" s="6">
        <v>24</v>
      </c>
      <c r="D11" s="6">
        <v>8</v>
      </c>
      <c r="E11" s="6">
        <v>13</v>
      </c>
      <c r="F11" s="6">
        <v>33.34</v>
      </c>
      <c r="G11" s="6">
        <v>38.24</v>
      </c>
    </row>
    <row r="12" spans="1:7" s="5" customFormat="1" x14ac:dyDescent="0.25">
      <c r="A12" s="6">
        <v>55</v>
      </c>
      <c r="B12" s="6" t="s">
        <v>448</v>
      </c>
      <c r="C12" s="6">
        <v>40</v>
      </c>
      <c r="D12" s="6">
        <v>16</v>
      </c>
      <c r="E12" s="6">
        <v>21</v>
      </c>
      <c r="F12" s="6">
        <v>40</v>
      </c>
      <c r="G12" s="6">
        <v>38.19</v>
      </c>
    </row>
    <row r="13" spans="1:7" s="5" customFormat="1" x14ac:dyDescent="0.25">
      <c r="A13" s="6">
        <v>89</v>
      </c>
      <c r="B13" s="6" t="s">
        <v>449</v>
      </c>
      <c r="C13" s="6">
        <v>60</v>
      </c>
      <c r="D13" s="6">
        <v>20</v>
      </c>
      <c r="E13" s="6">
        <v>34</v>
      </c>
      <c r="F13" s="6">
        <v>33.34</v>
      </c>
      <c r="G13" s="6">
        <v>38.21</v>
      </c>
    </row>
    <row r="18" spans="1:3" s="1" customFormat="1" x14ac:dyDescent="0.25">
      <c r="A18" s="2" t="s">
        <v>450</v>
      </c>
      <c r="B18" s="2"/>
      <c r="C18" s="2"/>
    </row>
    <row r="19" spans="1:3" s="3" customFormat="1" x14ac:dyDescent="0.25">
      <c r="A19" s="4" t="s">
        <v>451</v>
      </c>
      <c r="B19" s="4" t="s">
        <v>430</v>
      </c>
      <c r="C19" s="4" t="s">
        <v>431</v>
      </c>
    </row>
    <row r="20" spans="1:3" s="5" customFormat="1" x14ac:dyDescent="0.25">
      <c r="A20" s="6" t="s">
        <v>452</v>
      </c>
      <c r="B20" s="6" t="s">
        <v>453</v>
      </c>
      <c r="C20" s="6">
        <v>32</v>
      </c>
    </row>
    <row r="21" spans="1:3" s="5" customFormat="1" x14ac:dyDescent="0.25">
      <c r="A21" s="6" t="s">
        <v>454</v>
      </c>
      <c r="B21" s="6" t="s">
        <v>455</v>
      </c>
      <c r="C21" s="6">
        <v>72</v>
      </c>
    </row>
    <row r="22" spans="1:3" s="5" customFormat="1" x14ac:dyDescent="0.25">
      <c r="A22" s="6" t="s">
        <v>456</v>
      </c>
      <c r="B22" s="6" t="s">
        <v>457</v>
      </c>
      <c r="C22" s="6">
        <v>73</v>
      </c>
    </row>
    <row r="27" spans="1:1" s="1" customFormat="1" x14ac:dyDescent="0.25">
      <c r="A27" s="2" t="s">
        <v>458</v>
      </c>
    </row>
    <row r="28" spans="1:1" s="3" customFormat="1" x14ac:dyDescent="0.25">
      <c r="A28" s="4" t="s">
        <v>429</v>
      </c>
    </row>
    <row r="29" spans="1:1" s="5" customFormat="1" x14ac:dyDescent="0.25">
      <c r="A29" s="6" t="s">
        <v>84</v>
      </c>
    </row>
    <row r="30" spans="1:1" s="5" customFormat="1" x14ac:dyDescent="0.25">
      <c r="A30" s="6" t="s">
        <v>413</v>
      </c>
    </row>
    <row r="31" spans="1:1" s="5" customFormat="1" x14ac:dyDescent="0.25">
      <c r="A31" s="6" t="s">
        <v>412</v>
      </c>
    </row>
    <row r="32" spans="1:1" s="5" customFormat="1" x14ac:dyDescent="0.25">
      <c r="A32" s="6" t="s">
        <v>414</v>
      </c>
    </row>
  </sheetData>
  <mergeCells count="2"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Mobile App - Dev</vt:lpstr>
      <vt:lpstr>Admin - Dev</vt:lpstr>
      <vt:lpstr>Mobile App - Summary</vt:lpstr>
      <vt:lpstr>Admin - Summary</vt:lpstr>
      <vt:lpstr>Points-Table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2026-02-26T18:41:06Z</dcterms:created>
  <dcterms:modified xsi:type="dcterms:W3CDTF">2026-02-26T18:41:06Z</dcterms:modified>
</cp:coreProperties>
</file>