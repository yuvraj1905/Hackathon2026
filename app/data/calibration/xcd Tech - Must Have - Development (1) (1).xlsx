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App - Dev" sheetId="1" r:id="rId4"/>
    <sheet state="visible" name="Admin Panel - Dev" sheetId="2" r:id="rId5"/>
    <sheet state="visible" name="Points-Table" sheetId="3" r:id="rId6"/>
  </sheets>
  <definedNames/>
  <calcPr/>
  <extLst>
    <ext uri="GoogleSheetsCustomDataVersion2">
      <go:sheetsCustomData xmlns:go="http://customooxmlschemas.google.com/" r:id="rId7" roundtripDataChecksum="hs8tZg7oyCP1DnDon6U6O8+y2tCNs6vIXsDmRghXQiI="/>
    </ext>
  </extLst>
</workbook>
</file>

<file path=xl/sharedStrings.xml><?xml version="1.0" encoding="utf-8"?>
<sst xmlns="http://schemas.openxmlformats.org/spreadsheetml/2006/main" count="2317" uniqueCount="465">
  <si>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</si>
  <si>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</si>
  <si>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</si>
  <si>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</si>
  <si>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</si>
  <si>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</si>
  <si>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</si>
  <si>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</si>
  <si>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</si>
  <si>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</si>
  <si>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</si>
  <si>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</si>
  <si>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</si>
  <si>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</si>
  <si>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</si>
  <si>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</si>
  <si>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</si>
  <si>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</si>
  <si>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</si>
  <si>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</si>
  <si>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</si>
  <si>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</si>
  <si>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</si>
  <si>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</si>
  <si>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</si>
  <si>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Non Functional</t>
  </si>
  <si>
    <t>Boilerplate</t>
  </si>
  <si>
    <t>Simple</t>
  </si>
  <si>
    <t>Must Have</t>
  </si>
  <si>
    <t/>
  </si>
  <si>
    <t>ERD</t>
  </si>
  <si>
    <t>db planning, relation mapping &amp; verification with client</t>
  </si>
  <si>
    <t>Login</t>
  </si>
  <si>
    <t>Email ID</t>
  </si>
  <si>
    <t>OTP</t>
  </si>
  <si>
    <t>Login with SSO</t>
  </si>
  <si>
    <t>will try to reutilize the sso flow of admin end as base layer</t>
  </si>
  <si>
    <t>Policies rule Validation checks engine</t>
  </si>
  <si>
    <t>payment policy rule</t>
  </si>
  <si>
    <t xml:space="preserve">pre-pay checks &amp; post pay autocharge user for remaining balance cron setup </t>
  </si>
  <si>
    <t>this will include pre payment rule check, post autocharge with specified date, specified amount if selected,  autopay attempts fails then admin will sort this out on ground</t>
  </si>
  <si>
    <t xml:space="preserve">cancellation policy rule check + charge the penalty amount as per rule </t>
  </si>
  <si>
    <t>check cancellation restrictions,  post cancellation charge penalty % amount as per rule</t>
  </si>
  <si>
    <t>minimum room night &amp; multiple room booking rule</t>
  </si>
  <si>
    <t>hotel operational &amp; custom text policy rulle</t>
  </si>
  <si>
    <t>these are only be shown as preview text during booking journey  no system rule checks needed</t>
  </si>
  <si>
    <t>Lock &amp; release inventory mechanism during cart creation</t>
  </si>
  <si>
    <t>Hotels List &amp; Booking Flow</t>
  </si>
  <si>
    <t>Check in and check out date</t>
  </si>
  <si>
    <t>Search | Sort | Filter (Based on Events)</t>
  </si>
  <si>
    <t>View Hotels List</t>
  </si>
  <si>
    <t>List View</t>
  </si>
  <si>
    <t>Map View</t>
  </si>
  <si>
    <t>Grid view</t>
  </si>
  <si>
    <t>View Hotel details</t>
  </si>
  <si>
    <t>Explore Rooms view, about hotel</t>
  </si>
  <si>
    <t>Amenities</t>
  </si>
  <si>
    <t>Distance to venue, Room types, Nightly rates</t>
  </si>
  <si>
    <t>Hotel Policies</t>
  </si>
  <si>
    <t>Booking and refund policies</t>
  </si>
  <si>
    <t>Booking Flow</t>
  </si>
  <si>
    <t>Select the room type + Checkin/checkout dates + count of rooms</t>
  </si>
  <si>
    <t>Preview Summary View</t>
  </si>
  <si>
    <t>Summary Page &amp; modify the current booking state</t>
  </si>
  <si>
    <t>frontend state management will be done here</t>
  </si>
  <si>
    <t>Add Guest</t>
  </si>
  <si>
    <t>Review Policies</t>
  </si>
  <si>
    <t>Payment View - Bills and taxes(add to cart type)</t>
  </si>
  <si>
    <t>add to cart api, inventory lock/release mechanism api to use here</t>
  </si>
  <si>
    <t>More details (Description)</t>
  </si>
  <si>
    <t xml:space="preserve">Collect necessary information about the guest (and any additional guests sharing the room). This includes name, contact information (phone, email), and possibly special requests (like dietary needs for breakfast or accessibility requests). User is logged in as an attendee, some details can be pre-filled from their profile to streamline the process.
</t>
  </si>
  <si>
    <t>?</t>
  </si>
  <si>
    <t>Select the Check-in and Check out dates</t>
  </si>
  <si>
    <t>Bulk Booking</t>
  </si>
  <si>
    <t>Select room type</t>
  </si>
  <si>
    <t>Reservation view</t>
  </si>
  <si>
    <t>Booking Summary Page(add to cart type)</t>
  </si>
  <si>
    <t>1. add to cart api
2. inventory lock/release mechanism api to use</t>
  </si>
  <si>
    <t>Modify Current Booking State</t>
  </si>
  <si>
    <t>Add guest details</t>
  </si>
  <si>
    <t>Add/Edit number of rooms per day</t>
  </si>
  <si>
    <t>Make a Payment (Stripe)</t>
  </si>
  <si>
    <t>Booking confirmation</t>
  </si>
  <si>
    <t>save booking with all transactional details</t>
  </si>
  <si>
    <t>Trigger Booking Email confirmation</t>
  </si>
  <si>
    <t>also setup other system booking emails</t>
  </si>
  <si>
    <t>My Bookings</t>
  </si>
  <si>
    <t>Bookings List ( Present Bookings / Past Bookings / Cancelled)</t>
  </si>
  <si>
    <t>Tab is not needed as per the design.</t>
  </si>
  <si>
    <t>View Booking details</t>
  </si>
  <si>
    <t>Modify Booking</t>
  </si>
  <si>
    <t>*</t>
  </si>
  <si>
    <t>Confirmation screen on Modification / Cancellation</t>
  </si>
  <si>
    <t>Cancel Booking + Additional Remarks</t>
  </si>
  <si>
    <t>Show cancellation / modification charges</t>
  </si>
  <si>
    <t>Make a payment (For modification) + Booking confirmation</t>
  </si>
  <si>
    <t>Trigger email to Event Admin incase of cancellation</t>
  </si>
  <si>
    <t>Download Invoice</t>
  </si>
  <si>
    <t>iInclude invoice setup with branding also here</t>
  </si>
  <si>
    <t>all booking transactional  invoices considering here, invoice capture from stripe</t>
  </si>
  <si>
    <t>Search | Sort | Filter</t>
  </si>
  <si>
    <t>Notifications</t>
  </si>
  <si>
    <t xml:space="preserve">Booking confirmation Email </t>
  </si>
  <si>
    <t xml:space="preserve">Email  to the user immediately after booking with all details. Optionally, send a summary to relevant admins or hotel contacts if needed (for example, the hotel could get a daily report of new reservations).
</t>
  </si>
  <si>
    <t>Post-Modification Notices:</t>
  </si>
  <si>
    <t xml:space="preserve">If a booking is changed or canceled, send an updated confirmation or a cancellation notice to the user. If admin approval was needed for a change, notify the user that their request has been processed or require further action.
</t>
  </si>
  <si>
    <t>Contact Support (Contact info)</t>
  </si>
  <si>
    <t>Contact mail id is mentioned</t>
  </si>
  <si>
    <t>Profile</t>
  </si>
  <si>
    <t>We just have logout under Profile</t>
  </si>
  <si>
    <t>view and edit is considered</t>
  </si>
  <si>
    <t>Logout</t>
  </si>
  <si>
    <t>User journey Analytics Integration(Optional)</t>
  </si>
  <si>
    <t>basic Firebase  basic event based analytics</t>
  </si>
  <si>
    <t>Tab Responsive</t>
  </si>
  <si>
    <t>Mobile Responsive</t>
  </si>
  <si>
    <t>Join Waitlist for Sold-out rooms</t>
  </si>
  <si>
    <t>UX Process</t>
  </si>
  <si>
    <t>Competitive Analysis</t>
  </si>
  <si>
    <t>User Flow</t>
  </si>
  <si>
    <t>Brainstorming &amp; Research</t>
  </si>
  <si>
    <t>Requirement Gathering</t>
  </si>
  <si>
    <t>Style Guide</t>
  </si>
  <si>
    <t>Prototype</t>
  </si>
  <si>
    <t>Via Email and Password</t>
  </si>
  <si>
    <t>Forgot Password</t>
  </si>
  <si>
    <t>Send verification email</t>
  </si>
  <si>
    <t>Reset Password</t>
  </si>
  <si>
    <t>Via Email + OTP</t>
  </si>
  <si>
    <t>assuming system based otp generation here with sending out emais</t>
  </si>
  <si>
    <t>Resend OTP</t>
  </si>
  <si>
    <t>Via SSO</t>
  </si>
  <si>
    <t>User clicks "SSO Login" on Next.js app
Next.js redirects user to existing system's SSO endpoint
User authenticates on existing system (or already logged in)
Existing system generates signed token
Existing system redirects user back to Next.js with token
Next.js sends token to Nest.js API for validation
Nest.js validates token signature and extracts user info &amp; shadow user to db if it's a new user, Nest.js creates local session and returns session token
Next.js stores session token and grants user access
User is now logged into new system with SSO session
Summary: User → Next.js → Existing System → Authentication → Token → Next.js → Nest.js → Validation → Session → Access Granted, for now basic sso flow assumed here as above defined, efforts will be adjusted post flow confirmation</t>
  </si>
  <si>
    <t>Event Management</t>
  </si>
  <si>
    <t>Add New Event</t>
  </si>
  <si>
    <t>Add New Event CTA Screen</t>
  </si>
  <si>
    <t>Search Event</t>
  </si>
  <si>
    <t>Fetch events list already present in the XCD system</t>
  </si>
  <si>
    <t>assuming we will be calling xcd api for searching &amp; fetching event details form our BE with xcd valid usr token as needed</t>
  </si>
  <si>
    <t>Select Event, showing popups</t>
  </si>
  <si>
    <t>Fetch specific event details from XCD</t>
  </si>
  <si>
    <t>assuming we will be calling fetch events details from xcd using user xcd token as per need in our BE</t>
  </si>
  <si>
    <t>Add Event Details</t>
  </si>
  <si>
    <t>storing events details in our db side with event logo on s3 with additional details(S3 provider setup efforts considered here), google maps integration (search api, coordinates to location map)</t>
  </si>
  <si>
    <t>Add primary support contact &amp; Finish Event Setup</t>
  </si>
  <si>
    <t>store events details in BE With all information</t>
  </si>
  <si>
    <t>My Events View Page</t>
  </si>
  <si>
    <t>fetch events list created in our BE with search &amp; sort capability option</t>
  </si>
  <si>
    <t>View Event overview</t>
  </si>
  <si>
    <t>Total revenue</t>
  </si>
  <si>
    <t>Revenue this month</t>
  </si>
  <si>
    <t>Hotels added</t>
  </si>
  <si>
    <t>Bookings done</t>
  </si>
  <si>
    <t>show basic events details</t>
  </si>
  <si>
    <t>fetch particular event detail from an api which is saved in our db side</t>
  </si>
  <si>
    <t>Support Contact</t>
  </si>
  <si>
    <t>Is this a static data or pulled dynamically from db as per event wise ?</t>
  </si>
  <si>
    <t>Add category</t>
  </si>
  <si>
    <t>Add general/ multiple category</t>
  </si>
  <si>
    <t>Categorise by Group/Registration</t>
  </si>
  <si>
    <t>fetch categories by group &amp; registration api from xcd user token will call from our BE, add categories add api for adding category in our Backend</t>
  </si>
  <si>
    <t>View &amp; Manage Category</t>
  </si>
  <si>
    <t xml:space="preserve">view &amp; update category api will use here </t>
  </si>
  <si>
    <t>Delete Category</t>
  </si>
  <si>
    <t>View, adjust, preview Category policy</t>
  </si>
  <si>
    <t xml:space="preserve">Inherited from event policy, also here only we are creating policy crud for category, event, hotel, room, sub-block as base setup, will re-utilize at other places </t>
  </si>
  <si>
    <t>inherit policy from event as api call and then adjust category policy as override api, category policy crud will use thru out for other as per need for hotel, room, sub-block policy, back reflections won't work here suppose if someone change event policy then it won't change policy for its associated hotels, only first time inherit will work untill not setup</t>
  </si>
  <si>
    <t>Edit Event</t>
  </si>
  <si>
    <t>Set up Event Policy</t>
  </si>
  <si>
    <t>Add policy</t>
  </si>
  <si>
    <t>takes us to policy module</t>
  </si>
  <si>
    <t xml:space="preserve">inherit from policy management api </t>
  </si>
  <si>
    <t>Edit Policy</t>
  </si>
  <si>
    <t>add event policy api with inherited value or override value</t>
  </si>
  <si>
    <t>Preview Policy</t>
  </si>
  <si>
    <t>Audit logs</t>
  </si>
  <si>
    <t>considering paginated tabular list view with search filter option, drop down api needed also for team member search list</t>
  </si>
  <si>
    <t>Active/Inactive Event</t>
  </si>
  <si>
    <t>Delete Event</t>
  </si>
  <si>
    <t>Enable/Disable status digest</t>
  </si>
  <si>
    <t>Add/edit/delete recipients</t>
  </si>
  <si>
    <t>In BE we have to save the recipients and enable/disable the schedule as per toggle so 2 api's needed</t>
  </si>
  <si>
    <t>Set frequency + Send Digest Summary Email</t>
  </si>
  <si>
    <t>frequency set api needed</t>
  </si>
  <si>
    <t>Policy Management</t>
  </si>
  <si>
    <t>Block Level Policies (Add and Modify)</t>
  </si>
  <si>
    <t xml:space="preserve">When editing, the admin is presented with appropriate input fields (e.g., date pickers for cancellation deadlines, numeric fields for deposit amounts, toggles for dynamic pricing options).
Upon saving, the system validates the inputs (ensuring logical deadlines and amounts) and immediately updates the active policy.
A “Reset to Default” option is available to revert any overridden policy back to its inherited value.
</t>
  </si>
  <si>
    <t>Hotel Level Policies (Add and Modify)</t>
  </si>
  <si>
    <t>Room level policies (Add and Modify)</t>
  </si>
  <si>
    <t>Cancellation Policy (Add/Modify)</t>
  </si>
  <si>
    <t>Payment Policy (Add/Modify)</t>
  </si>
  <si>
    <t>minimum room night Policy (Add/Modify)</t>
  </si>
  <si>
    <t>multi-room booking limit policy Policy (Add/Modify)</t>
  </si>
  <si>
    <t>hotel operational payment  Policy (Add/Modify)</t>
  </si>
  <si>
    <t>Custom Text Policy(Add/modify)</t>
  </si>
  <si>
    <t>Hotel Management</t>
  </si>
  <si>
    <t>Add Hotel</t>
  </si>
  <si>
    <t>Search</t>
  </si>
  <si>
    <t>have to check for public api resources which can be fit in here</t>
  </si>
  <si>
    <t>Create hotel manually</t>
  </si>
  <si>
    <t>save hotel in our db either from global api details or manual entry</t>
  </si>
  <si>
    <t>Hotel Details</t>
  </si>
  <si>
    <t>Hotel address, location on map, hotel description, hotel rating</t>
  </si>
  <si>
    <t>fetch from global hotel api or add manually and save those details in db</t>
  </si>
  <si>
    <t>Hotel Address</t>
  </si>
  <si>
    <t>upload images (media)</t>
  </si>
  <si>
    <t>s3 upload and store url db end</t>
  </si>
  <si>
    <t>Amenities(Search,select,add custom)</t>
  </si>
  <si>
    <t>Add custom amenity CTA is present in designs</t>
  </si>
  <si>
    <t>get amenity list, search, add &amp; store new custom amenities.By default from db dataset will be showing set of amenities, select amenities from available list, Sp prepare amenities dataset</t>
  </si>
  <si>
    <t>Add Tag</t>
  </si>
  <si>
    <t>Preview hotel</t>
  </si>
  <si>
    <t>save hotel</t>
  </si>
  <si>
    <t>moved hotel from draft to active state</t>
  </si>
  <si>
    <t>Active/inactive hotel</t>
  </si>
  <si>
    <t>Hotel List</t>
  </si>
  <si>
    <t>Should Have</t>
  </si>
  <si>
    <t>Sort</t>
  </si>
  <si>
    <t>Filter</t>
  </si>
  <si>
    <t>List</t>
  </si>
  <si>
    <t xml:space="preserve">View Hotel Details </t>
  </si>
  <si>
    <t>(Overview) tab</t>
  </si>
  <si>
    <t>Overview, sub-block, rooms, inventory and pricing, hotel policies</t>
  </si>
  <si>
    <t>api for total revenue, revenue by month, booking done count, rooms available, inventory status, Single api for all above data fetch</t>
  </si>
  <si>
    <t>Sub-block tab view</t>
  </si>
  <si>
    <t>check Sub block List for efforts</t>
  </si>
  <si>
    <t>room type tab view</t>
  </si>
  <si>
    <t>Inventory &amp; Pricing Tab</t>
  </si>
  <si>
    <t xml:space="preserve">no exact defined room type soo generic room type inventory considering here </t>
  </si>
  <si>
    <t>hotel policies tab view</t>
  </si>
  <si>
    <t>inherit from event and update as per need so 2 api's</t>
  </si>
  <si>
    <t>Hotel policy Audit logs</t>
  </si>
  <si>
    <t>View Hotel Rooms List</t>
  </si>
  <si>
    <t>View Room details</t>
  </si>
  <si>
    <t>Edit Room details</t>
  </si>
  <si>
    <t>Delete room</t>
  </si>
  <si>
    <t>Allow bulk updates of rooms</t>
  </si>
  <si>
    <t xml:space="preserve">If room rates or attributes need to change for many rooms, the system will allow batch editing. For instance, an admin could select all “Standard Queen” room types and update the price or amenity in one action.
</t>
  </si>
  <si>
    <t>Edit Hotel Details</t>
  </si>
  <si>
    <t>Add room type</t>
  </si>
  <si>
    <t>Search room type</t>
  </si>
  <si>
    <t>seeder room type list fetch</t>
  </si>
  <si>
    <t>Create manually</t>
  </si>
  <si>
    <t>Fill details</t>
  </si>
  <si>
    <t>Upload images</t>
  </si>
  <si>
    <t>Add amenities</t>
  </si>
  <si>
    <t>Set room inventory and pricing</t>
  </si>
  <si>
    <t>will extend base room inventory ui &amp; BE for room type also</t>
  </si>
  <si>
    <t>Set room policies</t>
  </si>
  <si>
    <t>inherit hotel policy and override as per need</t>
  </si>
  <si>
    <t>Edit room type</t>
  </si>
  <si>
    <t>edit room details</t>
  </si>
  <si>
    <t>Review Policy</t>
  </si>
  <si>
    <t>where in wireframe ?</t>
  </si>
  <si>
    <t>Delete room type</t>
  </si>
  <si>
    <t>Enable / Disable Hotel</t>
  </si>
  <si>
    <t>Active/Inactive Hotel</t>
  </si>
  <si>
    <t>Delete Hotel</t>
  </si>
  <si>
    <t>Add Room</t>
  </si>
  <si>
    <t>Set Occupancy Limits</t>
  </si>
  <si>
    <t xml:space="preserve">Define the maximum number of guests per room (e.g., 2 adults, or 2 adults + 2 children). This will be used to control bookings (the system won’t allow more guests than the limit).
</t>
  </si>
  <si>
    <t>Set Bed type</t>
  </si>
  <si>
    <t xml:space="preserve">Options like King, Queen, Double Twin, etc., selectable per room type. If a room type offers multiple configurations (e.g., “Two Queens or One King”), the system can list variants or note it in the description.
</t>
  </si>
  <si>
    <t>Set Smoking Preference</t>
  </si>
  <si>
    <t xml:space="preserve">Mark rooms or room types as Non-smoking or Smoking allowed. Many modern hotels are entirely non-smoking, but the setting is tracked especially if some rooms in the block permit smoking.
</t>
  </si>
  <si>
    <t>Accessibility Features : Mark which is applicable</t>
  </si>
  <si>
    <t xml:space="preserve">Flags for ADA/accessibility features, such as wheelchair-accessible rooms, roll-in showers, or grab bars. Users with needs can filter or request these, and admins can ensure a certain inventory of accessible rooms is set aside.
</t>
  </si>
  <si>
    <t>Set if its available for all / VIP customers [Sub-blocks]</t>
  </si>
  <si>
    <t>Set discounts</t>
  </si>
  <si>
    <t>Pricing per Night :: Static (Dynamic Price)</t>
  </si>
  <si>
    <t xml:space="preserve">If enabled, the price might be modified by the dynamic rules (from Policy Management). The room config can include a toggle “Allow dynamic pricing adjustments” so that the pricing engine knows which rooms to adjust.
</t>
  </si>
  <si>
    <t>Pricing per Night :: Static (Fixed Price)</t>
  </si>
  <si>
    <t xml:space="preserve">A fixed rate (possibly different for weekdays vs weekends, or pre-defined seasonal rates).
</t>
  </si>
  <si>
    <t>Amenities : Display the list and mark applicable</t>
  </si>
  <si>
    <t xml:space="preserve">List standard amenities (Wi-Fi, breakfast included, parking, minibar, etc.). These can be predefined tags or free-text notes. Amenities will appear in the user booking interface as icons or a list, and can be used as filters (e.g., “show only rooms with free breakfast”).
</t>
  </si>
  <si>
    <t>Special conditions :: Set discounts for VIP customers only</t>
  </si>
  <si>
    <t>Add Cancellation policies</t>
  </si>
  <si>
    <t>Set the slabs for cancellation (Eg : Within 7 days - 100% refund, Within 3 days - 40% refund, etc)</t>
  </si>
  <si>
    <t>Set limit - 1 room per user or add manually the count</t>
  </si>
  <si>
    <t>Additional Details (View Description)</t>
  </si>
  <si>
    <t xml:space="preserve">Optionally include room size (sq. ft.), floor level, or photos and descriptions to help users understand what they are booking. (While not explicitly requested, including images and detailed descriptions can enhance user choice.)
</t>
  </si>
  <si>
    <t>Specify the number of rooms (Bulk creation)</t>
  </si>
  <si>
    <t xml:space="preserve">The admin module will support bulk creation of room inventory. For example, after defining a room type (e.g., “Deluxe King Room”), an admin can specify the number of such rooms allocated to the event block (e.g., 50 rooms) and the system will create an inventory count of 50 available rooms of that type.
</t>
  </si>
  <si>
    <t>Sub block management</t>
  </si>
  <si>
    <t>Add Sub block</t>
  </si>
  <si>
    <t>Enter name</t>
  </si>
  <si>
    <t>Select category sub block is applicable to</t>
  </si>
  <si>
    <t>Create sub block</t>
  </si>
  <si>
    <t>Assign rooms</t>
  </si>
  <si>
    <t>Set pricing and inventory</t>
  </si>
  <si>
    <t>sub-block vs main-block difference ?</t>
  </si>
  <si>
    <t>Sub block policies</t>
  </si>
  <si>
    <t>Basic Form</t>
  </si>
  <si>
    <t>Sub block List</t>
  </si>
  <si>
    <t>View Sub bock</t>
  </si>
  <si>
    <t>Sub-block overview</t>
  </si>
  <si>
    <t>View pricing and inventory</t>
  </si>
  <si>
    <t>View Sub block policies</t>
  </si>
  <si>
    <t>inherit and override api</t>
  </si>
  <si>
    <t>View the rooms list within sub blocks</t>
  </si>
  <si>
    <t>Unassign or Reassign room to another sub block</t>
  </si>
  <si>
    <t>Edit Sub block</t>
  </si>
  <si>
    <t>Delete Sub block</t>
  </si>
  <si>
    <t>Enable / Disable Sub block</t>
  </si>
  <si>
    <t>Customer Management</t>
  </si>
  <si>
    <t>XCD Admin Login to  xcd customer portal with sso/email link</t>
  </si>
  <si>
    <t>Add customer</t>
  </si>
  <si>
    <t>Select customer</t>
  </si>
  <si>
    <t>from where we will fetch the customers ?, Is they are event organisers ?</t>
  </si>
  <si>
    <t>Send Invite</t>
  </si>
  <si>
    <t>BE not clear how invite will work</t>
  </si>
  <si>
    <t>Save Customer</t>
  </si>
  <si>
    <t>we will be saving customer in our db right ?</t>
  </si>
  <si>
    <t>Customer List</t>
  </si>
  <si>
    <t>KPIs</t>
  </si>
  <si>
    <t>All customers, Events, Active customers, Inactive customer</t>
  </si>
  <si>
    <t xml:space="preserve">View Customer Details </t>
  </si>
  <si>
    <t>Customer Details</t>
  </si>
  <si>
    <t>View Customer Bookings List</t>
  </si>
  <si>
    <t xml:space="preserve">View Booking Details </t>
  </si>
  <si>
    <t>Download invoice</t>
  </si>
  <si>
    <t>Download Customer Bookings List</t>
  </si>
  <si>
    <t>Edit Customer Details (Contact Information)</t>
  </si>
  <si>
    <t>All details like name, email address, phone no</t>
  </si>
  <si>
    <t>Enable/Disable Customer</t>
  </si>
  <si>
    <t>Delete Customer</t>
  </si>
  <si>
    <t>Manage Customer</t>
  </si>
  <si>
    <t>Switches the role from XCD admin to XCD customer</t>
  </si>
  <si>
    <t>admin will be logged in into event portal with internal verification</t>
  </si>
  <si>
    <t>Download Customer List (Single or Multiple)</t>
  </si>
  <si>
    <t>Considered as a PDF in tabular format</t>
  </si>
  <si>
    <t>Dashboard</t>
  </si>
  <si>
    <t>Total room nights reserved</t>
  </si>
  <si>
    <t>Overall pickup rate</t>
  </si>
  <si>
    <t>% of attendees made reservation</t>
  </si>
  <si>
    <t>Event coverage</t>
  </si>
  <si>
    <t>Total committed revenue</t>
  </si>
  <si>
    <t>Average room nights/reservation</t>
  </si>
  <si>
    <t>Total cancellations</t>
  </si>
  <si>
    <t>Hotel comparison</t>
  </si>
  <si>
    <t>Individual hotel metrics</t>
  </si>
  <si>
    <t>see hotel regency design page</t>
  </si>
  <si>
    <t>All Hotel comparison List View</t>
  </si>
  <si>
    <t>Widget for hotel performance</t>
  </si>
  <si>
    <t>Booking pace</t>
  </si>
  <si>
    <t>Booking velocity</t>
  </si>
  <si>
    <t>Daily pickup rate</t>
  </si>
  <si>
    <t>Performance analytics</t>
  </si>
  <si>
    <t>Sort and filter for hotel performance</t>
  </si>
  <si>
    <t>hotel list api as dropdown for filter and one api for providing filtered based set of results for Hotel comparison view</t>
  </si>
  <si>
    <t>Alerts</t>
  </si>
  <si>
    <t>Alerts to capturing in BE System</t>
  </si>
  <si>
    <t>what sort of alerts to capture to show later on as alert list ?</t>
  </si>
  <si>
    <t>Read/unread indicator</t>
  </si>
  <si>
    <t>Mark all as read</t>
  </si>
  <si>
    <t>alert list</t>
  </si>
  <si>
    <t>KPIS (Statistics)</t>
  </si>
  <si>
    <t>Total bookings made and total cancellations (perhaps with a ratio or trend indicator).</t>
  </si>
  <si>
    <t>Current pick-up/occupancy rate per hotel or overall (e.g., “120 of 200 rooms booked, 60% occupancy”).</t>
  </si>
  <si>
    <t>Revenue collected to date and any outstanding payments (for deposits or balances not yet charged).</t>
  </si>
  <si>
    <t>Upcoming important dates and tasks (e.g., “Cancellation deadline in 5 days for Event X” or “Room release for Hotel Y tomorrow”).</t>
  </si>
  <si>
    <t>Visulaizations</t>
  </si>
  <si>
    <t>A line or bar chart of bookings over time (booking pace) leading up to the event.</t>
  </si>
  <si>
    <t>A pie chart or bar breakdown of room types booked (to see which room types are most popular).</t>
  </si>
  <si>
    <t>Progress bars for each hotel’s block showing percentage booked vs remaining, and another for minimum pickup vs achieved.</t>
  </si>
  <si>
    <t>Interactive Dashboard</t>
  </si>
  <si>
    <t>Clicking on a metric or chart segment can drill down to more details. For example, clicking on “Cancellations: 25” could open a list of those canceled reservations and their details.</t>
  </si>
  <si>
    <t>Analytics</t>
  </si>
  <si>
    <t>Cancellation Rate</t>
  </si>
  <si>
    <t xml:space="preserve">Calculate the percentage of bookings that were canceled and when they occurred. For instance, if many cancellations occur right before the penalty kicks in, that indicates users are very aware of the policy timing.
</t>
  </si>
  <si>
    <t>Refund vs. Retained Revenue</t>
  </si>
  <si>
    <t xml:space="preserve"> Measure how much money was refunded due to cancellations vs. retained. A high refund amount might indicate a too-lenient policy (or external factors causing cancellations), whereas a low cancellation/refund rate might mean policies are strict but effective.
</t>
  </si>
  <si>
    <t>Early-Bird vs. Regular Bookings</t>
  </si>
  <si>
    <t xml:space="preserve">If dynamic pricing/discounts were used, analyze how many bookings happened during the discounted period versus afterward. This shows if the early-bird incentive successfully drove early reservations.
</t>
  </si>
  <si>
    <t>Override Frequency</t>
  </si>
  <si>
    <t xml:space="preserve">Track how often admins had to override or adjust policies (e.g., manual fee waivers). Frequent overrides might highlight that a policy is too strict or causing user dissatisfaction, which is valuable feedback.
</t>
  </si>
  <si>
    <t xml:space="preserve">Additional </t>
  </si>
  <si>
    <t>Filters</t>
  </si>
  <si>
    <t>Specific Event</t>
  </si>
  <si>
    <t>Notifications Template Management/ Email templates</t>
  </si>
  <si>
    <t>Notification Templates List</t>
  </si>
  <si>
    <t>Manage template elements</t>
  </si>
  <si>
    <t>View Template</t>
  </si>
  <si>
    <t>open in preview &amp; edit mode</t>
  </si>
  <si>
    <t>Reset to default</t>
  </si>
  <si>
    <t>send test email</t>
  </si>
  <si>
    <t>Save template</t>
  </si>
  <si>
    <t>only edit exisitng template, not adding new template</t>
  </si>
  <si>
    <t>Delete</t>
  </si>
  <si>
    <t>Create New Notification</t>
  </si>
  <si>
    <t>Add Notification Details + Image (Optional)</t>
  </si>
  <si>
    <t>Rich text Editor</t>
  </si>
  <si>
    <t>Edit Template</t>
  </si>
  <si>
    <t>Enable / Disable</t>
  </si>
  <si>
    <t>View Profile</t>
  </si>
  <si>
    <t>Edit Profile</t>
  </si>
  <si>
    <t>Bookings Management</t>
  </si>
  <si>
    <t>Bookings List (All including the payment failures as well)</t>
  </si>
  <si>
    <t>Filter (By event, by hotel, by status,room,category)</t>
  </si>
  <si>
    <t>List - view reservation, groups, cancellations</t>
  </si>
  <si>
    <t>3 tabs data fetch as api with types</t>
  </si>
  <si>
    <t>Allow to do a Booking Reservation</t>
  </si>
  <si>
    <t>Same workflow as user</t>
  </si>
  <si>
    <t>View Booking Details</t>
  </si>
  <si>
    <t>View details - booking, cancellation</t>
  </si>
  <si>
    <t>Modify single  booking resevation</t>
  </si>
  <si>
    <t>BE api for refund/paid/due type handling</t>
  </si>
  <si>
    <t>Modify group  booking reservation</t>
  </si>
  <si>
    <t>Ability to cancel a booking (based on customer request)</t>
  </si>
  <si>
    <t>View modification charges</t>
  </si>
  <si>
    <t>Payment gateway</t>
  </si>
  <si>
    <t>charging  payment from invoice links to users and tracking those on db level from webhook</t>
  </si>
  <si>
    <t>Could Have</t>
  </si>
  <si>
    <t>Audit Logs</t>
  </si>
  <si>
    <t>List of modifications with Admin name, date and timestamp</t>
  </si>
  <si>
    <t>Send Email confirmation</t>
  </si>
  <si>
    <t>Add mail id</t>
  </si>
  <si>
    <t>Send</t>
  </si>
  <si>
    <t xml:space="preserve">Multi-select bookings </t>
  </si>
  <si>
    <t>Allow to Download CSV report</t>
  </si>
  <si>
    <t>Allow Cancellations</t>
  </si>
  <si>
    <t>Allow Policy Updates</t>
  </si>
  <si>
    <t>Allow to undo actions</t>
  </si>
  <si>
    <t>Dynamic Pricing Adjustments</t>
  </si>
  <si>
    <t>Notifications (Email Templates)</t>
  </si>
  <si>
    <t>Notify admin when all the rooms are almost booked in hotel</t>
  </si>
  <si>
    <t xml:space="preserve"> For events like nearing cancellation deadlines or failed payment charges, send alerts to administrators. For instance, if an automatic charge for a balance payment fails, flag that reservation and notify admins to follow up with the guest.
</t>
  </si>
  <si>
    <t>Booking Cancellation</t>
  </si>
  <si>
    <t>Internal Alerts for Admins</t>
  </si>
  <si>
    <t>Schedule Email Alerts</t>
  </si>
  <si>
    <t>Select Hotel</t>
  </si>
  <si>
    <t>Select Frequency</t>
  </si>
  <si>
    <t>Select Start and End date</t>
  </si>
  <si>
    <t>Daily rooming list update</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</si>
  <si>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</si>
  <si>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</si>
  <si>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</si>
  <si>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</si>
  <si>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</si>
  <si>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</si>
  <si>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</si>
  <si>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</si>
  <si>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</si>
  <si>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</si>
  <si>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</si>
  <si>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</si>
  <si>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</si>
  <si>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</si>
  <si>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</si>
  <si>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</si>
  <si>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</si>
  <si>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</si>
  <si>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</si>
  <si>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</si>
  <si>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</si>
  <si>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</si>
  <si>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</si>
  <si>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</si>
  <si>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</si>
  <si>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</si>
  <si>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</si>
  <si>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</si>
  <si>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</si>
  <si>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</si>
  <si>
    <t>Will not Have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</si>
</sst>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6">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
      <patternFill patternType="solid">
        <fgColor rgb="FFF3CCCB"/>
        <bgColor rgb="FFF3CCCB"/>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90.5</v>
      </c>
      <c r="S1" s="1" t="s">
        <v>17</v>
      </c>
      <c r="T1" s="2">
        <f>SUM(T2:T1006)</f>
        <v>123.5</v>
      </c>
      <c r="U1" s="1" t="s">
        <v>18</v>
      </c>
      <c r="V1" s="2">
        <f>SUM(V2:V1006)</f>
        <v>213</v>
      </c>
      <c r="W1" s="1" t="s">
        <v>19</v>
      </c>
      <c r="X1" s="2">
        <f>SUM(X2:X1006)</f>
        <v>108.5</v>
      </c>
      <c r="Y1" s="1" t="s">
        <v>20</v>
      </c>
      <c r="Z1" s="2">
        <f t="shared" ref="Z1:AA1" si="1">SUM(Z2:Z1006)</f>
        <v>281</v>
      </c>
      <c r="AA1" s="2">
        <f t="shared" si="1"/>
        <v>602.5</v>
      </c>
      <c r="AB1" s="1" t="s">
        <v>21</v>
      </c>
      <c r="AC1" s="1" t="s">
        <v>22</v>
      </c>
      <c r="AD1" s="1" t="s">
        <v>23</v>
      </c>
      <c r="AE1" s="1" t="s">
        <v>24</v>
      </c>
    </row>
    <row r="2" ht="24.75" customHeight="1">
      <c r="A2" s="3" t="s">
        <v>25</v>
      </c>
      <c r="B2" s="3" t="s">
        <v>26</v>
      </c>
      <c r="C2" s="3"/>
      <c r="D2" s="3"/>
      <c r="E2" s="3"/>
      <c r="F2" s="3"/>
      <c r="G2" s="3"/>
      <c r="H2" s="3"/>
      <c r="I2" s="3"/>
      <c r="J2" s="3"/>
      <c r="K2" s="3" t="s">
        <v>27</v>
      </c>
      <c r="L2" s="3" t="s">
        <v>28</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21.0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16</v>
      </c>
      <c r="W2" s="4">
        <v>5.0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4</v>
      </c>
      <c r="Y2" s="4">
        <v>21.0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16</v>
      </c>
      <c r="AA2" s="3">
        <f t="shared" ref="AA2:AA65" si="2">SUM(V2,X2,Z2)</f>
        <v>36</v>
      </c>
      <c r="AB2" s="3" t="str">
        <f>IFERROR(__xludf.DUMMYFUNCTION("
      Ifs( 
        ISBETWEEN(AA2, 0, 'Points-Table'!C$20, TRUE, False), 'Points-Table'!A$20,
        ISBETWEEN(AA2, 'Points-Table'!C$20, 'Points-Table'!C$21, TRUE, False), 'Points-Table'!A$21,
        ISBETWEEN(AA2, 'Points-Table'!C$22, 10000, TRUE, TRU"&amp;"E), 'Points-Table'!A$22,
        true, 
        0)
      "),"M")</f>
        <v>M</v>
      </c>
      <c r="AC2" s="3" t="s">
        <v>29</v>
      </c>
      <c r="AD2" s="3" t="s">
        <v>29</v>
      </c>
      <c r="AE2" s="3" t="s">
        <v>29</v>
      </c>
    </row>
    <row r="3" ht="24.75" customHeight="1">
      <c r="A3" s="3" t="s">
        <v>25</v>
      </c>
      <c r="B3" s="3" t="s">
        <v>30</v>
      </c>
      <c r="C3" s="3"/>
      <c r="D3" s="3"/>
      <c r="E3" s="3"/>
      <c r="F3" s="3" t="s">
        <v>31</v>
      </c>
      <c r="G3" s="3"/>
      <c r="H3" s="3"/>
      <c r="I3" s="3"/>
      <c r="J3" s="3"/>
      <c r="K3" s="3" t="s">
        <v>27</v>
      </c>
      <c r="L3" s="3" t="s">
        <v>28</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0.0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0</v>
      </c>
      <c r="W3" s="4">
        <v>0.0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v>
      </c>
      <c r="Y3" s="4">
        <v>34.0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24</v>
      </c>
      <c r="AA3" s="3">
        <f t="shared" si="2"/>
        <v>24</v>
      </c>
      <c r="AB3" s="3" t="str">
        <f>IFERROR(__xludf.DUMMYFUNCTION("
      Ifs( 
        ISBETWEEN(AA3, 0, 'Points-Table'!C$20, TRUE, False), 'Points-Table'!A$20,
        ISBETWEEN(AA3, 'Points-Table'!C$20, 'Points-Table'!C$21, TRUE, False), 'Points-Table'!A$21,
        ISBETWEEN(AA3, 'Points-Table'!C$22, 10000, TRUE, TRU"&amp;"E), 'Points-Table'!A$22,
        true, 
        0)
      "),"S")</f>
        <v>S</v>
      </c>
      <c r="AC3" s="3" t="s">
        <v>29</v>
      </c>
      <c r="AD3" s="3" t="s">
        <v>29</v>
      </c>
      <c r="AE3" s="3" t="s">
        <v>29</v>
      </c>
    </row>
    <row r="4" ht="24.75" customHeight="1">
      <c r="A4" s="3" t="s">
        <v>32</v>
      </c>
      <c r="B4" s="3" t="s">
        <v>33</v>
      </c>
      <c r="C4" s="3"/>
      <c r="D4" s="3"/>
      <c r="E4" s="3"/>
      <c r="F4" s="3"/>
      <c r="G4" s="3"/>
      <c r="H4" s="3"/>
      <c r="I4" s="3"/>
      <c r="J4" s="3"/>
      <c r="K4" s="3" t="s">
        <v>27</v>
      </c>
      <c r="L4" s="3" t="s">
        <v>28</v>
      </c>
      <c r="M4" s="3"/>
      <c r="N4" s="3"/>
      <c r="O4" s="3"/>
      <c r="P4" s="3"/>
      <c r="Q4" s="4">
        <v>2.0</v>
      </c>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1</v>
      </c>
      <c r="S4" s="4">
        <v>2.0</v>
      </c>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1</v>
      </c>
      <c r="U4" s="4">
        <v>5.0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4</v>
      </c>
      <c r="W4" s="4">
        <v>2.0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1</v>
      </c>
      <c r="Y4" s="4">
        <v>5.0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4</v>
      </c>
      <c r="AA4" s="3">
        <f t="shared" si="2"/>
        <v>9</v>
      </c>
      <c r="AB4" s="3" t="str">
        <f>IFERROR(__xludf.DUMMYFUNCTION("
      Ifs( 
        ISBETWEEN(AA4, 0, 'Points-Table'!C$20, TRUE, False), 'Points-Table'!A$20,
        ISBETWEEN(AA4, 'Points-Table'!C$20, 'Points-Table'!C$21, TRUE, False), 'Points-Table'!A$21,
        ISBETWEEN(AA4, 'Points-Table'!C$22, 10000, TRUE, TRU"&amp;"E), 'Points-Table'!A$22,
        true, 
        0)
      "),"S")</f>
        <v>S</v>
      </c>
      <c r="AC4" s="3" t="s">
        <v>29</v>
      </c>
      <c r="AD4" s="3" t="s">
        <v>29</v>
      </c>
      <c r="AE4" s="3" t="s">
        <v>29</v>
      </c>
    </row>
    <row r="5" ht="24.75" customHeight="1">
      <c r="A5" s="3" t="s">
        <v>32</v>
      </c>
      <c r="B5" s="3" t="s">
        <v>34</v>
      </c>
      <c r="C5" s="3"/>
      <c r="D5" s="3"/>
      <c r="E5" s="3"/>
      <c r="F5" s="3"/>
      <c r="G5" s="3"/>
      <c r="H5" s="3"/>
      <c r="I5" s="3"/>
      <c r="J5" s="3"/>
      <c r="K5" s="3" t="s">
        <v>27</v>
      </c>
      <c r="L5" s="3" t="s">
        <v>28</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3.0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2</v>
      </c>
      <c r="W5" s="4">
        <v>2.0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1</v>
      </c>
      <c r="Y5" s="4">
        <v>3.0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2</v>
      </c>
      <c r="AA5" s="3">
        <f t="shared" si="2"/>
        <v>5</v>
      </c>
      <c r="AB5" s="3" t="str">
        <f>IFERROR(__xludf.DUMMYFUNCTION("
      Ifs( 
        ISBETWEEN(AA5, 0, 'Points-Table'!C$20, TRUE, False), 'Points-Table'!A$20,
        ISBETWEEN(AA5, 'Points-Table'!C$20, 'Points-Table'!C$21, TRUE, False), 'Points-Table'!A$21,
        ISBETWEEN(AA5, 'Points-Table'!C$22, 10000, TRUE, TRU"&amp;"E), 'Points-Table'!A$22,
        true, 
        0)
      "),"S")</f>
        <v>S</v>
      </c>
      <c r="AC5" s="3" t="s">
        <v>29</v>
      </c>
      <c r="AD5" s="3" t="s">
        <v>29</v>
      </c>
      <c r="AE5" s="3" t="s">
        <v>29</v>
      </c>
    </row>
    <row r="6" ht="24.75" customHeight="1">
      <c r="A6" s="3" t="s">
        <v>32</v>
      </c>
      <c r="B6" s="3" t="s">
        <v>35</v>
      </c>
      <c r="C6" s="3"/>
      <c r="D6" s="3"/>
      <c r="E6" s="3"/>
      <c r="F6" s="3" t="s">
        <v>36</v>
      </c>
      <c r="G6" s="3"/>
      <c r="H6" s="3"/>
      <c r="I6" s="3"/>
      <c r="J6" s="3"/>
      <c r="K6" s="3" t="s">
        <v>27</v>
      </c>
      <c r="L6" s="3" t="s">
        <v>28</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1.0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0.5</v>
      </c>
      <c r="W6" s="4">
        <v>5.0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4</v>
      </c>
      <c r="Y6" s="4">
        <v>5.0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4</v>
      </c>
      <c r="AA6" s="3">
        <f t="shared" si="2"/>
        <v>8.5</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37</v>
      </c>
      <c r="B7" s="3" t="s">
        <v>38</v>
      </c>
      <c r="C7" s="3"/>
      <c r="D7" s="3" t="s">
        <v>39</v>
      </c>
      <c r="E7" s="3"/>
      <c r="F7" s="3" t="s">
        <v>40</v>
      </c>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0.0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0</v>
      </c>
      <c r="W7" s="4">
        <v>2.0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1</v>
      </c>
      <c r="Y7" s="4">
        <v>21.0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16</v>
      </c>
      <c r="AA7" s="3">
        <f t="shared" si="2"/>
        <v>17</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37</v>
      </c>
      <c r="B8" s="3" t="s">
        <v>41</v>
      </c>
      <c r="C8" s="3"/>
      <c r="D8" s="3" t="s">
        <v>42</v>
      </c>
      <c r="E8" s="3"/>
      <c r="F8" s="3" t="s">
        <v>29</v>
      </c>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0.0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0</v>
      </c>
      <c r="W8" s="4">
        <v>2.0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1</v>
      </c>
      <c r="Y8" s="4">
        <v>13.0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11</v>
      </c>
      <c r="AA8" s="3">
        <f t="shared" si="2"/>
        <v>12</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37</v>
      </c>
      <c r="B9" s="3" t="s">
        <v>43</v>
      </c>
      <c r="C9" s="3"/>
      <c r="D9" s="3"/>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0.0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0</v>
      </c>
      <c r="W9" s="4">
        <v>2.0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1</v>
      </c>
      <c r="Y9" s="4">
        <v>5.0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4</v>
      </c>
      <c r="AA9" s="3">
        <f t="shared" si="2"/>
        <v>5</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37</v>
      </c>
      <c r="B10" s="3" t="s">
        <v>44</v>
      </c>
      <c r="C10" s="3"/>
      <c r="D10" s="3"/>
      <c r="E10" s="3"/>
      <c r="F10" s="3" t="s">
        <v>45</v>
      </c>
      <c r="G10" s="3"/>
      <c r="H10" s="3"/>
      <c r="I10" s="3"/>
      <c r="J10" s="3"/>
      <c r="K10" s="3" t="s">
        <v>27</v>
      </c>
      <c r="L10" s="3" t="s">
        <v>28</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0.0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0</v>
      </c>
      <c r="W10" s="4">
        <v>0.0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0</v>
      </c>
      <c r="Y10" s="4">
        <v>0.0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3">
        <f t="shared" si="2"/>
        <v>0</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46</v>
      </c>
      <c r="B11" s="3"/>
      <c r="C11" s="3"/>
      <c r="D11" s="3"/>
      <c r="E11" s="3"/>
      <c r="F11" s="3"/>
      <c r="G11" s="3"/>
      <c r="H11" s="3"/>
      <c r="I11" s="3"/>
      <c r="J11" s="3"/>
      <c r="K11" s="3" t="s">
        <v>27</v>
      </c>
      <c r="L11" s="3" t="s">
        <v>28</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3.0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2</v>
      </c>
      <c r="W11" s="4">
        <v>5.0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4</v>
      </c>
      <c r="Y11" s="4">
        <v>21.0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16</v>
      </c>
      <c r="AA11" s="3">
        <f t="shared" si="2"/>
        <v>22</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47</v>
      </c>
      <c r="B12" s="3" t="s">
        <v>48</v>
      </c>
      <c r="C12" s="3"/>
      <c r="D12" s="3"/>
      <c r="E12" s="3"/>
      <c r="F12" s="3"/>
      <c r="G12" s="3"/>
      <c r="H12" s="3"/>
      <c r="I12" s="3"/>
      <c r="J12" s="3"/>
      <c r="K12" s="3" t="s">
        <v>27</v>
      </c>
      <c r="L12" s="3" t="s">
        <v>28</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5.0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4</v>
      </c>
      <c r="W12" s="4">
        <v>2.0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1</v>
      </c>
      <c r="Y12" s="4">
        <v>3.0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2</v>
      </c>
      <c r="AA12" s="3">
        <f t="shared" si="2"/>
        <v>7</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47</v>
      </c>
      <c r="B13" s="3" t="s">
        <v>49</v>
      </c>
      <c r="C13" s="3"/>
      <c r="D13" s="3"/>
      <c r="E13" s="3"/>
      <c r="F13" s="3"/>
      <c r="G13" s="3"/>
      <c r="H13" s="3"/>
      <c r="I13" s="3"/>
      <c r="J13" s="3"/>
      <c r="K13" s="3" t="s">
        <v>27</v>
      </c>
      <c r="L13" s="3" t="s">
        <v>28</v>
      </c>
      <c r="M13" s="3"/>
      <c r="N13" s="3"/>
      <c r="O13" s="3"/>
      <c r="P13" s="3"/>
      <c r="Q13" s="4">
        <v>2.0</v>
      </c>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1</v>
      </c>
      <c r="S13" s="4">
        <v>2.0</v>
      </c>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1</v>
      </c>
      <c r="U13" s="4">
        <v>3.0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2</v>
      </c>
      <c r="W13" s="4">
        <v>2.0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1</v>
      </c>
      <c r="Y13" s="4">
        <v>5.0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4</v>
      </c>
      <c r="AA13" s="3">
        <f t="shared" si="2"/>
        <v>7</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47</v>
      </c>
      <c r="B14" s="3" t="s">
        <v>50</v>
      </c>
      <c r="C14" s="3" t="s">
        <v>51</v>
      </c>
      <c r="D14" s="3"/>
      <c r="E14" s="3"/>
      <c r="F14" s="3"/>
      <c r="G14" s="3"/>
      <c r="H14" s="3"/>
      <c r="I14" s="3"/>
      <c r="J14" s="3"/>
      <c r="K14" s="3" t="s">
        <v>27</v>
      </c>
      <c r="L14" s="3" t="s">
        <v>28</v>
      </c>
      <c r="M14" s="3"/>
      <c r="N14" s="3"/>
      <c r="O14" s="3"/>
      <c r="P14" s="3"/>
      <c r="Q14" s="4">
        <v>5.0</v>
      </c>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4</v>
      </c>
      <c r="S14" s="4">
        <v>5.0</v>
      </c>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4</v>
      </c>
      <c r="U14" s="4">
        <v>5.0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4</v>
      </c>
      <c r="W14" s="4">
        <v>3.0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2</v>
      </c>
      <c r="Y14" s="4">
        <v>8.0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7</v>
      </c>
      <c r="AA14" s="3">
        <f t="shared" si="2"/>
        <v>13</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47</v>
      </c>
      <c r="B15" s="3" t="s">
        <v>50</v>
      </c>
      <c r="C15" s="3" t="s">
        <v>52</v>
      </c>
      <c r="D15" s="3"/>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13.0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11</v>
      </c>
      <c r="W15" s="4">
        <v>0.0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v>
      </c>
      <c r="Y15" s="4">
        <v>2.0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1</v>
      </c>
      <c r="AA15" s="3">
        <f t="shared" si="2"/>
        <v>12</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6" t="s">
        <v>47</v>
      </c>
      <c r="B16" s="6" t="s">
        <v>50</v>
      </c>
      <c r="C16" s="6" t="s">
        <v>53</v>
      </c>
      <c r="D16" s="6"/>
      <c r="E16" s="6"/>
      <c r="F16" s="6"/>
      <c r="G16" s="6"/>
      <c r="H16" s="6"/>
      <c r="I16" s="6"/>
      <c r="J16" s="6"/>
      <c r="K16" s="6" t="s">
        <v>27</v>
      </c>
      <c r="L16" s="6" t="s">
        <v>28</v>
      </c>
      <c r="M16" s="6"/>
      <c r="N16" s="6"/>
      <c r="O16" s="6"/>
      <c r="P16" s="6"/>
      <c r="Q16" s="6">
        <v>2.0</v>
      </c>
      <c r="R16" s="6">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1</v>
      </c>
      <c r="S16" s="6">
        <v>2.0</v>
      </c>
      <c r="T16" s="6">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1</v>
      </c>
      <c r="U16" s="6">
        <v>8.0</v>
      </c>
      <c r="V16" s="6">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7</v>
      </c>
      <c r="W16" s="6">
        <v>0.0</v>
      </c>
      <c r="X16" s="6">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v>
      </c>
      <c r="Y16" s="6">
        <v>0.0</v>
      </c>
      <c r="Z16" s="6">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v>
      </c>
      <c r="AA16" s="6">
        <f t="shared" si="2"/>
        <v>7</v>
      </c>
      <c r="AB16" s="6" t="str">
        <f>IFERROR(__xludf.DUMMYFUNCTION("
      Ifs( 
        ISBETWEEN(AA16, 0, 'Points-Table'!C$20, TRUE, False), 'Points-Table'!A$20,
        ISBETWEEN(AA16, 'Points-Table'!C$20, 'Points-Table'!C$21, TRUE, False), 'Points-Table'!A$21,
        ISBETWEEN(AA16, 'Points-Table'!C$22, 10000, TRUE, "&amp;"TRUE), 'Points-Table'!A$22,
        true, 
        0)
      "),"S")</f>
        <v>S</v>
      </c>
      <c r="AC16" s="6" t="s">
        <v>29</v>
      </c>
      <c r="AD16" s="6" t="s">
        <v>29</v>
      </c>
      <c r="AE16" s="6" t="s">
        <v>29</v>
      </c>
    </row>
    <row r="17" ht="24.75" customHeight="1">
      <c r="A17" s="3" t="s">
        <v>47</v>
      </c>
      <c r="B17" s="3" t="s">
        <v>54</v>
      </c>
      <c r="C17" s="3" t="s">
        <v>55</v>
      </c>
      <c r="D17" s="3"/>
      <c r="E17" s="3"/>
      <c r="F17" s="3"/>
      <c r="G17" s="3"/>
      <c r="H17" s="3"/>
      <c r="I17" s="3"/>
      <c r="J17" s="3"/>
      <c r="K17" s="3" t="s">
        <v>27</v>
      </c>
      <c r="L17" s="3" t="s">
        <v>28</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8.0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7</v>
      </c>
      <c r="W17" s="4">
        <v>2.0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1</v>
      </c>
      <c r="Y17" s="4">
        <v>8.0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7</v>
      </c>
      <c r="AA17" s="3">
        <f t="shared" si="2"/>
        <v>15</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3" t="s">
        <v>47</v>
      </c>
      <c r="B18" s="3" t="s">
        <v>54</v>
      </c>
      <c r="C18" s="3" t="s">
        <v>56</v>
      </c>
      <c r="D18" s="3"/>
      <c r="E18" s="3"/>
      <c r="F18" s="3"/>
      <c r="G18" s="3"/>
      <c r="H18" s="3"/>
      <c r="I18" s="3"/>
      <c r="J18" s="3"/>
      <c r="K18" s="3" t="s">
        <v>27</v>
      </c>
      <c r="L18" s="3" t="s">
        <v>28</v>
      </c>
      <c r="M18" s="3"/>
      <c r="N18" s="3"/>
      <c r="O18" s="3"/>
      <c r="P18" s="3"/>
      <c r="Q18" s="4">
        <v>1.0</v>
      </c>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0.5</v>
      </c>
      <c r="S18" s="4">
        <v>1.0</v>
      </c>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0.5</v>
      </c>
      <c r="U18" s="4">
        <v>3.0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2</v>
      </c>
      <c r="W18" s="4">
        <v>2.0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1</v>
      </c>
      <c r="Y18" s="4">
        <v>2.0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1</v>
      </c>
      <c r="AA18" s="3">
        <f t="shared" si="2"/>
        <v>4</v>
      </c>
      <c r="AB18" s="3" t="str">
        <f>IFERROR(__xludf.DUMMYFUNCTION("
      Ifs( 
        ISBETWEEN(AA18, 0, 'Points-Table'!C$20, TRUE, False), 'Points-Table'!A$20,
        ISBETWEEN(AA18, 'Points-Table'!C$20, 'Points-Table'!C$21, TRUE, False), 'Points-Table'!A$21,
        ISBETWEEN(AA18, 'Points-Table'!C$22, 10000, TRUE, "&amp;"TRUE), 'Points-Table'!A$22,
        true, 
        0)
      "),"S")</f>
        <v>S</v>
      </c>
      <c r="AC18" s="3" t="s">
        <v>29</v>
      </c>
      <c r="AD18" s="3" t="s">
        <v>29</v>
      </c>
      <c r="AE18" s="3" t="s">
        <v>29</v>
      </c>
    </row>
    <row r="19" ht="24.75" customHeight="1">
      <c r="A19" s="3" t="s">
        <v>47</v>
      </c>
      <c r="B19" s="3" t="s">
        <v>54</v>
      </c>
      <c r="C19" s="3" t="s">
        <v>57</v>
      </c>
      <c r="D19" s="3"/>
      <c r="E19" s="3"/>
      <c r="F19" s="3"/>
      <c r="G19" s="3"/>
      <c r="H19" s="3"/>
      <c r="I19" s="3"/>
      <c r="J19" s="3"/>
      <c r="K19" s="3" t="s">
        <v>27</v>
      </c>
      <c r="L19" s="3" t="s">
        <v>28</v>
      </c>
      <c r="M19" s="3"/>
      <c r="N19" s="3"/>
      <c r="O19" s="3"/>
      <c r="P19" s="3"/>
      <c r="Q19" s="4">
        <v>1.0</v>
      </c>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0.5</v>
      </c>
      <c r="S19" s="4">
        <v>1.0</v>
      </c>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0.5</v>
      </c>
      <c r="U19" s="4">
        <v>5.0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4</v>
      </c>
      <c r="W19" s="4">
        <v>2.0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1</v>
      </c>
      <c r="Y19" s="4">
        <v>5.0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4</v>
      </c>
      <c r="AA19" s="3">
        <f t="shared" si="2"/>
        <v>9</v>
      </c>
      <c r="AB19" s="3" t="str">
        <f>IFERROR(__xludf.DUMMYFUNCTION("
      Ifs( 
        ISBETWEEN(AA19, 0, 'Points-Table'!C$20, TRUE, False), 'Points-Table'!A$20,
        ISBETWEEN(AA19, 'Points-Table'!C$20, 'Points-Table'!C$21, TRUE, False), 'Points-Table'!A$21,
        ISBETWEEN(AA19, 'Points-Table'!C$22, 10000, TRUE, "&amp;"TRUE), 'Points-Table'!A$22,
        true, 
        0)
      "),"S")</f>
        <v>S</v>
      </c>
      <c r="AC19" s="3" t="s">
        <v>29</v>
      </c>
      <c r="AD19" s="3" t="s">
        <v>29</v>
      </c>
      <c r="AE19" s="3" t="s">
        <v>29</v>
      </c>
    </row>
    <row r="20" ht="24.75" customHeight="1">
      <c r="A20" s="3" t="s">
        <v>47</v>
      </c>
      <c r="B20" s="3" t="s">
        <v>54</v>
      </c>
      <c r="C20" s="3" t="s">
        <v>58</v>
      </c>
      <c r="D20" s="3"/>
      <c r="E20" s="3"/>
      <c r="F20" s="3"/>
      <c r="G20" s="3"/>
      <c r="H20" s="3"/>
      <c r="I20" s="3"/>
      <c r="J20" s="3"/>
      <c r="K20" s="3" t="s">
        <v>27</v>
      </c>
      <c r="L20" s="3" t="s">
        <v>28</v>
      </c>
      <c r="M20" s="3"/>
      <c r="N20" s="3"/>
      <c r="O20" s="3"/>
      <c r="P20" s="3"/>
      <c r="Q20" s="4"/>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3.0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2</v>
      </c>
      <c r="W20" s="4">
        <v>2.0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1</v>
      </c>
      <c r="Y20" s="4">
        <v>3.0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2</v>
      </c>
      <c r="AA20" s="3">
        <f t="shared" si="2"/>
        <v>5</v>
      </c>
      <c r="AB20" s="3" t="str">
        <f>IFERROR(__xludf.DUMMYFUNCTION("
      Ifs( 
        ISBETWEEN(AA20, 0, 'Points-Table'!C$20, TRUE, False), 'Points-Table'!A$20,
        ISBETWEEN(AA20, 'Points-Table'!C$20, 'Points-Table'!C$21, TRUE, False), 'Points-Table'!A$21,
        ISBETWEEN(AA20, 'Points-Table'!C$22, 10000, TRUE, "&amp;"TRUE), 'Points-Table'!A$22,
        true, 
        0)
      "),"S")</f>
        <v>S</v>
      </c>
      <c r="AC20" s="3" t="s">
        <v>29</v>
      </c>
      <c r="AD20" s="3" t="s">
        <v>29</v>
      </c>
      <c r="AE20" s="3" t="s">
        <v>29</v>
      </c>
    </row>
    <row r="21" ht="24.75" customHeight="1">
      <c r="A21" s="6" t="s">
        <v>47</v>
      </c>
      <c r="B21" s="6" t="s">
        <v>54</v>
      </c>
      <c r="C21" s="6" t="s">
        <v>59</v>
      </c>
      <c r="D21" s="6"/>
      <c r="E21" s="6"/>
      <c r="F21" s="6"/>
      <c r="G21" s="6"/>
      <c r="H21" s="6"/>
      <c r="I21" s="6"/>
      <c r="J21" s="6"/>
      <c r="K21" s="6" t="s">
        <v>27</v>
      </c>
      <c r="L21" s="6" t="s">
        <v>28</v>
      </c>
      <c r="M21" s="6"/>
      <c r="N21" s="6"/>
      <c r="O21" s="6"/>
      <c r="P21" s="6"/>
      <c r="Q21" s="6"/>
      <c r="R21" s="6">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6"/>
      <c r="T21" s="6">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6">
        <v>3.0</v>
      </c>
      <c r="V21" s="6">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2</v>
      </c>
      <c r="W21" s="6">
        <v>1.0</v>
      </c>
      <c r="X21" s="6">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0.5</v>
      </c>
      <c r="Y21" s="6">
        <v>0.0</v>
      </c>
      <c r="Z21" s="6">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v>
      </c>
      <c r="AA21" s="6">
        <f t="shared" si="2"/>
        <v>2.5</v>
      </c>
      <c r="AB21" s="6" t="str">
        <f>IFERROR(__xludf.DUMMYFUNCTION("
      Ifs( 
        ISBETWEEN(AA21, 0, 'Points-Table'!C$20, TRUE, False), 'Points-Table'!A$20,
        ISBETWEEN(AA21, 'Points-Table'!C$20, 'Points-Table'!C$21, TRUE, False), 'Points-Table'!A$21,
        ISBETWEEN(AA21, 'Points-Table'!C$22, 10000, TRUE, "&amp;"TRUE), 'Points-Table'!A$22,
        true, 
        0)
      "),"S")</f>
        <v>S</v>
      </c>
      <c r="AC21" s="6" t="s">
        <v>29</v>
      </c>
      <c r="AD21" s="6" t="s">
        <v>29</v>
      </c>
      <c r="AE21" s="6" t="s">
        <v>29</v>
      </c>
    </row>
    <row r="22" ht="24.75" customHeight="1">
      <c r="A22" s="3" t="s">
        <v>47</v>
      </c>
      <c r="B22" s="3" t="s">
        <v>60</v>
      </c>
      <c r="C22" s="3" t="s">
        <v>61</v>
      </c>
      <c r="D22" s="3"/>
      <c r="E22" s="3"/>
      <c r="F22" s="3"/>
      <c r="G22" s="3"/>
      <c r="H22" s="3"/>
      <c r="I22" s="3"/>
      <c r="J22" s="3"/>
      <c r="K22" s="3" t="s">
        <v>27</v>
      </c>
      <c r="L22" s="3" t="s">
        <v>28</v>
      </c>
      <c r="M22" s="3"/>
      <c r="N22" s="3"/>
      <c r="O22" s="3"/>
      <c r="P22" s="3"/>
      <c r="Q22" s="4">
        <v>1.0</v>
      </c>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0.5</v>
      </c>
      <c r="S22" s="4">
        <v>1.0</v>
      </c>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0.5</v>
      </c>
      <c r="U22" s="4">
        <v>5.0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4</v>
      </c>
      <c r="W22" s="4">
        <v>5.0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4</v>
      </c>
      <c r="Y22" s="4">
        <v>8.0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7</v>
      </c>
      <c r="AA22" s="3">
        <f t="shared" si="2"/>
        <v>15</v>
      </c>
      <c r="AB22" s="3" t="str">
        <f>IFERROR(__xludf.DUMMYFUNCTION("
      Ifs( 
        ISBETWEEN(AA22, 0, 'Points-Table'!C$20, TRUE, False), 'Points-Table'!A$20,
        ISBETWEEN(AA22, 'Points-Table'!C$20, 'Points-Table'!C$21, TRUE, False), 'Points-Table'!A$21,
        ISBETWEEN(AA22, 'Points-Table'!C$22, 10000, TRUE, "&amp;"TRUE), 'Points-Table'!A$22,
        true, 
        0)
      "),"S")</f>
        <v>S</v>
      </c>
      <c r="AC22" s="3" t="s">
        <v>29</v>
      </c>
      <c r="AD22" s="3" t="s">
        <v>29</v>
      </c>
      <c r="AE22" s="3" t="s">
        <v>29</v>
      </c>
    </row>
    <row r="23" ht="24.75" customHeight="1">
      <c r="A23" s="3" t="s">
        <v>47</v>
      </c>
      <c r="B23" s="3" t="s">
        <v>60</v>
      </c>
      <c r="C23" s="3" t="s">
        <v>62</v>
      </c>
      <c r="D23" s="3"/>
      <c r="E23" s="3"/>
      <c r="F23" s="3"/>
      <c r="G23" s="3"/>
      <c r="H23" s="3"/>
      <c r="I23" s="3"/>
      <c r="J23" s="3"/>
      <c r="K23" s="3" t="s">
        <v>27</v>
      </c>
      <c r="L23" s="3" t="s">
        <v>28</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3.0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2</v>
      </c>
      <c r="W23" s="4">
        <v>0.0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0</v>
      </c>
      <c r="Y23" s="4">
        <v>0.0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v>
      </c>
      <c r="AA23" s="3">
        <f t="shared" si="2"/>
        <v>2</v>
      </c>
      <c r="AB23" s="3" t="str">
        <f>IFERROR(__xludf.DUMMYFUNCTION("
      Ifs( 
        ISBETWEEN(AA23, 0, 'Points-Table'!C$20, TRUE, False), 'Points-Table'!A$20,
        ISBETWEEN(AA23, 'Points-Table'!C$20, 'Points-Table'!C$21, TRUE, False), 'Points-Table'!A$21,
        ISBETWEEN(AA23, 'Points-Table'!C$22, 10000, TRUE, "&amp;"TRUE), 'Points-Table'!A$22,
        true, 
        0)
      "),"S")</f>
        <v>S</v>
      </c>
      <c r="AC23" s="3" t="s">
        <v>29</v>
      </c>
      <c r="AD23" s="3" t="s">
        <v>29</v>
      </c>
      <c r="AE23" s="3" t="s">
        <v>29</v>
      </c>
    </row>
    <row r="24" ht="24.75" customHeight="1">
      <c r="A24" s="3" t="s">
        <v>47</v>
      </c>
      <c r="B24" s="3" t="s">
        <v>60</v>
      </c>
      <c r="C24" s="3" t="s">
        <v>63</v>
      </c>
      <c r="D24" s="3"/>
      <c r="E24" s="3"/>
      <c r="F24" s="3" t="s">
        <v>64</v>
      </c>
      <c r="G24" s="3"/>
      <c r="H24" s="3"/>
      <c r="I24" s="3"/>
      <c r="J24" s="3"/>
      <c r="K24" s="3" t="s">
        <v>27</v>
      </c>
      <c r="L24" s="3" t="s">
        <v>28</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8.0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7</v>
      </c>
      <c r="W24" s="4">
        <v>0.0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0</v>
      </c>
      <c r="Y24" s="4">
        <v>0.0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0</v>
      </c>
      <c r="AA24" s="3">
        <f t="shared" si="2"/>
        <v>7</v>
      </c>
      <c r="AB24" s="3" t="str">
        <f>IFERROR(__xludf.DUMMYFUNCTION("
      Ifs( 
        ISBETWEEN(AA24, 0, 'Points-Table'!C$20, TRUE, False), 'Points-Table'!A$20,
        ISBETWEEN(AA24, 'Points-Table'!C$20, 'Points-Table'!C$21, TRUE, False), 'Points-Table'!A$21,
        ISBETWEEN(AA24, 'Points-Table'!C$22, 10000, TRUE, "&amp;"TRUE), 'Points-Table'!A$22,
        true, 
        0)
      "),"S")</f>
        <v>S</v>
      </c>
      <c r="AC24" s="3" t="s">
        <v>29</v>
      </c>
      <c r="AD24" s="3" t="s">
        <v>29</v>
      </c>
      <c r="AE24" s="3" t="s">
        <v>29</v>
      </c>
    </row>
    <row r="25" ht="24.75" customHeight="1">
      <c r="A25" s="3" t="s">
        <v>47</v>
      </c>
      <c r="B25" s="3" t="s">
        <v>60</v>
      </c>
      <c r="C25" s="3" t="s">
        <v>65</v>
      </c>
      <c r="D25" s="3"/>
      <c r="E25" s="3"/>
      <c r="F25" s="3"/>
      <c r="G25" s="3"/>
      <c r="H25" s="3"/>
      <c r="I25" s="3"/>
      <c r="J25" s="3"/>
      <c r="K25" s="3" t="s">
        <v>27</v>
      </c>
      <c r="L25" s="3" t="s">
        <v>28</v>
      </c>
      <c r="M25" s="3"/>
      <c r="N25" s="3"/>
      <c r="O25" s="3"/>
      <c r="P25" s="3"/>
      <c r="Q25" s="4">
        <v>1.0</v>
      </c>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0.5</v>
      </c>
      <c r="S25" s="4">
        <v>1.0</v>
      </c>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0.5</v>
      </c>
      <c r="U25" s="4">
        <v>5.0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4</v>
      </c>
      <c r="W25" s="4">
        <v>3.0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2</v>
      </c>
      <c r="Y25" s="4">
        <v>5.0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4</v>
      </c>
      <c r="AA25" s="3">
        <f t="shared" si="2"/>
        <v>10</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47</v>
      </c>
      <c r="B26" s="3" t="s">
        <v>60</v>
      </c>
      <c r="C26" s="3" t="s">
        <v>66</v>
      </c>
      <c r="D26" s="3"/>
      <c r="E26" s="3"/>
      <c r="F26" s="3"/>
      <c r="G26" s="3"/>
      <c r="H26" s="3"/>
      <c r="I26" s="3"/>
      <c r="J26" s="3"/>
      <c r="K26" s="3" t="s">
        <v>27</v>
      </c>
      <c r="L26" s="3" t="s">
        <v>28</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5.0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4</v>
      </c>
      <c r="W26" s="4">
        <v>2.0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1</v>
      </c>
      <c r="Y26" s="4">
        <v>3.0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2</v>
      </c>
      <c r="AA26" s="3">
        <f t="shared" si="2"/>
        <v>7</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47</v>
      </c>
      <c r="B27" s="3" t="s">
        <v>60</v>
      </c>
      <c r="C27" s="3" t="s">
        <v>67</v>
      </c>
      <c r="D27" s="3"/>
      <c r="E27" s="3"/>
      <c r="F27" s="3" t="s">
        <v>68</v>
      </c>
      <c r="G27" s="3"/>
      <c r="H27" s="3"/>
      <c r="I27" s="3"/>
      <c r="J27" s="3"/>
      <c r="K27" s="3" t="s">
        <v>27</v>
      </c>
      <c r="L27" s="3" t="s">
        <v>28</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5.0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4</v>
      </c>
      <c r="W27" s="4">
        <v>3.0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2</v>
      </c>
      <c r="Y27" s="4">
        <v>8.0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7</v>
      </c>
      <c r="AA27" s="3">
        <f t="shared" si="2"/>
        <v>13</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47</v>
      </c>
      <c r="B28" s="3" t="s">
        <v>60</v>
      </c>
      <c r="C28" s="3" t="s">
        <v>69</v>
      </c>
      <c r="D28" s="3" t="s">
        <v>70</v>
      </c>
      <c r="E28" s="3"/>
      <c r="F28" s="3" t="s">
        <v>71</v>
      </c>
      <c r="G28" s="3"/>
      <c r="H28" s="3"/>
      <c r="I28" s="3"/>
      <c r="J28" s="3"/>
      <c r="K28" s="3" t="s">
        <v>27</v>
      </c>
      <c r="L28" s="3" t="s">
        <v>28</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0.0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0</v>
      </c>
      <c r="W28" s="4">
        <v>0.0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0</v>
      </c>
      <c r="Y28" s="4">
        <v>0.0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0</v>
      </c>
      <c r="AA28" s="3">
        <f t="shared" si="2"/>
        <v>0</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6" t="s">
        <v>47</v>
      </c>
      <c r="B29" s="6" t="s">
        <v>60</v>
      </c>
      <c r="C29" s="6" t="s">
        <v>72</v>
      </c>
      <c r="D29" s="6"/>
      <c r="E29" s="6"/>
      <c r="F29" s="6"/>
      <c r="G29" s="6"/>
      <c r="H29" s="6"/>
      <c r="I29" s="6"/>
      <c r="J29" s="6"/>
      <c r="K29" s="6" t="s">
        <v>27</v>
      </c>
      <c r="L29" s="6" t="s">
        <v>28</v>
      </c>
      <c r="M29" s="6"/>
      <c r="N29" s="6"/>
      <c r="O29" s="6"/>
      <c r="P29" s="6"/>
      <c r="Q29" s="6">
        <v>1.0</v>
      </c>
      <c r="R29" s="6">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0.5</v>
      </c>
      <c r="S29" s="6">
        <v>1.0</v>
      </c>
      <c r="T29" s="6">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0.5</v>
      </c>
      <c r="U29" s="6">
        <v>5.0</v>
      </c>
      <c r="V29" s="6">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4</v>
      </c>
      <c r="W29" s="6">
        <v>0.0</v>
      </c>
      <c r="X29" s="6">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0</v>
      </c>
      <c r="Y29" s="6">
        <v>0.0</v>
      </c>
      <c r="Z29" s="6">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0</v>
      </c>
      <c r="AA29" s="6">
        <f t="shared" si="2"/>
        <v>4</v>
      </c>
      <c r="AB29" s="6" t="str">
        <f>IFERROR(__xludf.DUMMYFUNCTION("
      Ifs( 
        ISBETWEEN(AA29, 0, 'Points-Table'!C$20, TRUE, False), 'Points-Table'!A$20,
        ISBETWEEN(AA29, 'Points-Table'!C$20, 'Points-Table'!C$21, TRUE, False), 'Points-Table'!A$21,
        ISBETWEEN(AA29, 'Points-Table'!C$22, 10000, TRUE, "&amp;"TRUE), 'Points-Table'!A$22,
        true, 
        0)
      "),"S")</f>
        <v>S</v>
      </c>
      <c r="AC29" s="6" t="s">
        <v>29</v>
      </c>
      <c r="AD29" s="6" t="s">
        <v>29</v>
      </c>
      <c r="AE29" s="6" t="s">
        <v>29</v>
      </c>
    </row>
    <row r="30" ht="24.75" customHeight="1">
      <c r="A30" s="3" t="s">
        <v>47</v>
      </c>
      <c r="B30" s="3" t="s">
        <v>73</v>
      </c>
      <c r="C30" s="3" t="s">
        <v>48</v>
      </c>
      <c r="D30" s="3"/>
      <c r="E30" s="3"/>
      <c r="F30" s="3"/>
      <c r="G30" s="3"/>
      <c r="H30" s="3"/>
      <c r="I30" s="3"/>
      <c r="J30" s="3"/>
      <c r="K30" s="3" t="s">
        <v>27</v>
      </c>
      <c r="L30" s="3" t="s">
        <v>28</v>
      </c>
      <c r="M30" s="3"/>
      <c r="N30" s="3"/>
      <c r="O30" s="3"/>
      <c r="P30" s="3"/>
      <c r="Q30" s="4"/>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2.0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1</v>
      </c>
      <c r="W30" s="4">
        <v>2.0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1</v>
      </c>
      <c r="Y30" s="4">
        <v>3.0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2</v>
      </c>
      <c r="AA30" s="3">
        <f t="shared" si="2"/>
        <v>4</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47</v>
      </c>
      <c r="B31" s="3" t="s">
        <v>73</v>
      </c>
      <c r="C31" s="3" t="s">
        <v>74</v>
      </c>
      <c r="D31" s="3"/>
      <c r="E31" s="3"/>
      <c r="F31" s="3"/>
      <c r="G31" s="3"/>
      <c r="H31" s="3"/>
      <c r="I31" s="3"/>
      <c r="J31" s="3"/>
      <c r="K31" s="3" t="s">
        <v>27</v>
      </c>
      <c r="L31" s="3" t="s">
        <v>28</v>
      </c>
      <c r="M31" s="3"/>
      <c r="N31" s="3"/>
      <c r="O31" s="3"/>
      <c r="P31" s="3"/>
      <c r="Q31" s="4"/>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2.0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1</v>
      </c>
      <c r="W31" s="4">
        <v>2.0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1</v>
      </c>
      <c r="Y31" s="4">
        <v>3.0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2</v>
      </c>
      <c r="AA31" s="3">
        <f t="shared" si="2"/>
        <v>4</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47</v>
      </c>
      <c r="B32" s="3" t="s">
        <v>73</v>
      </c>
      <c r="C32" s="3" t="s">
        <v>75</v>
      </c>
      <c r="D32" s="3"/>
      <c r="E32" s="3"/>
      <c r="F32" s="3"/>
      <c r="G32" s="3"/>
      <c r="H32" s="3"/>
      <c r="I32" s="3"/>
      <c r="J32" s="3"/>
      <c r="K32" s="3" t="s">
        <v>27</v>
      </c>
      <c r="L32" s="3" t="s">
        <v>28</v>
      </c>
      <c r="M32" s="3"/>
      <c r="N32" s="3"/>
      <c r="O32" s="3"/>
      <c r="P32" s="3"/>
      <c r="Q32" s="4"/>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8.0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7</v>
      </c>
      <c r="W32" s="4">
        <v>2.0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1</v>
      </c>
      <c r="Y32" s="4">
        <v>3.0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2</v>
      </c>
      <c r="AA32" s="3">
        <f t="shared" si="2"/>
        <v>10</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3" t="s">
        <v>47</v>
      </c>
      <c r="B33" s="3" t="s">
        <v>73</v>
      </c>
      <c r="C33" s="3" t="s">
        <v>62</v>
      </c>
      <c r="D33" s="3"/>
      <c r="E33" s="3"/>
      <c r="F33" s="3"/>
      <c r="G33" s="3"/>
      <c r="H33" s="3"/>
      <c r="I33" s="3"/>
      <c r="J33" s="3"/>
      <c r="K33" s="3" t="s">
        <v>27</v>
      </c>
      <c r="L33" s="3" t="s">
        <v>28</v>
      </c>
      <c r="M33" s="3"/>
      <c r="N33" s="3"/>
      <c r="O33" s="3"/>
      <c r="P33" s="3"/>
      <c r="Q33" s="4"/>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5.0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4</v>
      </c>
      <c r="W33" s="4">
        <v>2.0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1</v>
      </c>
      <c r="Y33" s="4">
        <v>5.0</v>
      </c>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4</v>
      </c>
      <c r="AA33" s="3">
        <f t="shared" si="2"/>
        <v>9</v>
      </c>
      <c r="AB33" s="3" t="str">
        <f>IFERROR(__xludf.DUMMYFUNCTION("
      Ifs( 
        ISBETWEEN(AA33, 0, 'Points-Table'!C$20, TRUE, False), 'Points-Table'!A$20,
        ISBETWEEN(AA33, 'Points-Table'!C$20, 'Points-Table'!C$21, TRUE, False), 'Points-Table'!A$21,
        ISBETWEEN(AA33, 'Points-Table'!C$22, 10000, TRUE, "&amp;"TRUE), 'Points-Table'!A$22,
        true, 
        0)
      "),"S")</f>
        <v>S</v>
      </c>
      <c r="AC33" s="3" t="s">
        <v>29</v>
      </c>
      <c r="AD33" s="3" t="s">
        <v>29</v>
      </c>
      <c r="AE33" s="3" t="s">
        <v>29</v>
      </c>
    </row>
    <row r="34" ht="24.75" customHeight="1">
      <c r="A34" s="3" t="s">
        <v>47</v>
      </c>
      <c r="B34" s="3" t="s">
        <v>73</v>
      </c>
      <c r="C34" s="3" t="s">
        <v>76</v>
      </c>
      <c r="D34" s="3"/>
      <c r="E34" s="3"/>
      <c r="F34" s="3" t="s">
        <v>77</v>
      </c>
      <c r="G34" s="3"/>
      <c r="H34" s="3"/>
      <c r="I34" s="3"/>
      <c r="J34" s="3"/>
      <c r="K34" s="3" t="s">
        <v>27</v>
      </c>
      <c r="L34" s="3" t="s">
        <v>28</v>
      </c>
      <c r="M34" s="3"/>
      <c r="N34" s="3"/>
      <c r="O34" s="3"/>
      <c r="P34" s="3"/>
      <c r="Q34" s="4"/>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v>
      </c>
      <c r="S34" s="4"/>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v>
      </c>
      <c r="U34" s="4">
        <v>5.0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4</v>
      </c>
      <c r="W34" s="4">
        <v>0.0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0</v>
      </c>
      <c r="Y34" s="4">
        <v>8.0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7</v>
      </c>
      <c r="AA34" s="3">
        <f t="shared" si="2"/>
        <v>11</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47</v>
      </c>
      <c r="B35" s="3" t="s">
        <v>73</v>
      </c>
      <c r="C35" s="3" t="s">
        <v>78</v>
      </c>
      <c r="D35" s="3"/>
      <c r="E35" s="3"/>
      <c r="F35" s="3"/>
      <c r="G35" s="3"/>
      <c r="H35" s="3"/>
      <c r="I35" s="3"/>
      <c r="J35" s="3"/>
      <c r="K35" s="3" t="s">
        <v>27</v>
      </c>
      <c r="L35" s="3" t="s">
        <v>28</v>
      </c>
      <c r="M35" s="3"/>
      <c r="N35" s="3"/>
      <c r="O35" s="3"/>
      <c r="P35" s="3"/>
      <c r="Q35" s="4"/>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3.0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2</v>
      </c>
      <c r="W35" s="4">
        <v>0.0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0</v>
      </c>
      <c r="Y35" s="4">
        <v>0.0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0</v>
      </c>
      <c r="AA35" s="3">
        <f t="shared" si="2"/>
        <v>2</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47</v>
      </c>
      <c r="B36" s="3" t="s">
        <v>73</v>
      </c>
      <c r="C36" s="3" t="s">
        <v>79</v>
      </c>
      <c r="D36" s="3"/>
      <c r="E36" s="3"/>
      <c r="F36" s="3"/>
      <c r="G36" s="3"/>
      <c r="H36" s="3"/>
      <c r="I36" s="3"/>
      <c r="J36" s="3"/>
      <c r="K36" s="3" t="s">
        <v>27</v>
      </c>
      <c r="L36" s="3" t="s">
        <v>28</v>
      </c>
      <c r="M36" s="3"/>
      <c r="N36" s="3"/>
      <c r="O36" s="3"/>
      <c r="P36" s="3"/>
      <c r="Q36" s="4"/>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3.0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2</v>
      </c>
      <c r="W36" s="4">
        <v>0.0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0</v>
      </c>
      <c r="Y36" s="4">
        <v>3.0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2</v>
      </c>
      <c r="AA36" s="3">
        <f t="shared" si="2"/>
        <v>4</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47</v>
      </c>
      <c r="B37" s="3" t="s">
        <v>73</v>
      </c>
      <c r="C37" s="3" t="s">
        <v>80</v>
      </c>
      <c r="D37" s="3"/>
      <c r="E37" s="3"/>
      <c r="F37" s="3"/>
      <c r="G37" s="3"/>
      <c r="H37" s="3"/>
      <c r="I37" s="3"/>
      <c r="J37" s="3"/>
      <c r="K37" s="3" t="s">
        <v>27</v>
      </c>
      <c r="L37" s="3" t="s">
        <v>28</v>
      </c>
      <c r="M37" s="3"/>
      <c r="N37" s="3"/>
      <c r="O37" s="3"/>
      <c r="P37" s="3"/>
      <c r="Q37" s="4"/>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2.0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1</v>
      </c>
      <c r="W37" s="4">
        <v>0.0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0</v>
      </c>
      <c r="Y37" s="4">
        <v>0.0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0</v>
      </c>
      <c r="AA37" s="3">
        <f t="shared" si="2"/>
        <v>1</v>
      </c>
      <c r="AB37" s="3" t="str">
        <f>IFERROR(__xludf.DUMMYFUNCTION("
      Ifs( 
        ISBETWEEN(AA37, 0, 'Points-Table'!C$20, TRUE, False), 'Points-Table'!A$20,
        ISBETWEEN(AA37, 'Points-Table'!C$20, 'Points-Table'!C$21, TRUE, False), 'Points-Table'!A$21,
        ISBETWEEN(AA37, 'Points-Table'!C$22, 10000, TRUE, "&amp;"TRUE), 'Points-Table'!A$22,
        true, 
        0)
      "),"S")</f>
        <v>S</v>
      </c>
      <c r="AC37" s="3" t="s">
        <v>29</v>
      </c>
      <c r="AD37" s="3" t="s">
        <v>29</v>
      </c>
      <c r="AE37" s="3" t="s">
        <v>29</v>
      </c>
    </row>
    <row r="38" ht="24.75" customHeight="1">
      <c r="A38" s="3" t="s">
        <v>47</v>
      </c>
      <c r="B38" s="3" t="s">
        <v>81</v>
      </c>
      <c r="C38" s="3"/>
      <c r="D38" s="3"/>
      <c r="E38" s="3"/>
      <c r="F38" s="3"/>
      <c r="G38" s="3"/>
      <c r="H38" s="3"/>
      <c r="I38" s="3"/>
      <c r="J38" s="3"/>
      <c r="K38" s="3" t="s">
        <v>27</v>
      </c>
      <c r="L38" s="3" t="s">
        <v>28</v>
      </c>
      <c r="M38" s="3"/>
      <c r="N38" s="3"/>
      <c r="O38" s="3"/>
      <c r="P38" s="3"/>
      <c r="Q38" s="4"/>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5.0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4</v>
      </c>
      <c r="W38" s="4">
        <v>13.0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11</v>
      </c>
      <c r="Y38" s="4">
        <v>34.0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24</v>
      </c>
      <c r="AA38" s="3">
        <f t="shared" si="2"/>
        <v>39</v>
      </c>
      <c r="AB38" s="3" t="str">
        <f>IFERROR(__xludf.DUMMYFUNCTION("
      Ifs( 
        ISBETWEEN(AA38, 0, 'Points-Table'!C$20, TRUE, False), 'Points-Table'!A$20,
        ISBETWEEN(AA38, 'Points-Table'!C$20, 'Points-Table'!C$21, TRUE, False), 'Points-Table'!A$21,
        ISBETWEEN(AA38, 'Points-Table'!C$22, 10000, TRUE, "&amp;"TRUE), 'Points-Table'!A$22,
        true, 
        0)
      "),"M")</f>
        <v>M</v>
      </c>
      <c r="AC38" s="3" t="s">
        <v>29</v>
      </c>
      <c r="AD38" s="3" t="s">
        <v>29</v>
      </c>
      <c r="AE38" s="3" t="s">
        <v>29</v>
      </c>
    </row>
    <row r="39" ht="24.75" customHeight="1">
      <c r="A39" s="3" t="s">
        <v>47</v>
      </c>
      <c r="B39" s="3" t="s">
        <v>82</v>
      </c>
      <c r="C39" s="3"/>
      <c r="D39" s="3"/>
      <c r="E39" s="3"/>
      <c r="F39" s="3" t="s">
        <v>83</v>
      </c>
      <c r="G39" s="3"/>
      <c r="H39" s="3"/>
      <c r="I39" s="3"/>
      <c r="J39" s="3"/>
      <c r="K39" s="3" t="s">
        <v>27</v>
      </c>
      <c r="L39" s="3" t="s">
        <v>28</v>
      </c>
      <c r="M39" s="3"/>
      <c r="N39" s="3"/>
      <c r="O39" s="3"/>
      <c r="P39" s="3"/>
      <c r="Q39" s="4">
        <v>1.0</v>
      </c>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0.5</v>
      </c>
      <c r="S39" s="4">
        <v>1.0</v>
      </c>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0.5</v>
      </c>
      <c r="U39" s="4">
        <v>3.0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2</v>
      </c>
      <c r="W39" s="4">
        <v>2.0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1</v>
      </c>
      <c r="Y39" s="4">
        <v>13.0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11</v>
      </c>
      <c r="AA39" s="3">
        <f t="shared" si="2"/>
        <v>14</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A40" s="3" t="s">
        <v>47</v>
      </c>
      <c r="B40" s="3" t="s">
        <v>84</v>
      </c>
      <c r="C40" s="3"/>
      <c r="D40" s="3" t="s">
        <v>85</v>
      </c>
      <c r="E40" s="3"/>
      <c r="F40" s="3"/>
      <c r="G40" s="3"/>
      <c r="H40" s="3"/>
      <c r="I40" s="3"/>
      <c r="J40" s="3"/>
      <c r="K40" s="3" t="s">
        <v>27</v>
      </c>
      <c r="L40" s="3" t="s">
        <v>28</v>
      </c>
      <c r="M40" s="3"/>
      <c r="N40" s="3"/>
      <c r="O40" s="3"/>
      <c r="P40" s="3"/>
      <c r="Q40" s="4"/>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5.0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4</v>
      </c>
      <c r="W40" s="4">
        <v>0.0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0</v>
      </c>
      <c r="Y40" s="4">
        <v>13.0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11</v>
      </c>
      <c r="AA40" s="3">
        <f t="shared" si="2"/>
        <v>15</v>
      </c>
      <c r="AB40" s="3" t="str">
        <f>IFERROR(__xludf.DUMMYFUNCTION("
      Ifs( 
        ISBETWEEN(AA40, 0, 'Points-Table'!C$20, TRUE, False), 'Points-Table'!A$20,
        ISBETWEEN(AA40, 'Points-Table'!C$20, 'Points-Table'!C$21, TRUE, False), 'Points-Table'!A$21,
        ISBETWEEN(AA40, 'Points-Table'!C$22, 10000, TRUE, "&amp;"TRUE), 'Points-Table'!A$22,
        true, 
        0)
      "),"S")</f>
        <v>S</v>
      </c>
      <c r="AC40" s="3" t="s">
        <v>29</v>
      </c>
      <c r="AD40" s="3" t="s">
        <v>29</v>
      </c>
      <c r="AE40" s="3" t="s">
        <v>29</v>
      </c>
    </row>
    <row r="41" ht="24.75" customHeight="1">
      <c r="A41" s="3" t="s">
        <v>86</v>
      </c>
      <c r="B41" s="3" t="s">
        <v>87</v>
      </c>
      <c r="C41" s="3"/>
      <c r="D41" s="3" t="s">
        <v>88</v>
      </c>
      <c r="E41" s="3"/>
      <c r="F41" s="3"/>
      <c r="G41" s="3"/>
      <c r="H41" s="3"/>
      <c r="I41" s="3"/>
      <c r="J41" s="3"/>
      <c r="K41" s="3" t="s">
        <v>27</v>
      </c>
      <c r="L41" s="3" t="s">
        <v>28</v>
      </c>
      <c r="M41" s="3"/>
      <c r="N41" s="3"/>
      <c r="O41" s="3"/>
      <c r="P41" s="3"/>
      <c r="Q41" s="4">
        <v>5.0</v>
      </c>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4</v>
      </c>
      <c r="S41" s="4">
        <v>5.0</v>
      </c>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4</v>
      </c>
      <c r="U41" s="4">
        <v>8.0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7</v>
      </c>
      <c r="W41" s="4">
        <v>5.0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4</v>
      </c>
      <c r="Y41" s="4">
        <v>5.0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4</v>
      </c>
      <c r="AA41" s="3">
        <f t="shared" si="2"/>
        <v>15</v>
      </c>
      <c r="AB41" s="3" t="str">
        <f>IFERROR(__xludf.DUMMYFUNCTION("
      Ifs( 
        ISBETWEEN(AA41, 0, 'Points-Table'!C$20, TRUE, False), 'Points-Table'!A$20,
        ISBETWEEN(AA41, 'Points-Table'!C$20, 'Points-Table'!C$21, TRUE, False), 'Points-Table'!A$21,
        ISBETWEEN(AA41, 'Points-Table'!C$22, 10000, TRUE, "&amp;"TRUE), 'Points-Table'!A$22,
        true, 
        0)
      "),"S")</f>
        <v>S</v>
      </c>
      <c r="AC41" s="3" t="s">
        <v>29</v>
      </c>
      <c r="AD41" s="3" t="s">
        <v>29</v>
      </c>
      <c r="AE41" s="3" t="s">
        <v>29</v>
      </c>
    </row>
    <row r="42" ht="24.75" customHeight="1">
      <c r="A42" s="3" t="s">
        <v>86</v>
      </c>
      <c r="B42" s="3" t="s">
        <v>89</v>
      </c>
      <c r="C42" s="3"/>
      <c r="D42" s="3"/>
      <c r="E42" s="3"/>
      <c r="F42" s="3"/>
      <c r="G42" s="3"/>
      <c r="H42" s="3"/>
      <c r="I42" s="3"/>
      <c r="J42" s="3"/>
      <c r="K42" s="3" t="s">
        <v>27</v>
      </c>
      <c r="L42" s="3" t="s">
        <v>28</v>
      </c>
      <c r="M42" s="3"/>
      <c r="N42" s="3"/>
      <c r="O42" s="3"/>
      <c r="P42" s="3"/>
      <c r="Q42" s="4">
        <v>2.0</v>
      </c>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1</v>
      </c>
      <c r="S42" s="4">
        <v>2.0</v>
      </c>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1</v>
      </c>
      <c r="U42" s="4">
        <v>5.0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4</v>
      </c>
      <c r="W42" s="4">
        <v>3.0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2</v>
      </c>
      <c r="Y42" s="4">
        <v>5.0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4</v>
      </c>
      <c r="AA42" s="3">
        <f t="shared" si="2"/>
        <v>10</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86</v>
      </c>
      <c r="B43" s="3" t="s">
        <v>90</v>
      </c>
      <c r="C43" s="3"/>
      <c r="D43" s="3" t="s">
        <v>91</v>
      </c>
      <c r="E43" s="3"/>
      <c r="F43" s="3"/>
      <c r="G43" s="3"/>
      <c r="H43" s="3"/>
      <c r="I43" s="3"/>
      <c r="J43" s="3"/>
      <c r="K43" s="3" t="s">
        <v>27</v>
      </c>
      <c r="L43" s="3" t="s">
        <v>28</v>
      </c>
      <c r="M43" s="3"/>
      <c r="N43" s="3"/>
      <c r="O43" s="3"/>
      <c r="P43" s="3"/>
      <c r="Q43" s="4">
        <v>2.0</v>
      </c>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1</v>
      </c>
      <c r="S43" s="4">
        <v>2.0</v>
      </c>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1</v>
      </c>
      <c r="U43" s="4">
        <v>5.0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4</v>
      </c>
      <c r="W43" s="4">
        <v>3.0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2</v>
      </c>
      <c r="Y43" s="4">
        <v>5.0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4</v>
      </c>
      <c r="AA43" s="3">
        <f t="shared" si="2"/>
        <v>10</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86</v>
      </c>
      <c r="B44" s="3" t="s">
        <v>92</v>
      </c>
      <c r="C44" s="3"/>
      <c r="D44" s="3" t="s">
        <v>91</v>
      </c>
      <c r="E44" s="3"/>
      <c r="F44" s="3"/>
      <c r="G44" s="3"/>
      <c r="H44" s="3"/>
      <c r="I44" s="3"/>
      <c r="J44" s="3"/>
      <c r="K44" s="3" t="s">
        <v>27</v>
      </c>
      <c r="L44" s="3" t="s">
        <v>28</v>
      </c>
      <c r="M44" s="3"/>
      <c r="N44" s="3"/>
      <c r="O44" s="3"/>
      <c r="P44" s="3"/>
      <c r="Q44" s="4">
        <v>1.0</v>
      </c>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0.5</v>
      </c>
      <c r="S44" s="4">
        <v>1.0</v>
      </c>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0.5</v>
      </c>
      <c r="U44" s="4">
        <v>5.0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4</v>
      </c>
      <c r="W44" s="4">
        <v>3.0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2</v>
      </c>
      <c r="Y44" s="4">
        <v>5.0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4</v>
      </c>
      <c r="AA44" s="3">
        <f t="shared" si="2"/>
        <v>10</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3" t="s">
        <v>86</v>
      </c>
      <c r="B45" s="3" t="s">
        <v>93</v>
      </c>
      <c r="C45" s="3"/>
      <c r="D45" s="3" t="s">
        <v>91</v>
      </c>
      <c r="E45" s="3"/>
      <c r="F45" s="3"/>
      <c r="G45" s="3"/>
      <c r="H45" s="3"/>
      <c r="I45" s="3"/>
      <c r="J45" s="3"/>
      <c r="K45" s="3" t="s">
        <v>27</v>
      </c>
      <c r="L45" s="3" t="s">
        <v>28</v>
      </c>
      <c r="M45" s="3"/>
      <c r="N45" s="3"/>
      <c r="O45" s="3"/>
      <c r="P45" s="3"/>
      <c r="Q45" s="4">
        <v>1.0</v>
      </c>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0.5</v>
      </c>
      <c r="S45" s="4">
        <v>1.0</v>
      </c>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0.5</v>
      </c>
      <c r="U45" s="4">
        <v>3.0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2</v>
      </c>
      <c r="W45" s="4">
        <v>3.0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2</v>
      </c>
      <c r="Y45" s="4">
        <v>5.0</v>
      </c>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4</v>
      </c>
      <c r="AA45" s="3">
        <f t="shared" si="2"/>
        <v>8</v>
      </c>
      <c r="AB45" s="3" t="str">
        <f>IFERROR(__xludf.DUMMYFUNCTION("
      Ifs( 
        ISBETWEEN(AA45, 0, 'Points-Table'!C$20, TRUE, False), 'Points-Table'!A$20,
        ISBETWEEN(AA45, 'Points-Table'!C$20, 'Points-Table'!C$21, TRUE, False), 'Points-Table'!A$21,
        ISBETWEEN(AA45, 'Points-Table'!C$22, 10000, TRUE, "&amp;"TRUE), 'Points-Table'!A$22,
        true, 
        0)
      "),"S")</f>
        <v>S</v>
      </c>
      <c r="AC45" s="3" t="s">
        <v>29</v>
      </c>
      <c r="AD45" s="3" t="s">
        <v>29</v>
      </c>
      <c r="AE45" s="3" t="s">
        <v>29</v>
      </c>
    </row>
    <row r="46" ht="24.75" customHeight="1">
      <c r="A46" s="3" t="s">
        <v>86</v>
      </c>
      <c r="B46" s="3" t="s">
        <v>94</v>
      </c>
      <c r="C46" s="3"/>
      <c r="D46" s="3"/>
      <c r="E46" s="3"/>
      <c r="F46" s="3"/>
      <c r="G46" s="3"/>
      <c r="H46" s="3"/>
      <c r="I46" s="3"/>
      <c r="J46" s="3"/>
      <c r="K46" s="3" t="s">
        <v>27</v>
      </c>
      <c r="L46" s="3" t="s">
        <v>28</v>
      </c>
      <c r="M46" s="3"/>
      <c r="N46" s="3"/>
      <c r="O46" s="3"/>
      <c r="P46" s="3"/>
      <c r="Q46" s="4">
        <v>1.0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0.5</v>
      </c>
      <c r="S46" s="4">
        <v>1.0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0.5</v>
      </c>
      <c r="U46" s="4">
        <v>5.0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4</v>
      </c>
      <c r="W46" s="4">
        <v>2.0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1</v>
      </c>
      <c r="Y46" s="4">
        <v>3.0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2</v>
      </c>
      <c r="AA46" s="3">
        <f t="shared" si="2"/>
        <v>7</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86</v>
      </c>
      <c r="B47" s="3" t="s">
        <v>95</v>
      </c>
      <c r="C47" s="3"/>
      <c r="D47" s="3"/>
      <c r="E47" s="3"/>
      <c r="F47" s="3"/>
      <c r="G47" s="3"/>
      <c r="H47" s="3"/>
      <c r="I47" s="3"/>
      <c r="J47" s="3"/>
      <c r="K47" s="3" t="s">
        <v>27</v>
      </c>
      <c r="L47" s="3" t="s">
        <v>28</v>
      </c>
      <c r="M47" s="3"/>
      <c r="N47" s="3"/>
      <c r="O47" s="3"/>
      <c r="P47" s="3"/>
      <c r="Q47" s="4"/>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5.0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4</v>
      </c>
      <c r="W47" s="4">
        <v>13.0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11</v>
      </c>
      <c r="Y47" s="4">
        <v>8.0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7</v>
      </c>
      <c r="AA47" s="3">
        <f t="shared" si="2"/>
        <v>22</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86</v>
      </c>
      <c r="B48" s="3" t="s">
        <v>96</v>
      </c>
      <c r="C48" s="3"/>
      <c r="D48" s="3"/>
      <c r="E48" s="3"/>
      <c r="F48" s="3"/>
      <c r="G48" s="3"/>
      <c r="H48" s="3"/>
      <c r="I48" s="3"/>
      <c r="J48" s="3"/>
      <c r="K48" s="3" t="s">
        <v>27</v>
      </c>
      <c r="L48" s="3" t="s">
        <v>28</v>
      </c>
      <c r="M48" s="3"/>
      <c r="N48" s="3"/>
      <c r="O48" s="3"/>
      <c r="P48" s="3"/>
      <c r="Q48" s="4"/>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5.0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4</v>
      </c>
      <c r="W48" s="4">
        <v>0.0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0</v>
      </c>
      <c r="Y48" s="4">
        <v>5.0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4</v>
      </c>
      <c r="AA48" s="3">
        <f t="shared" si="2"/>
        <v>8</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86</v>
      </c>
      <c r="B49" s="3" t="s">
        <v>97</v>
      </c>
      <c r="C49" s="3"/>
      <c r="D49" s="3" t="s">
        <v>98</v>
      </c>
      <c r="E49" s="3"/>
      <c r="F49" s="3" t="s">
        <v>99</v>
      </c>
      <c r="G49" s="3"/>
      <c r="H49" s="3"/>
      <c r="I49" s="3"/>
      <c r="J49" s="3"/>
      <c r="K49" s="3" t="s">
        <v>27</v>
      </c>
      <c r="L49" s="3" t="s">
        <v>28</v>
      </c>
      <c r="M49" s="3"/>
      <c r="N49" s="3"/>
      <c r="O49" s="3"/>
      <c r="P49" s="3"/>
      <c r="Q49" s="4"/>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2.0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1</v>
      </c>
      <c r="W49" s="4">
        <v>2.0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1</v>
      </c>
      <c r="Y49" s="4">
        <v>8.0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7</v>
      </c>
      <c r="AA49" s="3">
        <f t="shared" si="2"/>
        <v>9</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6" t="s">
        <v>86</v>
      </c>
      <c r="B50" s="6" t="s">
        <v>100</v>
      </c>
      <c r="C50" s="6"/>
      <c r="D50" s="6"/>
      <c r="E50" s="6"/>
      <c r="F50" s="6"/>
      <c r="G50" s="6"/>
      <c r="H50" s="6"/>
      <c r="I50" s="6"/>
      <c r="J50" s="6"/>
      <c r="K50" s="6" t="s">
        <v>27</v>
      </c>
      <c r="L50" s="6" t="s">
        <v>28</v>
      </c>
      <c r="M50" s="6"/>
      <c r="N50" s="6"/>
      <c r="O50" s="6"/>
      <c r="P50" s="6"/>
      <c r="Q50" s="6"/>
      <c r="R50" s="6">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v>
      </c>
      <c r="S50" s="6"/>
      <c r="T50" s="6">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v>
      </c>
      <c r="U50" s="6">
        <v>5.0</v>
      </c>
      <c r="V50" s="6">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4</v>
      </c>
      <c r="W50" s="6">
        <v>3.0</v>
      </c>
      <c r="X50" s="6">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2</v>
      </c>
      <c r="Y50" s="6">
        <v>5.0</v>
      </c>
      <c r="Z50" s="6">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4</v>
      </c>
      <c r="AA50" s="6">
        <f t="shared" si="2"/>
        <v>10</v>
      </c>
      <c r="AB50" s="6" t="str">
        <f>IFERROR(__xludf.DUMMYFUNCTION("
      Ifs( 
        ISBETWEEN(AA50, 0, 'Points-Table'!C$20, TRUE, False), 'Points-Table'!A$20,
        ISBETWEEN(AA50, 'Points-Table'!C$20, 'Points-Table'!C$21, TRUE, False), 'Points-Table'!A$21,
        ISBETWEEN(AA50, 'Points-Table'!C$22, 10000, TRUE, "&amp;"TRUE), 'Points-Table'!A$22,
        true, 
        0)
      "),"S")</f>
        <v>S</v>
      </c>
      <c r="AC50" s="6" t="s">
        <v>29</v>
      </c>
      <c r="AD50" s="6" t="s">
        <v>29</v>
      </c>
      <c r="AE50" s="6" t="s">
        <v>29</v>
      </c>
    </row>
    <row r="51" ht="24.75" customHeight="1">
      <c r="A51" s="6" t="s">
        <v>101</v>
      </c>
      <c r="B51" s="6" t="s">
        <v>102</v>
      </c>
      <c r="C51" s="6"/>
      <c r="D51" s="6" t="s">
        <v>103</v>
      </c>
      <c r="E51" s="6"/>
      <c r="F51" s="6"/>
      <c r="G51" s="6"/>
      <c r="H51" s="6"/>
      <c r="I51" s="6"/>
      <c r="J51" s="6"/>
      <c r="K51" s="6" t="s">
        <v>27</v>
      </c>
      <c r="L51" s="6" t="s">
        <v>28</v>
      </c>
      <c r="M51" s="6"/>
      <c r="N51" s="6"/>
      <c r="O51" s="6"/>
      <c r="P51" s="6"/>
      <c r="Q51" s="6">
        <v>1.0</v>
      </c>
      <c r="R51" s="6">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0.5</v>
      </c>
      <c r="S51" s="6">
        <v>3.0</v>
      </c>
      <c r="T51" s="6">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2</v>
      </c>
      <c r="U51" s="6">
        <v>2.0</v>
      </c>
      <c r="V51" s="6">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1</v>
      </c>
      <c r="W51" s="6">
        <v>2.0</v>
      </c>
      <c r="X51" s="6">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1</v>
      </c>
      <c r="Y51" s="6">
        <v>13.0</v>
      </c>
      <c r="Z51" s="6">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11</v>
      </c>
      <c r="AA51" s="6">
        <f t="shared" si="2"/>
        <v>13</v>
      </c>
      <c r="AB51" s="6" t="str">
        <f>IFERROR(__xludf.DUMMYFUNCTION("
      Ifs( 
        ISBETWEEN(AA51, 0, 'Points-Table'!C$20, TRUE, False), 'Points-Table'!A$20,
        ISBETWEEN(AA51, 'Points-Table'!C$20, 'Points-Table'!C$21, TRUE, False), 'Points-Table'!A$21,
        ISBETWEEN(AA51, 'Points-Table'!C$22, 10000, TRUE, "&amp;"TRUE), 'Points-Table'!A$22,
        true, 
        0)
      "),"S")</f>
        <v>S</v>
      </c>
      <c r="AC51" s="6" t="s">
        <v>29</v>
      </c>
      <c r="AD51" s="6" t="s">
        <v>29</v>
      </c>
      <c r="AE51" s="6" t="s">
        <v>29</v>
      </c>
    </row>
    <row r="52" ht="24.75" customHeight="1">
      <c r="A52" s="6" t="s">
        <v>101</v>
      </c>
      <c r="B52" s="6" t="s">
        <v>104</v>
      </c>
      <c r="C52" s="6"/>
      <c r="D52" s="6" t="s">
        <v>105</v>
      </c>
      <c r="E52" s="6"/>
      <c r="F52" s="6"/>
      <c r="G52" s="6"/>
      <c r="H52" s="6"/>
      <c r="I52" s="6"/>
      <c r="J52" s="6"/>
      <c r="K52" s="6" t="s">
        <v>27</v>
      </c>
      <c r="L52" s="6" t="s">
        <v>28</v>
      </c>
      <c r="M52" s="6"/>
      <c r="N52" s="6"/>
      <c r="O52" s="6"/>
      <c r="P52" s="6"/>
      <c r="Q52" s="6">
        <v>1.0</v>
      </c>
      <c r="R52" s="6">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0.5</v>
      </c>
      <c r="S52" s="6">
        <v>3.0</v>
      </c>
      <c r="T52" s="6">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2</v>
      </c>
      <c r="U52" s="6">
        <v>3.0</v>
      </c>
      <c r="V52" s="6">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2</v>
      </c>
      <c r="W52" s="6">
        <v>1.0</v>
      </c>
      <c r="X52" s="6">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0.5</v>
      </c>
      <c r="Y52" s="6">
        <v>8.0</v>
      </c>
      <c r="Z52" s="6">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7</v>
      </c>
      <c r="AA52" s="6">
        <f t="shared" si="2"/>
        <v>9.5</v>
      </c>
      <c r="AB52" s="6" t="str">
        <f>IFERROR(__xludf.DUMMYFUNCTION("
      Ifs( 
        ISBETWEEN(AA52, 0, 'Points-Table'!C$20, TRUE, False), 'Points-Table'!A$20,
        ISBETWEEN(AA52, 'Points-Table'!C$20, 'Points-Table'!C$21, TRUE, False), 'Points-Table'!A$21,
        ISBETWEEN(AA52, 'Points-Table'!C$22, 10000, TRUE, "&amp;"TRUE), 'Points-Table'!A$22,
        true, 
        0)
      "),"S")</f>
        <v>S</v>
      </c>
      <c r="AC52" s="6" t="s">
        <v>29</v>
      </c>
      <c r="AD52" s="6" t="s">
        <v>29</v>
      </c>
      <c r="AE52" s="6" t="s">
        <v>29</v>
      </c>
    </row>
    <row r="53" ht="24.75" customHeight="1">
      <c r="A53" s="3" t="s">
        <v>106</v>
      </c>
      <c r="B53" s="3"/>
      <c r="C53" s="3"/>
      <c r="D53" s="3" t="s">
        <v>107</v>
      </c>
      <c r="E53" s="3"/>
      <c r="F53" s="3"/>
      <c r="G53" s="3"/>
      <c r="H53" s="3"/>
      <c r="I53" s="3"/>
      <c r="J53" s="3"/>
      <c r="K53" s="3" t="s">
        <v>27</v>
      </c>
      <c r="L53" s="3" t="s">
        <v>28</v>
      </c>
      <c r="M53" s="3"/>
      <c r="N53" s="3"/>
      <c r="O53" s="3"/>
      <c r="P53" s="3"/>
      <c r="Q53" s="4">
        <v>2.0</v>
      </c>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1</v>
      </c>
      <c r="S53" s="4">
        <v>2.0</v>
      </c>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1</v>
      </c>
      <c r="U53" s="4">
        <v>3.0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2</v>
      </c>
      <c r="W53" s="4">
        <v>2.0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1</v>
      </c>
      <c r="Y53" s="4">
        <v>3.0</v>
      </c>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2</v>
      </c>
      <c r="AA53" s="3">
        <f t="shared" si="2"/>
        <v>5</v>
      </c>
      <c r="AB53" s="3" t="str">
        <f>IFERROR(__xludf.DUMMYFUNCTION("
      Ifs( 
        ISBETWEEN(AA53, 0, 'Points-Table'!C$20, TRUE, False), 'Points-Table'!A$20,
        ISBETWEEN(AA53, 'Points-Table'!C$20, 'Points-Table'!C$21, TRUE, False), 'Points-Table'!A$21,
        ISBETWEEN(AA53, 'Points-Table'!C$22, 10000, TRUE, "&amp;"TRUE), 'Points-Table'!A$22,
        true, 
        0)
      "),"S")</f>
        <v>S</v>
      </c>
      <c r="AC53" s="3" t="s">
        <v>29</v>
      </c>
      <c r="AD53" s="3" t="s">
        <v>29</v>
      </c>
      <c r="AE53" s="3" t="s">
        <v>29</v>
      </c>
    </row>
    <row r="54" ht="24.75" customHeight="1">
      <c r="A54" s="3" t="s">
        <v>108</v>
      </c>
      <c r="B54" s="3"/>
      <c r="C54" s="3"/>
      <c r="D54" s="3" t="s">
        <v>109</v>
      </c>
      <c r="E54" s="3"/>
      <c r="F54" s="3" t="s">
        <v>110</v>
      </c>
      <c r="G54" s="3"/>
      <c r="H54" s="3"/>
      <c r="I54" s="3"/>
      <c r="J54" s="3"/>
      <c r="K54" s="3" t="s">
        <v>27</v>
      </c>
      <c r="L54" s="3" t="s">
        <v>28</v>
      </c>
      <c r="M54" s="3"/>
      <c r="N54" s="3"/>
      <c r="O54" s="3"/>
      <c r="P54" s="3"/>
      <c r="Q54" s="4">
        <v>3.0</v>
      </c>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2</v>
      </c>
      <c r="S54" s="4">
        <v>3.0</v>
      </c>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2</v>
      </c>
      <c r="U54" s="4">
        <v>8.0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7</v>
      </c>
      <c r="W54" s="4">
        <v>5.0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4</v>
      </c>
      <c r="Y54" s="4">
        <v>8.0</v>
      </c>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7</v>
      </c>
      <c r="AA54" s="3">
        <f t="shared" si="2"/>
        <v>18</v>
      </c>
      <c r="AB54" s="3" t="str">
        <f>IFERROR(__xludf.DUMMYFUNCTION("
      Ifs( 
        ISBETWEEN(AA54, 0, 'Points-Table'!C$20, TRUE, False), 'Points-Table'!A$20,
        ISBETWEEN(AA54, 'Points-Table'!C$20, 'Points-Table'!C$21, TRUE, False), 'Points-Table'!A$21,
        ISBETWEEN(AA54, 'Points-Table'!C$22, 10000, TRUE, "&amp;"TRUE), 'Points-Table'!A$22,
        true, 
        0)
      "),"S")</f>
        <v>S</v>
      </c>
      <c r="AC54" s="3" t="s">
        <v>29</v>
      </c>
      <c r="AD54" s="3" t="s">
        <v>29</v>
      </c>
      <c r="AE54" s="3" t="s">
        <v>29</v>
      </c>
    </row>
    <row r="55" ht="24.75" customHeight="1">
      <c r="A55" s="3" t="s">
        <v>111</v>
      </c>
      <c r="B55" s="3"/>
      <c r="C55" s="3"/>
      <c r="D55" s="3"/>
      <c r="E55" s="3"/>
      <c r="F55" s="3"/>
      <c r="G55" s="3"/>
      <c r="H55" s="3"/>
      <c r="I55" s="3"/>
      <c r="J55" s="3"/>
      <c r="K55" s="3" t="s">
        <v>27</v>
      </c>
      <c r="L55" s="3" t="s">
        <v>28</v>
      </c>
      <c r="M55" s="3"/>
      <c r="N55" s="3"/>
      <c r="O55" s="3"/>
      <c r="P55" s="3"/>
      <c r="Q55" s="4"/>
      <c r="R55" s="5">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4"/>
      <c r="T55" s="5">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4">
        <v>1.0</v>
      </c>
      <c r="V55" s="5">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0.5</v>
      </c>
      <c r="W55" s="4">
        <v>1.0</v>
      </c>
      <c r="X55" s="5">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0.5</v>
      </c>
      <c r="Y55" s="4">
        <v>0.0</v>
      </c>
      <c r="Z55" s="5">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0</v>
      </c>
      <c r="AA55" s="3">
        <f t="shared" si="2"/>
        <v>1</v>
      </c>
      <c r="AB55" s="3" t="str">
        <f>IFERROR(__xludf.DUMMYFUNCTION("
      Ifs( 
        ISBETWEEN(AA55, 0, 'Points-Table'!C$20, TRUE, False), 'Points-Table'!A$20,
        ISBETWEEN(AA55, 'Points-Table'!C$20, 'Points-Table'!C$21, TRUE, False), 'Points-Table'!A$21,
        ISBETWEEN(AA55, 'Points-Table'!C$22, 10000, TRUE, "&amp;"TRUE), 'Points-Table'!A$22,
        true, 
        0)
      "),"S")</f>
        <v>S</v>
      </c>
      <c r="AC55" s="3" t="s">
        <v>29</v>
      </c>
      <c r="AD55" s="3" t="s">
        <v>29</v>
      </c>
      <c r="AE55" s="3" t="s">
        <v>29</v>
      </c>
    </row>
    <row r="56" ht="24.75" customHeight="1">
      <c r="A56" s="3" t="s">
        <v>112</v>
      </c>
      <c r="B56" s="3"/>
      <c r="C56" s="3"/>
      <c r="D56" s="3"/>
      <c r="E56" s="3"/>
      <c r="F56" s="3" t="s">
        <v>113</v>
      </c>
      <c r="G56" s="3"/>
      <c r="H56" s="3"/>
      <c r="I56" s="3"/>
      <c r="J56" s="3"/>
      <c r="K56" s="3" t="s">
        <v>27</v>
      </c>
      <c r="L56" s="3" t="s">
        <v>28</v>
      </c>
      <c r="M56" s="3"/>
      <c r="N56" s="3"/>
      <c r="O56" s="3"/>
      <c r="P56" s="3"/>
      <c r="Q56" s="4">
        <v>0.0</v>
      </c>
      <c r="R56" s="5">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4">
        <v>0.0</v>
      </c>
      <c r="T56" s="5">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4">
        <v>0.0</v>
      </c>
      <c r="V56" s="5">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0</v>
      </c>
      <c r="W56" s="4">
        <v>34.0</v>
      </c>
      <c r="X56" s="5">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24</v>
      </c>
      <c r="Y56" s="4">
        <v>0.0</v>
      </c>
      <c r="Z56" s="5">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0</v>
      </c>
      <c r="AA56" s="3">
        <f t="shared" si="2"/>
        <v>24</v>
      </c>
      <c r="AB56" s="3" t="str">
        <f>IFERROR(__xludf.DUMMYFUNCTION("
      Ifs( 
        ISBETWEEN(AA56, 0, 'Points-Table'!C$20, TRUE, False), 'Points-Table'!A$20,
        ISBETWEEN(AA56, 'Points-Table'!C$20, 'Points-Table'!C$21, TRUE, False), 'Points-Table'!A$21,
        ISBETWEEN(AA56, 'Points-Table'!C$22, 10000, TRUE, "&amp;"TRUE), 'Points-Table'!A$22,
        true, 
        0)
      "),"S")</f>
        <v>S</v>
      </c>
      <c r="AC56" s="3" t="s">
        <v>29</v>
      </c>
      <c r="AD56" s="3" t="s">
        <v>29</v>
      </c>
      <c r="AE56" s="3" t="s">
        <v>29</v>
      </c>
    </row>
    <row r="57" ht="24.75" customHeight="1">
      <c r="A57" s="3" t="s">
        <v>114</v>
      </c>
      <c r="B57" s="3"/>
      <c r="C57" s="3"/>
      <c r="D57" s="3"/>
      <c r="E57" s="3"/>
      <c r="F57" s="3"/>
      <c r="G57" s="3"/>
      <c r="H57" s="3"/>
      <c r="I57" s="3"/>
      <c r="J57" s="3"/>
      <c r="K57" s="3" t="s">
        <v>27</v>
      </c>
      <c r="L57" s="3" t="s">
        <v>28</v>
      </c>
      <c r="M57" s="3"/>
      <c r="N57" s="3"/>
      <c r="O57" s="3"/>
      <c r="P57" s="3"/>
      <c r="Q57" s="4">
        <v>13.0</v>
      </c>
      <c r="R57" s="5">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11</v>
      </c>
      <c r="S57" s="4">
        <v>34.0</v>
      </c>
      <c r="T57" s="5">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24</v>
      </c>
      <c r="U57" s="4">
        <v>21.0</v>
      </c>
      <c r="V57" s="5">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16</v>
      </c>
      <c r="W57" s="4">
        <v>0.0</v>
      </c>
      <c r="X57" s="5">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0</v>
      </c>
      <c r="Y57" s="4">
        <v>0.0</v>
      </c>
      <c r="Z57" s="5">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0</v>
      </c>
      <c r="AA57" s="3">
        <f t="shared" si="2"/>
        <v>16</v>
      </c>
      <c r="AB57" s="3" t="str">
        <f>IFERROR(__xludf.DUMMYFUNCTION("
      Ifs( 
        ISBETWEEN(AA57, 0, 'Points-Table'!C$20, TRUE, False), 'Points-Table'!A$20,
        ISBETWEEN(AA57, 'Points-Table'!C$20, 'Points-Table'!C$21, TRUE, False), 'Points-Table'!A$21,
        ISBETWEEN(AA57, 'Points-Table'!C$22, 10000, TRUE, "&amp;"TRUE), 'Points-Table'!A$22,
        true, 
        0)
      "),"S")</f>
        <v>S</v>
      </c>
      <c r="AC57" s="3" t="s">
        <v>29</v>
      </c>
      <c r="AD57" s="3" t="s">
        <v>29</v>
      </c>
      <c r="AE57" s="3" t="s">
        <v>29</v>
      </c>
    </row>
    <row r="58" ht="24.75" customHeight="1">
      <c r="A58" s="3" t="s">
        <v>115</v>
      </c>
      <c r="B58" s="3"/>
      <c r="C58" s="3"/>
      <c r="D58" s="3"/>
      <c r="E58" s="3"/>
      <c r="F58" s="3"/>
      <c r="G58" s="3"/>
      <c r="H58" s="3"/>
      <c r="I58" s="3"/>
      <c r="J58" s="3"/>
      <c r="K58" s="3" t="s">
        <v>27</v>
      </c>
      <c r="L58" s="3" t="s">
        <v>28</v>
      </c>
      <c r="M58" s="3"/>
      <c r="N58" s="3"/>
      <c r="O58" s="3"/>
      <c r="P58" s="3"/>
      <c r="Q58" s="4">
        <v>5.0</v>
      </c>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4</v>
      </c>
      <c r="S58" s="4">
        <v>55.0</v>
      </c>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40</v>
      </c>
      <c r="U58" s="4">
        <v>21.0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16</v>
      </c>
      <c r="W58" s="4">
        <v>0.0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0</v>
      </c>
      <c r="Y58" s="4">
        <v>0.0</v>
      </c>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0</v>
      </c>
      <c r="AA58" s="3">
        <f t="shared" si="2"/>
        <v>16</v>
      </c>
      <c r="AB58" s="3" t="str">
        <f>IFERROR(__xludf.DUMMYFUNCTION("
      Ifs( 
        ISBETWEEN(AA58, 0, 'Points-Table'!C$20, TRUE, False), 'Points-Table'!A$20,
        ISBETWEEN(AA58, 'Points-Table'!C$20, 'Points-Table'!C$21, TRUE, False), 'Points-Table'!A$21,
        ISBETWEEN(AA58, 'Points-Table'!C$22, 10000, TRUE, "&amp;"TRUE), 'Points-Table'!A$22,
        true, 
        0)
      "),"S")</f>
        <v>S</v>
      </c>
      <c r="AC58" s="3" t="s">
        <v>29</v>
      </c>
      <c r="AD58" s="3" t="s">
        <v>29</v>
      </c>
      <c r="AE58" s="3" t="s">
        <v>29</v>
      </c>
    </row>
    <row r="59" ht="24.75" customHeight="1">
      <c r="A59" s="6" t="s">
        <v>116</v>
      </c>
      <c r="B59" s="6"/>
      <c r="C59" s="6"/>
      <c r="D59" s="6"/>
      <c r="E59" s="6"/>
      <c r="F59" s="6"/>
      <c r="G59" s="6"/>
      <c r="H59" s="6"/>
      <c r="I59" s="6"/>
      <c r="J59" s="6"/>
      <c r="K59" s="6" t="s">
        <v>27</v>
      </c>
      <c r="L59" s="6" t="s">
        <v>28</v>
      </c>
      <c r="M59" s="6"/>
      <c r="N59" s="6"/>
      <c r="O59" s="6"/>
      <c r="P59" s="6"/>
      <c r="Q59" s="6"/>
      <c r="R59" s="6">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6"/>
      <c r="T59" s="6">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6"/>
      <c r="V59" s="6">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0</v>
      </c>
      <c r="W59" s="6"/>
      <c r="X59" s="6">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0</v>
      </c>
      <c r="Y59" s="6"/>
      <c r="Z59" s="6">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0</v>
      </c>
      <c r="AA59" s="6">
        <f t="shared" si="2"/>
        <v>0</v>
      </c>
      <c r="AB59" s="6" t="str">
        <f>IFERROR(__xludf.DUMMYFUNCTION("
      Ifs( 
        ISBETWEEN(AA59, 0, 'Points-Table'!C$20, TRUE, False), 'Points-Table'!A$20,
        ISBETWEEN(AA59, 'Points-Table'!C$20, 'Points-Table'!C$21, TRUE, False), 'Points-Table'!A$21,
        ISBETWEEN(AA59, 'Points-Table'!C$22, 10000, TRUE, "&amp;"TRUE), 'Points-Table'!A$22,
        true, 
        0)
      "),"S")</f>
        <v>S</v>
      </c>
      <c r="AC59" s="6" t="s">
        <v>29</v>
      </c>
      <c r="AD59" s="6" t="s">
        <v>29</v>
      </c>
      <c r="AE59" s="6" t="s">
        <v>29</v>
      </c>
    </row>
    <row r="60" ht="24.75" customHeight="1">
      <c r="A60" s="6" t="s">
        <v>117</v>
      </c>
      <c r="B60" s="6" t="s">
        <v>118</v>
      </c>
      <c r="C60" s="6"/>
      <c r="D60" s="6"/>
      <c r="E60" s="6"/>
      <c r="F60" s="6"/>
      <c r="G60" s="6"/>
      <c r="H60" s="6"/>
      <c r="I60" s="6"/>
      <c r="J60" s="6"/>
      <c r="K60" s="6" t="s">
        <v>27</v>
      </c>
      <c r="L60" s="6" t="s">
        <v>28</v>
      </c>
      <c r="M60" s="6"/>
      <c r="N60" s="6"/>
      <c r="O60" s="6"/>
      <c r="P60" s="6"/>
      <c r="Q60" s="6">
        <v>21.0</v>
      </c>
      <c r="R60" s="6">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16</v>
      </c>
      <c r="S60" s="6"/>
      <c r="T60" s="6">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v>
      </c>
      <c r="U60" s="6">
        <v>0.0</v>
      </c>
      <c r="V60" s="6">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0</v>
      </c>
      <c r="W60" s="6">
        <v>0.0</v>
      </c>
      <c r="X60" s="6">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0</v>
      </c>
      <c r="Y60" s="6">
        <v>0.0</v>
      </c>
      <c r="Z60" s="6">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0</v>
      </c>
      <c r="AA60" s="6">
        <f t="shared" si="2"/>
        <v>0</v>
      </c>
      <c r="AB60" s="6" t="str">
        <f>IFERROR(__xludf.DUMMYFUNCTION("
      Ifs( 
        ISBETWEEN(AA60, 0, 'Points-Table'!C$20, TRUE, False), 'Points-Table'!A$20,
        ISBETWEEN(AA60, 'Points-Table'!C$20, 'Points-Table'!C$21, TRUE, False), 'Points-Table'!A$21,
        ISBETWEEN(AA60, 'Points-Table'!C$22, 10000, TRUE, "&amp;"TRUE), 'Points-Table'!A$22,
        true, 
        0)
      "),"S")</f>
        <v>S</v>
      </c>
      <c r="AC60" s="6" t="s">
        <v>29</v>
      </c>
      <c r="AD60" s="6" t="s">
        <v>29</v>
      </c>
      <c r="AE60" s="6" t="s">
        <v>29</v>
      </c>
    </row>
    <row r="61" ht="24.75" customHeight="1">
      <c r="A61" s="6" t="s">
        <v>117</v>
      </c>
      <c r="B61" s="6" t="s">
        <v>119</v>
      </c>
      <c r="C61" s="6"/>
      <c r="D61" s="6"/>
      <c r="E61" s="6"/>
      <c r="F61" s="6"/>
      <c r="G61" s="6"/>
      <c r="H61" s="6"/>
      <c r="I61" s="6"/>
      <c r="J61" s="6"/>
      <c r="K61" s="6" t="s">
        <v>27</v>
      </c>
      <c r="L61" s="6" t="s">
        <v>28</v>
      </c>
      <c r="M61" s="6"/>
      <c r="N61" s="6"/>
      <c r="O61" s="6"/>
      <c r="P61" s="6"/>
      <c r="Q61" s="6">
        <v>21.0</v>
      </c>
      <c r="R61" s="6">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16</v>
      </c>
      <c r="S61" s="6"/>
      <c r="T61" s="6">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6">
        <v>0.0</v>
      </c>
      <c r="V61" s="6">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0</v>
      </c>
      <c r="W61" s="6">
        <v>0.0</v>
      </c>
      <c r="X61" s="6">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0</v>
      </c>
      <c r="Y61" s="6">
        <v>0.0</v>
      </c>
      <c r="Z61" s="6">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0</v>
      </c>
      <c r="AA61" s="6">
        <f t="shared" si="2"/>
        <v>0</v>
      </c>
      <c r="AB61" s="6" t="str">
        <f>IFERROR(__xludf.DUMMYFUNCTION("
      Ifs( 
        ISBETWEEN(AA61, 0, 'Points-Table'!C$20, TRUE, False), 'Points-Table'!A$20,
        ISBETWEEN(AA61, 'Points-Table'!C$20, 'Points-Table'!C$21, TRUE, False), 'Points-Table'!A$21,
        ISBETWEEN(AA61, 'Points-Table'!C$22, 10000, TRUE, "&amp;"TRUE), 'Points-Table'!A$22,
        true, 
        0)
      "),"S")</f>
        <v>S</v>
      </c>
      <c r="AC61" s="6" t="s">
        <v>29</v>
      </c>
      <c r="AD61" s="6" t="s">
        <v>29</v>
      </c>
      <c r="AE61" s="6" t="s">
        <v>29</v>
      </c>
    </row>
    <row r="62" ht="24.75" customHeight="1">
      <c r="A62" s="6" t="s">
        <v>117</v>
      </c>
      <c r="B62" s="6" t="s">
        <v>120</v>
      </c>
      <c r="C62" s="6"/>
      <c r="D62" s="6"/>
      <c r="E62" s="6"/>
      <c r="F62" s="6"/>
      <c r="G62" s="6"/>
      <c r="H62" s="6"/>
      <c r="I62" s="6"/>
      <c r="J62" s="6"/>
      <c r="K62" s="6" t="s">
        <v>27</v>
      </c>
      <c r="L62" s="6" t="s">
        <v>28</v>
      </c>
      <c r="M62" s="6"/>
      <c r="N62" s="6"/>
      <c r="O62" s="6"/>
      <c r="P62" s="6"/>
      <c r="Q62" s="6">
        <v>13.0</v>
      </c>
      <c r="R62" s="6">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11</v>
      </c>
      <c r="S62" s="6"/>
      <c r="T62" s="6">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6">
        <v>0.0</v>
      </c>
      <c r="V62" s="6">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0</v>
      </c>
      <c r="W62" s="6">
        <v>0.0</v>
      </c>
      <c r="X62" s="6">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0</v>
      </c>
      <c r="Y62" s="6">
        <v>0.0</v>
      </c>
      <c r="Z62" s="6">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0</v>
      </c>
      <c r="AA62" s="6">
        <f t="shared" si="2"/>
        <v>0</v>
      </c>
      <c r="AB62" s="6" t="str">
        <f>IFERROR(__xludf.DUMMYFUNCTION("
      Ifs( 
        ISBETWEEN(AA62, 0, 'Points-Table'!C$20, TRUE, False), 'Points-Table'!A$20,
        ISBETWEEN(AA62, 'Points-Table'!C$20, 'Points-Table'!C$21, TRUE, False), 'Points-Table'!A$21,
        ISBETWEEN(AA62, 'Points-Table'!C$22, 10000, TRUE, "&amp;"TRUE), 'Points-Table'!A$22,
        true, 
        0)
      "),"S")</f>
        <v>S</v>
      </c>
      <c r="AC62" s="6" t="s">
        <v>29</v>
      </c>
      <c r="AD62" s="6" t="s">
        <v>29</v>
      </c>
      <c r="AE62" s="6" t="s">
        <v>29</v>
      </c>
    </row>
    <row r="63" ht="24.75" customHeight="1">
      <c r="A63" s="6" t="s">
        <v>117</v>
      </c>
      <c r="B63" s="6" t="s">
        <v>121</v>
      </c>
      <c r="C63" s="6"/>
      <c r="D63" s="6"/>
      <c r="E63" s="6"/>
      <c r="F63" s="6"/>
      <c r="G63" s="6"/>
      <c r="H63" s="6"/>
      <c r="I63" s="6"/>
      <c r="J63" s="6"/>
      <c r="K63" s="6" t="s">
        <v>27</v>
      </c>
      <c r="L63" s="6" t="s">
        <v>28</v>
      </c>
      <c r="M63" s="6"/>
      <c r="N63" s="6"/>
      <c r="O63" s="6"/>
      <c r="P63" s="6"/>
      <c r="Q63" s="6">
        <v>13.0</v>
      </c>
      <c r="R63" s="6">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11</v>
      </c>
      <c r="S63" s="6"/>
      <c r="T63" s="6">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6">
        <v>0.0</v>
      </c>
      <c r="V63" s="6">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0</v>
      </c>
      <c r="W63" s="6">
        <v>0.0</v>
      </c>
      <c r="X63" s="6">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0</v>
      </c>
      <c r="Y63" s="6">
        <v>0.0</v>
      </c>
      <c r="Z63" s="6">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6">
        <f t="shared" si="2"/>
        <v>0</v>
      </c>
      <c r="AB63" s="6" t="str">
        <f>IFERROR(__xludf.DUMMYFUNCTION("
      Ifs( 
        ISBETWEEN(AA63, 0, 'Points-Table'!C$20, TRUE, False), 'Points-Table'!A$20,
        ISBETWEEN(AA63, 'Points-Table'!C$20, 'Points-Table'!C$21, TRUE, False), 'Points-Table'!A$21,
        ISBETWEEN(AA63, 'Points-Table'!C$22, 10000, TRUE, "&amp;"TRUE), 'Points-Table'!A$22,
        true, 
        0)
      "),"S")</f>
        <v>S</v>
      </c>
      <c r="AC63" s="6" t="s">
        <v>29</v>
      </c>
      <c r="AD63" s="6" t="s">
        <v>29</v>
      </c>
      <c r="AE63" s="6" t="s">
        <v>29</v>
      </c>
    </row>
    <row r="64" ht="24.75" customHeight="1">
      <c r="A64" s="6" t="s">
        <v>122</v>
      </c>
      <c r="B64" s="6"/>
      <c r="C64" s="6"/>
      <c r="D64" s="6"/>
      <c r="E64" s="6"/>
      <c r="F64" s="6"/>
      <c r="G64" s="6"/>
      <c r="H64" s="6"/>
      <c r="I64" s="6"/>
      <c r="J64" s="6"/>
      <c r="K64" s="6" t="s">
        <v>27</v>
      </c>
      <c r="L64" s="6" t="s">
        <v>28</v>
      </c>
      <c r="M64" s="6"/>
      <c r="N64" s="6"/>
      <c r="O64" s="6"/>
      <c r="P64" s="6"/>
      <c r="Q64" s="6"/>
      <c r="R64" s="6">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6">
        <v>13.0</v>
      </c>
      <c r="T64" s="6">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11</v>
      </c>
      <c r="U64" s="6">
        <v>0.0</v>
      </c>
      <c r="V64" s="6">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0</v>
      </c>
      <c r="W64" s="6">
        <v>0.0</v>
      </c>
      <c r="X64" s="6">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0</v>
      </c>
      <c r="Y64" s="6">
        <v>0.0</v>
      </c>
      <c r="Z64" s="6">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0</v>
      </c>
      <c r="AA64" s="6">
        <f t="shared" si="2"/>
        <v>0</v>
      </c>
      <c r="AB64" s="6" t="str">
        <f>IFERROR(__xludf.DUMMYFUNCTION("
      Ifs( 
        ISBETWEEN(AA64, 0, 'Points-Table'!C$20, TRUE, False), 'Points-Table'!A$20,
        ISBETWEEN(AA64, 'Points-Table'!C$20, 'Points-Table'!C$21, TRUE, False), 'Points-Table'!A$21,
        ISBETWEEN(AA64, 'Points-Table'!C$22, 10000, TRUE, "&amp;"TRUE), 'Points-Table'!A$22,
        true, 
        0)
      "),"S")</f>
        <v>S</v>
      </c>
      <c r="AC64" s="6" t="s">
        <v>29</v>
      </c>
      <c r="AD64" s="6" t="s">
        <v>29</v>
      </c>
      <c r="AE64" s="6" t="s">
        <v>29</v>
      </c>
    </row>
    <row r="65" ht="24.75" customHeight="1">
      <c r="A65" s="6" t="s">
        <v>123</v>
      </c>
      <c r="B65" s="6"/>
      <c r="C65" s="6"/>
      <c r="D65" s="6"/>
      <c r="E65" s="6"/>
      <c r="F65" s="6"/>
      <c r="G65" s="6"/>
      <c r="H65" s="6"/>
      <c r="I65" s="6"/>
      <c r="J65" s="6"/>
      <c r="K65" s="6" t="s">
        <v>27</v>
      </c>
      <c r="L65" s="6" t="s">
        <v>28</v>
      </c>
      <c r="M65" s="6"/>
      <c r="N65" s="6"/>
      <c r="O65" s="6"/>
      <c r="P65" s="6"/>
      <c r="Q65" s="6"/>
      <c r="R65" s="6">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6">
        <v>34.0</v>
      </c>
      <c r="T65" s="6">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24</v>
      </c>
      <c r="U65" s="6">
        <v>0.0</v>
      </c>
      <c r="V65" s="6">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0</v>
      </c>
      <c r="W65" s="6">
        <v>0.0</v>
      </c>
      <c r="X65" s="6">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0</v>
      </c>
      <c r="Y65" s="6">
        <v>0.0</v>
      </c>
      <c r="Z65" s="6">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0</v>
      </c>
      <c r="AA65" s="6">
        <f t="shared" si="2"/>
        <v>0</v>
      </c>
      <c r="AB65" s="6" t="str">
        <f>IFERROR(__xludf.DUMMYFUNCTION("
      Ifs( 
        ISBETWEEN(AA65, 0, 'Points-Table'!C$20, TRUE, False), 'Points-Table'!A$20,
        ISBETWEEN(AA65, 'Points-Table'!C$20, 'Points-Table'!C$21, TRUE, False), 'Points-Table'!A$21,
        ISBETWEEN(AA65, 'Points-Table'!C$22, 10000, TRUE, "&amp;"TRUE), 'Points-Table'!A$22,
        true, 
        0)
      "),"S")</f>
        <v>S</v>
      </c>
      <c r="AC65" s="6" t="s">
        <v>29</v>
      </c>
      <c r="AD65" s="6" t="s">
        <v>29</v>
      </c>
      <c r="AE65" s="6" t="s">
        <v>29</v>
      </c>
    </row>
    <row r="66" ht="24.75" customHeight="1">
      <c r="L66" s="7"/>
      <c r="Q66" s="8"/>
      <c r="R66" s="9"/>
      <c r="S66" s="8"/>
      <c r="T66" s="9"/>
      <c r="U66" s="8"/>
      <c r="V66" s="9"/>
      <c r="W66" s="8"/>
      <c r="X66" s="9"/>
      <c r="Y66" s="8"/>
      <c r="Z66" s="9"/>
    </row>
    <row r="67" ht="24.75" customHeight="1">
      <c r="L67" s="7"/>
      <c r="Q67" s="8"/>
      <c r="R67" s="9"/>
      <c r="S67" s="8"/>
      <c r="T67" s="9"/>
      <c r="U67" s="8"/>
      <c r="V67" s="9"/>
      <c r="W67" s="8"/>
      <c r="X67" s="9"/>
      <c r="Y67" s="8"/>
      <c r="Z67" s="9"/>
    </row>
    <row r="68" ht="24.75" customHeight="1">
      <c r="L68" s="7"/>
      <c r="Q68" s="8"/>
      <c r="R68" s="9"/>
      <c r="S68" s="8"/>
      <c r="T68" s="9"/>
      <c r="U68" s="8"/>
      <c r="V68" s="9"/>
      <c r="W68" s="8"/>
      <c r="X68" s="9"/>
      <c r="Y68" s="8"/>
      <c r="Z68" s="9"/>
    </row>
    <row r="69" ht="24.75" customHeight="1">
      <c r="L69" s="7"/>
      <c r="Q69" s="8"/>
      <c r="R69" s="9"/>
      <c r="S69" s="8"/>
      <c r="T69" s="9"/>
      <c r="U69" s="8"/>
      <c r="V69" s="9"/>
      <c r="W69" s="8"/>
      <c r="X69" s="9"/>
      <c r="Y69" s="8"/>
      <c r="Z69" s="9"/>
    </row>
    <row r="70" ht="24.75" customHeight="1">
      <c r="L70" s="7"/>
      <c r="Q70" s="8"/>
      <c r="R70" s="9"/>
      <c r="S70" s="8"/>
      <c r="T70" s="9"/>
      <c r="U70" s="8"/>
      <c r="V70" s="9"/>
      <c r="W70" s="8"/>
      <c r="X70" s="9"/>
      <c r="Y70" s="8"/>
      <c r="Z70" s="9"/>
    </row>
    <row r="71" ht="24.75" customHeight="1">
      <c r="L71" s="7"/>
      <c r="Q71" s="8"/>
      <c r="R71" s="9"/>
      <c r="S71" s="8"/>
      <c r="T71" s="9"/>
      <c r="U71" s="8"/>
      <c r="V71" s="9"/>
      <c r="W71" s="8"/>
      <c r="X71" s="9"/>
      <c r="Y71" s="8"/>
      <c r="Z71" s="9"/>
    </row>
    <row r="72" ht="24.75" customHeight="1">
      <c r="L72" s="7"/>
      <c r="Q72" s="8"/>
      <c r="R72" s="9"/>
      <c r="S72" s="8"/>
      <c r="T72" s="9"/>
      <c r="U72" s="8"/>
      <c r="V72" s="9"/>
      <c r="W72" s="8"/>
      <c r="X72" s="9"/>
      <c r="Y72" s="8"/>
      <c r="Z72" s="9"/>
    </row>
    <row r="73" ht="24.75" customHeight="1">
      <c r="L73" s="7"/>
      <c r="Q73" s="8"/>
      <c r="R73" s="9"/>
      <c r="S73" s="8"/>
      <c r="T73" s="9"/>
      <c r="U73" s="8"/>
      <c r="V73" s="9"/>
      <c r="W73" s="8"/>
      <c r="X73" s="9"/>
      <c r="Y73" s="8"/>
      <c r="Z73" s="9"/>
    </row>
    <row r="74" ht="24.75" customHeight="1">
      <c r="L74" s="7"/>
      <c r="Q74" s="8"/>
      <c r="R74" s="9"/>
      <c r="S74" s="8"/>
      <c r="T74" s="9"/>
      <c r="U74" s="8"/>
      <c r="V74" s="9"/>
      <c r="W74" s="8"/>
      <c r="X74" s="9"/>
      <c r="Y74" s="8"/>
      <c r="Z74" s="9"/>
    </row>
    <row r="75" ht="24.75" customHeight="1">
      <c r="L75" s="7"/>
      <c r="Q75" s="8"/>
      <c r="R75" s="9"/>
      <c r="S75" s="8"/>
      <c r="T75" s="9"/>
      <c r="U75" s="8"/>
      <c r="V75" s="9"/>
      <c r="W75" s="8"/>
      <c r="X75" s="9"/>
      <c r="Y75" s="8"/>
      <c r="Z75" s="9"/>
    </row>
    <row r="76" ht="24.75" customHeight="1">
      <c r="L76" s="7"/>
      <c r="Q76" s="8"/>
      <c r="R76" s="9"/>
      <c r="S76" s="8"/>
      <c r="T76" s="9"/>
      <c r="U76" s="8"/>
      <c r="V76" s="9"/>
      <c r="W76" s="8"/>
      <c r="X76" s="9"/>
      <c r="Y76" s="8"/>
      <c r="Z76" s="9"/>
    </row>
    <row r="77" ht="24.75" customHeight="1">
      <c r="L77" s="7"/>
      <c r="Q77" s="8"/>
      <c r="R77" s="9"/>
      <c r="S77" s="8"/>
      <c r="T77" s="9"/>
      <c r="U77" s="8"/>
      <c r="V77" s="9"/>
      <c r="W77" s="8"/>
      <c r="X77" s="9"/>
      <c r="Y77" s="8"/>
      <c r="Z77" s="9"/>
    </row>
    <row r="78" ht="24.75" customHeight="1">
      <c r="L78" s="7"/>
      <c r="Q78" s="8"/>
      <c r="R78" s="9"/>
      <c r="S78" s="8"/>
      <c r="T78" s="9"/>
      <c r="U78" s="8"/>
      <c r="V78" s="9"/>
      <c r="W78" s="8"/>
      <c r="X78" s="9"/>
      <c r="Y78" s="8"/>
      <c r="Z78" s="9"/>
    </row>
    <row r="79" ht="24.75" customHeight="1">
      <c r="L79" s="7"/>
      <c r="Q79" s="8"/>
      <c r="R79" s="9"/>
      <c r="S79" s="8"/>
      <c r="T79" s="9"/>
      <c r="U79" s="8"/>
      <c r="V79" s="9"/>
      <c r="W79" s="8"/>
      <c r="X79" s="9"/>
      <c r="Y79" s="8"/>
      <c r="Z79" s="9"/>
    </row>
    <row r="80" ht="24.75" customHeight="1">
      <c r="L80" s="7"/>
      <c r="Q80" s="8"/>
      <c r="R80" s="9"/>
      <c r="S80" s="8"/>
      <c r="T80" s="9"/>
      <c r="U80" s="8"/>
      <c r="V80" s="9"/>
      <c r="W80" s="8"/>
      <c r="X80" s="9"/>
      <c r="Y80" s="8"/>
      <c r="Z80" s="9"/>
    </row>
    <row r="81" ht="24.75" customHeight="1">
      <c r="L81" s="7"/>
      <c r="Q81" s="8"/>
      <c r="R81" s="9"/>
      <c r="S81" s="8"/>
      <c r="T81" s="9"/>
      <c r="U81" s="8"/>
      <c r="V81" s="9"/>
      <c r="W81" s="8"/>
      <c r="X81" s="9"/>
      <c r="Y81" s="8"/>
      <c r="Z81" s="9"/>
    </row>
    <row r="82" ht="24.75" customHeight="1">
      <c r="L82" s="7"/>
      <c r="Q82" s="8"/>
      <c r="R82" s="9"/>
      <c r="S82" s="8"/>
      <c r="T82" s="9"/>
      <c r="U82" s="8"/>
      <c r="V82" s="9"/>
      <c r="W82" s="8"/>
      <c r="X82" s="9"/>
      <c r="Y82" s="8"/>
      <c r="Z82" s="9"/>
    </row>
    <row r="83" ht="24.75" customHeight="1">
      <c r="L83" s="7"/>
      <c r="Q83" s="8"/>
      <c r="R83" s="9"/>
      <c r="S83" s="8"/>
      <c r="T83" s="9"/>
      <c r="U83" s="8"/>
      <c r="V83" s="9"/>
      <c r="W83" s="8"/>
      <c r="X83" s="9"/>
      <c r="Y83" s="8"/>
      <c r="Z83" s="9"/>
    </row>
    <row r="84" ht="24.75" customHeight="1">
      <c r="L84" s="7"/>
      <c r="Q84" s="8"/>
      <c r="R84" s="9"/>
      <c r="S84" s="8"/>
      <c r="T84" s="9"/>
      <c r="U84" s="8"/>
      <c r="V84" s="9"/>
      <c r="W84" s="8"/>
      <c r="X84" s="9"/>
      <c r="Y84" s="8"/>
      <c r="Z84" s="9"/>
    </row>
    <row r="85" ht="24.75" customHeight="1">
      <c r="L85" s="7"/>
      <c r="Q85" s="8"/>
      <c r="R85" s="9"/>
      <c r="S85" s="8"/>
      <c r="T85" s="9"/>
      <c r="U85" s="8"/>
      <c r="V85" s="9"/>
      <c r="W85" s="8"/>
      <c r="X85" s="9"/>
      <c r="Y85" s="8"/>
      <c r="Z85" s="9"/>
    </row>
    <row r="86" ht="24.75" customHeight="1">
      <c r="L86" s="7"/>
      <c r="Q86" s="8"/>
      <c r="R86" s="9"/>
      <c r="S86" s="8"/>
      <c r="T86" s="9"/>
      <c r="U86" s="8"/>
      <c r="V86" s="9"/>
      <c r="W86" s="8"/>
      <c r="X86" s="9"/>
      <c r="Y86" s="8"/>
      <c r="Z86" s="9"/>
    </row>
    <row r="87" ht="24.75" customHeight="1">
      <c r="L87" s="7"/>
      <c r="Q87" s="8"/>
      <c r="R87" s="9"/>
      <c r="S87" s="8"/>
      <c r="T87" s="9"/>
      <c r="U87" s="8"/>
      <c r="V87" s="9"/>
      <c r="W87" s="8"/>
      <c r="X87" s="9"/>
      <c r="Y87" s="8"/>
      <c r="Z87" s="9"/>
    </row>
    <row r="88" ht="24.75" customHeight="1">
      <c r="L88" s="7"/>
      <c r="Q88" s="8"/>
      <c r="R88" s="9"/>
      <c r="S88" s="8"/>
      <c r="T88" s="9"/>
      <c r="U88" s="8"/>
      <c r="V88" s="9"/>
      <c r="W88" s="8"/>
      <c r="X88" s="9"/>
      <c r="Y88" s="8"/>
      <c r="Z88" s="9"/>
    </row>
    <row r="89" ht="24.75" customHeight="1">
      <c r="L89" s="7"/>
      <c r="Q89" s="8"/>
      <c r="R89" s="9"/>
      <c r="S89" s="8"/>
      <c r="T89" s="9"/>
      <c r="U89" s="8"/>
      <c r="V89" s="9"/>
      <c r="W89" s="8"/>
      <c r="X89" s="9"/>
      <c r="Y89" s="8"/>
      <c r="Z89" s="9"/>
    </row>
    <row r="90" ht="24.75" customHeight="1">
      <c r="L90" s="7"/>
      <c r="Q90" s="8"/>
      <c r="R90" s="9"/>
      <c r="S90" s="8"/>
      <c r="T90" s="9"/>
      <c r="U90" s="8"/>
      <c r="V90" s="9"/>
      <c r="W90" s="8"/>
      <c r="X90" s="9"/>
      <c r="Y90" s="8"/>
      <c r="Z90" s="9"/>
    </row>
    <row r="91" ht="24.75" customHeight="1">
      <c r="L91" s="7"/>
      <c r="Q91" s="8"/>
      <c r="R91" s="9"/>
      <c r="S91" s="8"/>
      <c r="T91" s="9"/>
      <c r="U91" s="8"/>
      <c r="V91" s="9"/>
      <c r="W91" s="8"/>
      <c r="X91" s="9"/>
      <c r="Y91" s="8"/>
      <c r="Z91" s="9"/>
    </row>
    <row r="92" ht="24.75" customHeight="1">
      <c r="L92" s="7"/>
      <c r="Q92" s="8"/>
      <c r="R92" s="9"/>
      <c r="S92" s="8"/>
      <c r="T92" s="9"/>
      <c r="U92" s="8"/>
      <c r="V92" s="9"/>
      <c r="W92" s="8"/>
      <c r="X92" s="9"/>
      <c r="Y92" s="8"/>
      <c r="Z92" s="9"/>
    </row>
    <row r="93" ht="24.75" customHeight="1">
      <c r="L93" s="7"/>
      <c r="Q93" s="8"/>
      <c r="R93" s="9"/>
      <c r="S93" s="8"/>
      <c r="T93" s="9"/>
      <c r="U93" s="8"/>
      <c r="V93" s="9"/>
      <c r="W93" s="8"/>
      <c r="X93" s="9"/>
      <c r="Y93" s="8"/>
      <c r="Z93" s="9"/>
    </row>
    <row r="94" ht="24.75" customHeight="1">
      <c r="L94" s="7"/>
      <c r="Q94" s="8"/>
      <c r="R94" s="9"/>
      <c r="S94" s="8"/>
      <c r="T94" s="9"/>
      <c r="U94" s="8"/>
      <c r="V94" s="9"/>
      <c r="W94" s="8"/>
      <c r="X94" s="9"/>
      <c r="Y94" s="8"/>
      <c r="Z94" s="9"/>
    </row>
    <row r="95" ht="24.75" customHeight="1">
      <c r="L95" s="7"/>
      <c r="Q95" s="8"/>
      <c r="R95" s="9"/>
      <c r="S95" s="8"/>
      <c r="T95" s="9"/>
      <c r="U95" s="8"/>
      <c r="V95" s="9"/>
      <c r="W95" s="8"/>
      <c r="X95" s="9"/>
      <c r="Y95" s="8"/>
      <c r="Z95" s="9"/>
    </row>
    <row r="96" ht="24.75" customHeight="1">
      <c r="L96" s="7"/>
      <c r="Q96" s="8"/>
      <c r="R96" s="9"/>
      <c r="S96" s="8"/>
      <c r="T96" s="9"/>
      <c r="U96" s="8"/>
      <c r="V96" s="9"/>
      <c r="W96" s="8"/>
      <c r="X96" s="9"/>
      <c r="Y96" s="8"/>
      <c r="Z96" s="9"/>
    </row>
    <row r="97" ht="24.75" customHeight="1">
      <c r="L97" s="7"/>
      <c r="Q97" s="8"/>
      <c r="R97" s="9"/>
      <c r="S97" s="8"/>
      <c r="T97" s="9"/>
      <c r="U97" s="8"/>
      <c r="V97" s="9"/>
      <c r="W97" s="8"/>
      <c r="X97" s="9"/>
      <c r="Y97" s="8"/>
      <c r="Z97" s="9"/>
    </row>
    <row r="98" ht="24.75" customHeight="1">
      <c r="L98" s="7"/>
      <c r="Q98" s="8"/>
      <c r="R98" s="9"/>
      <c r="S98" s="8"/>
      <c r="T98" s="9"/>
      <c r="U98" s="8"/>
      <c r="V98" s="9"/>
      <c r="W98" s="8"/>
      <c r="X98" s="9"/>
      <c r="Y98" s="8"/>
      <c r="Z98" s="9"/>
    </row>
    <row r="99" ht="24.75" customHeight="1">
      <c r="L99" s="7"/>
      <c r="Q99" s="8"/>
      <c r="R99" s="9"/>
      <c r="S99" s="8"/>
      <c r="T99" s="9"/>
      <c r="U99" s="8"/>
      <c r="V99" s="9"/>
      <c r="W99" s="8"/>
      <c r="X99" s="9"/>
      <c r="Y99" s="8"/>
      <c r="Z99" s="9"/>
    </row>
    <row r="100" ht="24.75" customHeight="1">
      <c r="L100" s="7"/>
      <c r="Q100" s="8"/>
      <c r="R100" s="9"/>
      <c r="S100" s="8"/>
      <c r="T100" s="9"/>
      <c r="U100" s="8"/>
      <c r="V100" s="9"/>
      <c r="W100" s="8"/>
      <c r="X100" s="9"/>
      <c r="Y100" s="8"/>
      <c r="Z100" s="9"/>
    </row>
    <row r="101" ht="24.75" customHeight="1">
      <c r="L101" s="7"/>
      <c r="Q101" s="8"/>
      <c r="R101" s="9"/>
      <c r="S101" s="8"/>
      <c r="T101" s="9"/>
      <c r="U101" s="8"/>
      <c r="V101" s="9"/>
      <c r="W101" s="8"/>
      <c r="X101" s="9"/>
      <c r="Y101" s="8"/>
      <c r="Z101" s="9"/>
    </row>
    <row r="102" ht="24.75" customHeight="1">
      <c r="L102" s="7"/>
      <c r="Q102" s="8"/>
      <c r="R102" s="9"/>
      <c r="S102" s="8"/>
      <c r="T102" s="9"/>
      <c r="U102" s="8"/>
      <c r="V102" s="9"/>
      <c r="W102" s="8"/>
      <c r="X102" s="9"/>
      <c r="Y102" s="8"/>
      <c r="Z102" s="9"/>
    </row>
    <row r="103" ht="24.75" customHeight="1">
      <c r="L103" s="7"/>
      <c r="Q103" s="8"/>
      <c r="R103" s="9"/>
      <c r="S103" s="8"/>
      <c r="T103" s="9"/>
      <c r="U103" s="8"/>
      <c r="V103" s="9"/>
      <c r="W103" s="8"/>
      <c r="X103" s="9"/>
      <c r="Y103" s="8"/>
      <c r="Z103" s="9"/>
    </row>
    <row r="104" ht="24.75" customHeight="1">
      <c r="L104" s="7"/>
      <c r="Q104" s="8"/>
      <c r="R104" s="9"/>
      <c r="S104" s="8"/>
      <c r="T104" s="9"/>
      <c r="U104" s="8"/>
      <c r="V104" s="9"/>
      <c r="W104" s="8"/>
      <c r="X104" s="9"/>
      <c r="Y104" s="8"/>
      <c r="Z104" s="9"/>
    </row>
    <row r="105" ht="24.75" customHeight="1">
      <c r="L105" s="7"/>
      <c r="Q105" s="8"/>
      <c r="R105" s="9"/>
      <c r="S105" s="8"/>
      <c r="T105" s="9"/>
      <c r="U105" s="8"/>
      <c r="V105" s="9"/>
      <c r="W105" s="8"/>
      <c r="X105" s="9"/>
      <c r="Y105" s="8"/>
      <c r="Z105" s="9"/>
    </row>
    <row r="106" ht="24.75" customHeight="1">
      <c r="L106" s="7"/>
      <c r="Q106" s="8"/>
      <c r="R106" s="9"/>
      <c r="S106" s="8"/>
      <c r="T106" s="9"/>
      <c r="U106" s="8"/>
      <c r="V106" s="9"/>
      <c r="W106" s="8"/>
      <c r="X106" s="9"/>
      <c r="Y106" s="8"/>
      <c r="Z106" s="9"/>
    </row>
    <row r="107" ht="24.75" customHeight="1">
      <c r="L107" s="7"/>
      <c r="Q107" s="8"/>
      <c r="R107" s="9"/>
      <c r="S107" s="8"/>
      <c r="T107" s="9"/>
      <c r="U107" s="8"/>
      <c r="V107" s="9"/>
      <c r="W107" s="8"/>
      <c r="X107" s="9"/>
      <c r="Y107" s="8"/>
      <c r="Z107" s="9"/>
    </row>
    <row r="108" ht="24.75" customHeight="1">
      <c r="L108" s="7"/>
      <c r="Q108" s="8"/>
      <c r="R108" s="9"/>
      <c r="S108" s="8"/>
      <c r="T108" s="9"/>
      <c r="U108" s="8"/>
      <c r="V108" s="9"/>
      <c r="W108" s="8"/>
      <c r="X108" s="9"/>
      <c r="Y108" s="8"/>
      <c r="Z108" s="9"/>
    </row>
    <row r="109" ht="24.75" customHeight="1">
      <c r="L109" s="7"/>
      <c r="Q109" s="8"/>
      <c r="R109" s="9"/>
      <c r="S109" s="8"/>
      <c r="T109" s="9"/>
      <c r="U109" s="8"/>
      <c r="V109" s="9"/>
      <c r="W109" s="8"/>
      <c r="X109" s="9"/>
      <c r="Y109" s="8"/>
      <c r="Z109" s="9"/>
    </row>
    <row r="110" ht="24.75" customHeight="1">
      <c r="L110" s="7"/>
      <c r="Q110" s="8"/>
      <c r="R110" s="9"/>
      <c r="S110" s="8"/>
      <c r="T110" s="9"/>
      <c r="U110" s="8"/>
      <c r="V110" s="9"/>
      <c r="W110" s="8"/>
      <c r="X110" s="9"/>
      <c r="Y110" s="8"/>
      <c r="Z110" s="9"/>
    </row>
    <row r="111" ht="24.75" customHeight="1">
      <c r="L111" s="7"/>
      <c r="Q111" s="8"/>
      <c r="R111" s="9"/>
      <c r="S111" s="8"/>
      <c r="T111" s="9"/>
      <c r="U111" s="8"/>
      <c r="V111" s="9"/>
      <c r="W111" s="8"/>
      <c r="X111" s="9"/>
      <c r="Y111" s="8"/>
      <c r="Z111" s="9"/>
    </row>
    <row r="112" ht="24.75" customHeight="1">
      <c r="L112" s="7"/>
      <c r="Q112" s="8"/>
      <c r="R112" s="9"/>
      <c r="S112" s="8"/>
      <c r="T112" s="9"/>
      <c r="U112" s="8"/>
      <c r="V112" s="9"/>
      <c r="W112" s="8"/>
      <c r="X112" s="9"/>
      <c r="Y112" s="8"/>
      <c r="Z112" s="9"/>
    </row>
    <row r="113" ht="24.75" customHeight="1">
      <c r="L113" s="7"/>
      <c r="Q113" s="8"/>
      <c r="R113" s="9"/>
      <c r="S113" s="8"/>
      <c r="T113" s="9"/>
      <c r="U113" s="8"/>
      <c r="V113" s="9"/>
      <c r="W113" s="8"/>
      <c r="X113" s="9"/>
      <c r="Y113" s="8"/>
      <c r="Z113" s="9"/>
    </row>
    <row r="114" ht="24.75" customHeight="1">
      <c r="L114" s="7"/>
      <c r="Q114" s="8"/>
      <c r="R114" s="9"/>
      <c r="S114" s="8"/>
      <c r="T114" s="9"/>
      <c r="U114" s="8"/>
      <c r="V114" s="9"/>
      <c r="W114" s="8"/>
      <c r="X114" s="9"/>
      <c r="Y114" s="8"/>
      <c r="Z114" s="9"/>
    </row>
    <row r="115" ht="24.75" customHeight="1">
      <c r="L115" s="7"/>
      <c r="Q115" s="8"/>
      <c r="R115" s="9"/>
      <c r="S115" s="8"/>
      <c r="T115" s="9"/>
      <c r="U115" s="8"/>
      <c r="V115" s="9"/>
      <c r="W115" s="8"/>
      <c r="X115" s="9"/>
      <c r="Y115" s="8"/>
      <c r="Z115" s="9"/>
    </row>
    <row r="116" ht="24.75" customHeight="1">
      <c r="L116" s="7"/>
      <c r="Q116" s="8"/>
      <c r="R116" s="9"/>
      <c r="S116" s="8"/>
      <c r="T116" s="9"/>
      <c r="U116" s="8"/>
      <c r="V116" s="9"/>
      <c r="W116" s="8"/>
      <c r="X116" s="9"/>
      <c r="Y116" s="8"/>
      <c r="Z116" s="9"/>
    </row>
    <row r="117" ht="24.75" customHeight="1">
      <c r="L117" s="7"/>
      <c r="Q117" s="8"/>
      <c r="R117" s="9"/>
      <c r="S117" s="8"/>
      <c r="T117" s="9"/>
      <c r="U117" s="8"/>
      <c r="V117" s="9"/>
      <c r="W117" s="8"/>
      <c r="X117" s="9"/>
      <c r="Y117" s="8"/>
      <c r="Z117" s="9"/>
    </row>
    <row r="118" ht="24.75" customHeight="1">
      <c r="L118" s="7"/>
      <c r="Q118" s="8"/>
      <c r="R118" s="9"/>
      <c r="S118" s="8"/>
      <c r="T118" s="9"/>
      <c r="U118" s="8"/>
      <c r="V118" s="9"/>
      <c r="W118" s="8"/>
      <c r="X118" s="9"/>
      <c r="Y118" s="8"/>
      <c r="Z118" s="9"/>
    </row>
    <row r="119" ht="24.75" customHeight="1">
      <c r="L119" s="7"/>
      <c r="Q119" s="8"/>
      <c r="R119" s="9"/>
      <c r="S119" s="8"/>
      <c r="T119" s="9"/>
      <c r="U119" s="8"/>
      <c r="V119" s="9"/>
      <c r="W119" s="8"/>
      <c r="X119" s="9"/>
      <c r="Y119" s="8"/>
      <c r="Z119" s="9"/>
    </row>
    <row r="120" ht="24.75" customHeight="1">
      <c r="L120" s="7"/>
      <c r="Q120" s="8"/>
      <c r="R120" s="9"/>
      <c r="S120" s="8"/>
      <c r="T120" s="9"/>
      <c r="U120" s="8"/>
      <c r="V120" s="9"/>
      <c r="W120" s="8"/>
      <c r="X120" s="9"/>
      <c r="Y120" s="8"/>
      <c r="Z120" s="9"/>
    </row>
    <row r="121" ht="24.75" customHeight="1">
      <c r="L121" s="7"/>
      <c r="Q121" s="8"/>
      <c r="R121" s="9"/>
      <c r="S121" s="8"/>
      <c r="T121" s="9"/>
      <c r="U121" s="8"/>
      <c r="V121" s="9"/>
      <c r="W121" s="8"/>
      <c r="X121" s="9"/>
      <c r="Y121" s="8"/>
      <c r="Z121" s="9"/>
    </row>
    <row r="122" ht="24.75" customHeight="1">
      <c r="L122" s="7"/>
      <c r="Q122" s="8"/>
      <c r="R122" s="9"/>
      <c r="S122" s="8"/>
      <c r="T122" s="9"/>
      <c r="U122" s="8"/>
      <c r="V122" s="9"/>
      <c r="W122" s="8"/>
      <c r="X122" s="9"/>
      <c r="Y122" s="8"/>
      <c r="Z122" s="9"/>
    </row>
    <row r="123" ht="24.75" customHeight="1">
      <c r="L123" s="7"/>
      <c r="Q123" s="8"/>
      <c r="R123" s="9"/>
      <c r="S123" s="8"/>
      <c r="T123" s="9"/>
      <c r="U123" s="8"/>
      <c r="V123" s="9"/>
      <c r="W123" s="8"/>
      <c r="X123" s="9"/>
      <c r="Y123" s="8"/>
      <c r="Z123" s="9"/>
    </row>
    <row r="124" ht="24.75" customHeight="1">
      <c r="L124" s="7"/>
      <c r="Q124" s="8"/>
      <c r="R124" s="9"/>
      <c r="S124" s="8"/>
      <c r="T124" s="9"/>
      <c r="U124" s="8"/>
      <c r="V124" s="9"/>
      <c r="W124" s="8"/>
      <c r="X124" s="9"/>
      <c r="Y124" s="8"/>
      <c r="Z124" s="9"/>
    </row>
    <row r="125" ht="24.75" customHeight="1">
      <c r="L125" s="7"/>
      <c r="Q125" s="8"/>
      <c r="R125" s="9"/>
      <c r="S125" s="8"/>
      <c r="T125" s="9"/>
      <c r="U125" s="8"/>
      <c r="V125" s="9"/>
      <c r="W125" s="8"/>
      <c r="X125" s="9"/>
      <c r="Y125" s="8"/>
      <c r="Z125" s="9"/>
    </row>
    <row r="126" ht="24.75" customHeight="1">
      <c r="L126" s="7"/>
      <c r="Q126" s="8"/>
      <c r="R126" s="9"/>
      <c r="S126" s="8"/>
      <c r="T126" s="9"/>
      <c r="U126" s="8"/>
      <c r="V126" s="9"/>
      <c r="W126" s="8"/>
      <c r="X126" s="9"/>
      <c r="Y126" s="8"/>
      <c r="Z126" s="9"/>
    </row>
    <row r="127" ht="24.75" customHeight="1">
      <c r="L127" s="7"/>
      <c r="Q127" s="8"/>
      <c r="R127" s="9"/>
      <c r="S127" s="8"/>
      <c r="T127" s="9"/>
      <c r="U127" s="8"/>
      <c r="V127" s="9"/>
      <c r="W127" s="8"/>
      <c r="X127" s="9"/>
      <c r="Y127" s="8"/>
      <c r="Z127" s="9"/>
    </row>
    <row r="128" ht="24.75" customHeight="1">
      <c r="L128" s="7"/>
      <c r="Q128" s="8"/>
      <c r="R128" s="9"/>
      <c r="S128" s="8"/>
      <c r="T128" s="9"/>
      <c r="U128" s="8"/>
      <c r="V128" s="9"/>
      <c r="W128" s="8"/>
      <c r="X128" s="9"/>
      <c r="Y128" s="8"/>
      <c r="Z128" s="9"/>
    </row>
    <row r="129" ht="24.75" customHeight="1">
      <c r="L129" s="7"/>
      <c r="Q129" s="8"/>
      <c r="R129" s="9"/>
      <c r="S129" s="8"/>
      <c r="T129" s="9"/>
      <c r="U129" s="8"/>
      <c r="V129" s="9"/>
      <c r="W129" s="8"/>
      <c r="X129" s="9"/>
      <c r="Y129" s="8"/>
      <c r="Z129" s="9"/>
    </row>
    <row r="130" ht="24.75" customHeight="1">
      <c r="L130" s="7"/>
      <c r="Q130" s="8"/>
      <c r="R130" s="9"/>
      <c r="S130" s="8"/>
      <c r="T130" s="9"/>
      <c r="U130" s="8"/>
      <c r="V130" s="9"/>
      <c r="W130" s="8"/>
      <c r="X130" s="9"/>
      <c r="Y130" s="8"/>
      <c r="Z130" s="9"/>
    </row>
    <row r="131" ht="24.75" customHeight="1">
      <c r="L131" s="7"/>
      <c r="Q131" s="8"/>
      <c r="R131" s="9"/>
      <c r="S131" s="8"/>
      <c r="T131" s="9"/>
      <c r="U131" s="8"/>
      <c r="V131" s="9"/>
      <c r="W131" s="8"/>
      <c r="X131" s="9"/>
      <c r="Y131" s="8"/>
      <c r="Z131" s="9"/>
    </row>
    <row r="132" ht="24.75" customHeight="1">
      <c r="L132" s="7"/>
      <c r="Q132" s="8"/>
      <c r="R132" s="9"/>
      <c r="S132" s="8"/>
      <c r="T132" s="9"/>
      <c r="U132" s="8"/>
      <c r="V132" s="9"/>
      <c r="W132" s="8"/>
      <c r="X132" s="9"/>
      <c r="Y132" s="8"/>
      <c r="Z132" s="9"/>
    </row>
    <row r="133" ht="24.75" customHeight="1">
      <c r="L133" s="7"/>
      <c r="Q133" s="8"/>
      <c r="R133" s="9"/>
      <c r="S133" s="8"/>
      <c r="T133" s="9"/>
      <c r="U133" s="8"/>
      <c r="V133" s="9"/>
      <c r="W133" s="8"/>
      <c r="X133" s="9"/>
      <c r="Y133" s="8"/>
      <c r="Z133" s="9"/>
    </row>
    <row r="134" ht="24.75" customHeight="1">
      <c r="L134" s="7"/>
      <c r="Q134" s="8"/>
      <c r="R134" s="9"/>
      <c r="S134" s="8"/>
      <c r="T134" s="9"/>
      <c r="U134" s="8"/>
      <c r="V134" s="9"/>
      <c r="W134" s="8"/>
      <c r="X134" s="9"/>
      <c r="Y134" s="8"/>
      <c r="Z134" s="9"/>
    </row>
    <row r="135" ht="24.75" customHeight="1">
      <c r="L135" s="7"/>
      <c r="Q135" s="8"/>
      <c r="R135" s="9"/>
      <c r="S135" s="8"/>
      <c r="T135" s="9"/>
      <c r="U135" s="8"/>
      <c r="V135" s="9"/>
      <c r="W135" s="8"/>
      <c r="X135" s="9"/>
      <c r="Y135" s="8"/>
      <c r="Z135" s="9"/>
    </row>
    <row r="136" ht="24.75" customHeight="1">
      <c r="L136" s="7"/>
      <c r="Q136" s="8"/>
      <c r="R136" s="9"/>
      <c r="S136" s="8"/>
      <c r="T136" s="9"/>
      <c r="U136" s="8"/>
      <c r="V136" s="9"/>
      <c r="W136" s="8"/>
      <c r="X136" s="9"/>
      <c r="Y136" s="8"/>
      <c r="Z136" s="9"/>
    </row>
    <row r="137" ht="24.75" customHeight="1">
      <c r="L137" s="7"/>
      <c r="Q137" s="8"/>
      <c r="R137" s="9"/>
      <c r="S137" s="8"/>
      <c r="T137" s="9"/>
      <c r="U137" s="8"/>
      <c r="V137" s="9"/>
      <c r="W137" s="8"/>
      <c r="X137" s="9"/>
      <c r="Y137" s="8"/>
      <c r="Z137" s="9"/>
    </row>
    <row r="138" ht="24.75" customHeight="1">
      <c r="L138" s="7"/>
      <c r="Q138" s="8"/>
      <c r="R138" s="9"/>
      <c r="S138" s="8"/>
      <c r="T138" s="9"/>
      <c r="U138" s="8"/>
      <c r="V138" s="9"/>
      <c r="W138" s="8"/>
      <c r="X138" s="9"/>
      <c r="Y138" s="8"/>
      <c r="Z138" s="9"/>
    </row>
    <row r="139" ht="24.75" customHeight="1">
      <c r="L139" s="7"/>
      <c r="Q139" s="8"/>
      <c r="R139" s="9"/>
      <c r="S139" s="8"/>
      <c r="T139" s="9"/>
      <c r="U139" s="8"/>
      <c r="V139" s="9"/>
      <c r="W139" s="8"/>
      <c r="X139" s="9"/>
      <c r="Y139" s="8"/>
      <c r="Z139" s="9"/>
    </row>
    <row r="140" ht="24.75" customHeight="1">
      <c r="L140" s="7"/>
      <c r="Q140" s="8"/>
      <c r="R140" s="9"/>
      <c r="S140" s="8"/>
      <c r="T140" s="9"/>
      <c r="U140" s="8"/>
      <c r="V140" s="9"/>
      <c r="W140" s="8"/>
      <c r="X140" s="9"/>
      <c r="Y140" s="8"/>
      <c r="Z140" s="9"/>
    </row>
    <row r="141" ht="24.75" customHeight="1">
      <c r="L141" s="7"/>
      <c r="Q141" s="8"/>
      <c r="R141" s="9"/>
      <c r="S141" s="8"/>
      <c r="T141" s="9"/>
      <c r="U141" s="8"/>
      <c r="V141" s="9"/>
      <c r="W141" s="8"/>
      <c r="X141" s="9"/>
      <c r="Y141" s="8"/>
      <c r="Z141" s="9"/>
    </row>
    <row r="142" ht="24.75" customHeight="1">
      <c r="L142" s="7"/>
      <c r="Q142" s="8"/>
      <c r="R142" s="9"/>
      <c r="S142" s="8"/>
      <c r="T142" s="9"/>
      <c r="U142" s="8"/>
      <c r="V142" s="9"/>
      <c r="W142" s="8"/>
      <c r="X142" s="9"/>
      <c r="Y142" s="8"/>
      <c r="Z142" s="9"/>
    </row>
    <row r="143" ht="24.75" customHeight="1">
      <c r="L143" s="7"/>
      <c r="Q143" s="8"/>
      <c r="R143" s="9"/>
      <c r="S143" s="8"/>
      <c r="T143" s="9"/>
      <c r="U143" s="8"/>
      <c r="V143" s="9"/>
      <c r="W143" s="8"/>
      <c r="X143" s="9"/>
      <c r="Y143" s="8"/>
      <c r="Z143" s="9"/>
    </row>
    <row r="144" ht="24.75" customHeight="1">
      <c r="L144" s="7"/>
      <c r="Q144" s="8"/>
      <c r="R144" s="9"/>
      <c r="S144" s="8"/>
      <c r="T144" s="9"/>
      <c r="U144" s="8"/>
      <c r="V144" s="9"/>
      <c r="W144" s="8"/>
      <c r="X144" s="9"/>
      <c r="Y144" s="8"/>
      <c r="Z144" s="9"/>
    </row>
    <row r="145" ht="24.75" customHeight="1">
      <c r="L145" s="7"/>
      <c r="Q145" s="8"/>
      <c r="R145" s="9"/>
      <c r="S145" s="8"/>
      <c r="T145" s="9"/>
      <c r="U145" s="8"/>
      <c r="V145" s="9"/>
      <c r="W145" s="8"/>
      <c r="X145" s="9"/>
      <c r="Y145" s="8"/>
      <c r="Z145" s="9"/>
    </row>
    <row r="146" ht="24.75" customHeight="1">
      <c r="L146" s="7"/>
      <c r="Q146" s="8"/>
      <c r="R146" s="9"/>
      <c r="S146" s="8"/>
      <c r="T146" s="9"/>
      <c r="U146" s="8"/>
      <c r="V146" s="9"/>
      <c r="W146" s="8"/>
      <c r="X146" s="9"/>
      <c r="Y146" s="8"/>
      <c r="Z146" s="9"/>
    </row>
    <row r="147" ht="24.75" customHeight="1">
      <c r="L147" s="7"/>
      <c r="Q147" s="8"/>
      <c r="R147" s="9"/>
      <c r="S147" s="8"/>
      <c r="T147" s="9"/>
      <c r="U147" s="8"/>
      <c r="V147" s="9"/>
      <c r="W147" s="8"/>
      <c r="X147" s="9"/>
      <c r="Y147" s="8"/>
      <c r="Z147" s="9"/>
    </row>
    <row r="148" ht="24.75" customHeight="1">
      <c r="L148" s="7"/>
      <c r="Q148" s="8"/>
      <c r="R148" s="9"/>
      <c r="S148" s="8"/>
      <c r="T148" s="9"/>
      <c r="U148" s="8"/>
      <c r="V148" s="9"/>
      <c r="W148" s="8"/>
      <c r="X148" s="9"/>
      <c r="Y148" s="8"/>
      <c r="Z148" s="9"/>
    </row>
    <row r="149" ht="24.75" customHeight="1">
      <c r="L149" s="7"/>
      <c r="Q149" s="8"/>
      <c r="R149" s="9"/>
      <c r="S149" s="8"/>
      <c r="T149" s="9"/>
      <c r="U149" s="8"/>
      <c r="V149" s="9"/>
      <c r="W149" s="8"/>
      <c r="X149" s="9"/>
      <c r="Y149" s="8"/>
      <c r="Z149" s="9"/>
    </row>
    <row r="150" ht="24.75" customHeight="1">
      <c r="L150" s="7"/>
      <c r="Q150" s="8"/>
      <c r="R150" s="9"/>
      <c r="S150" s="8"/>
      <c r="T150" s="9"/>
      <c r="U150" s="8"/>
      <c r="V150" s="9"/>
      <c r="W150" s="8"/>
      <c r="X150" s="9"/>
      <c r="Y150" s="8"/>
      <c r="Z150" s="9"/>
    </row>
    <row r="151" ht="24.75" customHeight="1">
      <c r="L151" s="7"/>
      <c r="Q151" s="8"/>
      <c r="R151" s="9"/>
      <c r="S151" s="8"/>
      <c r="T151" s="9"/>
      <c r="U151" s="8"/>
      <c r="V151" s="9"/>
      <c r="W151" s="8"/>
      <c r="X151" s="9"/>
      <c r="Y151" s="8"/>
      <c r="Z151" s="9"/>
    </row>
    <row r="152" ht="24.75" customHeight="1">
      <c r="L152" s="7"/>
      <c r="Q152" s="8"/>
      <c r="R152" s="9"/>
      <c r="S152" s="8"/>
      <c r="T152" s="9"/>
      <c r="U152" s="8"/>
      <c r="V152" s="9"/>
      <c r="W152" s="8"/>
      <c r="X152" s="9"/>
      <c r="Y152" s="8"/>
      <c r="Z152" s="9"/>
    </row>
    <row r="153" ht="24.75" customHeight="1">
      <c r="L153" s="7"/>
      <c r="Q153" s="8"/>
      <c r="R153" s="9"/>
      <c r="S153" s="8"/>
      <c r="T153" s="9"/>
      <c r="U153" s="8"/>
      <c r="V153" s="9"/>
      <c r="W153" s="8"/>
      <c r="X153" s="9"/>
      <c r="Y153" s="8"/>
      <c r="Z153" s="9"/>
    </row>
    <row r="154" ht="24.75" customHeight="1">
      <c r="L154" s="7"/>
      <c r="Q154" s="8"/>
      <c r="R154" s="9"/>
      <c r="S154" s="8"/>
      <c r="T154" s="9"/>
      <c r="U154" s="8"/>
      <c r="V154" s="9"/>
      <c r="W154" s="8"/>
      <c r="X154" s="9"/>
      <c r="Y154" s="8"/>
      <c r="Z154" s="9"/>
    </row>
    <row r="155" ht="24.75" customHeight="1">
      <c r="L155" s="7"/>
      <c r="Q155" s="8"/>
      <c r="R155" s="9"/>
      <c r="S155" s="8"/>
      <c r="T155" s="9"/>
      <c r="U155" s="8"/>
      <c r="V155" s="9"/>
      <c r="W155" s="8"/>
      <c r="X155" s="9"/>
      <c r="Y155" s="8"/>
      <c r="Z155" s="9"/>
    </row>
    <row r="156" ht="24.75" customHeight="1">
      <c r="L156" s="7"/>
      <c r="Q156" s="8"/>
      <c r="R156" s="9"/>
      <c r="S156" s="8"/>
      <c r="T156" s="9"/>
      <c r="U156" s="8"/>
      <c r="V156" s="9"/>
      <c r="W156" s="8"/>
      <c r="X156" s="9"/>
      <c r="Y156" s="8"/>
      <c r="Z156" s="9"/>
    </row>
    <row r="157" ht="24.75" customHeight="1">
      <c r="L157" s="7"/>
      <c r="Q157" s="8"/>
      <c r="R157" s="9"/>
      <c r="S157" s="8"/>
      <c r="T157" s="9"/>
      <c r="U157" s="8"/>
      <c r="V157" s="9"/>
      <c r="W157" s="8"/>
      <c r="X157" s="9"/>
      <c r="Y157" s="8"/>
      <c r="Z157" s="9"/>
    </row>
    <row r="158" ht="24.75" customHeight="1">
      <c r="L158" s="7"/>
      <c r="Q158" s="8"/>
      <c r="R158" s="9"/>
      <c r="S158" s="8"/>
      <c r="T158" s="9"/>
      <c r="U158" s="8"/>
      <c r="V158" s="9"/>
      <c r="W158" s="8"/>
      <c r="X158" s="9"/>
      <c r="Y158" s="8"/>
      <c r="Z158" s="9"/>
    </row>
    <row r="159" ht="24.75" customHeight="1">
      <c r="L159" s="7"/>
      <c r="Q159" s="8"/>
      <c r="R159" s="9"/>
      <c r="S159" s="8"/>
      <c r="T159" s="9"/>
      <c r="U159" s="8"/>
      <c r="V159" s="9"/>
      <c r="W159" s="8"/>
      <c r="X159" s="9"/>
      <c r="Y159" s="8"/>
      <c r="Z159" s="9"/>
    </row>
    <row r="160" ht="24.75" customHeight="1">
      <c r="L160" s="7"/>
      <c r="Q160" s="8"/>
      <c r="R160" s="9"/>
      <c r="S160" s="8"/>
      <c r="T160" s="9"/>
      <c r="U160" s="8"/>
      <c r="V160" s="9"/>
      <c r="W160" s="8"/>
      <c r="X160" s="9"/>
      <c r="Y160" s="8"/>
      <c r="Z160" s="9"/>
    </row>
    <row r="161" ht="24.75" customHeight="1">
      <c r="L161" s="7"/>
      <c r="Q161" s="8"/>
      <c r="R161" s="9"/>
      <c r="S161" s="8"/>
      <c r="T161" s="9"/>
      <c r="U161" s="8"/>
      <c r="V161" s="9"/>
      <c r="W161" s="8"/>
      <c r="X161" s="9"/>
      <c r="Y161" s="8"/>
      <c r="Z161" s="9"/>
    </row>
    <row r="162" ht="24.75" customHeight="1">
      <c r="L162" s="7"/>
      <c r="Q162" s="8"/>
      <c r="R162" s="9"/>
      <c r="S162" s="8"/>
      <c r="T162" s="9"/>
      <c r="U162" s="8"/>
      <c r="V162" s="9"/>
      <c r="W162" s="8"/>
      <c r="X162" s="9"/>
      <c r="Y162" s="8"/>
      <c r="Z162" s="9"/>
    </row>
    <row r="163" ht="24.75" customHeight="1">
      <c r="L163" s="7"/>
      <c r="Q163" s="8"/>
      <c r="R163" s="9"/>
      <c r="S163" s="8"/>
      <c r="T163" s="9"/>
      <c r="U163" s="8"/>
      <c r="V163" s="9"/>
      <c r="W163" s="8"/>
      <c r="X163" s="9"/>
      <c r="Y163" s="8"/>
      <c r="Z163" s="9"/>
    </row>
    <row r="164" ht="24.75" customHeight="1">
      <c r="L164" s="7"/>
      <c r="Q164" s="8"/>
      <c r="R164" s="9"/>
      <c r="S164" s="8"/>
      <c r="T164" s="9"/>
      <c r="U164" s="8"/>
      <c r="V164" s="9"/>
      <c r="W164" s="8"/>
      <c r="X164" s="9"/>
      <c r="Y164" s="8"/>
      <c r="Z164" s="9"/>
    </row>
    <row r="165" ht="24.75" customHeight="1">
      <c r="L165" s="7"/>
      <c r="Q165" s="8"/>
      <c r="R165" s="9"/>
      <c r="S165" s="8"/>
      <c r="T165" s="9"/>
      <c r="U165" s="8"/>
      <c r="V165" s="9"/>
      <c r="W165" s="8"/>
      <c r="X165" s="9"/>
      <c r="Y165" s="8"/>
      <c r="Z165" s="9"/>
    </row>
    <row r="166" ht="24.75" customHeight="1">
      <c r="L166" s="7"/>
      <c r="Q166" s="8"/>
      <c r="R166" s="9"/>
      <c r="S166" s="8"/>
      <c r="T166" s="9"/>
      <c r="U166" s="8"/>
      <c r="V166" s="9"/>
      <c r="W166" s="8"/>
      <c r="X166" s="9"/>
      <c r="Y166" s="8"/>
      <c r="Z166" s="9"/>
    </row>
    <row r="167" ht="24.75" customHeight="1">
      <c r="L167" s="7"/>
      <c r="Q167" s="8"/>
      <c r="R167" s="9"/>
      <c r="S167" s="8"/>
      <c r="T167" s="9"/>
      <c r="U167" s="8"/>
      <c r="V167" s="9"/>
      <c r="W167" s="8"/>
      <c r="X167" s="9"/>
      <c r="Y167" s="8"/>
      <c r="Z167" s="9"/>
    </row>
    <row r="168" ht="24.75" customHeight="1">
      <c r="L168" s="7"/>
      <c r="Q168" s="8"/>
      <c r="R168" s="9"/>
      <c r="S168" s="8"/>
      <c r="T168" s="9"/>
      <c r="U168" s="8"/>
      <c r="V168" s="9"/>
      <c r="W168" s="8"/>
      <c r="X168" s="9"/>
      <c r="Y168" s="8"/>
      <c r="Z168" s="9"/>
    </row>
    <row r="169" ht="24.75" customHeight="1">
      <c r="L169" s="7"/>
      <c r="Q169" s="8"/>
      <c r="R169" s="9"/>
      <c r="S169" s="8"/>
      <c r="T169" s="9"/>
      <c r="U169" s="8"/>
      <c r="V169" s="9"/>
      <c r="W169" s="8"/>
      <c r="X169" s="9"/>
      <c r="Y169" s="8"/>
      <c r="Z169" s="9"/>
    </row>
    <row r="170" ht="24.75" customHeight="1">
      <c r="L170" s="7"/>
      <c r="Q170" s="8"/>
      <c r="R170" s="9"/>
      <c r="S170" s="8"/>
      <c r="T170" s="9"/>
      <c r="U170" s="8"/>
      <c r="V170" s="9"/>
      <c r="W170" s="8"/>
      <c r="X170" s="9"/>
      <c r="Y170" s="8"/>
      <c r="Z170" s="9"/>
    </row>
    <row r="171" ht="24.75" customHeight="1">
      <c r="L171" s="7"/>
      <c r="Q171" s="8"/>
      <c r="R171" s="9"/>
      <c r="S171" s="8"/>
      <c r="T171" s="9"/>
      <c r="U171" s="8"/>
      <c r="V171" s="9"/>
      <c r="W171" s="8"/>
      <c r="X171" s="9"/>
      <c r="Y171" s="8"/>
      <c r="Z171" s="9"/>
    </row>
    <row r="172" ht="24.75" customHeight="1">
      <c r="L172" s="7"/>
      <c r="Q172" s="8"/>
      <c r="R172" s="9"/>
      <c r="S172" s="8"/>
      <c r="T172" s="9"/>
      <c r="U172" s="8"/>
      <c r="V172" s="9"/>
      <c r="W172" s="8"/>
      <c r="X172" s="9"/>
      <c r="Y172" s="8"/>
      <c r="Z172" s="9"/>
    </row>
    <row r="173" ht="24.75" customHeight="1">
      <c r="L173" s="7"/>
      <c r="Q173" s="8"/>
      <c r="R173" s="9"/>
      <c r="S173" s="8"/>
      <c r="T173" s="9"/>
      <c r="U173" s="8"/>
      <c r="V173" s="9"/>
      <c r="W173" s="8"/>
      <c r="X173" s="9"/>
      <c r="Y173" s="8"/>
      <c r="Z173" s="9"/>
    </row>
    <row r="174" ht="24.75" customHeight="1">
      <c r="L174" s="7"/>
      <c r="Q174" s="8"/>
      <c r="R174" s="9"/>
      <c r="S174" s="8"/>
      <c r="T174" s="9"/>
      <c r="U174" s="8"/>
      <c r="V174" s="9"/>
      <c r="W174" s="8"/>
      <c r="X174" s="9"/>
      <c r="Y174" s="8"/>
      <c r="Z174" s="9"/>
    </row>
    <row r="175" ht="24.75" customHeight="1">
      <c r="L175" s="7"/>
      <c r="Q175" s="8"/>
      <c r="R175" s="9"/>
      <c r="S175" s="8"/>
      <c r="T175" s="9"/>
      <c r="U175" s="8"/>
      <c r="V175" s="9"/>
      <c r="W175" s="8"/>
      <c r="X175" s="9"/>
      <c r="Y175" s="8"/>
      <c r="Z175" s="9"/>
    </row>
    <row r="176" ht="24.75" customHeight="1">
      <c r="L176" s="7"/>
      <c r="Q176" s="8"/>
      <c r="R176" s="9"/>
      <c r="S176" s="8"/>
      <c r="T176" s="9"/>
      <c r="U176" s="8"/>
      <c r="V176" s="9"/>
      <c r="W176" s="8"/>
      <c r="X176" s="9"/>
      <c r="Y176" s="8"/>
      <c r="Z176" s="9"/>
    </row>
    <row r="177" ht="24.75" customHeight="1">
      <c r="L177" s="7"/>
      <c r="Q177" s="8"/>
      <c r="R177" s="9"/>
      <c r="S177" s="8"/>
      <c r="T177" s="9"/>
      <c r="U177" s="8"/>
      <c r="V177" s="9"/>
      <c r="W177" s="8"/>
      <c r="X177" s="9"/>
      <c r="Y177" s="8"/>
      <c r="Z177" s="9"/>
    </row>
    <row r="178" ht="24.75" customHeight="1">
      <c r="L178" s="7"/>
      <c r="Q178" s="8"/>
      <c r="R178" s="9"/>
      <c r="S178" s="8"/>
      <c r="T178" s="9"/>
      <c r="U178" s="8"/>
      <c r="V178" s="9"/>
      <c r="W178" s="8"/>
      <c r="X178" s="9"/>
      <c r="Y178" s="8"/>
      <c r="Z178" s="9"/>
    </row>
    <row r="179" ht="24.75" customHeight="1">
      <c r="L179" s="7"/>
      <c r="Q179" s="8"/>
      <c r="R179" s="9"/>
      <c r="S179" s="8"/>
      <c r="T179" s="9"/>
      <c r="U179" s="8"/>
      <c r="V179" s="9"/>
      <c r="W179" s="8"/>
      <c r="X179" s="9"/>
      <c r="Y179" s="8"/>
      <c r="Z179" s="9"/>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7"/>
      <c r="S266" s="7"/>
      <c r="U266" s="7"/>
      <c r="W266" s="7"/>
      <c r="Y266" s="7"/>
    </row>
    <row r="267" ht="24.75" customHeight="1">
      <c r="L267" s="7"/>
      <c r="Q267" s="7"/>
      <c r="S267" s="7"/>
      <c r="U267" s="7"/>
      <c r="W267" s="7"/>
      <c r="Y267" s="7"/>
    </row>
    <row r="268" ht="24.75" customHeight="1">
      <c r="L268" s="7"/>
      <c r="Q268" s="7"/>
      <c r="S268" s="7"/>
      <c r="U268" s="7"/>
      <c r="W268" s="7"/>
      <c r="Y268" s="7"/>
    </row>
    <row r="269" ht="24.75" customHeight="1">
      <c r="L269" s="7"/>
      <c r="Q269" s="7"/>
      <c r="S269" s="7"/>
      <c r="U269" s="7"/>
      <c r="W269" s="7"/>
      <c r="Y269" s="7"/>
    </row>
    <row r="270" ht="24.75" customHeight="1">
      <c r="L270" s="7"/>
      <c r="Q270" s="7"/>
      <c r="S270" s="7"/>
      <c r="U270" s="7"/>
      <c r="W270" s="7"/>
      <c r="Y270" s="7"/>
    </row>
    <row r="271" ht="24.75" customHeight="1">
      <c r="L271" s="7"/>
      <c r="Q271" s="7"/>
      <c r="S271" s="7"/>
      <c r="U271" s="7"/>
      <c r="W271" s="7"/>
      <c r="Y271" s="7"/>
    </row>
    <row r="272" ht="24.75" customHeight="1">
      <c r="L272" s="7"/>
      <c r="Q272" s="7"/>
      <c r="S272" s="7"/>
      <c r="U272" s="7"/>
      <c r="W272" s="7"/>
      <c r="Y272" s="7"/>
    </row>
    <row r="273" ht="24.75" customHeight="1">
      <c r="L273" s="7"/>
      <c r="Q273" s="7"/>
      <c r="S273" s="7"/>
      <c r="U273" s="7"/>
      <c r="W273" s="7"/>
      <c r="Y273" s="7"/>
    </row>
    <row r="274" ht="24.75" customHeight="1">
      <c r="L274" s="7"/>
      <c r="Q274" s="7"/>
      <c r="S274" s="7"/>
      <c r="U274" s="7"/>
      <c r="W274" s="7"/>
      <c r="Y274" s="7"/>
    </row>
    <row r="275" ht="24.75" customHeight="1">
      <c r="L275" s="7"/>
      <c r="Q275" s="7"/>
      <c r="S275" s="7"/>
      <c r="U275" s="7"/>
      <c r="W275" s="7"/>
      <c r="Y275" s="7"/>
    </row>
    <row r="276" ht="24.75" customHeight="1">
      <c r="L276" s="7"/>
      <c r="Q276" s="7"/>
      <c r="S276" s="7"/>
      <c r="U276" s="7"/>
      <c r="W276" s="7"/>
      <c r="Y276" s="7"/>
    </row>
    <row r="277" ht="24.75" customHeight="1">
      <c r="L277" s="7"/>
      <c r="Q277" s="7"/>
      <c r="S277" s="7"/>
      <c r="U277" s="7"/>
      <c r="W277" s="7"/>
      <c r="Y277" s="7"/>
    </row>
    <row r="278" ht="24.75" customHeight="1">
      <c r="L278" s="7"/>
      <c r="Q278" s="7"/>
      <c r="S278" s="7"/>
      <c r="U278" s="7"/>
      <c r="W278" s="7"/>
      <c r="Y278" s="7"/>
    </row>
    <row r="279" ht="24.75" customHeight="1">
      <c r="L279" s="7"/>
      <c r="Q279" s="7"/>
      <c r="S279" s="7"/>
      <c r="U279" s="7"/>
      <c r="W279" s="7"/>
      <c r="Y279" s="7"/>
    </row>
    <row r="280" ht="24.75" customHeight="1">
      <c r="L280" s="7"/>
      <c r="Q280" s="7"/>
      <c r="S280" s="7"/>
      <c r="U280" s="7"/>
      <c r="W280" s="7"/>
      <c r="Y280" s="7"/>
    </row>
    <row r="281" ht="24.75" customHeight="1">
      <c r="L281" s="7"/>
      <c r="Q281" s="7"/>
      <c r="S281" s="7"/>
      <c r="U281" s="7"/>
      <c r="W281" s="7"/>
      <c r="Y281" s="7"/>
    </row>
    <row r="282" ht="24.75" customHeight="1">
      <c r="L282" s="7"/>
      <c r="Q282" s="7"/>
      <c r="S282" s="7"/>
      <c r="U282" s="7"/>
      <c r="W282" s="7"/>
      <c r="Y282" s="7"/>
    </row>
    <row r="283" ht="24.75" customHeight="1">
      <c r="L283" s="7"/>
      <c r="Q283" s="7"/>
      <c r="S283" s="7"/>
      <c r="U283" s="7"/>
      <c r="W283" s="7"/>
      <c r="Y283" s="7"/>
    </row>
    <row r="284" ht="24.75" customHeight="1">
      <c r="L284" s="7"/>
      <c r="Q284" s="7"/>
      <c r="S284" s="7"/>
      <c r="U284" s="7"/>
      <c r="W284" s="7"/>
      <c r="Y284" s="7"/>
    </row>
    <row r="285" ht="24.75" customHeight="1">
      <c r="L285" s="7"/>
      <c r="Q285" s="7"/>
      <c r="S285" s="7"/>
      <c r="U285" s="7"/>
      <c r="W285" s="7"/>
      <c r="Y285" s="7"/>
    </row>
    <row r="286" ht="24.75" customHeight="1">
      <c r="L286" s="7"/>
      <c r="Q286" s="7"/>
      <c r="S286" s="7"/>
      <c r="U286" s="7"/>
      <c r="W286" s="7"/>
      <c r="Y286" s="7"/>
    </row>
    <row r="287" ht="24.75" customHeight="1">
      <c r="L287" s="7"/>
      <c r="Q287" s="7"/>
      <c r="S287" s="7"/>
      <c r="U287" s="7"/>
      <c r="W287" s="7"/>
      <c r="Y287" s="7"/>
    </row>
    <row r="288" ht="24.75" customHeight="1">
      <c r="L288" s="7"/>
      <c r="Q288" s="7"/>
      <c r="S288" s="7"/>
      <c r="U288" s="7"/>
      <c r="W288" s="7"/>
      <c r="Y288" s="7"/>
    </row>
    <row r="289" ht="24.75" customHeight="1">
      <c r="L289" s="7"/>
      <c r="Q289" s="7"/>
      <c r="S289" s="7"/>
      <c r="U289" s="7"/>
      <c r="W289" s="7"/>
      <c r="Y289" s="7"/>
    </row>
    <row r="290" ht="24.75" customHeight="1">
      <c r="L290" s="7"/>
      <c r="Q290" s="7"/>
      <c r="S290" s="7"/>
      <c r="U290" s="7"/>
      <c r="W290" s="7"/>
      <c r="Y290" s="7"/>
    </row>
    <row r="291" ht="24.75" customHeight="1">
      <c r="L291" s="7"/>
      <c r="Q291" s="7"/>
      <c r="S291" s="7"/>
      <c r="U291" s="7"/>
      <c r="W291" s="7"/>
      <c r="Y291" s="7"/>
    </row>
    <row r="292" ht="24.75" customHeight="1">
      <c r="L292" s="7"/>
      <c r="Q292" s="7"/>
      <c r="S292" s="7"/>
      <c r="U292" s="7"/>
      <c r="W292" s="7"/>
      <c r="Y292" s="7"/>
    </row>
    <row r="293" ht="24.75" customHeight="1">
      <c r="L293" s="7"/>
      <c r="Q293" s="7"/>
      <c r="S293" s="7"/>
      <c r="U293" s="7"/>
      <c r="W293" s="7"/>
      <c r="Y293" s="7"/>
    </row>
    <row r="294" ht="24.75" customHeight="1">
      <c r="L294" s="7"/>
      <c r="Q294" s="7"/>
      <c r="S294" s="7"/>
      <c r="U294" s="7"/>
      <c r="W294" s="7"/>
      <c r="Y294" s="7"/>
    </row>
    <row r="295" ht="24.75" customHeight="1">
      <c r="L295" s="7"/>
      <c r="Q295" s="7"/>
      <c r="S295" s="7"/>
      <c r="U295" s="7"/>
      <c r="W295" s="7"/>
      <c r="Y295" s="7"/>
    </row>
    <row r="296" ht="24.75" customHeight="1">
      <c r="L296" s="7"/>
      <c r="Q296" s="7"/>
      <c r="S296" s="7"/>
      <c r="U296" s="7"/>
      <c r="W296" s="7"/>
      <c r="Y296" s="7"/>
    </row>
    <row r="297" ht="24.75" customHeight="1">
      <c r="L297" s="7"/>
      <c r="Q297" s="7"/>
      <c r="S297" s="7"/>
      <c r="U297" s="7"/>
      <c r="W297" s="7"/>
      <c r="Y297" s="7"/>
    </row>
    <row r="298" ht="24.75" customHeight="1">
      <c r="L298" s="7"/>
      <c r="Q298" s="7"/>
      <c r="S298" s="7"/>
      <c r="U298" s="7"/>
      <c r="W298" s="7"/>
      <c r="Y298" s="7"/>
    </row>
    <row r="299" ht="24.75" customHeight="1">
      <c r="L299" s="7"/>
      <c r="Q299" s="7"/>
      <c r="S299" s="7"/>
      <c r="U299" s="7"/>
      <c r="W299" s="7"/>
      <c r="Y299" s="7"/>
    </row>
    <row r="300" ht="24.75" customHeight="1">
      <c r="L300" s="7"/>
      <c r="Q300" s="7"/>
      <c r="S300" s="7"/>
      <c r="U300" s="7"/>
      <c r="W300" s="7"/>
      <c r="Y300" s="7"/>
    </row>
    <row r="301" ht="24.75" customHeight="1">
      <c r="L301" s="7"/>
      <c r="Q301" s="7"/>
      <c r="S301" s="7"/>
      <c r="U301" s="7"/>
      <c r="W301" s="7"/>
      <c r="Y301" s="7"/>
    </row>
    <row r="302" ht="24.75" customHeight="1">
      <c r="L302" s="7"/>
      <c r="Q302" s="7"/>
      <c r="S302" s="7"/>
      <c r="U302" s="7"/>
      <c r="W302" s="7"/>
      <c r="Y302" s="7"/>
    </row>
    <row r="303" ht="24.75" customHeight="1">
      <c r="L303" s="7"/>
      <c r="Q303" s="7"/>
      <c r="S303" s="7"/>
      <c r="U303" s="7"/>
      <c r="W303" s="7"/>
      <c r="Y303" s="7"/>
    </row>
    <row r="304" ht="24.75" customHeight="1">
      <c r="L304" s="7"/>
      <c r="Q304" s="7"/>
      <c r="S304" s="7"/>
      <c r="U304" s="7"/>
      <c r="W304" s="7"/>
      <c r="Y304" s="7"/>
    </row>
    <row r="305" ht="24.75" customHeight="1">
      <c r="L305" s="7"/>
      <c r="Q305" s="7"/>
      <c r="S305" s="7"/>
      <c r="U305" s="7"/>
      <c r="W305" s="7"/>
      <c r="Y305" s="7"/>
    </row>
    <row r="306" ht="24.75" customHeight="1">
      <c r="L306" s="7"/>
      <c r="Q306" s="7"/>
      <c r="S306" s="7"/>
      <c r="U306" s="7"/>
      <c r="W306" s="7"/>
      <c r="Y306" s="7"/>
    </row>
    <row r="307" ht="24.75" customHeight="1">
      <c r="L307" s="7"/>
      <c r="Q307" s="7"/>
      <c r="S307" s="7"/>
      <c r="U307" s="7"/>
      <c r="W307" s="7"/>
      <c r="Y307" s="7"/>
    </row>
    <row r="308" ht="24.75" customHeight="1">
      <c r="L308" s="7"/>
      <c r="Q308" s="7"/>
      <c r="S308" s="7"/>
      <c r="U308" s="7"/>
      <c r="W308" s="7"/>
      <c r="Y308" s="7"/>
    </row>
    <row r="309" ht="24.75" customHeight="1">
      <c r="L309" s="7"/>
      <c r="Q309" s="7"/>
      <c r="S309" s="7"/>
      <c r="U309" s="7"/>
      <c r="W309" s="7"/>
      <c r="Y309" s="7"/>
    </row>
    <row r="310" ht="24.75" customHeight="1">
      <c r="L310" s="7"/>
      <c r="Q310" s="7"/>
      <c r="S310" s="7"/>
      <c r="U310" s="7"/>
      <c r="W310" s="7"/>
      <c r="Y310" s="7"/>
    </row>
    <row r="311" ht="24.75" customHeight="1">
      <c r="L311" s="7"/>
      <c r="Q311" s="7"/>
      <c r="S311" s="7"/>
      <c r="U311" s="7"/>
      <c r="W311" s="7"/>
      <c r="Y311" s="7"/>
    </row>
    <row r="312" ht="24.75" customHeight="1">
      <c r="L312" s="7"/>
      <c r="Q312" s="7"/>
      <c r="S312" s="7"/>
      <c r="U312" s="7"/>
      <c r="W312" s="7"/>
      <c r="Y312" s="7"/>
    </row>
    <row r="313" ht="24.75" customHeight="1">
      <c r="L313" s="7"/>
      <c r="Q313" s="7"/>
      <c r="S313" s="7"/>
      <c r="U313" s="7"/>
      <c r="W313" s="7"/>
      <c r="Y313" s="7"/>
    </row>
    <row r="314" ht="24.75" customHeight="1">
      <c r="L314" s="7"/>
      <c r="Q314" s="7"/>
      <c r="S314" s="7"/>
      <c r="U314" s="7"/>
      <c r="W314" s="7"/>
      <c r="Y314" s="7"/>
    </row>
    <row r="315" ht="24.75" customHeight="1">
      <c r="L315" s="7"/>
      <c r="Q315" s="7"/>
      <c r="S315" s="7"/>
      <c r="U315" s="7"/>
      <c r="W315" s="7"/>
      <c r="Y315" s="7"/>
    </row>
    <row r="316" ht="24.75" customHeight="1">
      <c r="L316" s="7"/>
      <c r="Q316" s="7"/>
      <c r="S316" s="7"/>
      <c r="U316" s="7"/>
      <c r="W316" s="7"/>
      <c r="Y316" s="7"/>
    </row>
    <row r="317" ht="24.75" customHeight="1">
      <c r="L317" s="7"/>
      <c r="Q317" s="7"/>
      <c r="S317" s="7"/>
      <c r="U317" s="7"/>
      <c r="W317" s="7"/>
      <c r="Y317" s="7"/>
    </row>
    <row r="318" ht="24.75" customHeight="1">
      <c r="L318" s="7"/>
      <c r="Q318" s="7"/>
      <c r="S318" s="7"/>
      <c r="U318" s="7"/>
      <c r="W318" s="7"/>
      <c r="Y318" s="7"/>
    </row>
    <row r="319" ht="24.75" customHeight="1">
      <c r="L319" s="7"/>
      <c r="Q319" s="7"/>
      <c r="S319" s="7"/>
      <c r="U319" s="7"/>
      <c r="W319" s="7"/>
      <c r="Y319" s="7"/>
    </row>
    <row r="320" ht="24.75" customHeight="1">
      <c r="L320" s="7"/>
      <c r="Q320" s="7"/>
      <c r="S320" s="7"/>
      <c r="U320" s="7"/>
      <c r="W320" s="7"/>
      <c r="Y320" s="7"/>
    </row>
    <row r="321" ht="24.75" customHeight="1">
      <c r="L321" s="7"/>
      <c r="Q321" s="7"/>
      <c r="S321" s="7"/>
      <c r="U321" s="7"/>
      <c r="W321" s="7"/>
      <c r="Y321" s="7"/>
    </row>
    <row r="322" ht="24.75" customHeight="1">
      <c r="L322" s="7"/>
      <c r="Q322" s="7"/>
      <c r="S322" s="7"/>
      <c r="U322" s="7"/>
      <c r="W322" s="7"/>
      <c r="Y322" s="7"/>
    </row>
    <row r="323" ht="24.75" customHeight="1">
      <c r="L323" s="7"/>
      <c r="Q323" s="7"/>
      <c r="S323" s="7"/>
      <c r="U323" s="7"/>
      <c r="W323" s="7"/>
      <c r="Y323" s="7"/>
    </row>
    <row r="324" ht="24.75" customHeight="1">
      <c r="L324" s="7"/>
      <c r="Q324" s="7"/>
      <c r="S324" s="7"/>
      <c r="U324" s="7"/>
      <c r="W324" s="7"/>
      <c r="Y324" s="7"/>
    </row>
    <row r="325" ht="24.75" customHeight="1">
      <c r="L325" s="7"/>
      <c r="Q325" s="7"/>
      <c r="S325" s="7"/>
      <c r="U325" s="7"/>
      <c r="W325" s="7"/>
      <c r="Y325" s="7"/>
    </row>
    <row r="326" ht="24.75" customHeight="1">
      <c r="L326" s="7"/>
      <c r="Q326" s="7"/>
      <c r="S326" s="7"/>
      <c r="U326" s="7"/>
      <c r="W326" s="7"/>
      <c r="Y326" s="7"/>
    </row>
    <row r="327" ht="24.75" customHeight="1">
      <c r="L327" s="7"/>
      <c r="Q327" s="7"/>
      <c r="S327" s="7"/>
      <c r="U327" s="7"/>
      <c r="W327" s="7"/>
      <c r="Y327" s="7"/>
    </row>
    <row r="328" ht="24.75" customHeight="1">
      <c r="L328" s="7"/>
      <c r="Q328" s="7"/>
      <c r="S328" s="7"/>
      <c r="U328" s="7"/>
      <c r="W328" s="7"/>
      <c r="Y328" s="7"/>
    </row>
    <row r="329" ht="24.75" customHeight="1">
      <c r="L329" s="7"/>
      <c r="Q329" s="7"/>
      <c r="S329" s="7"/>
      <c r="U329" s="7"/>
      <c r="W329" s="7"/>
      <c r="Y329" s="7"/>
    </row>
    <row r="330" ht="24.75" customHeight="1">
      <c r="L330" s="7"/>
      <c r="Q330" s="7"/>
      <c r="S330" s="7"/>
      <c r="U330" s="7"/>
      <c r="W330" s="7"/>
      <c r="Y330" s="7"/>
    </row>
    <row r="331" ht="24.75" customHeight="1">
      <c r="L331" s="7"/>
      <c r="Q331" s="7"/>
      <c r="S331" s="7"/>
      <c r="U331" s="7"/>
      <c r="W331" s="7"/>
      <c r="Y331" s="7"/>
    </row>
    <row r="332" ht="24.75" customHeight="1">
      <c r="L332" s="7"/>
      <c r="Q332" s="7"/>
      <c r="S332" s="7"/>
      <c r="U332" s="7"/>
      <c r="W332" s="7"/>
      <c r="Y332" s="7"/>
    </row>
    <row r="333" ht="24.75" customHeight="1">
      <c r="L333" s="7"/>
      <c r="Q333" s="7"/>
      <c r="S333" s="7"/>
      <c r="U333" s="7"/>
      <c r="W333" s="7"/>
      <c r="Y333" s="7"/>
    </row>
    <row r="334" ht="24.75" customHeight="1">
      <c r="L334" s="7"/>
      <c r="Q334" s="7"/>
      <c r="S334" s="7"/>
      <c r="U334" s="7"/>
      <c r="W334" s="7"/>
      <c r="Y334" s="7"/>
    </row>
    <row r="335" ht="24.75" customHeight="1">
      <c r="L335" s="7"/>
      <c r="Q335" s="7"/>
      <c r="S335" s="7"/>
      <c r="U335" s="7"/>
      <c r="W335" s="7"/>
      <c r="Y335" s="7"/>
    </row>
    <row r="336" ht="24.75" customHeight="1">
      <c r="L336" s="7"/>
      <c r="Q336" s="7"/>
      <c r="S336" s="7"/>
      <c r="U336" s="7"/>
      <c r="W336" s="7"/>
      <c r="Y336" s="7"/>
    </row>
    <row r="337" ht="24.75" customHeight="1">
      <c r="L337" s="7"/>
      <c r="Q337" s="7"/>
      <c r="S337" s="7"/>
      <c r="U337" s="7"/>
      <c r="W337" s="7"/>
      <c r="Y337" s="7"/>
    </row>
    <row r="338" ht="24.75" customHeight="1">
      <c r="L338" s="7"/>
      <c r="Q338" s="7"/>
      <c r="S338" s="7"/>
      <c r="U338" s="7"/>
      <c r="W338" s="7"/>
      <c r="Y338" s="7"/>
    </row>
    <row r="339" ht="24.75" customHeight="1">
      <c r="L339" s="7"/>
      <c r="Q339" s="7"/>
      <c r="S339" s="7"/>
      <c r="U339" s="7"/>
      <c r="W339" s="7"/>
      <c r="Y339" s="7"/>
    </row>
    <row r="340" ht="24.75" customHeight="1">
      <c r="L340" s="7"/>
      <c r="Q340" s="7"/>
      <c r="S340" s="7"/>
      <c r="U340" s="7"/>
      <c r="W340" s="7"/>
      <c r="Y340" s="7"/>
    </row>
    <row r="341" ht="24.75" customHeight="1">
      <c r="L341" s="7"/>
      <c r="Q341" s="7"/>
      <c r="S341" s="7"/>
      <c r="U341" s="7"/>
      <c r="W341" s="7"/>
      <c r="Y341" s="7"/>
    </row>
    <row r="342" ht="24.75" customHeight="1">
      <c r="L342" s="7"/>
      <c r="Q342" s="7"/>
      <c r="S342" s="7"/>
      <c r="U342" s="7"/>
      <c r="W342" s="7"/>
      <c r="Y342" s="7"/>
    </row>
    <row r="343" ht="24.75" customHeight="1">
      <c r="L343" s="7"/>
      <c r="Q343" s="7"/>
      <c r="S343" s="7"/>
      <c r="U343" s="7"/>
      <c r="W343" s="7"/>
      <c r="Y343" s="7"/>
    </row>
    <row r="344" ht="24.75" customHeight="1">
      <c r="L344" s="7"/>
      <c r="Q344" s="7"/>
      <c r="S344" s="7"/>
      <c r="U344" s="7"/>
      <c r="W344" s="7"/>
      <c r="Y344" s="7"/>
    </row>
    <row r="345" ht="24.75" customHeight="1">
      <c r="L345" s="7"/>
      <c r="Q345" s="7"/>
      <c r="S345" s="7"/>
      <c r="U345" s="7"/>
      <c r="W345" s="7"/>
      <c r="Y345" s="7"/>
    </row>
    <row r="346" ht="24.75" customHeight="1">
      <c r="L346" s="7"/>
      <c r="Q346" s="7"/>
      <c r="S346" s="7"/>
      <c r="U346" s="7"/>
      <c r="W346" s="7"/>
      <c r="Y346" s="7"/>
    </row>
    <row r="347" ht="24.75" customHeight="1">
      <c r="L347" s="7"/>
      <c r="Q347" s="7"/>
      <c r="S347" s="7"/>
      <c r="U347" s="7"/>
      <c r="W347" s="7"/>
      <c r="Y347" s="7"/>
    </row>
    <row r="348" ht="24.75" customHeight="1">
      <c r="L348" s="7"/>
      <c r="Q348" s="7"/>
      <c r="S348" s="7"/>
      <c r="U348" s="7"/>
      <c r="W348" s="7"/>
      <c r="Y348" s="7"/>
    </row>
    <row r="349" ht="24.75" customHeight="1">
      <c r="L349" s="7"/>
      <c r="Q349" s="7"/>
      <c r="S349" s="7"/>
      <c r="U349" s="7"/>
      <c r="W349" s="7"/>
      <c r="Y349" s="7"/>
    </row>
    <row r="350" ht="24.75" customHeight="1">
      <c r="L350" s="7"/>
      <c r="Q350" s="7"/>
      <c r="S350" s="7"/>
      <c r="U350" s="7"/>
      <c r="W350" s="7"/>
      <c r="Y350" s="7"/>
    </row>
    <row r="351" ht="24.75" customHeight="1">
      <c r="L351" s="7"/>
      <c r="Q351" s="7"/>
      <c r="S351" s="7"/>
      <c r="U351" s="7"/>
      <c r="W351" s="7"/>
      <c r="Y351" s="7"/>
    </row>
    <row r="352" ht="24.75" customHeight="1">
      <c r="L352" s="7"/>
      <c r="Q352" s="7"/>
      <c r="S352" s="7"/>
      <c r="U352" s="7"/>
      <c r="W352" s="7"/>
      <c r="Y352" s="7"/>
    </row>
    <row r="353" ht="24.75" customHeight="1">
      <c r="L353" s="7"/>
      <c r="Q353" s="7"/>
      <c r="S353" s="7"/>
      <c r="U353" s="7"/>
      <c r="W353" s="7"/>
      <c r="Y353" s="7"/>
    </row>
    <row r="354" ht="24.75" customHeight="1">
      <c r="L354" s="7"/>
      <c r="Q354" s="7"/>
      <c r="S354" s="7"/>
      <c r="U354" s="7"/>
      <c r="W354" s="7"/>
      <c r="Y354" s="7"/>
    </row>
    <row r="355" ht="24.75" customHeight="1">
      <c r="L355" s="7"/>
      <c r="Q355" s="7"/>
      <c r="S355" s="7"/>
      <c r="U355" s="7"/>
      <c r="W355" s="7"/>
      <c r="Y355" s="7"/>
    </row>
    <row r="356" ht="24.75" customHeight="1">
      <c r="L356" s="7"/>
      <c r="Q356" s="7"/>
      <c r="S356" s="7"/>
      <c r="U356" s="7"/>
      <c r="W356" s="7"/>
      <c r="Y356" s="7"/>
    </row>
    <row r="357" ht="24.75" customHeight="1">
      <c r="L357" s="7"/>
      <c r="Q357" s="7"/>
      <c r="S357" s="7"/>
      <c r="U357" s="7"/>
      <c r="W357" s="7"/>
      <c r="Y357" s="7"/>
    </row>
    <row r="358" ht="24.75" customHeight="1">
      <c r="L358" s="7"/>
      <c r="Q358" s="7"/>
      <c r="S358" s="7"/>
      <c r="U358" s="7"/>
      <c r="W358" s="7"/>
      <c r="Y358" s="7"/>
    </row>
    <row r="359" ht="24.75" customHeight="1">
      <c r="L359" s="7"/>
      <c r="Q359" s="7"/>
      <c r="S359" s="7"/>
      <c r="U359" s="7"/>
      <c r="W359" s="7"/>
      <c r="Y359" s="7"/>
    </row>
    <row r="360" ht="24.75" customHeight="1">
      <c r="L360" s="7"/>
      <c r="Q360" s="7"/>
      <c r="S360" s="7"/>
      <c r="U360" s="7"/>
      <c r="W360" s="7"/>
      <c r="Y360" s="7"/>
    </row>
    <row r="361" ht="24.75" customHeight="1">
      <c r="L361" s="7"/>
      <c r="Q361" s="7"/>
      <c r="S361" s="7"/>
      <c r="U361" s="7"/>
      <c r="W361" s="7"/>
      <c r="Y361" s="7"/>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4 S4 Q13:Q14 S13:S14 Q16 S16 Q18:Q19 S18:S19 Q22 S22 Q25 S25 Q29 S29 Q39 S39 Q41:Q46 S41:S46 Q51:Q54 S51:S54 Q56:Q58 S56:S58 U2:U58 W2:W58 Y2:Y58 Q60:Q63 Q65:Q1000 S64:S1000 U60:U1000 W60:W1000 Y60: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73</v>
      </c>
      <c r="S1" s="1" t="s">
        <v>17</v>
      </c>
      <c r="T1" s="2">
        <f>SUM(T2:T1006)</f>
        <v>173</v>
      </c>
      <c r="U1" s="1" t="s">
        <v>18</v>
      </c>
      <c r="V1" s="2">
        <f>SUM(V2:V1006)</f>
        <v>562</v>
      </c>
      <c r="W1" s="1" t="s">
        <v>19</v>
      </c>
      <c r="X1" s="2">
        <f>SUM(X2:X1006)</f>
        <v>232</v>
      </c>
      <c r="Y1" s="1" t="s">
        <v>20</v>
      </c>
      <c r="Z1" s="2">
        <f t="shared" ref="Z1:AA1" si="1">SUM(Z2:Z1006)</f>
        <v>673.5</v>
      </c>
      <c r="AA1" s="2">
        <f t="shared" si="1"/>
        <v>1467.5</v>
      </c>
      <c r="AB1" s="1" t="s">
        <v>21</v>
      </c>
      <c r="AC1" s="1" t="s">
        <v>22</v>
      </c>
      <c r="AD1" s="1" t="s">
        <v>23</v>
      </c>
      <c r="AE1" s="1" t="s">
        <v>24</v>
      </c>
    </row>
    <row r="2" ht="24.75" customHeight="1">
      <c r="A2" s="6" t="s">
        <v>32</v>
      </c>
      <c r="B2" s="6" t="s">
        <v>124</v>
      </c>
      <c r="C2" s="6"/>
      <c r="D2" s="6"/>
      <c r="E2" s="6"/>
      <c r="F2" s="6"/>
      <c r="G2" s="6"/>
      <c r="H2" s="6"/>
      <c r="I2" s="6"/>
      <c r="J2" s="6"/>
      <c r="K2" s="6" t="s">
        <v>27</v>
      </c>
      <c r="L2" s="6" t="s">
        <v>28</v>
      </c>
      <c r="M2" s="6"/>
      <c r="N2" s="6"/>
      <c r="O2" s="6"/>
      <c r="P2" s="6"/>
      <c r="Q2" s="6">
        <v>2.0</v>
      </c>
      <c r="R2" s="6">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1</v>
      </c>
      <c r="S2" s="6">
        <v>2.0</v>
      </c>
      <c r="T2" s="6">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1</v>
      </c>
      <c r="U2" s="6">
        <v>2.0</v>
      </c>
      <c r="V2" s="6">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v>
      </c>
      <c r="W2" s="6">
        <v>2.0</v>
      </c>
      <c r="X2" s="6">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1</v>
      </c>
      <c r="Y2" s="6">
        <v>3.0</v>
      </c>
      <c r="Z2" s="6">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2</v>
      </c>
      <c r="AA2" s="6">
        <f t="shared" ref="AA2:AA216" si="2">SUM(V2,X2,Z2)</f>
        <v>4</v>
      </c>
      <c r="AB2" s="6" t="str">
        <f>IFERROR(__xludf.DUMMYFUNCTION("
      Ifs( 
        ISBETWEEN(AA2, 0, 'Points-Table'!C$20, TRUE, False), 'Points-Table'!A$20,
        ISBETWEEN(AA2, 'Points-Table'!C$20, 'Points-Table'!C$21, TRUE, False), 'Points-Table'!A$21,
        ISBETWEEN(AA2, 'Points-Table'!C$22, 10000, TRUE, TRU"&amp;"E), 'Points-Table'!A$22,
        true, 
        0)
      "),"S")</f>
        <v>S</v>
      </c>
      <c r="AC2" s="6" t="s">
        <v>29</v>
      </c>
      <c r="AD2" s="6" t="s">
        <v>29</v>
      </c>
      <c r="AE2" s="6" t="s">
        <v>29</v>
      </c>
    </row>
    <row r="3" ht="24.75" customHeight="1">
      <c r="A3" s="6" t="s">
        <v>32</v>
      </c>
      <c r="B3" s="6" t="s">
        <v>125</v>
      </c>
      <c r="C3" s="6"/>
      <c r="D3" s="6"/>
      <c r="E3" s="6"/>
      <c r="F3" s="6"/>
      <c r="G3" s="6"/>
      <c r="H3" s="6"/>
      <c r="I3" s="6"/>
      <c r="J3" s="6"/>
      <c r="K3" s="6" t="s">
        <v>27</v>
      </c>
      <c r="L3" s="6" t="s">
        <v>28</v>
      </c>
      <c r="M3" s="6"/>
      <c r="N3" s="6"/>
      <c r="O3" s="6"/>
      <c r="P3" s="6"/>
      <c r="Q3" s="6">
        <v>0.0</v>
      </c>
      <c r="R3" s="6">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6">
        <v>0.0</v>
      </c>
      <c r="T3" s="6">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6">
        <v>2.0</v>
      </c>
      <c r="V3" s="6">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1</v>
      </c>
      <c r="W3" s="6">
        <v>1.0</v>
      </c>
      <c r="X3" s="6">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0.5</v>
      </c>
      <c r="Y3" s="6">
        <v>2.0</v>
      </c>
      <c r="Z3" s="6">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1</v>
      </c>
      <c r="AA3" s="6">
        <f t="shared" si="2"/>
        <v>2.5</v>
      </c>
      <c r="AB3" s="6" t="str">
        <f>IFERROR(__xludf.DUMMYFUNCTION("
      Ifs( 
        ISBETWEEN(AA3, 0, 'Points-Table'!C$20, TRUE, False), 'Points-Table'!A$20,
        ISBETWEEN(AA3, 'Points-Table'!C$20, 'Points-Table'!C$21, TRUE, False), 'Points-Table'!A$21,
        ISBETWEEN(AA3, 'Points-Table'!C$22, 10000, TRUE, TRU"&amp;"E), 'Points-Table'!A$22,
        true, 
        0)
      "),"S")</f>
        <v>S</v>
      </c>
      <c r="AC3" s="6" t="s">
        <v>29</v>
      </c>
      <c r="AD3" s="6" t="s">
        <v>29</v>
      </c>
      <c r="AE3" s="6" t="s">
        <v>29</v>
      </c>
    </row>
    <row r="4" ht="24.75" customHeight="1">
      <c r="A4" s="6" t="s">
        <v>32</v>
      </c>
      <c r="B4" s="6" t="s">
        <v>126</v>
      </c>
      <c r="C4" s="6"/>
      <c r="D4" s="6"/>
      <c r="E4" s="6"/>
      <c r="F4" s="6"/>
      <c r="G4" s="6"/>
      <c r="H4" s="6"/>
      <c r="I4" s="6"/>
      <c r="J4" s="6"/>
      <c r="K4" s="6" t="s">
        <v>27</v>
      </c>
      <c r="L4" s="6" t="s">
        <v>28</v>
      </c>
      <c r="M4" s="6"/>
      <c r="N4" s="6"/>
      <c r="O4" s="6"/>
      <c r="P4" s="6"/>
      <c r="Q4" s="6"/>
      <c r="R4" s="6">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6"/>
      <c r="T4" s="6">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6">
        <v>0.0</v>
      </c>
      <c r="V4" s="6">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0</v>
      </c>
      <c r="W4" s="6">
        <v>0.0</v>
      </c>
      <c r="X4" s="6">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v>
      </c>
      <c r="Y4" s="6">
        <v>2.0</v>
      </c>
      <c r="Z4" s="6">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1</v>
      </c>
      <c r="AA4" s="6">
        <f t="shared" si="2"/>
        <v>1</v>
      </c>
      <c r="AB4" s="6" t="str">
        <f>IFERROR(__xludf.DUMMYFUNCTION("
      Ifs( 
        ISBETWEEN(AA4, 0, 'Points-Table'!C$20, TRUE, False), 'Points-Table'!A$20,
        ISBETWEEN(AA4, 'Points-Table'!C$20, 'Points-Table'!C$21, TRUE, False), 'Points-Table'!A$21,
        ISBETWEEN(AA4, 'Points-Table'!C$22, 10000, TRUE, TRU"&amp;"E), 'Points-Table'!A$22,
        true, 
        0)
      "),"S")</f>
        <v>S</v>
      </c>
      <c r="AC4" s="6" t="s">
        <v>29</v>
      </c>
      <c r="AD4" s="6" t="s">
        <v>29</v>
      </c>
      <c r="AE4" s="6" t="s">
        <v>29</v>
      </c>
    </row>
    <row r="5" ht="24.75" customHeight="1">
      <c r="A5" s="6" t="s">
        <v>32</v>
      </c>
      <c r="B5" s="6" t="s">
        <v>127</v>
      </c>
      <c r="C5" s="6"/>
      <c r="D5" s="6"/>
      <c r="E5" s="6"/>
      <c r="F5" s="6"/>
      <c r="G5" s="6"/>
      <c r="H5" s="6"/>
      <c r="I5" s="6"/>
      <c r="J5" s="6"/>
      <c r="K5" s="6" t="s">
        <v>27</v>
      </c>
      <c r="L5" s="6" t="s">
        <v>28</v>
      </c>
      <c r="M5" s="6"/>
      <c r="N5" s="6"/>
      <c r="O5" s="6"/>
      <c r="P5" s="6"/>
      <c r="Q5" s="6"/>
      <c r="R5" s="6">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6"/>
      <c r="T5" s="6">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6">
        <v>2.0</v>
      </c>
      <c r="V5" s="6">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1</v>
      </c>
      <c r="W5" s="6">
        <v>1.0</v>
      </c>
      <c r="X5" s="6">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0.5</v>
      </c>
      <c r="Y5" s="6">
        <v>1.0</v>
      </c>
      <c r="Z5" s="6">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0.5</v>
      </c>
      <c r="AA5" s="6">
        <f t="shared" si="2"/>
        <v>2</v>
      </c>
      <c r="AB5" s="6" t="str">
        <f>IFERROR(__xludf.DUMMYFUNCTION("
      Ifs( 
        ISBETWEEN(AA5, 0, 'Points-Table'!C$20, TRUE, False), 'Points-Table'!A$20,
        ISBETWEEN(AA5, 'Points-Table'!C$20, 'Points-Table'!C$21, TRUE, False), 'Points-Table'!A$21,
        ISBETWEEN(AA5, 'Points-Table'!C$22, 10000, TRUE, TRU"&amp;"E), 'Points-Table'!A$22,
        true, 
        0)
      "),"S")</f>
        <v>S</v>
      </c>
      <c r="AC5" s="6" t="s">
        <v>29</v>
      </c>
      <c r="AD5" s="6" t="s">
        <v>29</v>
      </c>
      <c r="AE5" s="6" t="s">
        <v>29</v>
      </c>
    </row>
    <row r="6" ht="24.75" customHeight="1">
      <c r="A6" s="3" t="s">
        <v>32</v>
      </c>
      <c r="B6" s="3" t="s">
        <v>128</v>
      </c>
      <c r="C6" s="3"/>
      <c r="D6" s="3"/>
      <c r="E6" s="3"/>
      <c r="F6" s="3" t="s">
        <v>129</v>
      </c>
      <c r="G6" s="3"/>
      <c r="H6" s="3"/>
      <c r="I6" s="3"/>
      <c r="J6" s="3"/>
      <c r="K6" s="3" t="s">
        <v>27</v>
      </c>
      <c r="L6" s="3" t="s">
        <v>28</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3.0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2</v>
      </c>
      <c r="W6" s="4">
        <v>1.0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0.5</v>
      </c>
      <c r="Y6" s="4">
        <v>8.0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7</v>
      </c>
      <c r="AA6" s="3">
        <f t="shared" si="2"/>
        <v>9.5</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32</v>
      </c>
      <c r="B7" s="3" t="s">
        <v>130</v>
      </c>
      <c r="C7" s="3"/>
      <c r="D7" s="3"/>
      <c r="E7" s="3"/>
      <c r="F7" s="3"/>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1.0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0.5</v>
      </c>
      <c r="W7" s="4">
        <v>1.0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0.5</v>
      </c>
      <c r="Y7" s="4">
        <v>3.0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2</v>
      </c>
      <c r="AA7" s="3">
        <f t="shared" si="2"/>
        <v>3</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32</v>
      </c>
      <c r="B8" s="3" t="s">
        <v>131</v>
      </c>
      <c r="C8" s="3"/>
      <c r="D8" s="3"/>
      <c r="E8" s="3"/>
      <c r="F8" s="3" t="s">
        <v>132</v>
      </c>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3.0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2</v>
      </c>
      <c r="W8" s="4">
        <v>13.0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11</v>
      </c>
      <c r="Y8" s="4">
        <v>21.0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16</v>
      </c>
      <c r="AA8" s="3">
        <f t="shared" si="2"/>
        <v>29</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133</v>
      </c>
      <c r="B9" s="3" t="s">
        <v>134</v>
      </c>
      <c r="C9" s="3" t="s">
        <v>135</v>
      </c>
      <c r="D9" s="3"/>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2.0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v>
      </c>
      <c r="W9" s="4">
        <v>0.0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1</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133</v>
      </c>
      <c r="B10" s="3" t="s">
        <v>134</v>
      </c>
      <c r="C10" s="3" t="s">
        <v>136</v>
      </c>
      <c r="D10" s="3" t="s">
        <v>137</v>
      </c>
      <c r="E10" s="3"/>
      <c r="F10" s="3" t="s">
        <v>138</v>
      </c>
      <c r="G10" s="3"/>
      <c r="H10" s="3"/>
      <c r="I10" s="3"/>
      <c r="J10" s="3"/>
      <c r="K10" s="3" t="s">
        <v>27</v>
      </c>
      <c r="L10" s="3" t="s">
        <v>28</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3.0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2</v>
      </c>
      <c r="W10" s="4">
        <v>2.0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1</v>
      </c>
      <c r="Y10" s="4">
        <v>5.0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4</v>
      </c>
      <c r="AA10" s="3">
        <f t="shared" si="2"/>
        <v>7</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133</v>
      </c>
      <c r="B11" s="3" t="s">
        <v>134</v>
      </c>
      <c r="C11" s="3" t="s">
        <v>139</v>
      </c>
      <c r="D11" s="3" t="s">
        <v>140</v>
      </c>
      <c r="E11" s="3"/>
      <c r="F11" s="3" t="s">
        <v>141</v>
      </c>
      <c r="G11" s="3"/>
      <c r="H11" s="3"/>
      <c r="I11" s="3"/>
      <c r="J11" s="3"/>
      <c r="K11" s="3" t="s">
        <v>27</v>
      </c>
      <c r="L11" s="3" t="s">
        <v>28</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3.0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2</v>
      </c>
      <c r="W11" s="4">
        <v>2.0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1</v>
      </c>
      <c r="Y11" s="4">
        <v>5.0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4</v>
      </c>
      <c r="AA11" s="3">
        <f t="shared" si="2"/>
        <v>7</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133</v>
      </c>
      <c r="B12" s="3" t="s">
        <v>134</v>
      </c>
      <c r="C12" s="3" t="s">
        <v>142</v>
      </c>
      <c r="D12" s="3"/>
      <c r="E12" s="3"/>
      <c r="F12" s="3" t="s">
        <v>143</v>
      </c>
      <c r="G12" s="3"/>
      <c r="H12" s="3"/>
      <c r="I12" s="3"/>
      <c r="J12" s="3"/>
      <c r="K12" s="3" t="s">
        <v>27</v>
      </c>
      <c r="L12" s="3" t="s">
        <v>28</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8.0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7</v>
      </c>
      <c r="W12" s="4">
        <v>5.0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4</v>
      </c>
      <c r="Y12" s="4">
        <v>13.0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11</v>
      </c>
      <c r="AA12" s="3">
        <f t="shared" si="2"/>
        <v>22</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133</v>
      </c>
      <c r="B13" s="3" t="s">
        <v>134</v>
      </c>
      <c r="C13" s="3" t="s">
        <v>144</v>
      </c>
      <c r="D13" s="3"/>
      <c r="E13" s="3"/>
      <c r="F13" s="3" t="s">
        <v>145</v>
      </c>
      <c r="G13" s="3"/>
      <c r="H13" s="3"/>
      <c r="I13" s="3"/>
      <c r="J13" s="3"/>
      <c r="K13" s="3" t="s">
        <v>27</v>
      </c>
      <c r="L13" s="3" t="s">
        <v>28</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5.0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4</v>
      </c>
      <c r="W13" s="4">
        <v>3.0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2</v>
      </c>
      <c r="Y13" s="4">
        <v>5.0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4</v>
      </c>
      <c r="AA13" s="3">
        <f t="shared" si="2"/>
        <v>10</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133</v>
      </c>
      <c r="B14" s="3" t="s">
        <v>146</v>
      </c>
      <c r="C14" s="3"/>
      <c r="D14" s="3"/>
      <c r="E14" s="3"/>
      <c r="F14" s="3" t="s">
        <v>147</v>
      </c>
      <c r="G14" s="3"/>
      <c r="H14" s="3"/>
      <c r="I14" s="3"/>
      <c r="J14" s="3"/>
      <c r="K14" s="3" t="s">
        <v>27</v>
      </c>
      <c r="L14" s="3" t="s">
        <v>28</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5.0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4</v>
      </c>
      <c r="W14" s="4">
        <v>3.0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2</v>
      </c>
      <c r="Y14" s="4">
        <v>5.0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4</v>
      </c>
      <c r="AA14" s="3">
        <f t="shared" si="2"/>
        <v>10</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133</v>
      </c>
      <c r="B15" s="3" t="s">
        <v>148</v>
      </c>
      <c r="C15" s="3" t="s">
        <v>149</v>
      </c>
      <c r="D15" s="3"/>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2.0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1</v>
      </c>
      <c r="W15" s="4">
        <v>0.0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v>
      </c>
      <c r="Y15" s="4">
        <v>2.0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1</v>
      </c>
      <c r="AA15" s="3">
        <f t="shared" si="2"/>
        <v>2</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133</v>
      </c>
      <c r="B16" s="3" t="s">
        <v>148</v>
      </c>
      <c r="C16" s="3" t="s">
        <v>150</v>
      </c>
      <c r="D16" s="3"/>
      <c r="E16" s="3"/>
      <c r="F16" s="3"/>
      <c r="G16" s="3"/>
      <c r="H16" s="3"/>
      <c r="I16" s="3"/>
      <c r="J16" s="3"/>
      <c r="K16" s="3" t="s">
        <v>27</v>
      </c>
      <c r="L16" s="3" t="s">
        <v>28</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0.0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0</v>
      </c>
      <c r="W16" s="4">
        <v>0.0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v>
      </c>
      <c r="Y16" s="4">
        <v>2.0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1</v>
      </c>
      <c r="AA16" s="3">
        <f t="shared" si="2"/>
        <v>1</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A17" s="3" t="s">
        <v>133</v>
      </c>
      <c r="B17" s="3" t="s">
        <v>148</v>
      </c>
      <c r="C17" s="3" t="s">
        <v>151</v>
      </c>
      <c r="D17" s="3"/>
      <c r="E17" s="3"/>
      <c r="F17" s="3"/>
      <c r="G17" s="3"/>
      <c r="H17" s="3"/>
      <c r="I17" s="3"/>
      <c r="J17" s="3"/>
      <c r="K17" s="3" t="s">
        <v>27</v>
      </c>
      <c r="L17" s="3" t="s">
        <v>28</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0.0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0</v>
      </c>
      <c r="W17" s="4">
        <v>0.0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0</v>
      </c>
      <c r="Y17" s="4">
        <v>1.0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0.5</v>
      </c>
      <c r="AA17" s="3">
        <f t="shared" si="2"/>
        <v>0.5</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3" t="s">
        <v>133</v>
      </c>
      <c r="B18" s="3" t="s">
        <v>148</v>
      </c>
      <c r="C18" s="3" t="s">
        <v>152</v>
      </c>
      <c r="D18" s="3"/>
      <c r="E18" s="3"/>
      <c r="F18" s="3"/>
      <c r="G18" s="3"/>
      <c r="H18" s="3"/>
      <c r="I18" s="3"/>
      <c r="J18" s="3"/>
      <c r="K18" s="3" t="s">
        <v>27</v>
      </c>
      <c r="L18" s="3" t="s">
        <v>28</v>
      </c>
      <c r="M18" s="3"/>
      <c r="N18" s="3"/>
      <c r="O18" s="3"/>
      <c r="P18" s="3"/>
      <c r="Q18" s="4"/>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0.0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0</v>
      </c>
      <c r="W18" s="4">
        <v>0.0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0</v>
      </c>
      <c r="Y18" s="4">
        <v>1.0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0.5</v>
      </c>
      <c r="AA18" s="3">
        <f t="shared" si="2"/>
        <v>0.5</v>
      </c>
      <c r="AB18" s="3" t="str">
        <f>IFERROR(__xludf.DUMMYFUNCTION("
      Ifs( 
        ISBETWEEN(AA18, 0, 'Points-Table'!C$20, TRUE, False), 'Points-Table'!A$20,
        ISBETWEEN(AA18, 'Points-Table'!C$20, 'Points-Table'!C$21, TRUE, False), 'Points-Table'!A$21,
        ISBETWEEN(AA18, 'Points-Table'!C$22, 10000, TRUE, "&amp;"TRUE), 'Points-Table'!A$22,
        true, 
        0)
      "),"S")</f>
        <v>S</v>
      </c>
      <c r="AC18" s="3" t="s">
        <v>29</v>
      </c>
      <c r="AD18" s="3" t="s">
        <v>29</v>
      </c>
      <c r="AE18" s="3" t="s">
        <v>29</v>
      </c>
    </row>
    <row r="19" ht="24.75" customHeight="1">
      <c r="A19" s="3" t="s">
        <v>133</v>
      </c>
      <c r="B19" s="3" t="s">
        <v>148</v>
      </c>
      <c r="C19" s="3" t="s">
        <v>153</v>
      </c>
      <c r="D19" s="3"/>
      <c r="E19" s="3"/>
      <c r="F19" s="3" t="s">
        <v>154</v>
      </c>
      <c r="G19" s="3"/>
      <c r="H19" s="3"/>
      <c r="I19" s="3"/>
      <c r="J19" s="3"/>
      <c r="K19" s="3" t="s">
        <v>27</v>
      </c>
      <c r="L19" s="3" t="s">
        <v>28</v>
      </c>
      <c r="M19" s="3"/>
      <c r="N19" s="3"/>
      <c r="O19" s="3"/>
      <c r="P19" s="3"/>
      <c r="Q19" s="4"/>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5.0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4</v>
      </c>
      <c r="W19" s="4">
        <v>3.0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2</v>
      </c>
      <c r="Y19" s="4">
        <v>5.0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4</v>
      </c>
      <c r="AA19" s="3">
        <f t="shared" si="2"/>
        <v>10</v>
      </c>
      <c r="AB19" s="3" t="str">
        <f>IFERROR(__xludf.DUMMYFUNCTION("
      Ifs( 
        ISBETWEEN(AA19, 0, 'Points-Table'!C$20, TRUE, False), 'Points-Table'!A$20,
        ISBETWEEN(AA19, 'Points-Table'!C$20, 'Points-Table'!C$21, TRUE, False), 'Points-Table'!A$21,
        ISBETWEEN(AA19, 'Points-Table'!C$22, 10000, TRUE, "&amp;"TRUE), 'Points-Table'!A$22,
        true, 
        0)
      "),"S")</f>
        <v>S</v>
      </c>
      <c r="AC19" s="3" t="s">
        <v>29</v>
      </c>
      <c r="AD19" s="3" t="s">
        <v>29</v>
      </c>
      <c r="AE19" s="3" t="s">
        <v>29</v>
      </c>
    </row>
    <row r="20" ht="24.75" customHeight="1">
      <c r="A20" s="3" t="s">
        <v>133</v>
      </c>
      <c r="B20" s="3" t="s">
        <v>155</v>
      </c>
      <c r="C20" s="3"/>
      <c r="D20" s="3"/>
      <c r="E20" s="3"/>
      <c r="F20" s="3" t="s">
        <v>156</v>
      </c>
      <c r="G20" s="3"/>
      <c r="H20" s="3"/>
      <c r="I20" s="3"/>
      <c r="J20" s="3"/>
      <c r="K20" s="3" t="s">
        <v>27</v>
      </c>
      <c r="L20" s="3" t="s">
        <v>28</v>
      </c>
      <c r="M20" s="3"/>
      <c r="N20" s="3"/>
      <c r="O20" s="3"/>
      <c r="P20" s="3"/>
      <c r="Q20" s="4"/>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3.0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2</v>
      </c>
      <c r="W20" s="4">
        <v>0.0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0</v>
      </c>
      <c r="Y20" s="4">
        <v>5.0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4</v>
      </c>
      <c r="AA20" s="3">
        <f t="shared" si="2"/>
        <v>6</v>
      </c>
      <c r="AB20" s="3" t="str">
        <f>IFERROR(__xludf.DUMMYFUNCTION("
      Ifs( 
        ISBETWEEN(AA20, 0, 'Points-Table'!C$20, TRUE, False), 'Points-Table'!A$20,
        ISBETWEEN(AA20, 'Points-Table'!C$20, 'Points-Table'!C$21, TRUE, False), 'Points-Table'!A$21,
        ISBETWEEN(AA20, 'Points-Table'!C$22, 10000, TRUE, "&amp;"TRUE), 'Points-Table'!A$22,
        true, 
        0)
      "),"S")</f>
        <v>S</v>
      </c>
      <c r="AC20" s="3" t="s">
        <v>29</v>
      </c>
      <c r="AD20" s="3" t="s">
        <v>29</v>
      </c>
      <c r="AE20" s="3" t="s">
        <v>29</v>
      </c>
    </row>
    <row r="21" ht="24.75" customHeight="1">
      <c r="A21" s="3" t="s">
        <v>133</v>
      </c>
      <c r="B21" s="3" t="s">
        <v>157</v>
      </c>
      <c r="C21" s="3" t="s">
        <v>158</v>
      </c>
      <c r="D21" s="3" t="s">
        <v>159</v>
      </c>
      <c r="E21" s="3"/>
      <c r="F21" s="3" t="s">
        <v>160</v>
      </c>
      <c r="G21" s="3"/>
      <c r="H21" s="3"/>
      <c r="I21" s="3"/>
      <c r="J21" s="3"/>
      <c r="K21" s="3" t="s">
        <v>27</v>
      </c>
      <c r="L21" s="3" t="s">
        <v>28</v>
      </c>
      <c r="M21" s="3"/>
      <c r="N21" s="3"/>
      <c r="O21" s="3"/>
      <c r="P21" s="3"/>
      <c r="Q21" s="4"/>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13.0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11</v>
      </c>
      <c r="W21" s="4">
        <v>3.0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2</v>
      </c>
      <c r="Y21" s="4">
        <v>13.0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11</v>
      </c>
      <c r="AA21" s="3">
        <f t="shared" si="2"/>
        <v>24</v>
      </c>
      <c r="AB21" s="3" t="str">
        <f>IFERROR(__xludf.DUMMYFUNCTION("
      Ifs( 
        ISBETWEEN(AA21, 0, 'Points-Table'!C$20, TRUE, False), 'Points-Table'!A$20,
        ISBETWEEN(AA21, 'Points-Table'!C$20, 'Points-Table'!C$21, TRUE, False), 'Points-Table'!A$21,
        ISBETWEEN(AA21, 'Points-Table'!C$22, 10000, TRUE, "&amp;"TRUE), 'Points-Table'!A$22,
        true, 
        0)
      "),"S")</f>
        <v>S</v>
      </c>
      <c r="AC21" s="3" t="s">
        <v>29</v>
      </c>
      <c r="AD21" s="3" t="s">
        <v>29</v>
      </c>
      <c r="AE21" s="3" t="s">
        <v>29</v>
      </c>
    </row>
    <row r="22" ht="24.75" customHeight="1">
      <c r="A22" s="3" t="s">
        <v>133</v>
      </c>
      <c r="B22" s="3" t="s">
        <v>157</v>
      </c>
      <c r="C22" s="3" t="s">
        <v>161</v>
      </c>
      <c r="D22" s="3"/>
      <c r="E22" s="3"/>
      <c r="F22" s="3" t="s">
        <v>162</v>
      </c>
      <c r="G22" s="3"/>
      <c r="H22" s="3"/>
      <c r="I22" s="3"/>
      <c r="J22" s="3"/>
      <c r="K22" s="3" t="s">
        <v>27</v>
      </c>
      <c r="L22" s="3" t="s">
        <v>28</v>
      </c>
      <c r="M22" s="3"/>
      <c r="N22" s="3"/>
      <c r="O22" s="3"/>
      <c r="P22" s="3"/>
      <c r="Q22" s="4"/>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8.0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7</v>
      </c>
      <c r="W22" s="4">
        <v>3.0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2</v>
      </c>
      <c r="Y22" s="4">
        <v>8.0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7</v>
      </c>
      <c r="AA22" s="3">
        <f t="shared" si="2"/>
        <v>16</v>
      </c>
      <c r="AB22" s="3" t="str">
        <f>IFERROR(__xludf.DUMMYFUNCTION("
      Ifs( 
        ISBETWEEN(AA22, 0, 'Points-Table'!C$20, TRUE, False), 'Points-Table'!A$20,
        ISBETWEEN(AA22, 'Points-Table'!C$20, 'Points-Table'!C$21, TRUE, False), 'Points-Table'!A$21,
        ISBETWEEN(AA22, 'Points-Table'!C$22, 10000, TRUE, "&amp;"TRUE), 'Points-Table'!A$22,
        true, 
        0)
      "),"S")</f>
        <v>S</v>
      </c>
      <c r="AC22" s="3" t="s">
        <v>29</v>
      </c>
      <c r="AD22" s="3" t="s">
        <v>29</v>
      </c>
      <c r="AE22" s="3" t="s">
        <v>29</v>
      </c>
    </row>
    <row r="23" ht="24.75" customHeight="1">
      <c r="A23" s="3" t="s">
        <v>133</v>
      </c>
      <c r="B23" s="3" t="s">
        <v>157</v>
      </c>
      <c r="C23" s="3" t="s">
        <v>163</v>
      </c>
      <c r="D23" s="3"/>
      <c r="E23" s="3"/>
      <c r="F23" s="3"/>
      <c r="G23" s="3"/>
      <c r="H23" s="3"/>
      <c r="I23" s="3"/>
      <c r="J23" s="3"/>
      <c r="K23" s="3" t="s">
        <v>27</v>
      </c>
      <c r="L23" s="3" t="s">
        <v>28</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2.0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1</v>
      </c>
      <c r="W23" s="4">
        <v>1.0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0.5</v>
      </c>
      <c r="Y23" s="4">
        <v>3.0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2</v>
      </c>
      <c r="AA23" s="3">
        <f t="shared" si="2"/>
        <v>3.5</v>
      </c>
      <c r="AB23" s="3" t="str">
        <f>IFERROR(__xludf.DUMMYFUNCTION("
      Ifs( 
        ISBETWEEN(AA23, 0, 'Points-Table'!C$20, TRUE, False), 'Points-Table'!A$20,
        ISBETWEEN(AA23, 'Points-Table'!C$20, 'Points-Table'!C$21, TRUE, False), 'Points-Table'!A$21,
        ISBETWEEN(AA23, 'Points-Table'!C$22, 10000, TRUE, "&amp;"TRUE), 'Points-Table'!A$22,
        true, 
        0)
      "),"S")</f>
        <v>S</v>
      </c>
      <c r="AC23" s="3" t="s">
        <v>29</v>
      </c>
      <c r="AD23" s="3" t="s">
        <v>29</v>
      </c>
      <c r="AE23" s="3" t="s">
        <v>29</v>
      </c>
    </row>
    <row r="24" ht="24.75" customHeight="1">
      <c r="A24" s="3" t="s">
        <v>133</v>
      </c>
      <c r="B24" s="3" t="s">
        <v>157</v>
      </c>
      <c r="C24" s="3" t="s">
        <v>164</v>
      </c>
      <c r="D24" s="3" t="s">
        <v>165</v>
      </c>
      <c r="E24" s="3"/>
      <c r="F24" s="3" t="s">
        <v>166</v>
      </c>
      <c r="G24" s="3"/>
      <c r="H24" s="3"/>
      <c r="I24" s="3"/>
      <c r="J24" s="3"/>
      <c r="K24" s="3" t="s">
        <v>27</v>
      </c>
      <c r="L24" s="3" t="s">
        <v>28</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21.0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16</v>
      </c>
      <c r="W24" s="4">
        <v>8.0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7</v>
      </c>
      <c r="Y24" s="4">
        <v>21.0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16</v>
      </c>
      <c r="AA24" s="3">
        <f t="shared" si="2"/>
        <v>39</v>
      </c>
      <c r="AB24" s="3" t="str">
        <f>IFERROR(__xludf.DUMMYFUNCTION("
      Ifs( 
        ISBETWEEN(AA24, 0, 'Points-Table'!C$20, TRUE, False), 'Points-Table'!A$20,
        ISBETWEEN(AA24, 'Points-Table'!C$20, 'Points-Table'!C$21, TRUE, False), 'Points-Table'!A$21,
        ISBETWEEN(AA24, 'Points-Table'!C$22, 10000, TRUE, "&amp;"TRUE), 'Points-Table'!A$22,
        true, 
        0)
      "),"M")</f>
        <v>M</v>
      </c>
      <c r="AC24" s="3" t="s">
        <v>29</v>
      </c>
      <c r="AD24" s="3" t="s">
        <v>29</v>
      </c>
      <c r="AE24" s="3" t="s">
        <v>29</v>
      </c>
    </row>
    <row r="25" ht="24.75" customHeight="1">
      <c r="A25" s="3" t="s">
        <v>133</v>
      </c>
      <c r="B25" s="3" t="s">
        <v>167</v>
      </c>
      <c r="C25" s="3"/>
      <c r="D25" s="3"/>
      <c r="E25" s="3"/>
      <c r="F25" s="3"/>
      <c r="G25" s="3"/>
      <c r="H25" s="3"/>
      <c r="I25" s="3"/>
      <c r="J25" s="3"/>
      <c r="K25" s="3" t="s">
        <v>27</v>
      </c>
      <c r="L25" s="3" t="s">
        <v>28</v>
      </c>
      <c r="M25" s="3"/>
      <c r="N25" s="3"/>
      <c r="O25" s="3"/>
      <c r="P25" s="3"/>
      <c r="Q25" s="4"/>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5.0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4</v>
      </c>
      <c r="W25" s="4">
        <v>3.0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2</v>
      </c>
      <c r="Y25" s="4">
        <v>5.0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4</v>
      </c>
      <c r="AA25" s="3">
        <f t="shared" si="2"/>
        <v>10</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133</v>
      </c>
      <c r="B26" s="3" t="s">
        <v>168</v>
      </c>
      <c r="C26" s="3" t="s">
        <v>169</v>
      </c>
      <c r="D26" s="3" t="s">
        <v>170</v>
      </c>
      <c r="E26" s="3"/>
      <c r="F26" s="3" t="s">
        <v>171</v>
      </c>
      <c r="G26" s="3"/>
      <c r="H26" s="3"/>
      <c r="I26" s="3"/>
      <c r="J26" s="3"/>
      <c r="K26" s="3" t="s">
        <v>27</v>
      </c>
      <c r="L26" s="3" t="s">
        <v>28</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2.0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1</v>
      </c>
      <c r="W26" s="4">
        <v>0.0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0</v>
      </c>
      <c r="Y26" s="4">
        <v>0.0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0</v>
      </c>
      <c r="AA26" s="3">
        <f t="shared" si="2"/>
        <v>1</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133</v>
      </c>
      <c r="B27" s="3" t="s">
        <v>168</v>
      </c>
      <c r="C27" s="3" t="s">
        <v>172</v>
      </c>
      <c r="D27" s="3"/>
      <c r="E27" s="3"/>
      <c r="F27" s="3" t="s">
        <v>173</v>
      </c>
      <c r="G27" s="3"/>
      <c r="H27" s="3"/>
      <c r="I27" s="3"/>
      <c r="J27" s="3"/>
      <c r="K27" s="3" t="s">
        <v>27</v>
      </c>
      <c r="L27" s="3" t="s">
        <v>28</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1.0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0.5</v>
      </c>
      <c r="W27" s="4">
        <v>0.0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0</v>
      </c>
      <c r="Y27" s="4">
        <v>3.0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2</v>
      </c>
      <c r="AA27" s="3">
        <f t="shared" si="2"/>
        <v>2.5</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133</v>
      </c>
      <c r="B28" s="3" t="s">
        <v>168</v>
      </c>
      <c r="C28" s="3" t="s">
        <v>174</v>
      </c>
      <c r="D28" s="3"/>
      <c r="E28" s="3"/>
      <c r="F28" s="3"/>
      <c r="G28" s="3"/>
      <c r="H28" s="3"/>
      <c r="I28" s="3"/>
      <c r="J28" s="3"/>
      <c r="K28" s="3" t="s">
        <v>27</v>
      </c>
      <c r="L28" s="3" t="s">
        <v>28</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3.0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2</v>
      </c>
      <c r="W28" s="4">
        <v>0.0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0</v>
      </c>
      <c r="Y28" s="4">
        <v>0.0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0</v>
      </c>
      <c r="AA28" s="3">
        <f t="shared" si="2"/>
        <v>2</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3" t="s">
        <v>133</v>
      </c>
      <c r="B29" s="3" t="s">
        <v>168</v>
      </c>
      <c r="C29" s="3" t="s">
        <v>175</v>
      </c>
      <c r="D29" s="3"/>
      <c r="E29" s="3"/>
      <c r="F29" s="3" t="s">
        <v>176</v>
      </c>
      <c r="G29" s="3"/>
      <c r="H29" s="3"/>
      <c r="I29" s="3"/>
      <c r="J29" s="3"/>
      <c r="K29" s="3" t="s">
        <v>27</v>
      </c>
      <c r="L29" s="3" t="s">
        <v>28</v>
      </c>
      <c r="M29" s="3"/>
      <c r="N29" s="3"/>
      <c r="O29" s="3"/>
      <c r="P29" s="3"/>
      <c r="Q29" s="4"/>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8.0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7</v>
      </c>
      <c r="W29" s="4">
        <v>2.0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1</v>
      </c>
      <c r="Y29" s="4">
        <v>13.0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11</v>
      </c>
      <c r="AA29" s="3">
        <f t="shared" si="2"/>
        <v>19</v>
      </c>
      <c r="AB29" s="3" t="str">
        <f>IFERROR(__xludf.DUMMYFUNCTION("
      Ifs( 
        ISBETWEEN(AA29, 0, 'Points-Table'!C$20, TRUE, False), 'Points-Table'!A$20,
        ISBETWEEN(AA29, 'Points-Table'!C$20, 'Points-Table'!C$21, TRUE, False), 'Points-Table'!A$21,
        ISBETWEEN(AA29, 'Points-Table'!C$22, 10000, TRUE, "&amp;"TRUE), 'Points-Table'!A$22,
        true, 
        0)
      "),"S")</f>
        <v>S</v>
      </c>
      <c r="AC29" s="3" t="s">
        <v>29</v>
      </c>
      <c r="AD29" s="3" t="s">
        <v>29</v>
      </c>
      <c r="AE29" s="3" t="s">
        <v>29</v>
      </c>
    </row>
    <row r="30" ht="24.75" customHeight="1">
      <c r="A30" s="3" t="s">
        <v>133</v>
      </c>
      <c r="B30" s="3" t="s">
        <v>177</v>
      </c>
      <c r="C30" s="3"/>
      <c r="D30" s="3"/>
      <c r="E30" s="3"/>
      <c r="F30" s="3"/>
      <c r="G30" s="3"/>
      <c r="H30" s="3"/>
      <c r="I30" s="3"/>
      <c r="J30" s="3"/>
      <c r="K30" s="3" t="s">
        <v>27</v>
      </c>
      <c r="L30" s="3" t="s">
        <v>28</v>
      </c>
      <c r="M30" s="3"/>
      <c r="N30" s="3"/>
      <c r="O30" s="3"/>
      <c r="P30" s="3"/>
      <c r="Q30" s="4"/>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3.0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2</v>
      </c>
      <c r="W30" s="4">
        <v>1.0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0.5</v>
      </c>
      <c r="Y30" s="4">
        <v>3.0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2</v>
      </c>
      <c r="AA30" s="3">
        <f t="shared" si="2"/>
        <v>4.5</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133</v>
      </c>
      <c r="B31" s="3" t="s">
        <v>178</v>
      </c>
      <c r="C31" s="3"/>
      <c r="D31" s="3"/>
      <c r="E31" s="3"/>
      <c r="F31" s="3"/>
      <c r="G31" s="3"/>
      <c r="H31" s="3"/>
      <c r="I31" s="3"/>
      <c r="J31" s="3"/>
      <c r="K31" s="3" t="s">
        <v>27</v>
      </c>
      <c r="L31" s="3" t="s">
        <v>28</v>
      </c>
      <c r="M31" s="3"/>
      <c r="N31" s="3"/>
      <c r="O31" s="3"/>
      <c r="P31" s="3"/>
      <c r="Q31" s="4"/>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3.0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2</v>
      </c>
      <c r="W31" s="4">
        <v>1.0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0.5</v>
      </c>
      <c r="Y31" s="4">
        <v>3.0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2</v>
      </c>
      <c r="AA31" s="3">
        <f t="shared" si="2"/>
        <v>4.5</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133</v>
      </c>
      <c r="B32" s="3" t="s">
        <v>179</v>
      </c>
      <c r="C32" s="3" t="s">
        <v>180</v>
      </c>
      <c r="D32" s="3"/>
      <c r="E32" s="3"/>
      <c r="F32" s="3" t="s">
        <v>181</v>
      </c>
      <c r="G32" s="3"/>
      <c r="H32" s="3"/>
      <c r="I32" s="3"/>
      <c r="J32" s="3"/>
      <c r="K32" s="3" t="s">
        <v>27</v>
      </c>
      <c r="L32" s="3" t="s">
        <v>28</v>
      </c>
      <c r="M32" s="3"/>
      <c r="N32" s="3"/>
      <c r="O32" s="3"/>
      <c r="P32" s="3"/>
      <c r="Q32" s="4"/>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8.0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7</v>
      </c>
      <c r="W32" s="4">
        <v>2.0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1</v>
      </c>
      <c r="Y32" s="4">
        <v>8.0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7</v>
      </c>
      <c r="AA32" s="3">
        <f t="shared" si="2"/>
        <v>15</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3" t="s">
        <v>133</v>
      </c>
      <c r="B33" s="3" t="s">
        <v>179</v>
      </c>
      <c r="C33" s="3" t="s">
        <v>182</v>
      </c>
      <c r="D33" s="3"/>
      <c r="E33" s="3"/>
      <c r="F33" s="3" t="s">
        <v>183</v>
      </c>
      <c r="G33" s="3"/>
      <c r="H33" s="3"/>
      <c r="I33" s="3"/>
      <c r="J33" s="3"/>
      <c r="K33" s="3" t="s">
        <v>27</v>
      </c>
      <c r="L33" s="3" t="s">
        <v>28</v>
      </c>
      <c r="M33" s="3"/>
      <c r="N33" s="3"/>
      <c r="O33" s="3"/>
      <c r="P33" s="3"/>
      <c r="Q33" s="4"/>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5.0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4</v>
      </c>
      <c r="W33" s="4">
        <v>2.0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1</v>
      </c>
      <c r="Y33" s="4">
        <v>8.0</v>
      </c>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7</v>
      </c>
      <c r="AA33" s="3">
        <f t="shared" si="2"/>
        <v>12</v>
      </c>
      <c r="AB33" s="3" t="str">
        <f>IFERROR(__xludf.DUMMYFUNCTION("
      Ifs( 
        ISBETWEEN(AA33, 0, 'Points-Table'!C$20, TRUE, False), 'Points-Table'!A$20,
        ISBETWEEN(AA33, 'Points-Table'!C$20, 'Points-Table'!C$21, TRUE, False), 'Points-Table'!A$21,
        ISBETWEEN(AA33, 'Points-Table'!C$22, 10000, TRUE, "&amp;"TRUE), 'Points-Table'!A$22,
        true, 
        0)
      "),"S")</f>
        <v>S</v>
      </c>
      <c r="AC33" s="3" t="s">
        <v>29</v>
      </c>
      <c r="AD33" s="3" t="s">
        <v>29</v>
      </c>
      <c r="AE33" s="3" t="s">
        <v>29</v>
      </c>
    </row>
    <row r="34" ht="24.75" customHeight="1">
      <c r="A34" s="3" t="s">
        <v>184</v>
      </c>
      <c r="B34" s="3" t="s">
        <v>185</v>
      </c>
      <c r="C34" s="3"/>
      <c r="D34" s="3" t="s">
        <v>186</v>
      </c>
      <c r="E34" s="3"/>
      <c r="F34" s="3" t="s">
        <v>29</v>
      </c>
      <c r="G34" s="3"/>
      <c r="H34" s="3"/>
      <c r="I34" s="3"/>
      <c r="J34" s="3"/>
      <c r="K34" s="3" t="s">
        <v>27</v>
      </c>
      <c r="L34" s="3" t="s">
        <v>28</v>
      </c>
      <c r="M34" s="3"/>
      <c r="N34" s="3"/>
      <c r="O34" s="3"/>
      <c r="P34" s="3"/>
      <c r="Q34" s="4">
        <v>3.0</v>
      </c>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2</v>
      </c>
      <c r="S34" s="4">
        <v>3.0</v>
      </c>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2</v>
      </c>
      <c r="U34" s="4">
        <v>0.0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0</v>
      </c>
      <c r="W34" s="4">
        <v>0.0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0</v>
      </c>
      <c r="Y34" s="4">
        <v>0.0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0</v>
      </c>
      <c r="AA34" s="3">
        <f t="shared" si="2"/>
        <v>0</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184</v>
      </c>
      <c r="B35" s="3" t="s">
        <v>187</v>
      </c>
      <c r="C35" s="3"/>
      <c r="D35" s="3"/>
      <c r="E35" s="3"/>
      <c r="F35" s="3" t="s">
        <v>29</v>
      </c>
      <c r="G35" s="3"/>
      <c r="H35" s="3"/>
      <c r="I35" s="3"/>
      <c r="J35" s="3"/>
      <c r="K35" s="3" t="s">
        <v>27</v>
      </c>
      <c r="L35" s="3" t="s">
        <v>28</v>
      </c>
      <c r="M35" s="3"/>
      <c r="N35" s="3"/>
      <c r="O35" s="3"/>
      <c r="P35" s="3"/>
      <c r="Q35" s="4">
        <v>3.0</v>
      </c>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2</v>
      </c>
      <c r="S35" s="4">
        <v>3.0</v>
      </c>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2</v>
      </c>
      <c r="U35" s="4">
        <v>0.0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0</v>
      </c>
      <c r="W35" s="4">
        <v>0.0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0</v>
      </c>
      <c r="Y35" s="4">
        <v>0.0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0</v>
      </c>
      <c r="AA35" s="3">
        <f t="shared" si="2"/>
        <v>0</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184</v>
      </c>
      <c r="B36" s="3" t="s">
        <v>188</v>
      </c>
      <c r="C36" s="3"/>
      <c r="D36" s="3"/>
      <c r="E36" s="3"/>
      <c r="F36" s="3" t="s">
        <v>29</v>
      </c>
      <c r="G36" s="3"/>
      <c r="H36" s="3"/>
      <c r="I36" s="3"/>
      <c r="J36" s="3"/>
      <c r="K36" s="3" t="s">
        <v>27</v>
      </c>
      <c r="L36" s="3" t="s">
        <v>28</v>
      </c>
      <c r="M36" s="3"/>
      <c r="N36" s="3"/>
      <c r="O36" s="3"/>
      <c r="P36" s="3"/>
      <c r="Q36" s="4"/>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0.0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0</v>
      </c>
      <c r="W36" s="4">
        <v>0.0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0</v>
      </c>
      <c r="Y36" s="4">
        <v>0.0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0</v>
      </c>
      <c r="AA36" s="3">
        <f t="shared" si="2"/>
        <v>0</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184</v>
      </c>
      <c r="B37" s="3" t="s">
        <v>189</v>
      </c>
      <c r="C37" s="3"/>
      <c r="D37" s="3"/>
      <c r="E37" s="3"/>
      <c r="F37" s="3"/>
      <c r="G37" s="3"/>
      <c r="H37" s="3"/>
      <c r="I37" s="3"/>
      <c r="J37" s="3"/>
      <c r="K37" s="3" t="s">
        <v>27</v>
      </c>
      <c r="L37" s="3" t="s">
        <v>28</v>
      </c>
      <c r="M37" s="3"/>
      <c r="N37" s="3"/>
      <c r="O37" s="3"/>
      <c r="P37" s="3"/>
      <c r="Q37" s="4"/>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5.0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4</v>
      </c>
      <c r="W37" s="4">
        <v>3.0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2</v>
      </c>
      <c r="Y37" s="4">
        <v>5.0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4</v>
      </c>
      <c r="AA37" s="3">
        <f t="shared" si="2"/>
        <v>10</v>
      </c>
      <c r="AB37" s="3" t="str">
        <f>IFERROR(__xludf.DUMMYFUNCTION("
      Ifs( 
        ISBETWEEN(AA37, 0, 'Points-Table'!C$20, TRUE, False), 'Points-Table'!A$20,
        ISBETWEEN(AA37, 'Points-Table'!C$20, 'Points-Table'!C$21, TRUE, False), 'Points-Table'!A$21,
        ISBETWEEN(AA37, 'Points-Table'!C$22, 10000, TRUE, "&amp;"TRUE), 'Points-Table'!A$22,
        true, 
        0)
      "),"S")</f>
        <v>S</v>
      </c>
      <c r="AC37" s="3" t="s">
        <v>29</v>
      </c>
      <c r="AD37" s="3" t="s">
        <v>29</v>
      </c>
      <c r="AE37" s="3" t="s">
        <v>29</v>
      </c>
    </row>
    <row r="38" ht="24.75" customHeight="1">
      <c r="A38" s="3" t="s">
        <v>184</v>
      </c>
      <c r="B38" s="3" t="s">
        <v>190</v>
      </c>
      <c r="C38" s="3"/>
      <c r="D38" s="3"/>
      <c r="E38" s="3"/>
      <c r="F38" s="3"/>
      <c r="G38" s="3"/>
      <c r="H38" s="3"/>
      <c r="I38" s="3"/>
      <c r="J38" s="3"/>
      <c r="K38" s="3" t="s">
        <v>27</v>
      </c>
      <c r="L38" s="3" t="s">
        <v>28</v>
      </c>
      <c r="M38" s="3"/>
      <c r="N38" s="3"/>
      <c r="O38" s="3"/>
      <c r="P38" s="3"/>
      <c r="Q38" s="4"/>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3.0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2</v>
      </c>
      <c r="W38" s="4">
        <v>2.0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1</v>
      </c>
      <c r="Y38" s="4">
        <v>3.0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2</v>
      </c>
      <c r="AA38" s="3">
        <f t="shared" si="2"/>
        <v>5</v>
      </c>
      <c r="AB38" s="3" t="str">
        <f>IFERROR(__xludf.DUMMYFUNCTION("
      Ifs( 
        ISBETWEEN(AA38, 0, 'Points-Table'!C$20, TRUE, False), 'Points-Table'!A$20,
        ISBETWEEN(AA38, 'Points-Table'!C$20, 'Points-Table'!C$21, TRUE, False), 'Points-Table'!A$21,
        ISBETWEEN(AA38, 'Points-Table'!C$22, 10000, TRUE, "&amp;"TRUE), 'Points-Table'!A$22,
        true, 
        0)
      "),"S")</f>
        <v>S</v>
      </c>
      <c r="AC38" s="3" t="s">
        <v>29</v>
      </c>
      <c r="AD38" s="3" t="s">
        <v>29</v>
      </c>
      <c r="AE38" s="3" t="s">
        <v>29</v>
      </c>
    </row>
    <row r="39" ht="24.75" customHeight="1">
      <c r="A39" s="3" t="s">
        <v>184</v>
      </c>
      <c r="B39" s="3" t="s">
        <v>191</v>
      </c>
      <c r="C39" s="3"/>
      <c r="D39" s="3"/>
      <c r="E39" s="3"/>
      <c r="F39" s="3"/>
      <c r="G39" s="3"/>
      <c r="H39" s="3"/>
      <c r="I39" s="3"/>
      <c r="J39" s="3"/>
      <c r="K39" s="3" t="s">
        <v>27</v>
      </c>
      <c r="L39" s="3" t="s">
        <v>28</v>
      </c>
      <c r="M39" s="3"/>
      <c r="N39" s="3"/>
      <c r="O39" s="3"/>
      <c r="P39" s="3"/>
      <c r="Q39" s="4"/>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3.0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2</v>
      </c>
      <c r="W39" s="4">
        <v>2.0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1</v>
      </c>
      <c r="Y39" s="4">
        <v>3.0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2</v>
      </c>
      <c r="AA39" s="3">
        <f t="shared" si="2"/>
        <v>5</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A40" s="3" t="s">
        <v>184</v>
      </c>
      <c r="B40" s="3" t="s">
        <v>192</v>
      </c>
      <c r="C40" s="3"/>
      <c r="D40" s="3"/>
      <c r="E40" s="3"/>
      <c r="F40" s="3"/>
      <c r="G40" s="3"/>
      <c r="H40" s="3"/>
      <c r="I40" s="3"/>
      <c r="J40" s="3"/>
      <c r="K40" s="3" t="s">
        <v>27</v>
      </c>
      <c r="L40" s="3" t="s">
        <v>28</v>
      </c>
      <c r="M40" s="3"/>
      <c r="N40" s="3"/>
      <c r="O40" s="3"/>
      <c r="P40" s="3"/>
      <c r="Q40" s="4"/>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3.0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2</v>
      </c>
      <c r="W40" s="4">
        <v>2.0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1</v>
      </c>
      <c r="Y40" s="4">
        <v>3.0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2</v>
      </c>
      <c r="AA40" s="3">
        <f t="shared" si="2"/>
        <v>5</v>
      </c>
      <c r="AB40" s="3" t="str">
        <f>IFERROR(__xludf.DUMMYFUNCTION("
      Ifs( 
        ISBETWEEN(AA40, 0, 'Points-Table'!C$20, TRUE, False), 'Points-Table'!A$20,
        ISBETWEEN(AA40, 'Points-Table'!C$20, 'Points-Table'!C$21, TRUE, False), 'Points-Table'!A$21,
        ISBETWEEN(AA40, 'Points-Table'!C$22, 10000, TRUE, "&amp;"TRUE), 'Points-Table'!A$22,
        true, 
        0)
      "),"S")</f>
        <v>S</v>
      </c>
      <c r="AC40" s="3" t="s">
        <v>29</v>
      </c>
      <c r="AD40" s="3" t="s">
        <v>29</v>
      </c>
      <c r="AE40" s="3" t="s">
        <v>29</v>
      </c>
    </row>
    <row r="41" ht="24.75" customHeight="1">
      <c r="A41" s="3" t="s">
        <v>184</v>
      </c>
      <c r="B41" s="3" t="s">
        <v>193</v>
      </c>
      <c r="C41" s="3"/>
      <c r="D41" s="3"/>
      <c r="E41" s="3"/>
      <c r="F41" s="3"/>
      <c r="G41" s="3"/>
      <c r="H41" s="3"/>
      <c r="I41" s="3"/>
      <c r="J41" s="3"/>
      <c r="K41" s="3" t="s">
        <v>27</v>
      </c>
      <c r="L41" s="3" t="s">
        <v>28</v>
      </c>
      <c r="M41" s="3"/>
      <c r="N41" s="3"/>
      <c r="O41" s="3"/>
      <c r="P41" s="3"/>
      <c r="Q41" s="4"/>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v>
      </c>
      <c r="S41" s="4"/>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v>
      </c>
      <c r="U41" s="4">
        <v>3.0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2</v>
      </c>
      <c r="W41" s="4">
        <v>3.0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2</v>
      </c>
      <c r="Y41" s="4">
        <v>3.0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2</v>
      </c>
      <c r="AA41" s="3">
        <f t="shared" si="2"/>
        <v>6</v>
      </c>
      <c r="AB41" s="3" t="str">
        <f>IFERROR(__xludf.DUMMYFUNCTION("
      Ifs( 
        ISBETWEEN(AA41, 0, 'Points-Table'!C$20, TRUE, False), 'Points-Table'!A$20,
        ISBETWEEN(AA41, 'Points-Table'!C$20, 'Points-Table'!C$21, TRUE, False), 'Points-Table'!A$21,
        ISBETWEEN(AA41, 'Points-Table'!C$22, 10000, TRUE, "&amp;"TRUE), 'Points-Table'!A$22,
        true, 
        0)
      "),"S")</f>
        <v>S</v>
      </c>
      <c r="AC41" s="3" t="s">
        <v>29</v>
      </c>
      <c r="AD41" s="3" t="s">
        <v>29</v>
      </c>
      <c r="AE41" s="3" t="s">
        <v>29</v>
      </c>
    </row>
    <row r="42" ht="24.75" customHeight="1">
      <c r="A42" s="3" t="s">
        <v>184</v>
      </c>
      <c r="B42" s="3" t="s">
        <v>194</v>
      </c>
      <c r="C42" s="3"/>
      <c r="D42" s="3"/>
      <c r="E42" s="3"/>
      <c r="F42" s="3"/>
      <c r="G42" s="3"/>
      <c r="H42" s="3"/>
      <c r="I42" s="3"/>
      <c r="J42" s="3"/>
      <c r="K42" s="3" t="s">
        <v>27</v>
      </c>
      <c r="L42" s="3" t="s">
        <v>28</v>
      </c>
      <c r="M42" s="3"/>
      <c r="N42" s="3"/>
      <c r="O42" s="3"/>
      <c r="P42" s="3"/>
      <c r="Q42" s="4"/>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3.0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2</v>
      </c>
      <c r="W42" s="4">
        <v>3.0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2</v>
      </c>
      <c r="Y42" s="4">
        <v>3.0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2</v>
      </c>
      <c r="AA42" s="3">
        <f t="shared" si="2"/>
        <v>6</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184</v>
      </c>
      <c r="B43" s="3" t="s">
        <v>175</v>
      </c>
      <c r="C43" s="3"/>
      <c r="D43" s="3"/>
      <c r="E43" s="3"/>
      <c r="F43" s="3" t="s">
        <v>29</v>
      </c>
      <c r="G43" s="3"/>
      <c r="H43" s="3"/>
      <c r="I43" s="3"/>
      <c r="J43" s="3"/>
      <c r="K43" s="3" t="s">
        <v>27</v>
      </c>
      <c r="L43" s="3" t="s">
        <v>28</v>
      </c>
      <c r="M43" s="3"/>
      <c r="N43" s="3"/>
      <c r="O43" s="3"/>
      <c r="P43" s="3"/>
      <c r="Q43" s="4">
        <v>2.0</v>
      </c>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1</v>
      </c>
      <c r="S43" s="4">
        <v>2.0</v>
      </c>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1</v>
      </c>
      <c r="U43" s="4">
        <v>5.0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4</v>
      </c>
      <c r="W43" s="4">
        <v>3.0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2</v>
      </c>
      <c r="Y43" s="4">
        <v>5.0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4</v>
      </c>
      <c r="AA43" s="3">
        <f t="shared" si="2"/>
        <v>10</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195</v>
      </c>
      <c r="B44" s="3" t="s">
        <v>196</v>
      </c>
      <c r="C44" s="3" t="s">
        <v>197</v>
      </c>
      <c r="D44" s="3"/>
      <c r="E44" s="3"/>
      <c r="F44" s="3" t="s">
        <v>198</v>
      </c>
      <c r="G44" s="3"/>
      <c r="H44" s="3"/>
      <c r="I44" s="3"/>
      <c r="J44" s="3"/>
      <c r="K44" s="3" t="s">
        <v>27</v>
      </c>
      <c r="L44" s="3" t="s">
        <v>28</v>
      </c>
      <c r="M44" s="3"/>
      <c r="N44" s="3"/>
      <c r="O44" s="3"/>
      <c r="P44" s="3"/>
      <c r="Q44" s="4"/>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v>
      </c>
      <c r="S44" s="4"/>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v>
      </c>
      <c r="U44" s="4">
        <v>3.0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2</v>
      </c>
      <c r="W44" s="4">
        <v>2.0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1</v>
      </c>
      <c r="Y44" s="4">
        <v>8.0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7</v>
      </c>
      <c r="AA44" s="3">
        <f t="shared" si="2"/>
        <v>10</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3" t="s">
        <v>195</v>
      </c>
      <c r="B45" s="3" t="s">
        <v>196</v>
      </c>
      <c r="C45" s="3" t="s">
        <v>199</v>
      </c>
      <c r="D45" s="3"/>
      <c r="E45" s="3"/>
      <c r="F45" s="3" t="s">
        <v>200</v>
      </c>
      <c r="G45" s="3"/>
      <c r="H45" s="3"/>
      <c r="I45" s="3"/>
      <c r="J45" s="3"/>
      <c r="K45" s="3" t="s">
        <v>27</v>
      </c>
      <c r="L45" s="3" t="s">
        <v>28</v>
      </c>
      <c r="M45" s="3"/>
      <c r="N45" s="3"/>
      <c r="O45" s="3"/>
      <c r="P45" s="3"/>
      <c r="Q45" s="4"/>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v>
      </c>
      <c r="S45" s="4"/>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v>
      </c>
      <c r="U45" s="4">
        <v>2.0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1</v>
      </c>
      <c r="W45" s="4">
        <v>2.0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1</v>
      </c>
      <c r="Y45" s="4">
        <v>5.0</v>
      </c>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4</v>
      </c>
      <c r="AA45" s="3">
        <f t="shared" si="2"/>
        <v>6</v>
      </c>
      <c r="AB45" s="3" t="str">
        <f>IFERROR(__xludf.DUMMYFUNCTION("
      Ifs( 
        ISBETWEEN(AA45, 0, 'Points-Table'!C$20, TRUE, False), 'Points-Table'!A$20,
        ISBETWEEN(AA45, 'Points-Table'!C$20, 'Points-Table'!C$21, TRUE, False), 'Points-Table'!A$21,
        ISBETWEEN(AA45, 'Points-Table'!C$22, 10000, TRUE, "&amp;"TRUE), 'Points-Table'!A$22,
        true, 
        0)
      "),"S")</f>
        <v>S</v>
      </c>
      <c r="AC45" s="3" t="s">
        <v>29</v>
      </c>
      <c r="AD45" s="3" t="s">
        <v>29</v>
      </c>
      <c r="AE45" s="3" t="s">
        <v>29</v>
      </c>
    </row>
    <row r="46" ht="24.75" customHeight="1">
      <c r="A46" s="3" t="s">
        <v>195</v>
      </c>
      <c r="B46" s="3" t="s">
        <v>196</v>
      </c>
      <c r="C46" s="3" t="s">
        <v>201</v>
      </c>
      <c r="D46" s="3" t="s">
        <v>202</v>
      </c>
      <c r="E46" s="3"/>
      <c r="F46" s="3" t="s">
        <v>203</v>
      </c>
      <c r="G46" s="3"/>
      <c r="H46" s="3"/>
      <c r="I46" s="3"/>
      <c r="J46" s="3"/>
      <c r="K46" s="3" t="s">
        <v>27</v>
      </c>
      <c r="L46" s="3" t="s">
        <v>28</v>
      </c>
      <c r="M46" s="3"/>
      <c r="N46" s="3"/>
      <c r="O46" s="3"/>
      <c r="P46" s="3"/>
      <c r="Q46" s="4">
        <v>2.0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1</v>
      </c>
      <c r="S46" s="4">
        <v>2.0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1</v>
      </c>
      <c r="U46" s="4">
        <v>5.0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4</v>
      </c>
      <c r="W46" s="4">
        <v>5.0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4</v>
      </c>
      <c r="Y46" s="4">
        <v>3.0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2</v>
      </c>
      <c r="AA46" s="3">
        <f t="shared" si="2"/>
        <v>10</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195</v>
      </c>
      <c r="B47" s="3" t="s">
        <v>196</v>
      </c>
      <c r="C47" s="3" t="s">
        <v>204</v>
      </c>
      <c r="D47" s="3"/>
      <c r="E47" s="3"/>
      <c r="F47" s="3"/>
      <c r="G47" s="3"/>
      <c r="H47" s="3"/>
      <c r="I47" s="3"/>
      <c r="J47" s="3"/>
      <c r="K47" s="3" t="s">
        <v>27</v>
      </c>
      <c r="L47" s="3" t="s">
        <v>28</v>
      </c>
      <c r="M47" s="3"/>
      <c r="N47" s="3"/>
      <c r="O47" s="3"/>
      <c r="P47" s="3"/>
      <c r="Q47" s="4"/>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3.0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2</v>
      </c>
      <c r="W47" s="4">
        <v>0.0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0</v>
      </c>
      <c r="Y47" s="4">
        <v>2.0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1</v>
      </c>
      <c r="AA47" s="3">
        <f t="shared" si="2"/>
        <v>3</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195</v>
      </c>
      <c r="B48" s="3" t="s">
        <v>196</v>
      </c>
      <c r="C48" s="3" t="s">
        <v>205</v>
      </c>
      <c r="D48" s="3"/>
      <c r="E48" s="3"/>
      <c r="F48" s="3" t="s">
        <v>206</v>
      </c>
      <c r="G48" s="3"/>
      <c r="H48" s="3"/>
      <c r="I48" s="3"/>
      <c r="J48" s="3"/>
      <c r="K48" s="3" t="s">
        <v>27</v>
      </c>
      <c r="L48" s="3" t="s">
        <v>28</v>
      </c>
      <c r="M48" s="3"/>
      <c r="N48" s="3"/>
      <c r="O48" s="3"/>
      <c r="P48" s="3"/>
      <c r="Q48" s="4"/>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8.0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7</v>
      </c>
      <c r="W48" s="4">
        <v>2.0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1</v>
      </c>
      <c r="Y48" s="4">
        <v>5.0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4</v>
      </c>
      <c r="AA48" s="3">
        <f t="shared" si="2"/>
        <v>12</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195</v>
      </c>
      <c r="B49" s="3" t="s">
        <v>196</v>
      </c>
      <c r="C49" s="3" t="s">
        <v>207</v>
      </c>
      <c r="D49" s="3" t="s">
        <v>208</v>
      </c>
      <c r="E49" s="3"/>
      <c r="F49" s="3" t="s">
        <v>209</v>
      </c>
      <c r="G49" s="3"/>
      <c r="H49" s="3"/>
      <c r="I49" s="3"/>
      <c r="J49" s="3"/>
      <c r="K49" s="3" t="s">
        <v>27</v>
      </c>
      <c r="L49" s="3" t="s">
        <v>28</v>
      </c>
      <c r="M49" s="3"/>
      <c r="N49" s="3"/>
      <c r="O49" s="3"/>
      <c r="P49" s="3"/>
      <c r="Q49" s="4"/>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5.0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4</v>
      </c>
      <c r="W49" s="4">
        <v>2.0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1</v>
      </c>
      <c r="Y49" s="4">
        <v>13.0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11</v>
      </c>
      <c r="AA49" s="3">
        <f t="shared" si="2"/>
        <v>16</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3" t="s">
        <v>195</v>
      </c>
      <c r="B50" s="3" t="s">
        <v>196</v>
      </c>
      <c r="C50" s="3" t="s">
        <v>210</v>
      </c>
      <c r="D50" s="3"/>
      <c r="E50" s="3"/>
      <c r="F50" s="3"/>
      <c r="G50" s="3"/>
      <c r="H50" s="3"/>
      <c r="I50" s="3"/>
      <c r="J50" s="3"/>
      <c r="K50" s="3" t="s">
        <v>27</v>
      </c>
      <c r="L50" s="3" t="s">
        <v>28</v>
      </c>
      <c r="M50" s="3"/>
      <c r="N50" s="3"/>
      <c r="O50" s="3"/>
      <c r="P50" s="3"/>
      <c r="Q50" s="4"/>
      <c r="R50" s="5">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v>
      </c>
      <c r="S50" s="4"/>
      <c r="T50" s="5">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v>
      </c>
      <c r="U50" s="4">
        <v>5.0</v>
      </c>
      <c r="V50" s="5">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4</v>
      </c>
      <c r="W50" s="4">
        <v>0.0</v>
      </c>
      <c r="X50" s="5">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0</v>
      </c>
      <c r="Y50" s="4">
        <v>5.0</v>
      </c>
      <c r="Z50" s="5">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4</v>
      </c>
      <c r="AA50" s="3">
        <f t="shared" si="2"/>
        <v>8</v>
      </c>
      <c r="AB50" s="3" t="str">
        <f>IFERROR(__xludf.DUMMYFUNCTION("
      Ifs( 
        ISBETWEEN(AA50, 0, 'Points-Table'!C$20, TRUE, False), 'Points-Table'!A$20,
        ISBETWEEN(AA50, 'Points-Table'!C$20, 'Points-Table'!C$21, TRUE, False), 'Points-Table'!A$21,
        ISBETWEEN(AA50, 'Points-Table'!C$22, 10000, TRUE, "&amp;"TRUE), 'Points-Table'!A$22,
        true, 
        0)
      "),"S")</f>
        <v>S</v>
      </c>
      <c r="AC50" s="3" t="s">
        <v>29</v>
      </c>
      <c r="AD50" s="3" t="s">
        <v>29</v>
      </c>
      <c r="AE50" s="3" t="s">
        <v>29</v>
      </c>
    </row>
    <row r="51" ht="24.75" customHeight="1">
      <c r="A51" s="3" t="s">
        <v>195</v>
      </c>
      <c r="B51" s="3" t="s">
        <v>196</v>
      </c>
      <c r="C51" s="3" t="s">
        <v>211</v>
      </c>
      <c r="D51" s="3"/>
      <c r="E51" s="3"/>
      <c r="F51" s="3"/>
      <c r="G51" s="3"/>
      <c r="H51" s="3"/>
      <c r="I51" s="3"/>
      <c r="J51" s="3"/>
      <c r="K51" s="3" t="s">
        <v>27</v>
      </c>
      <c r="L51" s="3" t="s">
        <v>28</v>
      </c>
      <c r="M51" s="3"/>
      <c r="N51" s="3"/>
      <c r="O51" s="3"/>
      <c r="P51" s="3"/>
      <c r="Q51" s="4"/>
      <c r="R51" s="5">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4"/>
      <c r="T51" s="5">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4">
        <v>5.0</v>
      </c>
      <c r="V51" s="5">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4</v>
      </c>
      <c r="W51" s="4">
        <v>0.0</v>
      </c>
      <c r="X51" s="5">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0</v>
      </c>
      <c r="Y51" s="4">
        <v>5.0</v>
      </c>
      <c r="Z51" s="5">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4</v>
      </c>
      <c r="AA51" s="3">
        <f t="shared" si="2"/>
        <v>8</v>
      </c>
      <c r="AB51" s="3" t="str">
        <f>IFERROR(__xludf.DUMMYFUNCTION("
      Ifs( 
        ISBETWEEN(AA51, 0, 'Points-Table'!C$20, TRUE, False), 'Points-Table'!A$20,
        ISBETWEEN(AA51, 'Points-Table'!C$20, 'Points-Table'!C$21, TRUE, False), 'Points-Table'!A$21,
        ISBETWEEN(AA51, 'Points-Table'!C$22, 10000, TRUE, "&amp;"TRUE), 'Points-Table'!A$22,
        true, 
        0)
      "),"S")</f>
        <v>S</v>
      </c>
      <c r="AC51" s="3" t="s">
        <v>29</v>
      </c>
      <c r="AD51" s="3" t="s">
        <v>29</v>
      </c>
      <c r="AE51" s="3" t="s">
        <v>29</v>
      </c>
    </row>
    <row r="52" ht="24.75" customHeight="1">
      <c r="A52" s="3" t="s">
        <v>195</v>
      </c>
      <c r="B52" s="3" t="s">
        <v>196</v>
      </c>
      <c r="C52" s="3" t="s">
        <v>212</v>
      </c>
      <c r="D52" s="3"/>
      <c r="E52" s="3"/>
      <c r="F52" s="3" t="s">
        <v>213</v>
      </c>
      <c r="G52" s="3"/>
      <c r="H52" s="3"/>
      <c r="I52" s="3"/>
      <c r="J52" s="3"/>
      <c r="K52" s="3" t="s">
        <v>27</v>
      </c>
      <c r="L52" s="3" t="s">
        <v>28</v>
      </c>
      <c r="M52" s="3"/>
      <c r="N52" s="3"/>
      <c r="O52" s="3"/>
      <c r="P52" s="3"/>
      <c r="Q52" s="4"/>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v>
      </c>
      <c r="S52" s="4"/>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v>
      </c>
      <c r="U52" s="4">
        <v>0.0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0</v>
      </c>
      <c r="W52" s="4">
        <v>2.0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1</v>
      </c>
      <c r="Y52" s="4">
        <v>3.0</v>
      </c>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2</v>
      </c>
      <c r="AA52" s="3">
        <f t="shared" si="2"/>
        <v>3</v>
      </c>
      <c r="AB52" s="3" t="str">
        <f>IFERROR(__xludf.DUMMYFUNCTION("
      Ifs( 
        ISBETWEEN(AA52, 0, 'Points-Table'!C$20, TRUE, False), 'Points-Table'!A$20,
        ISBETWEEN(AA52, 'Points-Table'!C$20, 'Points-Table'!C$21, TRUE, False), 'Points-Table'!A$21,
        ISBETWEEN(AA52, 'Points-Table'!C$22, 10000, TRUE, "&amp;"TRUE), 'Points-Table'!A$22,
        true, 
        0)
      "),"S")</f>
        <v>S</v>
      </c>
      <c r="AC52" s="3" t="s">
        <v>29</v>
      </c>
      <c r="AD52" s="3" t="s">
        <v>29</v>
      </c>
      <c r="AE52" s="3" t="s">
        <v>29</v>
      </c>
    </row>
    <row r="53" ht="24.75" customHeight="1">
      <c r="A53" s="6" t="s">
        <v>195</v>
      </c>
      <c r="B53" s="6" t="s">
        <v>196</v>
      </c>
      <c r="C53" s="6" t="s">
        <v>214</v>
      </c>
      <c r="D53" s="6"/>
      <c r="E53" s="6"/>
      <c r="F53" s="6"/>
      <c r="G53" s="6"/>
      <c r="H53" s="6"/>
      <c r="I53" s="6"/>
      <c r="J53" s="6"/>
      <c r="K53" s="6" t="s">
        <v>27</v>
      </c>
      <c r="L53" s="6" t="s">
        <v>28</v>
      </c>
      <c r="M53" s="6"/>
      <c r="N53" s="6"/>
      <c r="O53" s="6"/>
      <c r="P53" s="6"/>
      <c r="Q53" s="6"/>
      <c r="R53" s="6">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0</v>
      </c>
      <c r="S53" s="6"/>
      <c r="T53" s="6">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0</v>
      </c>
      <c r="U53" s="6"/>
      <c r="V53" s="6">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0</v>
      </c>
      <c r="W53" s="6"/>
      <c r="X53" s="6">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0</v>
      </c>
      <c r="Y53" s="6"/>
      <c r="Z53" s="6">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0</v>
      </c>
      <c r="AA53" s="6">
        <f t="shared" si="2"/>
        <v>0</v>
      </c>
      <c r="AB53" s="6" t="str">
        <f>IFERROR(__xludf.DUMMYFUNCTION("
      Ifs( 
        ISBETWEEN(AA53, 0, 'Points-Table'!C$20, TRUE, False), 'Points-Table'!A$20,
        ISBETWEEN(AA53, 'Points-Table'!C$20, 'Points-Table'!C$21, TRUE, False), 'Points-Table'!A$21,
        ISBETWEEN(AA53, 'Points-Table'!C$22, 10000, TRUE, "&amp;"TRUE), 'Points-Table'!A$22,
        true, 
        0)
      "),"S")</f>
        <v>S</v>
      </c>
      <c r="AC53" s="6" t="s">
        <v>29</v>
      </c>
      <c r="AD53" s="6" t="s">
        <v>29</v>
      </c>
      <c r="AE53" s="6" t="s">
        <v>29</v>
      </c>
    </row>
    <row r="54" ht="24.75" customHeight="1">
      <c r="A54" s="3" t="s">
        <v>195</v>
      </c>
      <c r="B54" s="3" t="s">
        <v>215</v>
      </c>
      <c r="C54" s="3" t="s">
        <v>197</v>
      </c>
      <c r="D54" s="3"/>
      <c r="E54" s="3"/>
      <c r="F54" s="3"/>
      <c r="G54" s="3"/>
      <c r="H54" s="3"/>
      <c r="I54" s="3"/>
      <c r="J54" s="3"/>
      <c r="K54" s="3" t="s">
        <v>27</v>
      </c>
      <c r="L54" s="3" t="s">
        <v>216</v>
      </c>
      <c r="M54" s="3"/>
      <c r="N54" s="3"/>
      <c r="O54" s="3"/>
      <c r="P54" s="3"/>
      <c r="Q54" s="4">
        <v>0.0</v>
      </c>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0</v>
      </c>
      <c r="S54" s="4">
        <v>0.0</v>
      </c>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0</v>
      </c>
      <c r="U54" s="4">
        <v>3.0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2</v>
      </c>
      <c r="W54" s="4">
        <v>2.0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1</v>
      </c>
      <c r="Y54" s="4">
        <v>3.0</v>
      </c>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2</v>
      </c>
      <c r="AA54" s="3">
        <f t="shared" si="2"/>
        <v>5</v>
      </c>
      <c r="AB54" s="3" t="str">
        <f>IFERROR(__xludf.DUMMYFUNCTION("
      Ifs( 
        ISBETWEEN(AA54, 0, 'Points-Table'!C$20, TRUE, False), 'Points-Table'!A$20,
        ISBETWEEN(AA54, 'Points-Table'!C$20, 'Points-Table'!C$21, TRUE, False), 'Points-Table'!A$21,
        ISBETWEEN(AA54, 'Points-Table'!C$22, 10000, TRUE, "&amp;"TRUE), 'Points-Table'!A$22,
        true, 
        0)
      "),"S")</f>
        <v>S</v>
      </c>
      <c r="AC54" s="3" t="s">
        <v>29</v>
      </c>
      <c r="AD54" s="3" t="s">
        <v>29</v>
      </c>
      <c r="AE54" s="3" t="s">
        <v>29</v>
      </c>
    </row>
    <row r="55" ht="24.75" customHeight="1">
      <c r="A55" s="3" t="s">
        <v>195</v>
      </c>
      <c r="B55" s="3" t="s">
        <v>215</v>
      </c>
      <c r="C55" s="3" t="s">
        <v>217</v>
      </c>
      <c r="D55" s="3"/>
      <c r="E55" s="3"/>
      <c r="F55" s="3"/>
      <c r="G55" s="3"/>
      <c r="H55" s="3"/>
      <c r="I55" s="3"/>
      <c r="J55" s="3"/>
      <c r="K55" s="3" t="s">
        <v>27</v>
      </c>
      <c r="L55" s="3" t="s">
        <v>216</v>
      </c>
      <c r="M55" s="3"/>
      <c r="N55" s="3"/>
      <c r="O55" s="3"/>
      <c r="P55" s="3"/>
      <c r="Q55" s="4">
        <v>0.0</v>
      </c>
      <c r="R55" s="5">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4">
        <v>0.0</v>
      </c>
      <c r="T55" s="5">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4">
        <v>2.0</v>
      </c>
      <c r="V55" s="5">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1</v>
      </c>
      <c r="W55" s="4">
        <v>2.0</v>
      </c>
      <c r="X55" s="5">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1</v>
      </c>
      <c r="Y55" s="4">
        <v>1.0</v>
      </c>
      <c r="Z55" s="5">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0.5</v>
      </c>
      <c r="AA55" s="3">
        <f t="shared" si="2"/>
        <v>2.5</v>
      </c>
      <c r="AB55" s="3" t="str">
        <f>IFERROR(__xludf.DUMMYFUNCTION("
      Ifs( 
        ISBETWEEN(AA55, 0, 'Points-Table'!C$20, TRUE, False), 'Points-Table'!A$20,
        ISBETWEEN(AA55, 'Points-Table'!C$20, 'Points-Table'!C$21, TRUE, False), 'Points-Table'!A$21,
        ISBETWEEN(AA55, 'Points-Table'!C$22, 10000, TRUE, "&amp;"TRUE), 'Points-Table'!A$22,
        true, 
        0)
      "),"S")</f>
        <v>S</v>
      </c>
      <c r="AC55" s="3" t="s">
        <v>29</v>
      </c>
      <c r="AD55" s="3" t="s">
        <v>29</v>
      </c>
      <c r="AE55" s="3" t="s">
        <v>29</v>
      </c>
    </row>
    <row r="56" ht="24.75" customHeight="1">
      <c r="A56" s="3" t="s">
        <v>195</v>
      </c>
      <c r="B56" s="3" t="s">
        <v>215</v>
      </c>
      <c r="C56" s="3" t="s">
        <v>218</v>
      </c>
      <c r="D56" s="3"/>
      <c r="E56" s="3"/>
      <c r="F56" s="3"/>
      <c r="G56" s="3"/>
      <c r="H56" s="3"/>
      <c r="I56" s="3"/>
      <c r="J56" s="3"/>
      <c r="K56" s="3" t="s">
        <v>27</v>
      </c>
      <c r="L56" s="3" t="s">
        <v>216</v>
      </c>
      <c r="M56" s="3"/>
      <c r="N56" s="3"/>
      <c r="O56" s="3"/>
      <c r="P56" s="3"/>
      <c r="Q56" s="4">
        <v>0.0</v>
      </c>
      <c r="R56" s="5">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4">
        <v>0.0</v>
      </c>
      <c r="T56" s="5">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4">
        <v>2.0</v>
      </c>
      <c r="V56" s="5">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1</v>
      </c>
      <c r="W56" s="4">
        <v>2.0</v>
      </c>
      <c r="X56" s="5">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1</v>
      </c>
      <c r="Y56" s="4">
        <v>1.0</v>
      </c>
      <c r="Z56" s="5">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0.5</v>
      </c>
      <c r="AA56" s="3">
        <f t="shared" si="2"/>
        <v>2.5</v>
      </c>
      <c r="AB56" s="3" t="str">
        <f>IFERROR(__xludf.DUMMYFUNCTION("
      Ifs( 
        ISBETWEEN(AA56, 0, 'Points-Table'!C$20, TRUE, False), 'Points-Table'!A$20,
        ISBETWEEN(AA56, 'Points-Table'!C$20, 'Points-Table'!C$21, TRUE, False), 'Points-Table'!A$21,
        ISBETWEEN(AA56, 'Points-Table'!C$22, 10000, TRUE, "&amp;"TRUE), 'Points-Table'!A$22,
        true, 
        0)
      "),"S")</f>
        <v>S</v>
      </c>
      <c r="AC56" s="3" t="s">
        <v>29</v>
      </c>
      <c r="AD56" s="3" t="s">
        <v>29</v>
      </c>
      <c r="AE56" s="3" t="s">
        <v>29</v>
      </c>
    </row>
    <row r="57" ht="24.75" customHeight="1">
      <c r="A57" s="3" t="s">
        <v>195</v>
      </c>
      <c r="B57" s="3" t="s">
        <v>215</v>
      </c>
      <c r="C57" s="3" t="s">
        <v>219</v>
      </c>
      <c r="D57" s="3"/>
      <c r="E57" s="3"/>
      <c r="F57" s="3"/>
      <c r="G57" s="3"/>
      <c r="H57" s="3"/>
      <c r="I57" s="3"/>
      <c r="J57" s="3"/>
      <c r="K57" s="3" t="s">
        <v>27</v>
      </c>
      <c r="L57" s="3" t="s">
        <v>28</v>
      </c>
      <c r="M57" s="3"/>
      <c r="N57" s="3"/>
      <c r="O57" s="3"/>
      <c r="P57" s="3"/>
      <c r="Q57" s="4">
        <v>3.0</v>
      </c>
      <c r="R57" s="5">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2</v>
      </c>
      <c r="S57" s="4">
        <v>3.0</v>
      </c>
      <c r="T57" s="5">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2</v>
      </c>
      <c r="U57" s="4">
        <v>5.0</v>
      </c>
      <c r="V57" s="5">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4</v>
      </c>
      <c r="W57" s="4">
        <v>3.0</v>
      </c>
      <c r="X57" s="5">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2</v>
      </c>
      <c r="Y57" s="4">
        <v>5.0</v>
      </c>
      <c r="Z57" s="5">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4</v>
      </c>
      <c r="AA57" s="3">
        <f t="shared" si="2"/>
        <v>10</v>
      </c>
      <c r="AB57" s="3" t="str">
        <f>IFERROR(__xludf.DUMMYFUNCTION("
      Ifs( 
        ISBETWEEN(AA57, 0, 'Points-Table'!C$20, TRUE, False), 'Points-Table'!A$20,
        ISBETWEEN(AA57, 'Points-Table'!C$20, 'Points-Table'!C$21, TRUE, False), 'Points-Table'!A$21,
        ISBETWEEN(AA57, 'Points-Table'!C$22, 10000, TRUE, "&amp;"TRUE), 'Points-Table'!A$22,
        true, 
        0)
      "),"S")</f>
        <v>S</v>
      </c>
      <c r="AC57" s="3" t="s">
        <v>29</v>
      </c>
      <c r="AD57" s="3" t="s">
        <v>29</v>
      </c>
      <c r="AE57" s="3" t="s">
        <v>29</v>
      </c>
    </row>
    <row r="58" ht="24.75" customHeight="1">
      <c r="A58" s="3" t="s">
        <v>195</v>
      </c>
      <c r="B58" s="3" t="s">
        <v>220</v>
      </c>
      <c r="C58" s="3" t="s">
        <v>221</v>
      </c>
      <c r="D58" s="3" t="s">
        <v>222</v>
      </c>
      <c r="E58" s="3"/>
      <c r="F58" s="3" t="s">
        <v>223</v>
      </c>
      <c r="G58" s="3"/>
      <c r="H58" s="3"/>
      <c r="I58" s="3"/>
      <c r="J58" s="3"/>
      <c r="K58" s="3" t="s">
        <v>27</v>
      </c>
      <c r="L58" s="3" t="s">
        <v>28</v>
      </c>
      <c r="M58" s="3"/>
      <c r="N58" s="3"/>
      <c r="O58" s="3"/>
      <c r="P58" s="3"/>
      <c r="Q58" s="4">
        <v>2.0</v>
      </c>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1</v>
      </c>
      <c r="S58" s="4">
        <v>2.0</v>
      </c>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1</v>
      </c>
      <c r="U58" s="4">
        <v>8.0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7</v>
      </c>
      <c r="W58" s="4">
        <v>3.0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2</v>
      </c>
      <c r="Y58" s="4">
        <v>8.0</v>
      </c>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7</v>
      </c>
      <c r="AA58" s="3">
        <f t="shared" si="2"/>
        <v>16</v>
      </c>
      <c r="AB58" s="3" t="str">
        <f>IFERROR(__xludf.DUMMYFUNCTION("
      Ifs( 
        ISBETWEEN(AA58, 0, 'Points-Table'!C$20, TRUE, False), 'Points-Table'!A$20,
        ISBETWEEN(AA58, 'Points-Table'!C$20, 'Points-Table'!C$21, TRUE, False), 'Points-Table'!A$21,
        ISBETWEEN(AA58, 'Points-Table'!C$22, 10000, TRUE, "&amp;"TRUE), 'Points-Table'!A$22,
        true, 
        0)
      "),"S")</f>
        <v>S</v>
      </c>
      <c r="AC58" s="3" t="s">
        <v>29</v>
      </c>
      <c r="AD58" s="3" t="s">
        <v>29</v>
      </c>
      <c r="AE58" s="3" t="s">
        <v>29</v>
      </c>
    </row>
    <row r="59" ht="24.75" customHeight="1">
      <c r="A59" s="3" t="s">
        <v>195</v>
      </c>
      <c r="B59" s="3" t="s">
        <v>220</v>
      </c>
      <c r="C59" s="3" t="s">
        <v>224</v>
      </c>
      <c r="D59" s="3"/>
      <c r="E59" s="3"/>
      <c r="F59" s="3" t="s">
        <v>225</v>
      </c>
      <c r="G59" s="3"/>
      <c r="H59" s="3"/>
      <c r="I59" s="3"/>
      <c r="J59" s="3"/>
      <c r="K59" s="3" t="s">
        <v>27</v>
      </c>
      <c r="L59" s="3" t="s">
        <v>28</v>
      </c>
      <c r="M59" s="3"/>
      <c r="N59" s="3"/>
      <c r="O59" s="3"/>
      <c r="P59" s="3"/>
      <c r="Q59" s="4"/>
      <c r="R59" s="5">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4"/>
      <c r="T59" s="5">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4">
        <v>0.0</v>
      </c>
      <c r="V59" s="5">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0</v>
      </c>
      <c r="W59" s="4">
        <v>0.0</v>
      </c>
      <c r="X59" s="5">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0</v>
      </c>
      <c r="Y59" s="4">
        <v>0.0</v>
      </c>
      <c r="Z59" s="5">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0</v>
      </c>
      <c r="AA59" s="3">
        <f t="shared" si="2"/>
        <v>0</v>
      </c>
      <c r="AB59" s="3" t="str">
        <f>IFERROR(__xludf.DUMMYFUNCTION("
      Ifs( 
        ISBETWEEN(AA59, 0, 'Points-Table'!C$20, TRUE, False), 'Points-Table'!A$20,
        ISBETWEEN(AA59, 'Points-Table'!C$20, 'Points-Table'!C$21, TRUE, False), 'Points-Table'!A$21,
        ISBETWEEN(AA59, 'Points-Table'!C$22, 10000, TRUE, "&amp;"TRUE), 'Points-Table'!A$22,
        true, 
        0)
      "),"S")</f>
        <v>S</v>
      </c>
      <c r="AC59" s="3" t="s">
        <v>29</v>
      </c>
      <c r="AD59" s="3" t="s">
        <v>29</v>
      </c>
      <c r="AE59" s="3" t="s">
        <v>29</v>
      </c>
    </row>
    <row r="60" ht="24.75" customHeight="1">
      <c r="A60" s="3" t="s">
        <v>195</v>
      </c>
      <c r="B60" s="3" t="s">
        <v>220</v>
      </c>
      <c r="C60" s="3" t="s">
        <v>226</v>
      </c>
      <c r="D60" s="3"/>
      <c r="E60" s="3"/>
      <c r="F60" s="3"/>
      <c r="G60" s="3"/>
      <c r="H60" s="3"/>
      <c r="I60" s="3"/>
      <c r="J60" s="3"/>
      <c r="K60" s="3" t="s">
        <v>27</v>
      </c>
      <c r="L60" s="3" t="s">
        <v>28</v>
      </c>
      <c r="M60" s="3"/>
      <c r="N60" s="3"/>
      <c r="O60" s="3"/>
      <c r="P60" s="3"/>
      <c r="Q60" s="4"/>
      <c r="R60" s="5">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0</v>
      </c>
      <c r="S60" s="4"/>
      <c r="T60" s="5">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v>
      </c>
      <c r="U60" s="4">
        <v>3.0</v>
      </c>
      <c r="V60" s="5">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2</v>
      </c>
      <c r="W60" s="4">
        <v>2.0</v>
      </c>
      <c r="X60" s="5">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1</v>
      </c>
      <c r="Y60" s="4">
        <v>5.0</v>
      </c>
      <c r="Z60" s="5">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4</v>
      </c>
      <c r="AA60" s="3">
        <f t="shared" si="2"/>
        <v>7</v>
      </c>
      <c r="AB60" s="3" t="str">
        <f>IFERROR(__xludf.DUMMYFUNCTION("
      Ifs( 
        ISBETWEEN(AA60, 0, 'Points-Table'!C$20, TRUE, False), 'Points-Table'!A$20,
        ISBETWEEN(AA60, 'Points-Table'!C$20, 'Points-Table'!C$21, TRUE, False), 'Points-Table'!A$21,
        ISBETWEEN(AA60, 'Points-Table'!C$22, 10000, TRUE, "&amp;"TRUE), 'Points-Table'!A$22,
        true, 
        0)
      "),"S")</f>
        <v>S</v>
      </c>
      <c r="AC60" s="3" t="s">
        <v>29</v>
      </c>
      <c r="AD60" s="3" t="s">
        <v>29</v>
      </c>
      <c r="AE60" s="3" t="s">
        <v>29</v>
      </c>
    </row>
    <row r="61" ht="24.75" customHeight="1">
      <c r="A61" s="3" t="s">
        <v>195</v>
      </c>
      <c r="B61" s="3" t="s">
        <v>220</v>
      </c>
      <c r="C61" s="3" t="s">
        <v>227</v>
      </c>
      <c r="D61" s="3"/>
      <c r="E61" s="3"/>
      <c r="F61" s="3" t="s">
        <v>228</v>
      </c>
      <c r="G61" s="3"/>
      <c r="H61" s="3"/>
      <c r="I61" s="3"/>
      <c r="J61" s="3"/>
      <c r="K61" s="3" t="s">
        <v>27</v>
      </c>
      <c r="L61" s="3" t="s">
        <v>28</v>
      </c>
      <c r="M61" s="3"/>
      <c r="N61" s="3"/>
      <c r="O61" s="3"/>
      <c r="P61" s="3"/>
      <c r="Q61" s="4"/>
      <c r="R61" s="5">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4"/>
      <c r="T61" s="5">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4">
        <v>21.0</v>
      </c>
      <c r="V61" s="5">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16</v>
      </c>
      <c r="W61" s="4">
        <v>5.0</v>
      </c>
      <c r="X61" s="5">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4</v>
      </c>
      <c r="Y61" s="4">
        <v>8.0</v>
      </c>
      <c r="Z61" s="5">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7</v>
      </c>
      <c r="AA61" s="3">
        <f t="shared" si="2"/>
        <v>27</v>
      </c>
      <c r="AB61" s="3" t="str">
        <f>IFERROR(__xludf.DUMMYFUNCTION("
      Ifs( 
        ISBETWEEN(AA61, 0, 'Points-Table'!C$20, TRUE, False), 'Points-Table'!A$20,
        ISBETWEEN(AA61, 'Points-Table'!C$20, 'Points-Table'!C$21, TRUE, False), 'Points-Table'!A$21,
        ISBETWEEN(AA61, 'Points-Table'!C$22, 10000, TRUE, "&amp;"TRUE), 'Points-Table'!A$22,
        true, 
        0)
      "),"S")</f>
        <v>S</v>
      </c>
      <c r="AC61" s="3" t="s">
        <v>29</v>
      </c>
      <c r="AD61" s="3" t="s">
        <v>29</v>
      </c>
      <c r="AE61" s="3" t="s">
        <v>29</v>
      </c>
    </row>
    <row r="62" ht="24.75" customHeight="1">
      <c r="A62" s="3" t="s">
        <v>195</v>
      </c>
      <c r="B62" s="3" t="s">
        <v>220</v>
      </c>
      <c r="C62" s="3" t="s">
        <v>229</v>
      </c>
      <c r="D62" s="3"/>
      <c r="E62" s="3"/>
      <c r="F62" s="3" t="s">
        <v>230</v>
      </c>
      <c r="G62" s="3"/>
      <c r="H62" s="3"/>
      <c r="I62" s="3"/>
      <c r="J62" s="3"/>
      <c r="K62" s="3" t="s">
        <v>27</v>
      </c>
      <c r="L62" s="3" t="s">
        <v>28</v>
      </c>
      <c r="M62" s="3"/>
      <c r="N62" s="3"/>
      <c r="O62" s="3"/>
      <c r="P62" s="3"/>
      <c r="Q62" s="4"/>
      <c r="R62" s="5">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v>
      </c>
      <c r="S62" s="4"/>
      <c r="T62" s="5">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4">
        <v>5.0</v>
      </c>
      <c r="V62" s="5">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4</v>
      </c>
      <c r="W62" s="4">
        <v>3.0</v>
      </c>
      <c r="X62" s="5">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2</v>
      </c>
      <c r="Y62" s="4">
        <v>5.0</v>
      </c>
      <c r="Z62" s="5">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4</v>
      </c>
      <c r="AA62" s="3">
        <f t="shared" si="2"/>
        <v>10</v>
      </c>
      <c r="AB62" s="3" t="str">
        <f>IFERROR(__xludf.DUMMYFUNCTION("
      Ifs( 
        ISBETWEEN(AA62, 0, 'Points-Table'!C$20, TRUE, False), 'Points-Table'!A$20,
        ISBETWEEN(AA62, 'Points-Table'!C$20, 'Points-Table'!C$21, TRUE, False), 'Points-Table'!A$21,
        ISBETWEEN(AA62, 'Points-Table'!C$22, 10000, TRUE, "&amp;"TRUE), 'Points-Table'!A$22,
        true, 
        0)
      "),"S")</f>
        <v>S</v>
      </c>
      <c r="AC62" s="3" t="s">
        <v>29</v>
      </c>
      <c r="AD62" s="3" t="s">
        <v>29</v>
      </c>
      <c r="AE62" s="3" t="s">
        <v>29</v>
      </c>
    </row>
    <row r="63" ht="24.75" customHeight="1">
      <c r="A63" s="3" t="s">
        <v>195</v>
      </c>
      <c r="B63" s="3" t="s">
        <v>220</v>
      </c>
      <c r="C63" s="3" t="s">
        <v>231</v>
      </c>
      <c r="D63" s="3"/>
      <c r="E63" s="3"/>
      <c r="F63" s="3"/>
      <c r="G63" s="3"/>
      <c r="H63" s="3"/>
      <c r="I63" s="3"/>
      <c r="J63" s="3"/>
      <c r="K63" s="3" t="s">
        <v>27</v>
      </c>
      <c r="L63" s="3" t="s">
        <v>28</v>
      </c>
      <c r="M63" s="3"/>
      <c r="N63" s="3"/>
      <c r="O63" s="3"/>
      <c r="P63" s="3"/>
      <c r="Q63" s="4"/>
      <c r="R63" s="5">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4"/>
      <c r="T63" s="5">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4">
        <v>3.0</v>
      </c>
      <c r="V63" s="5">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2</v>
      </c>
      <c r="W63" s="4">
        <v>2.0</v>
      </c>
      <c r="X63" s="5">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1</v>
      </c>
      <c r="Y63" s="4">
        <v>3.0</v>
      </c>
      <c r="Z63" s="5">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2</v>
      </c>
      <c r="AA63" s="3">
        <f t="shared" si="2"/>
        <v>5</v>
      </c>
      <c r="AB63" s="3" t="str">
        <f>IFERROR(__xludf.DUMMYFUNCTION("
      Ifs( 
        ISBETWEEN(AA63, 0, 'Points-Table'!C$20, TRUE, False), 'Points-Table'!A$20,
        ISBETWEEN(AA63, 'Points-Table'!C$20, 'Points-Table'!C$21, TRUE, False), 'Points-Table'!A$21,
        ISBETWEEN(AA63, 'Points-Table'!C$22, 10000, TRUE, "&amp;"TRUE), 'Points-Table'!A$22,
        true, 
        0)
      "),"S")</f>
        <v>S</v>
      </c>
      <c r="AC63" s="3" t="s">
        <v>29</v>
      </c>
      <c r="AD63" s="3" t="s">
        <v>29</v>
      </c>
      <c r="AE63" s="3" t="s">
        <v>29</v>
      </c>
    </row>
    <row r="64" ht="24.75" customHeight="1">
      <c r="A64" s="6" t="s">
        <v>195</v>
      </c>
      <c r="B64" s="6" t="s">
        <v>220</v>
      </c>
      <c r="C64" s="6" t="s">
        <v>232</v>
      </c>
      <c r="D64" s="6"/>
      <c r="E64" s="6"/>
      <c r="F64" s="6"/>
      <c r="G64" s="6"/>
      <c r="H64" s="6"/>
      <c r="I64" s="6"/>
      <c r="J64" s="6"/>
      <c r="K64" s="6" t="s">
        <v>27</v>
      </c>
      <c r="L64" s="6" t="s">
        <v>28</v>
      </c>
      <c r="M64" s="6"/>
      <c r="N64" s="6"/>
      <c r="O64" s="6"/>
      <c r="P64" s="6"/>
      <c r="Q64" s="6"/>
      <c r="R64" s="6">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6"/>
      <c r="T64" s="6">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v>
      </c>
      <c r="U64" s="6">
        <v>5.0</v>
      </c>
      <c r="V64" s="6">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4</v>
      </c>
      <c r="W64" s="6">
        <v>3.0</v>
      </c>
      <c r="X64" s="6">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2</v>
      </c>
      <c r="Y64" s="6">
        <v>5.0</v>
      </c>
      <c r="Z64" s="6">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4</v>
      </c>
      <c r="AA64" s="6">
        <f t="shared" si="2"/>
        <v>10</v>
      </c>
      <c r="AB64" s="6" t="str">
        <f>IFERROR(__xludf.DUMMYFUNCTION("
      Ifs( 
        ISBETWEEN(AA64, 0, 'Points-Table'!C$20, TRUE, False), 'Points-Table'!A$20,
        ISBETWEEN(AA64, 'Points-Table'!C$20, 'Points-Table'!C$21, TRUE, False), 'Points-Table'!A$21,
        ISBETWEEN(AA64, 'Points-Table'!C$22, 10000, TRUE, "&amp;"TRUE), 'Points-Table'!A$22,
        true, 
        0)
      "),"S")</f>
        <v>S</v>
      </c>
      <c r="AC64" s="6" t="s">
        <v>29</v>
      </c>
      <c r="AD64" s="6" t="s">
        <v>29</v>
      </c>
      <c r="AE64" s="6" t="s">
        <v>29</v>
      </c>
    </row>
    <row r="65" ht="24.75" customHeight="1">
      <c r="A65" s="6" t="s">
        <v>195</v>
      </c>
      <c r="B65" s="6" t="s">
        <v>220</v>
      </c>
      <c r="C65" s="6" t="s">
        <v>233</v>
      </c>
      <c r="D65" s="6"/>
      <c r="E65" s="6"/>
      <c r="F65" s="6"/>
      <c r="G65" s="6"/>
      <c r="H65" s="6"/>
      <c r="I65" s="6"/>
      <c r="J65" s="6"/>
      <c r="K65" s="6" t="s">
        <v>27</v>
      </c>
      <c r="L65" s="6" t="s">
        <v>28</v>
      </c>
      <c r="M65" s="6"/>
      <c r="N65" s="6"/>
      <c r="O65" s="6"/>
      <c r="P65" s="6"/>
      <c r="Q65" s="6"/>
      <c r="R65" s="6">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6"/>
      <c r="T65" s="6">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6">
        <v>5.0</v>
      </c>
      <c r="V65" s="6">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4</v>
      </c>
      <c r="W65" s="6">
        <v>2.0</v>
      </c>
      <c r="X65" s="6">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1</v>
      </c>
      <c r="Y65" s="6">
        <v>3.0</v>
      </c>
      <c r="Z65" s="6">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2</v>
      </c>
      <c r="AA65" s="6">
        <f t="shared" si="2"/>
        <v>7</v>
      </c>
      <c r="AB65" s="6" t="str">
        <f>IFERROR(__xludf.DUMMYFUNCTION("
      Ifs( 
        ISBETWEEN(AA65, 0, 'Points-Table'!C$20, TRUE, False), 'Points-Table'!A$20,
        ISBETWEEN(AA65, 'Points-Table'!C$20, 'Points-Table'!C$21, TRUE, False), 'Points-Table'!A$21,
        ISBETWEEN(AA65, 'Points-Table'!C$22, 10000, TRUE, "&amp;"TRUE), 'Points-Table'!A$22,
        true, 
        0)
      "),"S")</f>
        <v>S</v>
      </c>
      <c r="AC65" s="6" t="s">
        <v>29</v>
      </c>
      <c r="AD65" s="6" t="s">
        <v>29</v>
      </c>
      <c r="AE65" s="6" t="s">
        <v>29</v>
      </c>
    </row>
    <row r="66" ht="24.75" customHeight="1">
      <c r="A66" s="6" t="s">
        <v>195</v>
      </c>
      <c r="B66" s="6" t="s">
        <v>220</v>
      </c>
      <c r="C66" s="6" t="s">
        <v>234</v>
      </c>
      <c r="D66" s="6"/>
      <c r="E66" s="6"/>
      <c r="F66" s="6"/>
      <c r="G66" s="6"/>
      <c r="H66" s="6"/>
      <c r="I66" s="6"/>
      <c r="J66" s="6"/>
      <c r="K66" s="6" t="s">
        <v>27</v>
      </c>
      <c r="L66" s="6" t="s">
        <v>28</v>
      </c>
      <c r="M66" s="6"/>
      <c r="N66" s="6"/>
      <c r="O66" s="6"/>
      <c r="P66" s="6"/>
      <c r="Q66" s="6"/>
      <c r="R66" s="6">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6"/>
      <c r="T66" s="6">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6">
        <v>5.0</v>
      </c>
      <c r="V66" s="6">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4</v>
      </c>
      <c r="W66" s="6">
        <v>3.0</v>
      </c>
      <c r="X66" s="6">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2</v>
      </c>
      <c r="Y66" s="6">
        <v>5.0</v>
      </c>
      <c r="Z66" s="6">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4</v>
      </c>
      <c r="AA66" s="6">
        <f t="shared" si="2"/>
        <v>10</v>
      </c>
      <c r="AB66" s="6" t="str">
        <f>IFERROR(__xludf.DUMMYFUNCTION("
      Ifs( 
        ISBETWEEN(AA66, 0, 'Points-Table'!C$20, TRUE, False), 'Points-Table'!A$20,
        ISBETWEEN(AA66, 'Points-Table'!C$20, 'Points-Table'!C$21, TRUE, False), 'Points-Table'!A$21,
        ISBETWEEN(AA66, 'Points-Table'!C$22, 10000, TRUE, "&amp;"TRUE), 'Points-Table'!A$22,
        true, 
        0)
      "),"S")</f>
        <v>S</v>
      </c>
      <c r="AC66" s="6" t="s">
        <v>29</v>
      </c>
      <c r="AD66" s="6" t="s">
        <v>29</v>
      </c>
      <c r="AE66" s="6" t="s">
        <v>29</v>
      </c>
    </row>
    <row r="67" ht="24.75" customHeight="1">
      <c r="A67" s="6" t="s">
        <v>195</v>
      </c>
      <c r="B67" s="6" t="s">
        <v>220</v>
      </c>
      <c r="C67" s="6" t="s">
        <v>235</v>
      </c>
      <c r="D67" s="6"/>
      <c r="E67" s="6"/>
      <c r="F67" s="6"/>
      <c r="G67" s="6"/>
      <c r="H67" s="6"/>
      <c r="I67" s="6"/>
      <c r="J67" s="6"/>
      <c r="K67" s="6" t="s">
        <v>27</v>
      </c>
      <c r="L67" s="6" t="s">
        <v>28</v>
      </c>
      <c r="M67" s="6"/>
      <c r="N67" s="6"/>
      <c r="O67" s="6"/>
      <c r="P67" s="6"/>
      <c r="Q67" s="6"/>
      <c r="R67" s="6">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6"/>
      <c r="T67" s="6">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6">
        <v>2.0</v>
      </c>
      <c r="V67" s="6">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1</v>
      </c>
      <c r="W67" s="6">
        <v>2.0</v>
      </c>
      <c r="X67" s="6">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1</v>
      </c>
      <c r="Y67" s="6">
        <v>3.0</v>
      </c>
      <c r="Z67" s="6">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2</v>
      </c>
      <c r="AA67" s="6">
        <f t="shared" si="2"/>
        <v>4</v>
      </c>
      <c r="AB67" s="6" t="str">
        <f>IFERROR(__xludf.DUMMYFUNCTION("
      Ifs( 
        ISBETWEEN(AA67, 0, 'Points-Table'!C$20, TRUE, False), 'Points-Table'!A$20,
        ISBETWEEN(AA67, 'Points-Table'!C$20, 'Points-Table'!C$21, TRUE, False), 'Points-Table'!A$21,
        ISBETWEEN(AA67, 'Points-Table'!C$22, 10000, TRUE, "&amp;"TRUE), 'Points-Table'!A$22,
        true, 
        0)
      "),"S")</f>
        <v>S</v>
      </c>
      <c r="AC67" s="6" t="s">
        <v>29</v>
      </c>
      <c r="AD67" s="6" t="s">
        <v>29</v>
      </c>
      <c r="AE67" s="6" t="s">
        <v>29</v>
      </c>
    </row>
    <row r="68" ht="24.75" customHeight="1">
      <c r="A68" s="6" t="s">
        <v>195</v>
      </c>
      <c r="B68" s="6" t="s">
        <v>220</v>
      </c>
      <c r="C68" s="6" t="s">
        <v>236</v>
      </c>
      <c r="D68" s="6" t="s">
        <v>237</v>
      </c>
      <c r="E68" s="6"/>
      <c r="F68" s="6"/>
      <c r="G68" s="6"/>
      <c r="H68" s="6"/>
      <c r="I68" s="6"/>
      <c r="J68" s="6"/>
      <c r="K68" s="6" t="s">
        <v>27</v>
      </c>
      <c r="L68" s="6" t="s">
        <v>28</v>
      </c>
      <c r="M68" s="6"/>
      <c r="N68" s="6"/>
      <c r="O68" s="6"/>
      <c r="P68" s="6"/>
      <c r="Q68" s="6"/>
      <c r="R68" s="6">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v>
      </c>
      <c r="S68" s="6"/>
      <c r="T68" s="6">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v>
      </c>
      <c r="U68" s="6">
        <v>5.0</v>
      </c>
      <c r="V68" s="6">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4</v>
      </c>
      <c r="W68" s="6">
        <v>5.0</v>
      </c>
      <c r="X68" s="6">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4</v>
      </c>
      <c r="Y68" s="6">
        <v>5.0</v>
      </c>
      <c r="Z68" s="6">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4</v>
      </c>
      <c r="AA68" s="6">
        <f t="shared" si="2"/>
        <v>12</v>
      </c>
      <c r="AB68" s="6" t="str">
        <f>IFERROR(__xludf.DUMMYFUNCTION("
      Ifs( 
        ISBETWEEN(AA68, 0, 'Points-Table'!C$20, TRUE, False), 'Points-Table'!A$20,
        ISBETWEEN(AA68, 'Points-Table'!C$20, 'Points-Table'!C$21, TRUE, False), 'Points-Table'!A$21,
        ISBETWEEN(AA68, 'Points-Table'!C$22, 10000, TRUE, "&amp;"TRUE), 'Points-Table'!A$22,
        true, 
        0)
      "),"S")</f>
        <v>S</v>
      </c>
      <c r="AC68" s="6" t="s">
        <v>29</v>
      </c>
      <c r="AD68" s="6" t="s">
        <v>29</v>
      </c>
      <c r="AE68" s="6" t="s">
        <v>29</v>
      </c>
    </row>
    <row r="69" ht="24.75" customHeight="1">
      <c r="A69" s="3" t="s">
        <v>195</v>
      </c>
      <c r="B69" s="3" t="s">
        <v>238</v>
      </c>
      <c r="C69" s="3"/>
      <c r="D69" s="3"/>
      <c r="E69" s="3"/>
      <c r="F69" s="3"/>
      <c r="G69" s="3"/>
      <c r="H69" s="3"/>
      <c r="I69" s="3"/>
      <c r="J69" s="3"/>
      <c r="K69" s="3" t="s">
        <v>27</v>
      </c>
      <c r="L69" s="3" t="s">
        <v>216</v>
      </c>
      <c r="M69" s="3"/>
      <c r="N69" s="3"/>
      <c r="O69" s="3"/>
      <c r="P69" s="3"/>
      <c r="Q69" s="4">
        <v>0.0</v>
      </c>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v>
      </c>
      <c r="S69" s="4">
        <v>0.0</v>
      </c>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v>
      </c>
      <c r="U69" s="4">
        <v>5.0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4</v>
      </c>
      <c r="W69" s="4">
        <v>3.0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2</v>
      </c>
      <c r="Y69" s="4">
        <v>5.0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4</v>
      </c>
      <c r="AA69" s="3">
        <f t="shared" si="2"/>
        <v>10</v>
      </c>
      <c r="AB69" s="3" t="str">
        <f>IFERROR(__xludf.DUMMYFUNCTION("
      Ifs( 
        ISBETWEEN(AA69, 0, 'Points-Table'!C$20, TRUE, False), 'Points-Table'!A$20,
        ISBETWEEN(AA69, 'Points-Table'!C$20, 'Points-Table'!C$21, TRUE, False), 'Points-Table'!A$21,
        ISBETWEEN(AA69, 'Points-Table'!C$22, 10000, TRUE, "&amp;"TRUE), 'Points-Table'!A$22,
        true, 
        0)
      "),"S")</f>
        <v>S</v>
      </c>
      <c r="AC69" s="3" t="s">
        <v>29</v>
      </c>
      <c r="AD69" s="3" t="s">
        <v>29</v>
      </c>
      <c r="AE69" s="3" t="s">
        <v>29</v>
      </c>
    </row>
    <row r="70" ht="24.75" customHeight="1">
      <c r="A70" s="3" t="s">
        <v>195</v>
      </c>
      <c r="B70" s="3" t="s">
        <v>239</v>
      </c>
      <c r="C70" s="3" t="s">
        <v>240</v>
      </c>
      <c r="D70" s="3" t="s">
        <v>241</v>
      </c>
      <c r="E70" s="3"/>
      <c r="F70" s="3" t="s">
        <v>29</v>
      </c>
      <c r="G70" s="3"/>
      <c r="H70" s="3"/>
      <c r="I70" s="3"/>
      <c r="J70" s="3"/>
      <c r="K70" s="3" t="s">
        <v>27</v>
      </c>
      <c r="L70" s="3" t="s">
        <v>28</v>
      </c>
      <c r="M70" s="3"/>
      <c r="N70" s="3"/>
      <c r="O70" s="3"/>
      <c r="P70" s="3"/>
      <c r="Q70" s="4"/>
      <c r="R70" s="5">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v>
      </c>
      <c r="S70" s="4"/>
      <c r="T70" s="5">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v>
      </c>
      <c r="U70" s="4">
        <v>0.0</v>
      </c>
      <c r="V70" s="5">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0</v>
      </c>
      <c r="W70" s="4">
        <v>0.0</v>
      </c>
      <c r="X70" s="5">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0</v>
      </c>
      <c r="Y70" s="4">
        <v>2.0</v>
      </c>
      <c r="Z70" s="5">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1</v>
      </c>
      <c r="AA70" s="3">
        <f t="shared" si="2"/>
        <v>1</v>
      </c>
      <c r="AB70" s="3" t="str">
        <f>IFERROR(__xludf.DUMMYFUNCTION("
      Ifs( 
        ISBETWEEN(AA70, 0, 'Points-Table'!C$20, TRUE, False), 'Points-Table'!A$20,
        ISBETWEEN(AA70, 'Points-Table'!C$20, 'Points-Table'!C$21, TRUE, False), 'Points-Table'!A$21,
        ISBETWEEN(AA70, 'Points-Table'!C$22, 10000, TRUE, "&amp;"TRUE), 'Points-Table'!A$22,
        true, 
        0)
      "),"S")</f>
        <v>S</v>
      </c>
      <c r="AC70" s="3" t="s">
        <v>29</v>
      </c>
      <c r="AD70" s="3" t="s">
        <v>29</v>
      </c>
      <c r="AE70" s="3" t="s">
        <v>29</v>
      </c>
    </row>
    <row r="71" ht="24.75" customHeight="1">
      <c r="A71" s="3" t="s">
        <v>195</v>
      </c>
      <c r="B71" s="3" t="s">
        <v>239</v>
      </c>
      <c r="C71" s="3" t="s">
        <v>242</v>
      </c>
      <c r="D71" s="3"/>
      <c r="E71" s="3"/>
      <c r="F71" s="3"/>
      <c r="G71" s="3"/>
      <c r="H71" s="3"/>
      <c r="I71" s="3"/>
      <c r="J71" s="3"/>
      <c r="K71" s="3" t="s">
        <v>27</v>
      </c>
      <c r="L71" s="3" t="s">
        <v>28</v>
      </c>
      <c r="M71" s="3"/>
      <c r="N71" s="3"/>
      <c r="O71" s="3"/>
      <c r="P71" s="3"/>
      <c r="Q71" s="4"/>
      <c r="R71" s="5">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4"/>
      <c r="T71" s="5">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4">
        <v>2.0</v>
      </c>
      <c r="V71" s="5">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1</v>
      </c>
      <c r="W71" s="4">
        <v>2.0</v>
      </c>
      <c r="X71" s="5">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1</v>
      </c>
      <c r="Y71" s="4">
        <v>5.0</v>
      </c>
      <c r="Z71" s="5">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4</v>
      </c>
      <c r="AA71" s="3">
        <f t="shared" si="2"/>
        <v>6</v>
      </c>
      <c r="AB71" s="3" t="str">
        <f>IFERROR(__xludf.DUMMYFUNCTION("
      Ifs( 
        ISBETWEEN(AA71, 0, 'Points-Table'!C$20, TRUE, False), 'Points-Table'!A$20,
        ISBETWEEN(AA71, 'Points-Table'!C$20, 'Points-Table'!C$21, TRUE, False), 'Points-Table'!A$21,
        ISBETWEEN(AA71, 'Points-Table'!C$22, 10000, TRUE, "&amp;"TRUE), 'Points-Table'!A$22,
        true, 
        0)
      "),"S")</f>
        <v>S</v>
      </c>
      <c r="AC71" s="3" t="s">
        <v>29</v>
      </c>
      <c r="AD71" s="3" t="s">
        <v>29</v>
      </c>
      <c r="AE71" s="3" t="s">
        <v>29</v>
      </c>
    </row>
    <row r="72" ht="24.75" customHeight="1">
      <c r="A72" s="3" t="s">
        <v>195</v>
      </c>
      <c r="B72" s="3" t="s">
        <v>239</v>
      </c>
      <c r="C72" s="3" t="s">
        <v>243</v>
      </c>
      <c r="D72" s="3"/>
      <c r="E72" s="3"/>
      <c r="F72" s="3"/>
      <c r="G72" s="3"/>
      <c r="H72" s="3"/>
      <c r="I72" s="3"/>
      <c r="J72" s="3"/>
      <c r="K72" s="3" t="s">
        <v>27</v>
      </c>
      <c r="L72" s="3" t="s">
        <v>28</v>
      </c>
      <c r="M72" s="3"/>
      <c r="N72" s="3"/>
      <c r="O72" s="3"/>
      <c r="P72" s="3"/>
      <c r="Q72" s="4"/>
      <c r="R72" s="5">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v>
      </c>
      <c r="S72" s="4"/>
      <c r="T72" s="5">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v>
      </c>
      <c r="U72" s="4">
        <v>3.0</v>
      </c>
      <c r="V72" s="5">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2</v>
      </c>
      <c r="W72" s="4">
        <v>2.0</v>
      </c>
      <c r="X72" s="5">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1</v>
      </c>
      <c r="Y72" s="4">
        <v>3.0</v>
      </c>
      <c r="Z72" s="5">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2</v>
      </c>
      <c r="AA72" s="3">
        <f t="shared" si="2"/>
        <v>5</v>
      </c>
      <c r="AB72" s="3" t="str">
        <f>IFERROR(__xludf.DUMMYFUNCTION("
      Ifs( 
        ISBETWEEN(AA72, 0, 'Points-Table'!C$20, TRUE, False), 'Points-Table'!A$20,
        ISBETWEEN(AA72, 'Points-Table'!C$20, 'Points-Table'!C$21, TRUE, False), 'Points-Table'!A$21,
        ISBETWEEN(AA72, 'Points-Table'!C$22, 10000, TRUE, "&amp;"TRUE), 'Points-Table'!A$22,
        true, 
        0)
      "),"S")</f>
        <v>S</v>
      </c>
      <c r="AC72" s="3" t="s">
        <v>29</v>
      </c>
      <c r="AD72" s="3" t="s">
        <v>29</v>
      </c>
      <c r="AE72" s="3" t="s">
        <v>29</v>
      </c>
    </row>
    <row r="73" ht="24.75" customHeight="1">
      <c r="A73" s="3" t="s">
        <v>195</v>
      </c>
      <c r="B73" s="3" t="s">
        <v>239</v>
      </c>
      <c r="C73" s="3" t="s">
        <v>244</v>
      </c>
      <c r="D73" s="3"/>
      <c r="E73" s="3"/>
      <c r="F73" s="3"/>
      <c r="G73" s="3"/>
      <c r="H73" s="3"/>
      <c r="I73" s="3"/>
      <c r="J73" s="3"/>
      <c r="K73" s="3" t="s">
        <v>27</v>
      </c>
      <c r="L73" s="3" t="s">
        <v>28</v>
      </c>
      <c r="M73" s="3"/>
      <c r="N73" s="3"/>
      <c r="O73" s="3"/>
      <c r="P73" s="3"/>
      <c r="Q73" s="4"/>
      <c r="R73" s="5">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v>
      </c>
      <c r="S73" s="4"/>
      <c r="T73" s="5">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v>
      </c>
      <c r="U73" s="4">
        <v>2.0</v>
      </c>
      <c r="V73" s="5">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1</v>
      </c>
      <c r="W73" s="4">
        <v>1.0</v>
      </c>
      <c r="X73" s="5">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0.5</v>
      </c>
      <c r="Y73" s="4">
        <v>3.0</v>
      </c>
      <c r="Z73" s="5">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2</v>
      </c>
      <c r="AA73" s="3">
        <f t="shared" si="2"/>
        <v>3.5</v>
      </c>
      <c r="AB73" s="3" t="str">
        <f>IFERROR(__xludf.DUMMYFUNCTION("
      Ifs( 
        ISBETWEEN(AA73, 0, 'Points-Table'!C$20, TRUE, False), 'Points-Table'!A$20,
        ISBETWEEN(AA73, 'Points-Table'!C$20, 'Points-Table'!C$21, TRUE, False), 'Points-Table'!A$21,
        ISBETWEEN(AA73, 'Points-Table'!C$22, 10000, TRUE, "&amp;"TRUE), 'Points-Table'!A$22,
        true, 
        0)
      "),"S")</f>
        <v>S</v>
      </c>
      <c r="AC73" s="3" t="s">
        <v>29</v>
      </c>
      <c r="AD73" s="3" t="s">
        <v>29</v>
      </c>
      <c r="AE73" s="3" t="s">
        <v>29</v>
      </c>
    </row>
    <row r="74" ht="24.75" customHeight="1">
      <c r="A74" s="3" t="s">
        <v>195</v>
      </c>
      <c r="B74" s="3" t="s">
        <v>239</v>
      </c>
      <c r="C74" s="3" t="s">
        <v>245</v>
      </c>
      <c r="D74" s="3"/>
      <c r="E74" s="3"/>
      <c r="F74" s="3"/>
      <c r="G74" s="3"/>
      <c r="H74" s="3"/>
      <c r="I74" s="3"/>
      <c r="J74" s="3"/>
      <c r="K74" s="3" t="s">
        <v>27</v>
      </c>
      <c r="L74" s="3" t="s">
        <v>28</v>
      </c>
      <c r="M74" s="3"/>
      <c r="N74" s="3"/>
      <c r="O74" s="3"/>
      <c r="P74" s="3"/>
      <c r="Q74" s="4"/>
      <c r="R74" s="5">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v>0</v>
      </c>
      <c r="S74" s="4"/>
      <c r="T74" s="5">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v>0</v>
      </c>
      <c r="U74" s="4">
        <v>2.0</v>
      </c>
      <c r="V74" s="5">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v>1</v>
      </c>
      <c r="W74" s="4">
        <v>1.0</v>
      </c>
      <c r="X74" s="5">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v>0.5</v>
      </c>
      <c r="Y74" s="4">
        <v>2.0</v>
      </c>
      <c r="Z74" s="5">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v>1</v>
      </c>
      <c r="AA74" s="3">
        <f t="shared" si="2"/>
        <v>2.5</v>
      </c>
      <c r="AB74" s="3" t="str">
        <f>IFERROR(__xludf.DUMMYFUNCTION("
      Ifs( 
        ISBETWEEN(AA74, 0, 'Points-Table'!C$20, TRUE, False), 'Points-Table'!A$20,
        ISBETWEEN(AA74, 'Points-Table'!C$20, 'Points-Table'!C$21, TRUE, False), 'Points-Table'!A$21,
        ISBETWEEN(AA74, 'Points-Table'!C$22, 10000, TRUE, "&amp;"TRUE), 'Points-Table'!A$22,
        true, 
        0)
      "),"S")</f>
        <v>S</v>
      </c>
      <c r="AC74" s="3" t="s">
        <v>29</v>
      </c>
      <c r="AD74" s="3" t="s">
        <v>29</v>
      </c>
      <c r="AE74" s="3" t="s">
        <v>29</v>
      </c>
    </row>
    <row r="75" ht="24.75" customHeight="1">
      <c r="A75" s="3" t="s">
        <v>195</v>
      </c>
      <c r="B75" s="3" t="s">
        <v>239</v>
      </c>
      <c r="C75" s="3" t="s">
        <v>246</v>
      </c>
      <c r="D75" s="3"/>
      <c r="E75" s="3"/>
      <c r="F75" s="3" t="s">
        <v>247</v>
      </c>
      <c r="G75" s="3"/>
      <c r="H75" s="3"/>
      <c r="I75" s="3"/>
      <c r="J75" s="3"/>
      <c r="K75" s="3" t="s">
        <v>27</v>
      </c>
      <c r="L75" s="3" t="s">
        <v>28</v>
      </c>
      <c r="M75" s="3"/>
      <c r="N75" s="3"/>
      <c r="O75" s="3"/>
      <c r="P75" s="3"/>
      <c r="Q75" s="4"/>
      <c r="R75" s="5">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v>0</v>
      </c>
      <c r="S75" s="4"/>
      <c r="T75" s="5">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v>0</v>
      </c>
      <c r="U75" s="4">
        <v>5.0</v>
      </c>
      <c r="V75" s="5">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v>4</v>
      </c>
      <c r="W75" s="4">
        <v>2.0</v>
      </c>
      <c r="X75" s="5">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v>1</v>
      </c>
      <c r="Y75" s="4">
        <v>3.0</v>
      </c>
      <c r="Z75" s="5">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v>2</v>
      </c>
      <c r="AA75" s="3">
        <f t="shared" si="2"/>
        <v>7</v>
      </c>
      <c r="AB75" s="3" t="str">
        <f>IFERROR(__xludf.DUMMYFUNCTION("
      Ifs( 
        ISBETWEEN(AA75, 0, 'Points-Table'!C$20, TRUE, False), 'Points-Table'!A$20,
        ISBETWEEN(AA75, 'Points-Table'!C$20, 'Points-Table'!C$21, TRUE, False), 'Points-Table'!A$21,
        ISBETWEEN(AA75, 'Points-Table'!C$22, 10000, TRUE, "&amp;"TRUE), 'Points-Table'!A$22,
        true, 
        0)
      "),"S")</f>
        <v>S</v>
      </c>
      <c r="AC75" s="3" t="s">
        <v>29</v>
      </c>
      <c r="AD75" s="3" t="s">
        <v>29</v>
      </c>
      <c r="AE75" s="3" t="s">
        <v>29</v>
      </c>
    </row>
    <row r="76" ht="24.75" customHeight="1">
      <c r="A76" s="3" t="s">
        <v>195</v>
      </c>
      <c r="B76" s="3" t="s">
        <v>239</v>
      </c>
      <c r="C76" s="3" t="s">
        <v>248</v>
      </c>
      <c r="D76" s="3"/>
      <c r="E76" s="3"/>
      <c r="F76" s="3" t="s">
        <v>249</v>
      </c>
      <c r="G76" s="3"/>
      <c r="H76" s="3"/>
      <c r="I76" s="3"/>
      <c r="J76" s="3"/>
      <c r="K76" s="3" t="s">
        <v>27</v>
      </c>
      <c r="L76" s="3" t="s">
        <v>28</v>
      </c>
      <c r="M76" s="3"/>
      <c r="N76" s="3"/>
      <c r="O76" s="3"/>
      <c r="P76" s="3"/>
      <c r="Q76" s="4"/>
      <c r="R76" s="5">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v>0</v>
      </c>
      <c r="S76" s="4"/>
      <c r="T76" s="5">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v>0</v>
      </c>
      <c r="U76" s="4">
        <v>2.0</v>
      </c>
      <c r="V76" s="5">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v>1</v>
      </c>
      <c r="W76" s="4">
        <v>2.0</v>
      </c>
      <c r="X76" s="5">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v>1</v>
      </c>
      <c r="Y76" s="4">
        <v>3.0</v>
      </c>
      <c r="Z76" s="5">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v>2</v>
      </c>
      <c r="AA76" s="3">
        <f t="shared" si="2"/>
        <v>4</v>
      </c>
      <c r="AB76" s="3" t="str">
        <f>IFERROR(__xludf.DUMMYFUNCTION("
      Ifs( 
        ISBETWEEN(AA76, 0, 'Points-Table'!C$20, TRUE, False), 'Points-Table'!A$20,
        ISBETWEEN(AA76, 'Points-Table'!C$20, 'Points-Table'!C$21, TRUE, False), 'Points-Table'!A$21,
        ISBETWEEN(AA76, 'Points-Table'!C$22, 10000, TRUE, "&amp;"TRUE), 'Points-Table'!A$22,
        true, 
        0)
      "),"S")</f>
        <v>S</v>
      </c>
      <c r="AC76" s="3" t="s">
        <v>29</v>
      </c>
      <c r="AD76" s="3" t="s">
        <v>29</v>
      </c>
      <c r="AE76" s="3" t="s">
        <v>29</v>
      </c>
    </row>
    <row r="77" ht="24.75" customHeight="1">
      <c r="A77" s="3" t="s">
        <v>195</v>
      </c>
      <c r="B77" s="3" t="s">
        <v>250</v>
      </c>
      <c r="C77" s="3" t="s">
        <v>251</v>
      </c>
      <c r="D77" s="3"/>
      <c r="E77" s="3"/>
      <c r="F77" s="3"/>
      <c r="G77" s="3"/>
      <c r="H77" s="3"/>
      <c r="I77" s="3"/>
      <c r="J77" s="3"/>
      <c r="K77" s="3" t="s">
        <v>27</v>
      </c>
      <c r="L77" s="3" t="s">
        <v>28</v>
      </c>
      <c r="M77" s="3"/>
      <c r="N77" s="3"/>
      <c r="O77" s="3"/>
      <c r="P77" s="3"/>
      <c r="Q77" s="4"/>
      <c r="R77" s="5">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v>0</v>
      </c>
      <c r="S77" s="4"/>
      <c r="T77" s="5">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v>0</v>
      </c>
      <c r="U77" s="4">
        <v>5.0</v>
      </c>
      <c r="V77" s="5">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v>4</v>
      </c>
      <c r="W77" s="4">
        <v>1.0</v>
      </c>
      <c r="X77" s="5">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v>0.5</v>
      </c>
      <c r="Y77" s="4">
        <v>5.0</v>
      </c>
      <c r="Z77" s="5">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v>4</v>
      </c>
      <c r="AA77" s="3">
        <f t="shared" si="2"/>
        <v>8.5</v>
      </c>
      <c r="AB77" s="3" t="str">
        <f>IFERROR(__xludf.DUMMYFUNCTION("
      Ifs( 
        ISBETWEEN(AA77, 0, 'Points-Table'!C$20, TRUE, False), 'Points-Table'!A$20,
        ISBETWEEN(AA77, 'Points-Table'!C$20, 'Points-Table'!C$21, TRUE, False), 'Points-Table'!A$21,
        ISBETWEEN(AA77, 'Points-Table'!C$22, 10000, TRUE, "&amp;"TRUE), 'Points-Table'!A$22,
        true, 
        0)
      "),"S")</f>
        <v>S</v>
      </c>
      <c r="AC77" s="3" t="s">
        <v>29</v>
      </c>
      <c r="AD77" s="3" t="s">
        <v>29</v>
      </c>
      <c r="AE77" s="3" t="s">
        <v>29</v>
      </c>
    </row>
    <row r="78" ht="24.75" customHeight="1">
      <c r="A78" s="3" t="s">
        <v>195</v>
      </c>
      <c r="B78" s="3" t="s">
        <v>250</v>
      </c>
      <c r="C78" s="3" t="s">
        <v>252</v>
      </c>
      <c r="D78" s="3"/>
      <c r="E78" s="3"/>
      <c r="F78" s="3" t="s">
        <v>253</v>
      </c>
      <c r="G78" s="3"/>
      <c r="H78" s="3"/>
      <c r="I78" s="3"/>
      <c r="J78" s="3"/>
      <c r="K78" s="3" t="s">
        <v>27</v>
      </c>
      <c r="L78" s="3" t="s">
        <v>28</v>
      </c>
      <c r="M78" s="3"/>
      <c r="N78" s="3"/>
      <c r="O78" s="3"/>
      <c r="P78" s="3"/>
      <c r="Q78" s="4"/>
      <c r="R78" s="5">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v>0</v>
      </c>
      <c r="S78" s="4"/>
      <c r="T78" s="5">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v>0</v>
      </c>
      <c r="U78" s="4">
        <v>3.0</v>
      </c>
      <c r="V78" s="5">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v>2</v>
      </c>
      <c r="W78" s="4">
        <v>1.0</v>
      </c>
      <c r="X78" s="5">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v>0.5</v>
      </c>
      <c r="Y78" s="4">
        <v>3.0</v>
      </c>
      <c r="Z78" s="5">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v>2</v>
      </c>
      <c r="AA78" s="3">
        <f t="shared" si="2"/>
        <v>4.5</v>
      </c>
      <c r="AB78" s="3" t="str">
        <f>IFERROR(__xludf.DUMMYFUNCTION("
      Ifs( 
        ISBETWEEN(AA78, 0, 'Points-Table'!C$20, TRUE, False), 'Points-Table'!A$20,
        ISBETWEEN(AA78, 'Points-Table'!C$20, 'Points-Table'!C$21, TRUE, False), 'Points-Table'!A$21,
        ISBETWEEN(AA78, 'Points-Table'!C$22, 10000, TRUE, "&amp;"TRUE), 'Points-Table'!A$22,
        true, 
        0)
      "),"S")</f>
        <v>S</v>
      </c>
      <c r="AC78" s="3" t="s">
        <v>29</v>
      </c>
      <c r="AD78" s="3" t="s">
        <v>29</v>
      </c>
      <c r="AE78" s="3" t="s">
        <v>29</v>
      </c>
    </row>
    <row r="79" ht="24.75" customHeight="1">
      <c r="A79" s="3" t="s">
        <v>195</v>
      </c>
      <c r="B79" s="3" t="s">
        <v>250</v>
      </c>
      <c r="C79" s="3" t="s">
        <v>175</v>
      </c>
      <c r="D79" s="3"/>
      <c r="E79" s="3"/>
      <c r="F79" s="3" t="s">
        <v>253</v>
      </c>
      <c r="G79" s="3"/>
      <c r="H79" s="3"/>
      <c r="I79" s="3"/>
      <c r="J79" s="3"/>
      <c r="K79" s="3" t="s">
        <v>27</v>
      </c>
      <c r="L79" s="3" t="s">
        <v>28</v>
      </c>
      <c r="M79" s="3"/>
      <c r="N79" s="3"/>
      <c r="O79" s="3"/>
      <c r="P79" s="3"/>
      <c r="Q79" s="4"/>
      <c r="R79" s="5">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v>0</v>
      </c>
      <c r="S79" s="4"/>
      <c r="T79" s="5">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v>0</v>
      </c>
      <c r="U79" s="4">
        <v>3.0</v>
      </c>
      <c r="V79" s="5">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v>2</v>
      </c>
      <c r="W79" s="4">
        <v>2.0</v>
      </c>
      <c r="X79" s="5">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v>1</v>
      </c>
      <c r="Y79" s="4">
        <v>5.0</v>
      </c>
      <c r="Z79" s="5">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v>4</v>
      </c>
      <c r="AA79" s="3">
        <f t="shared" si="2"/>
        <v>7</v>
      </c>
      <c r="AB79" s="3" t="str">
        <f>IFERROR(__xludf.DUMMYFUNCTION("
      Ifs( 
        ISBETWEEN(AA79, 0, 'Points-Table'!C$20, TRUE, False), 'Points-Table'!A$20,
        ISBETWEEN(AA79, 'Points-Table'!C$20, 'Points-Table'!C$21, TRUE, False), 'Points-Table'!A$21,
        ISBETWEEN(AA79, 'Points-Table'!C$22, 10000, TRUE, "&amp;"TRUE), 'Points-Table'!A$22,
        true, 
        0)
      "),"S")</f>
        <v>S</v>
      </c>
      <c r="AC79" s="3" t="s">
        <v>29</v>
      </c>
      <c r="AD79" s="3" t="s">
        <v>29</v>
      </c>
      <c r="AE79" s="3" t="s">
        <v>29</v>
      </c>
    </row>
    <row r="80" ht="24.75" customHeight="1">
      <c r="A80" s="3" t="s">
        <v>195</v>
      </c>
      <c r="B80" s="3" t="s">
        <v>254</v>
      </c>
      <c r="C80" s="3"/>
      <c r="D80" s="3"/>
      <c r="E80" s="3"/>
      <c r="F80" s="3"/>
      <c r="G80" s="3"/>
      <c r="H80" s="3"/>
      <c r="I80" s="3"/>
      <c r="J80" s="3"/>
      <c r="K80" s="3" t="s">
        <v>27</v>
      </c>
      <c r="L80" s="3" t="s">
        <v>28</v>
      </c>
      <c r="M80" s="3"/>
      <c r="N80" s="3"/>
      <c r="O80" s="3"/>
      <c r="P80" s="3"/>
      <c r="Q80" s="4"/>
      <c r="R80" s="5">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v>0</v>
      </c>
      <c r="S80" s="4"/>
      <c r="T80" s="5">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v>0</v>
      </c>
      <c r="U80" s="4">
        <v>2.0</v>
      </c>
      <c r="V80" s="5">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v>1</v>
      </c>
      <c r="W80" s="4">
        <v>1.0</v>
      </c>
      <c r="X80" s="5">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v>0.5</v>
      </c>
      <c r="Y80" s="4">
        <v>2.0</v>
      </c>
      <c r="Z80" s="5">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v>1</v>
      </c>
      <c r="AA80" s="3">
        <f t="shared" si="2"/>
        <v>2.5</v>
      </c>
      <c r="AB80" s="3" t="str">
        <f>IFERROR(__xludf.DUMMYFUNCTION("
      Ifs( 
        ISBETWEEN(AA80, 0, 'Points-Table'!C$20, TRUE, False), 'Points-Table'!A$20,
        ISBETWEEN(AA80, 'Points-Table'!C$20, 'Points-Table'!C$21, TRUE, False), 'Points-Table'!A$21,
        ISBETWEEN(AA80, 'Points-Table'!C$22, 10000, TRUE, "&amp;"TRUE), 'Points-Table'!A$22,
        true, 
        0)
      "),"S")</f>
        <v>S</v>
      </c>
      <c r="AC80" s="3" t="s">
        <v>29</v>
      </c>
      <c r="AD80" s="3" t="s">
        <v>29</v>
      </c>
      <c r="AE80" s="3" t="s">
        <v>29</v>
      </c>
    </row>
    <row r="81" ht="24.75" customHeight="1">
      <c r="A81" s="3" t="s">
        <v>195</v>
      </c>
      <c r="B81" s="3" t="s">
        <v>255</v>
      </c>
      <c r="C81" s="3"/>
      <c r="D81" s="3" t="s">
        <v>256</v>
      </c>
      <c r="E81" s="3"/>
      <c r="F81" s="3"/>
      <c r="G81" s="3"/>
      <c r="H81" s="3"/>
      <c r="I81" s="3"/>
      <c r="J81" s="3"/>
      <c r="K81" s="3" t="s">
        <v>27</v>
      </c>
      <c r="L81" s="3" t="s">
        <v>216</v>
      </c>
      <c r="M81" s="3"/>
      <c r="N81" s="3"/>
      <c r="O81" s="3"/>
      <c r="P81" s="3"/>
      <c r="Q81" s="4">
        <v>0.0</v>
      </c>
      <c r="R81" s="5">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v>0</v>
      </c>
      <c r="S81" s="4">
        <v>0.0</v>
      </c>
      <c r="T81" s="5">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v>0</v>
      </c>
      <c r="U81" s="4">
        <v>1.0</v>
      </c>
      <c r="V81" s="5">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v>0.5</v>
      </c>
      <c r="W81" s="4">
        <v>1.0</v>
      </c>
      <c r="X81" s="5">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v>0.5</v>
      </c>
      <c r="Y81" s="4">
        <v>2.0</v>
      </c>
      <c r="Z81" s="5">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v>1</v>
      </c>
      <c r="AA81" s="3">
        <f t="shared" si="2"/>
        <v>2</v>
      </c>
      <c r="AB81" s="3" t="str">
        <f>IFERROR(__xludf.DUMMYFUNCTION("
      Ifs( 
        ISBETWEEN(AA81, 0, 'Points-Table'!C$20, TRUE, False), 'Points-Table'!A$20,
        ISBETWEEN(AA81, 'Points-Table'!C$20, 'Points-Table'!C$21, TRUE, False), 'Points-Table'!A$21,
        ISBETWEEN(AA81, 'Points-Table'!C$22, 10000, TRUE, "&amp;"TRUE), 'Points-Table'!A$22,
        true, 
        0)
      "),"S")</f>
        <v>S</v>
      </c>
      <c r="AC81" s="3" t="s">
        <v>29</v>
      </c>
      <c r="AD81" s="3" t="s">
        <v>29</v>
      </c>
      <c r="AE81" s="3" t="s">
        <v>29</v>
      </c>
    </row>
    <row r="82" ht="24.75" customHeight="1">
      <c r="A82" s="3" t="s">
        <v>195</v>
      </c>
      <c r="B82" s="3" t="s">
        <v>257</v>
      </c>
      <c r="C82" s="3"/>
      <c r="D82" s="3"/>
      <c r="E82" s="3"/>
      <c r="F82" s="3"/>
      <c r="G82" s="3"/>
      <c r="H82" s="3"/>
      <c r="I82" s="3"/>
      <c r="J82" s="3"/>
      <c r="K82" s="3" t="s">
        <v>27</v>
      </c>
      <c r="L82" s="3" t="s">
        <v>216</v>
      </c>
      <c r="M82" s="3"/>
      <c r="N82" s="3"/>
      <c r="O82" s="3"/>
      <c r="P82" s="3"/>
      <c r="Q82" s="4">
        <v>0.0</v>
      </c>
      <c r="R82" s="5">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v>0</v>
      </c>
      <c r="S82" s="4">
        <v>0.0</v>
      </c>
      <c r="T82" s="5">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v>0</v>
      </c>
      <c r="U82" s="4">
        <v>1.0</v>
      </c>
      <c r="V82" s="5">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v>0.5</v>
      </c>
      <c r="W82" s="4">
        <v>1.0</v>
      </c>
      <c r="X82" s="5">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v>0.5</v>
      </c>
      <c r="Y82" s="4">
        <v>2.0</v>
      </c>
      <c r="Z82" s="5">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v>1</v>
      </c>
      <c r="AA82" s="3">
        <f t="shared" si="2"/>
        <v>2</v>
      </c>
      <c r="AB82" s="3" t="str">
        <f>IFERROR(__xludf.DUMMYFUNCTION("
      Ifs( 
        ISBETWEEN(AA82, 0, 'Points-Table'!C$20, TRUE, False), 'Points-Table'!A$20,
        ISBETWEEN(AA82, 'Points-Table'!C$20, 'Points-Table'!C$21, TRUE, False), 'Points-Table'!A$21,
        ISBETWEEN(AA82, 'Points-Table'!C$22, 10000, TRUE, "&amp;"TRUE), 'Points-Table'!A$22,
        true, 
        0)
      "),"S")</f>
        <v>S</v>
      </c>
      <c r="AC82" s="3" t="s">
        <v>29</v>
      </c>
      <c r="AD82" s="3" t="s">
        <v>29</v>
      </c>
      <c r="AE82" s="3" t="s">
        <v>29</v>
      </c>
    </row>
    <row r="83" ht="24.75" customHeight="1">
      <c r="A83" s="6" t="s">
        <v>195</v>
      </c>
      <c r="B83" s="6" t="s">
        <v>258</v>
      </c>
      <c r="C83" s="6" t="s">
        <v>259</v>
      </c>
      <c r="D83" s="6" t="s">
        <v>260</v>
      </c>
      <c r="E83" s="6"/>
      <c r="F83" s="6"/>
      <c r="G83" s="6"/>
      <c r="H83" s="6"/>
      <c r="I83" s="6"/>
      <c r="J83" s="6"/>
      <c r="K83" s="6" t="s">
        <v>27</v>
      </c>
      <c r="L83" s="6" t="s">
        <v>28</v>
      </c>
      <c r="M83" s="6"/>
      <c r="N83" s="6"/>
      <c r="O83" s="6"/>
      <c r="P83" s="6"/>
      <c r="Q83" s="6">
        <v>3.0</v>
      </c>
      <c r="R83" s="6">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v>2</v>
      </c>
      <c r="S83" s="6">
        <v>3.0</v>
      </c>
      <c r="T83" s="6">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v>2</v>
      </c>
      <c r="U83" s="6">
        <v>3.0</v>
      </c>
      <c r="V83" s="6">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v>2</v>
      </c>
      <c r="W83" s="6">
        <v>8.0</v>
      </c>
      <c r="X83" s="6">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v>7</v>
      </c>
      <c r="Y83" s="6">
        <v>8.0</v>
      </c>
      <c r="Z83" s="6">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v>7</v>
      </c>
      <c r="AA83" s="6">
        <f t="shared" si="2"/>
        <v>16</v>
      </c>
      <c r="AB83" s="6" t="str">
        <f>IFERROR(__xludf.DUMMYFUNCTION("
      Ifs( 
        ISBETWEEN(AA83, 0, 'Points-Table'!C$20, TRUE, False), 'Points-Table'!A$20,
        ISBETWEEN(AA83, 'Points-Table'!C$20, 'Points-Table'!C$21, TRUE, False), 'Points-Table'!A$21,
        ISBETWEEN(AA83, 'Points-Table'!C$22, 10000, TRUE, "&amp;"TRUE), 'Points-Table'!A$22,
        true, 
        0)
      "),"S")</f>
        <v>S</v>
      </c>
      <c r="AC83" s="6" t="s">
        <v>29</v>
      </c>
      <c r="AD83" s="6" t="s">
        <v>29</v>
      </c>
      <c r="AE83" s="6" t="s">
        <v>29</v>
      </c>
    </row>
    <row r="84" ht="24.75" customHeight="1">
      <c r="A84" s="6" t="s">
        <v>195</v>
      </c>
      <c r="B84" s="6" t="s">
        <v>258</v>
      </c>
      <c r="C84" s="6" t="s">
        <v>261</v>
      </c>
      <c r="D84" s="6" t="s">
        <v>262</v>
      </c>
      <c r="E84" s="6"/>
      <c r="F84" s="6"/>
      <c r="G84" s="6"/>
      <c r="H84" s="6"/>
      <c r="I84" s="6"/>
      <c r="J84" s="6"/>
      <c r="K84" s="6" t="s">
        <v>27</v>
      </c>
      <c r="L84" s="6" t="s">
        <v>28</v>
      </c>
      <c r="M84" s="6"/>
      <c r="N84" s="6"/>
      <c r="O84" s="6"/>
      <c r="P84" s="6"/>
      <c r="Q84" s="6"/>
      <c r="R84" s="6">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v>0</v>
      </c>
      <c r="S84" s="6"/>
      <c r="T84" s="6">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v>0</v>
      </c>
      <c r="U84" s="6">
        <v>3.0</v>
      </c>
      <c r="V84" s="6">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v>2</v>
      </c>
      <c r="W84" s="6">
        <v>0.0</v>
      </c>
      <c r="X84" s="6">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v>0</v>
      </c>
      <c r="Y84" s="6">
        <v>0.0</v>
      </c>
      <c r="Z84" s="6">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v>0</v>
      </c>
      <c r="AA84" s="6">
        <f t="shared" si="2"/>
        <v>2</v>
      </c>
      <c r="AB84" s="6" t="str">
        <f>IFERROR(__xludf.DUMMYFUNCTION("
      Ifs( 
        ISBETWEEN(AA84, 0, 'Points-Table'!C$20, TRUE, False), 'Points-Table'!A$20,
        ISBETWEEN(AA84, 'Points-Table'!C$20, 'Points-Table'!C$21, TRUE, False), 'Points-Table'!A$21,
        ISBETWEEN(AA84, 'Points-Table'!C$22, 10000, TRUE, "&amp;"TRUE), 'Points-Table'!A$22,
        true, 
        0)
      "),"S")</f>
        <v>S</v>
      </c>
      <c r="AC84" s="6" t="s">
        <v>29</v>
      </c>
      <c r="AD84" s="6" t="s">
        <v>29</v>
      </c>
      <c r="AE84" s="6" t="s">
        <v>29</v>
      </c>
    </row>
    <row r="85" ht="24.75" customHeight="1">
      <c r="A85" s="6" t="s">
        <v>195</v>
      </c>
      <c r="B85" s="6" t="s">
        <v>258</v>
      </c>
      <c r="C85" s="6" t="s">
        <v>263</v>
      </c>
      <c r="D85" s="6" t="s">
        <v>264</v>
      </c>
      <c r="E85" s="6"/>
      <c r="F85" s="6"/>
      <c r="G85" s="6"/>
      <c r="H85" s="6"/>
      <c r="I85" s="6"/>
      <c r="J85" s="6"/>
      <c r="K85" s="6" t="s">
        <v>27</v>
      </c>
      <c r="L85" s="6" t="s">
        <v>28</v>
      </c>
      <c r="M85" s="6"/>
      <c r="N85" s="6"/>
      <c r="O85" s="6"/>
      <c r="P85" s="6"/>
      <c r="Q85" s="6"/>
      <c r="R85" s="6">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v>0</v>
      </c>
      <c r="S85" s="6"/>
      <c r="T85" s="6">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v>0</v>
      </c>
      <c r="U85" s="6">
        <v>3.0</v>
      </c>
      <c r="V85" s="6">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v>2</v>
      </c>
      <c r="W85" s="6">
        <v>0.0</v>
      </c>
      <c r="X85" s="6">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v>0</v>
      </c>
      <c r="Y85" s="6">
        <v>0.0</v>
      </c>
      <c r="Z85" s="6">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v>0</v>
      </c>
      <c r="AA85" s="6">
        <f t="shared" si="2"/>
        <v>2</v>
      </c>
      <c r="AB85" s="6" t="str">
        <f>IFERROR(__xludf.DUMMYFUNCTION("
      Ifs( 
        ISBETWEEN(AA85, 0, 'Points-Table'!C$20, TRUE, False), 'Points-Table'!A$20,
        ISBETWEEN(AA85, 'Points-Table'!C$20, 'Points-Table'!C$21, TRUE, False), 'Points-Table'!A$21,
        ISBETWEEN(AA85, 'Points-Table'!C$22, 10000, TRUE, "&amp;"TRUE), 'Points-Table'!A$22,
        true, 
        0)
      "),"S")</f>
        <v>S</v>
      </c>
      <c r="AC85" s="6" t="s">
        <v>29</v>
      </c>
      <c r="AD85" s="6" t="s">
        <v>29</v>
      </c>
      <c r="AE85" s="6" t="s">
        <v>29</v>
      </c>
    </row>
    <row r="86" ht="24.75" customHeight="1">
      <c r="A86" s="6" t="s">
        <v>195</v>
      </c>
      <c r="B86" s="6" t="s">
        <v>258</v>
      </c>
      <c r="C86" s="6" t="s">
        <v>265</v>
      </c>
      <c r="D86" s="6" t="s">
        <v>266</v>
      </c>
      <c r="E86" s="6"/>
      <c r="F86" s="6"/>
      <c r="G86" s="6"/>
      <c r="H86" s="6"/>
      <c r="I86" s="6"/>
      <c r="J86" s="6"/>
      <c r="K86" s="6" t="s">
        <v>27</v>
      </c>
      <c r="L86" s="6" t="s">
        <v>28</v>
      </c>
      <c r="M86" s="6"/>
      <c r="N86" s="6"/>
      <c r="O86" s="6"/>
      <c r="P86" s="6"/>
      <c r="Q86" s="6"/>
      <c r="R86" s="6">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v>0</v>
      </c>
      <c r="S86" s="6"/>
      <c r="T86" s="6">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v>0</v>
      </c>
      <c r="U86" s="6">
        <v>2.0</v>
      </c>
      <c r="V86" s="6">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v>1</v>
      </c>
      <c r="W86" s="6">
        <v>0.0</v>
      </c>
      <c r="X86" s="6">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v>0</v>
      </c>
      <c r="Y86" s="6">
        <v>0.0</v>
      </c>
      <c r="Z86" s="6">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v>0</v>
      </c>
      <c r="AA86" s="6">
        <f t="shared" si="2"/>
        <v>1</v>
      </c>
      <c r="AB86" s="6" t="str">
        <f>IFERROR(__xludf.DUMMYFUNCTION("
      Ifs( 
        ISBETWEEN(AA86, 0, 'Points-Table'!C$20, TRUE, False), 'Points-Table'!A$20,
        ISBETWEEN(AA86, 'Points-Table'!C$20, 'Points-Table'!C$21, TRUE, False), 'Points-Table'!A$21,
        ISBETWEEN(AA86, 'Points-Table'!C$22, 10000, TRUE, "&amp;"TRUE), 'Points-Table'!A$22,
        true, 
        0)
      "),"S")</f>
        <v>S</v>
      </c>
      <c r="AC86" s="6" t="s">
        <v>29</v>
      </c>
      <c r="AD86" s="6" t="s">
        <v>29</v>
      </c>
      <c r="AE86" s="6" t="s">
        <v>29</v>
      </c>
    </row>
    <row r="87" ht="24.75" customHeight="1">
      <c r="A87" s="6" t="s">
        <v>195</v>
      </c>
      <c r="B87" s="6" t="s">
        <v>258</v>
      </c>
      <c r="C87" s="6" t="s">
        <v>267</v>
      </c>
      <c r="D87" s="6"/>
      <c r="E87" s="6"/>
      <c r="F87" s="6"/>
      <c r="G87" s="6"/>
      <c r="H87" s="6"/>
      <c r="I87" s="6"/>
      <c r="J87" s="6"/>
      <c r="K87" s="6" t="s">
        <v>27</v>
      </c>
      <c r="L87" s="6" t="s">
        <v>28</v>
      </c>
      <c r="M87" s="6"/>
      <c r="N87" s="6"/>
      <c r="O87" s="6"/>
      <c r="P87" s="6"/>
      <c r="Q87" s="6"/>
      <c r="R87" s="6">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v>0</v>
      </c>
      <c r="S87" s="6"/>
      <c r="T87" s="6">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v>0</v>
      </c>
      <c r="U87" s="6">
        <v>3.0</v>
      </c>
      <c r="V87" s="6">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v>2</v>
      </c>
      <c r="W87" s="6">
        <v>0.0</v>
      </c>
      <c r="X87" s="6">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v>0</v>
      </c>
      <c r="Y87" s="6">
        <v>0.0</v>
      </c>
      <c r="Z87" s="6">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v>0</v>
      </c>
      <c r="AA87" s="6">
        <f t="shared" si="2"/>
        <v>2</v>
      </c>
      <c r="AB87" s="6" t="str">
        <f>IFERROR(__xludf.DUMMYFUNCTION("
      Ifs( 
        ISBETWEEN(AA87, 0, 'Points-Table'!C$20, TRUE, False), 'Points-Table'!A$20,
        ISBETWEEN(AA87, 'Points-Table'!C$20, 'Points-Table'!C$21, TRUE, False), 'Points-Table'!A$21,
        ISBETWEEN(AA87, 'Points-Table'!C$22, 10000, TRUE, "&amp;"TRUE), 'Points-Table'!A$22,
        true, 
        0)
      "),"S")</f>
        <v>S</v>
      </c>
      <c r="AC87" s="6" t="s">
        <v>29</v>
      </c>
      <c r="AD87" s="6" t="s">
        <v>29</v>
      </c>
      <c r="AE87" s="6" t="s">
        <v>29</v>
      </c>
    </row>
    <row r="88" ht="24.75" customHeight="1">
      <c r="A88" s="6" t="s">
        <v>195</v>
      </c>
      <c r="B88" s="6" t="s">
        <v>258</v>
      </c>
      <c r="C88" s="6" t="s">
        <v>268</v>
      </c>
      <c r="D88" s="6"/>
      <c r="E88" s="6"/>
      <c r="F88" s="6"/>
      <c r="G88" s="6"/>
      <c r="H88" s="6"/>
      <c r="I88" s="6"/>
      <c r="J88" s="6"/>
      <c r="K88" s="6" t="s">
        <v>27</v>
      </c>
      <c r="L88" s="6" t="s">
        <v>28</v>
      </c>
      <c r="M88" s="6"/>
      <c r="N88" s="6"/>
      <c r="O88" s="6"/>
      <c r="P88" s="6"/>
      <c r="Q88" s="6"/>
      <c r="R88" s="6">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v>0</v>
      </c>
      <c r="S88" s="6"/>
      <c r="T88" s="6">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v>0</v>
      </c>
      <c r="U88" s="6">
        <v>3.0</v>
      </c>
      <c r="V88" s="6">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v>2</v>
      </c>
      <c r="W88" s="6">
        <v>0.0</v>
      </c>
      <c r="X88" s="6">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v>0</v>
      </c>
      <c r="Y88" s="6">
        <v>0.0</v>
      </c>
      <c r="Z88" s="6">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v>0</v>
      </c>
      <c r="AA88" s="6">
        <f t="shared" si="2"/>
        <v>2</v>
      </c>
      <c r="AB88" s="6" t="str">
        <f>IFERROR(__xludf.DUMMYFUNCTION("
      Ifs( 
        ISBETWEEN(AA88, 0, 'Points-Table'!C$20, TRUE, False), 'Points-Table'!A$20,
        ISBETWEEN(AA88, 'Points-Table'!C$20, 'Points-Table'!C$21, TRUE, False), 'Points-Table'!A$21,
        ISBETWEEN(AA88, 'Points-Table'!C$22, 10000, TRUE, "&amp;"TRUE), 'Points-Table'!A$22,
        true, 
        0)
      "),"S")</f>
        <v>S</v>
      </c>
      <c r="AC88" s="6" t="s">
        <v>29</v>
      </c>
      <c r="AD88" s="6" t="s">
        <v>29</v>
      </c>
      <c r="AE88" s="6" t="s">
        <v>29</v>
      </c>
    </row>
    <row r="89" ht="24.75" customHeight="1">
      <c r="A89" s="6" t="s">
        <v>195</v>
      </c>
      <c r="B89" s="6" t="s">
        <v>258</v>
      </c>
      <c r="C89" s="6" t="s">
        <v>269</v>
      </c>
      <c r="D89" s="6" t="s">
        <v>270</v>
      </c>
      <c r="E89" s="6"/>
      <c r="F89" s="6"/>
      <c r="G89" s="6"/>
      <c r="H89" s="6"/>
      <c r="I89" s="6"/>
      <c r="J89" s="6"/>
      <c r="K89" s="6" t="s">
        <v>27</v>
      </c>
      <c r="L89" s="6" t="s">
        <v>28</v>
      </c>
      <c r="M89" s="6"/>
      <c r="N89" s="6"/>
      <c r="O89" s="6"/>
      <c r="P89" s="6"/>
      <c r="Q89" s="6"/>
      <c r="R89" s="6">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v>0</v>
      </c>
      <c r="S89" s="6"/>
      <c r="T89" s="6">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v>0</v>
      </c>
      <c r="U89" s="6">
        <v>3.0</v>
      </c>
      <c r="V89" s="6">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v>2</v>
      </c>
      <c r="W89" s="6">
        <v>0.0</v>
      </c>
      <c r="X89" s="6">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v>0</v>
      </c>
      <c r="Y89" s="6">
        <v>0.0</v>
      </c>
      <c r="Z89" s="6">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v>0</v>
      </c>
      <c r="AA89" s="6">
        <f t="shared" si="2"/>
        <v>2</v>
      </c>
      <c r="AB89" s="6" t="str">
        <f>IFERROR(__xludf.DUMMYFUNCTION("
      Ifs( 
        ISBETWEEN(AA89, 0, 'Points-Table'!C$20, TRUE, False), 'Points-Table'!A$20,
        ISBETWEEN(AA89, 'Points-Table'!C$20, 'Points-Table'!C$21, TRUE, False), 'Points-Table'!A$21,
        ISBETWEEN(AA89, 'Points-Table'!C$22, 10000, TRUE, "&amp;"TRUE), 'Points-Table'!A$22,
        true, 
        0)
      "),"S")</f>
        <v>S</v>
      </c>
      <c r="AC89" s="6" t="s">
        <v>29</v>
      </c>
      <c r="AD89" s="6" t="s">
        <v>29</v>
      </c>
      <c r="AE89" s="6" t="s">
        <v>29</v>
      </c>
    </row>
    <row r="90" ht="24.75" customHeight="1">
      <c r="A90" s="6" t="s">
        <v>195</v>
      </c>
      <c r="B90" s="6" t="s">
        <v>258</v>
      </c>
      <c r="C90" s="6" t="s">
        <v>271</v>
      </c>
      <c r="D90" s="6" t="s">
        <v>272</v>
      </c>
      <c r="E90" s="6"/>
      <c r="F90" s="6"/>
      <c r="G90" s="6"/>
      <c r="H90" s="6"/>
      <c r="I90" s="6"/>
      <c r="J90" s="6"/>
      <c r="K90" s="6" t="s">
        <v>27</v>
      </c>
      <c r="L90" s="6" t="s">
        <v>28</v>
      </c>
      <c r="M90" s="6"/>
      <c r="N90" s="6"/>
      <c r="O90" s="6"/>
      <c r="P90" s="6"/>
      <c r="Q90" s="6"/>
      <c r="R90" s="6">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v>0</v>
      </c>
      <c r="S90" s="6"/>
      <c r="T90" s="6">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v>0</v>
      </c>
      <c r="U90" s="6">
        <v>3.0</v>
      </c>
      <c r="V90" s="6">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v>2</v>
      </c>
      <c r="W90" s="6">
        <v>0.0</v>
      </c>
      <c r="X90" s="6">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v>0</v>
      </c>
      <c r="Y90" s="6">
        <v>0.0</v>
      </c>
      <c r="Z90" s="6">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v>0</v>
      </c>
      <c r="AA90" s="6">
        <f t="shared" si="2"/>
        <v>2</v>
      </c>
      <c r="AB90" s="6" t="str">
        <f>IFERROR(__xludf.DUMMYFUNCTION("
      Ifs( 
        ISBETWEEN(AA90, 0, 'Points-Table'!C$20, TRUE, False), 'Points-Table'!A$20,
        ISBETWEEN(AA90, 'Points-Table'!C$20, 'Points-Table'!C$21, TRUE, False), 'Points-Table'!A$21,
        ISBETWEEN(AA90, 'Points-Table'!C$22, 10000, TRUE, "&amp;"TRUE), 'Points-Table'!A$22,
        true, 
        0)
      "),"S")</f>
        <v>S</v>
      </c>
      <c r="AC90" s="6" t="s">
        <v>29</v>
      </c>
      <c r="AD90" s="6" t="s">
        <v>29</v>
      </c>
      <c r="AE90" s="6" t="s">
        <v>29</v>
      </c>
    </row>
    <row r="91" ht="24.75" customHeight="1">
      <c r="A91" s="6" t="s">
        <v>195</v>
      </c>
      <c r="B91" s="6" t="s">
        <v>258</v>
      </c>
      <c r="C91" s="6" t="s">
        <v>273</v>
      </c>
      <c r="D91" s="6" t="s">
        <v>274</v>
      </c>
      <c r="E91" s="6"/>
      <c r="F91" s="6"/>
      <c r="G91" s="6"/>
      <c r="H91" s="6"/>
      <c r="I91" s="6"/>
      <c r="J91" s="6"/>
      <c r="K91" s="6" t="s">
        <v>27</v>
      </c>
      <c r="L91" s="6" t="s">
        <v>28</v>
      </c>
      <c r="M91" s="6"/>
      <c r="N91" s="6"/>
      <c r="O91" s="6"/>
      <c r="P91" s="6"/>
      <c r="Q91" s="6"/>
      <c r="R91" s="6">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v>0</v>
      </c>
      <c r="S91" s="6"/>
      <c r="T91" s="6">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v>0</v>
      </c>
      <c r="U91" s="6">
        <v>3.0</v>
      </c>
      <c r="V91" s="6">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v>2</v>
      </c>
      <c r="W91" s="6">
        <v>0.0</v>
      </c>
      <c r="X91" s="6">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v>0</v>
      </c>
      <c r="Y91" s="6">
        <v>0.0</v>
      </c>
      <c r="Z91" s="6">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v>0</v>
      </c>
      <c r="AA91" s="6">
        <f t="shared" si="2"/>
        <v>2</v>
      </c>
      <c r="AB91" s="6" t="str">
        <f>IFERROR(__xludf.DUMMYFUNCTION("
      Ifs( 
        ISBETWEEN(AA91, 0, 'Points-Table'!C$20, TRUE, False), 'Points-Table'!A$20,
        ISBETWEEN(AA91, 'Points-Table'!C$20, 'Points-Table'!C$21, TRUE, False), 'Points-Table'!A$21,
        ISBETWEEN(AA91, 'Points-Table'!C$22, 10000, TRUE, "&amp;"TRUE), 'Points-Table'!A$22,
        true, 
        0)
      "),"S")</f>
        <v>S</v>
      </c>
      <c r="AC91" s="6" t="s">
        <v>29</v>
      </c>
      <c r="AD91" s="6" t="s">
        <v>29</v>
      </c>
      <c r="AE91" s="6" t="s">
        <v>29</v>
      </c>
    </row>
    <row r="92" ht="24.75" customHeight="1">
      <c r="A92" s="6" t="s">
        <v>195</v>
      </c>
      <c r="B92" s="6" t="s">
        <v>258</v>
      </c>
      <c r="C92" s="6" t="s">
        <v>275</v>
      </c>
      <c r="D92" s="6"/>
      <c r="E92" s="6"/>
      <c r="F92" s="6"/>
      <c r="G92" s="6"/>
      <c r="H92" s="6"/>
      <c r="I92" s="6"/>
      <c r="J92" s="6"/>
      <c r="K92" s="6" t="s">
        <v>27</v>
      </c>
      <c r="L92" s="6" t="s">
        <v>28</v>
      </c>
      <c r="M92" s="6"/>
      <c r="N92" s="6"/>
      <c r="O92" s="6"/>
      <c r="P92" s="6"/>
      <c r="Q92" s="6"/>
      <c r="R92" s="6">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v>0</v>
      </c>
      <c r="S92" s="6"/>
      <c r="T92" s="6">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v>0</v>
      </c>
      <c r="U92" s="6">
        <v>2.0</v>
      </c>
      <c r="V92" s="6">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v>1</v>
      </c>
      <c r="W92" s="6">
        <v>0.0</v>
      </c>
      <c r="X92" s="6">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v>0</v>
      </c>
      <c r="Y92" s="6">
        <v>0.0</v>
      </c>
      <c r="Z92" s="6">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v>0</v>
      </c>
      <c r="AA92" s="6">
        <f t="shared" si="2"/>
        <v>1</v>
      </c>
      <c r="AB92" s="6" t="str">
        <f>IFERROR(__xludf.DUMMYFUNCTION("
      Ifs( 
        ISBETWEEN(AA92, 0, 'Points-Table'!C$20, TRUE, False), 'Points-Table'!A$20,
        ISBETWEEN(AA92, 'Points-Table'!C$20, 'Points-Table'!C$21, TRUE, False), 'Points-Table'!A$21,
        ISBETWEEN(AA92, 'Points-Table'!C$22, 10000, TRUE, "&amp;"TRUE), 'Points-Table'!A$22,
        true, 
        0)
      "),"S")</f>
        <v>S</v>
      </c>
      <c r="AC92" s="6" t="s">
        <v>29</v>
      </c>
      <c r="AD92" s="6" t="s">
        <v>29</v>
      </c>
      <c r="AE92" s="6" t="s">
        <v>29</v>
      </c>
    </row>
    <row r="93" ht="24.75" customHeight="1">
      <c r="A93" s="6" t="s">
        <v>195</v>
      </c>
      <c r="B93" s="6" t="s">
        <v>258</v>
      </c>
      <c r="C93" s="6" t="s">
        <v>276</v>
      </c>
      <c r="D93" s="6"/>
      <c r="E93" s="6"/>
      <c r="F93" s="6"/>
      <c r="G93" s="6"/>
      <c r="H93" s="6"/>
      <c r="I93" s="6"/>
      <c r="J93" s="6"/>
      <c r="K93" s="6" t="s">
        <v>27</v>
      </c>
      <c r="L93" s="6" t="s">
        <v>28</v>
      </c>
      <c r="M93" s="6"/>
      <c r="N93" s="6"/>
      <c r="O93" s="6"/>
      <c r="P93" s="6"/>
      <c r="Q93" s="6"/>
      <c r="R93" s="6">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v>0</v>
      </c>
      <c r="S93" s="6"/>
      <c r="T93" s="6">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v>0</v>
      </c>
      <c r="U93" s="6">
        <v>3.0</v>
      </c>
      <c r="V93" s="6">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v>2</v>
      </c>
      <c r="W93" s="6">
        <v>0.0</v>
      </c>
      <c r="X93" s="6">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v>0</v>
      </c>
      <c r="Y93" s="6">
        <v>0.0</v>
      </c>
      <c r="Z93" s="6">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v>0</v>
      </c>
      <c r="AA93" s="6">
        <f t="shared" si="2"/>
        <v>2</v>
      </c>
      <c r="AB93" s="6" t="str">
        <f>IFERROR(__xludf.DUMMYFUNCTION("
      Ifs( 
        ISBETWEEN(AA93, 0, 'Points-Table'!C$20, TRUE, False), 'Points-Table'!A$20,
        ISBETWEEN(AA93, 'Points-Table'!C$20, 'Points-Table'!C$21, TRUE, False), 'Points-Table'!A$21,
        ISBETWEEN(AA93, 'Points-Table'!C$22, 10000, TRUE, "&amp;"TRUE), 'Points-Table'!A$22,
        true, 
        0)
      "),"S")</f>
        <v>S</v>
      </c>
      <c r="AC93" s="6" t="s">
        <v>29</v>
      </c>
      <c r="AD93" s="6" t="s">
        <v>29</v>
      </c>
      <c r="AE93" s="6" t="s">
        <v>29</v>
      </c>
    </row>
    <row r="94" ht="24.75" customHeight="1">
      <c r="A94" s="6" t="s">
        <v>195</v>
      </c>
      <c r="B94" s="6" t="s">
        <v>258</v>
      </c>
      <c r="C94" s="6" t="s">
        <v>277</v>
      </c>
      <c r="D94" s="6"/>
      <c r="E94" s="6"/>
      <c r="F94" s="6"/>
      <c r="G94" s="6"/>
      <c r="H94" s="6"/>
      <c r="I94" s="6"/>
      <c r="J94" s="6"/>
      <c r="K94" s="6" t="s">
        <v>27</v>
      </c>
      <c r="L94" s="6" t="s">
        <v>28</v>
      </c>
      <c r="M94" s="6"/>
      <c r="N94" s="6"/>
      <c r="O94" s="6"/>
      <c r="P94" s="6"/>
      <c r="Q94" s="6"/>
      <c r="R94" s="6">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v>0</v>
      </c>
      <c r="S94" s="6"/>
      <c r="T94" s="6">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v>0</v>
      </c>
      <c r="U94" s="6">
        <v>3.0</v>
      </c>
      <c r="V94" s="6">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v>2</v>
      </c>
      <c r="W94" s="6">
        <v>0.0</v>
      </c>
      <c r="X94" s="6">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v>0</v>
      </c>
      <c r="Y94" s="6">
        <v>0.0</v>
      </c>
      <c r="Z94" s="6">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v>0</v>
      </c>
      <c r="AA94" s="6">
        <f t="shared" si="2"/>
        <v>2</v>
      </c>
      <c r="AB94" s="6" t="str">
        <f>IFERROR(__xludf.DUMMYFUNCTION("
      Ifs( 
        ISBETWEEN(AA94, 0, 'Points-Table'!C$20, TRUE, False), 'Points-Table'!A$20,
        ISBETWEEN(AA94, 'Points-Table'!C$20, 'Points-Table'!C$21, TRUE, False), 'Points-Table'!A$21,
        ISBETWEEN(AA94, 'Points-Table'!C$22, 10000, TRUE, "&amp;"TRUE), 'Points-Table'!A$22,
        true, 
        0)
      "),"S")</f>
        <v>S</v>
      </c>
      <c r="AC94" s="6" t="s">
        <v>29</v>
      </c>
      <c r="AD94" s="6" t="s">
        <v>29</v>
      </c>
      <c r="AE94" s="6" t="s">
        <v>29</v>
      </c>
    </row>
    <row r="95" ht="24.75" customHeight="1">
      <c r="A95" s="6" t="s">
        <v>195</v>
      </c>
      <c r="B95" s="6" t="s">
        <v>258</v>
      </c>
      <c r="C95" s="6" t="s">
        <v>278</v>
      </c>
      <c r="D95" s="6"/>
      <c r="E95" s="6"/>
      <c r="F95" s="6"/>
      <c r="G95" s="6"/>
      <c r="H95" s="6"/>
      <c r="I95" s="6"/>
      <c r="J95" s="6"/>
      <c r="K95" s="6" t="s">
        <v>27</v>
      </c>
      <c r="L95" s="6" t="s">
        <v>28</v>
      </c>
      <c r="M95" s="6"/>
      <c r="N95" s="6"/>
      <c r="O95" s="6"/>
      <c r="P95" s="6"/>
      <c r="Q95" s="6"/>
      <c r="R95" s="6">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v>0</v>
      </c>
      <c r="S95" s="6"/>
      <c r="T95" s="6">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v>0</v>
      </c>
      <c r="U95" s="6">
        <v>3.0</v>
      </c>
      <c r="V95" s="6">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v>2</v>
      </c>
      <c r="W95" s="6">
        <v>0.0</v>
      </c>
      <c r="X95" s="6">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v>0</v>
      </c>
      <c r="Y95" s="6">
        <v>0.0</v>
      </c>
      <c r="Z95" s="6">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v>0</v>
      </c>
      <c r="AA95" s="6">
        <f t="shared" si="2"/>
        <v>2</v>
      </c>
      <c r="AB95" s="6" t="str">
        <f>IFERROR(__xludf.DUMMYFUNCTION("
      Ifs( 
        ISBETWEEN(AA95, 0, 'Points-Table'!C$20, TRUE, False), 'Points-Table'!A$20,
        ISBETWEEN(AA95, 'Points-Table'!C$20, 'Points-Table'!C$21, TRUE, False), 'Points-Table'!A$21,
        ISBETWEEN(AA95, 'Points-Table'!C$22, 10000, TRUE, "&amp;"TRUE), 'Points-Table'!A$22,
        true, 
        0)
      "),"S")</f>
        <v>S</v>
      </c>
      <c r="AC95" s="6" t="s">
        <v>29</v>
      </c>
      <c r="AD95" s="6" t="s">
        <v>29</v>
      </c>
      <c r="AE95" s="6" t="s">
        <v>29</v>
      </c>
    </row>
    <row r="96" ht="24.75" customHeight="1">
      <c r="A96" s="6" t="s">
        <v>195</v>
      </c>
      <c r="B96" s="6" t="s">
        <v>258</v>
      </c>
      <c r="C96" s="6" t="s">
        <v>279</v>
      </c>
      <c r="D96" s="6" t="s">
        <v>280</v>
      </c>
      <c r="E96" s="6"/>
      <c r="F96" s="6"/>
      <c r="G96" s="6"/>
      <c r="H96" s="6"/>
      <c r="I96" s="6"/>
      <c r="J96" s="6"/>
      <c r="K96" s="6" t="s">
        <v>27</v>
      </c>
      <c r="L96" s="6" t="s">
        <v>28</v>
      </c>
      <c r="M96" s="6"/>
      <c r="N96" s="6"/>
      <c r="O96" s="6"/>
      <c r="P96" s="6"/>
      <c r="Q96" s="6"/>
      <c r="R96" s="6">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v>0</v>
      </c>
      <c r="S96" s="6"/>
      <c r="T96" s="6">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v>0</v>
      </c>
      <c r="U96" s="6">
        <v>3.0</v>
      </c>
      <c r="V96" s="6">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v>2</v>
      </c>
      <c r="W96" s="6">
        <v>0.0</v>
      </c>
      <c r="X96" s="6">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v>0</v>
      </c>
      <c r="Y96" s="6">
        <v>0.0</v>
      </c>
      <c r="Z96" s="6">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v>0</v>
      </c>
      <c r="AA96" s="6">
        <f t="shared" si="2"/>
        <v>2</v>
      </c>
      <c r="AB96" s="6" t="str">
        <f>IFERROR(__xludf.DUMMYFUNCTION("
      Ifs( 
        ISBETWEEN(AA96, 0, 'Points-Table'!C$20, TRUE, False), 'Points-Table'!A$20,
        ISBETWEEN(AA96, 'Points-Table'!C$20, 'Points-Table'!C$21, TRUE, False), 'Points-Table'!A$21,
        ISBETWEEN(AA96, 'Points-Table'!C$22, 10000, TRUE, "&amp;"TRUE), 'Points-Table'!A$22,
        true, 
        0)
      "),"S")</f>
        <v>S</v>
      </c>
      <c r="AC96" s="6" t="s">
        <v>29</v>
      </c>
      <c r="AD96" s="6" t="s">
        <v>29</v>
      </c>
      <c r="AE96" s="6" t="s">
        <v>29</v>
      </c>
    </row>
    <row r="97" ht="24.75" customHeight="1">
      <c r="A97" s="6" t="s">
        <v>195</v>
      </c>
      <c r="B97" s="6" t="s">
        <v>258</v>
      </c>
      <c r="C97" s="6" t="s">
        <v>281</v>
      </c>
      <c r="D97" s="6" t="s">
        <v>282</v>
      </c>
      <c r="E97" s="6"/>
      <c r="F97" s="6"/>
      <c r="G97" s="6"/>
      <c r="H97" s="6"/>
      <c r="I97" s="6"/>
      <c r="J97" s="6"/>
      <c r="K97" s="6" t="s">
        <v>27</v>
      </c>
      <c r="L97" s="6" t="s">
        <v>28</v>
      </c>
      <c r="M97" s="6"/>
      <c r="N97" s="6"/>
      <c r="O97" s="6"/>
      <c r="P97" s="6"/>
      <c r="Q97" s="6"/>
      <c r="R97" s="6">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v>0</v>
      </c>
      <c r="S97" s="6"/>
      <c r="T97" s="6">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v>0</v>
      </c>
      <c r="U97" s="6">
        <v>5.0</v>
      </c>
      <c r="V97" s="6">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v>4</v>
      </c>
      <c r="W97" s="6">
        <v>5.0</v>
      </c>
      <c r="X97" s="6">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v>4</v>
      </c>
      <c r="Y97" s="6">
        <v>8.0</v>
      </c>
      <c r="Z97" s="6">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v>7</v>
      </c>
      <c r="AA97" s="6">
        <f t="shared" si="2"/>
        <v>15</v>
      </c>
      <c r="AB97" s="6" t="str">
        <f>IFERROR(__xludf.DUMMYFUNCTION("
      Ifs( 
        ISBETWEEN(AA97, 0, 'Points-Table'!C$20, TRUE, False), 'Points-Table'!A$20,
        ISBETWEEN(AA97, 'Points-Table'!C$20, 'Points-Table'!C$21, TRUE, False), 'Points-Table'!A$21,
        ISBETWEEN(AA97, 'Points-Table'!C$22, 10000, TRUE, "&amp;"TRUE), 'Points-Table'!A$22,
        true, 
        0)
      "),"S")</f>
        <v>S</v>
      </c>
      <c r="AC97" s="6" t="s">
        <v>29</v>
      </c>
      <c r="AD97" s="6" t="s">
        <v>29</v>
      </c>
      <c r="AE97" s="6" t="s">
        <v>29</v>
      </c>
    </row>
    <row r="98" ht="24.75" customHeight="1">
      <c r="A98" s="3" t="s">
        <v>283</v>
      </c>
      <c r="B98" s="3" t="s">
        <v>284</v>
      </c>
      <c r="C98" s="3" t="s">
        <v>285</v>
      </c>
      <c r="D98" s="3"/>
      <c r="E98" s="3"/>
      <c r="F98" s="3"/>
      <c r="G98" s="3"/>
      <c r="H98" s="3"/>
      <c r="I98" s="3"/>
      <c r="J98" s="3"/>
      <c r="K98" s="3" t="s">
        <v>27</v>
      </c>
      <c r="L98" s="3" t="s">
        <v>28</v>
      </c>
      <c r="M98" s="3"/>
      <c r="N98" s="3"/>
      <c r="O98" s="3"/>
      <c r="P98" s="3"/>
      <c r="Q98" s="4"/>
      <c r="R98" s="5">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v>0</v>
      </c>
      <c r="S98" s="4"/>
      <c r="T98" s="5">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v>0</v>
      </c>
      <c r="U98" s="4">
        <v>2.0</v>
      </c>
      <c r="V98" s="5">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v>1</v>
      </c>
      <c r="W98" s="4">
        <v>0.0</v>
      </c>
      <c r="X98" s="5">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v>0</v>
      </c>
      <c r="Y98" s="4">
        <v>0.0</v>
      </c>
      <c r="Z98" s="5">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v>0</v>
      </c>
      <c r="AA98" s="3">
        <f t="shared" si="2"/>
        <v>1</v>
      </c>
      <c r="AB98" s="3" t="str">
        <f>IFERROR(__xludf.DUMMYFUNCTION("
      Ifs( 
        ISBETWEEN(AA98, 0, 'Points-Table'!C$20, TRUE, False), 'Points-Table'!A$20,
        ISBETWEEN(AA98, 'Points-Table'!C$20, 'Points-Table'!C$21, TRUE, False), 'Points-Table'!A$21,
        ISBETWEEN(AA98, 'Points-Table'!C$22, 10000, TRUE, "&amp;"TRUE), 'Points-Table'!A$22,
        true, 
        0)
      "),"S")</f>
        <v>S</v>
      </c>
      <c r="AC98" s="3" t="s">
        <v>29</v>
      </c>
      <c r="AD98" s="3" t="s">
        <v>29</v>
      </c>
      <c r="AE98" s="3" t="s">
        <v>29</v>
      </c>
    </row>
    <row r="99" ht="24.75" customHeight="1">
      <c r="A99" s="3" t="s">
        <v>283</v>
      </c>
      <c r="B99" s="3" t="s">
        <v>284</v>
      </c>
      <c r="C99" s="3" t="s">
        <v>286</v>
      </c>
      <c r="D99" s="3"/>
      <c r="E99" s="3"/>
      <c r="F99" s="3"/>
      <c r="G99" s="3"/>
      <c r="H99" s="3"/>
      <c r="I99" s="3"/>
      <c r="J99" s="3"/>
      <c r="K99" s="3" t="s">
        <v>27</v>
      </c>
      <c r="L99" s="3" t="s">
        <v>28</v>
      </c>
      <c r="M99" s="3"/>
      <c r="N99" s="3"/>
      <c r="O99" s="3"/>
      <c r="P99" s="3"/>
      <c r="Q99" s="4"/>
      <c r="R99" s="5">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v>0</v>
      </c>
      <c r="S99" s="4"/>
      <c r="T99" s="5">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v>0</v>
      </c>
      <c r="U99" s="4">
        <v>2.0</v>
      </c>
      <c r="V99" s="5">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v>1</v>
      </c>
      <c r="W99" s="4">
        <v>2.0</v>
      </c>
      <c r="X99" s="5">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v>1</v>
      </c>
      <c r="Y99" s="4">
        <v>3.0</v>
      </c>
      <c r="Z99" s="5">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v>2</v>
      </c>
      <c r="AA99" s="3">
        <f t="shared" si="2"/>
        <v>4</v>
      </c>
      <c r="AB99" s="3" t="str">
        <f>IFERROR(__xludf.DUMMYFUNCTION("
      Ifs( 
        ISBETWEEN(AA99, 0, 'Points-Table'!C$20, TRUE, False), 'Points-Table'!A$20,
        ISBETWEEN(AA99, 'Points-Table'!C$20, 'Points-Table'!C$21, TRUE, False), 'Points-Table'!A$21,
        ISBETWEEN(AA99, 'Points-Table'!C$22, 10000, TRUE, "&amp;"TRUE), 'Points-Table'!A$22,
        true, 
        0)
      "),"S")</f>
        <v>S</v>
      </c>
      <c r="AC99" s="3" t="s">
        <v>29</v>
      </c>
      <c r="AD99" s="3" t="s">
        <v>29</v>
      </c>
      <c r="AE99" s="3" t="s">
        <v>29</v>
      </c>
    </row>
    <row r="100" ht="24.75" customHeight="1">
      <c r="A100" s="3" t="s">
        <v>283</v>
      </c>
      <c r="B100" s="3" t="s">
        <v>284</v>
      </c>
      <c r="C100" s="3" t="s">
        <v>287</v>
      </c>
      <c r="D100" s="3"/>
      <c r="E100" s="3"/>
      <c r="F100" s="3"/>
      <c r="G100" s="3"/>
      <c r="H100" s="3"/>
      <c r="I100" s="3"/>
      <c r="J100" s="3"/>
      <c r="K100" s="3" t="s">
        <v>27</v>
      </c>
      <c r="L100" s="3" t="s">
        <v>28</v>
      </c>
      <c r="M100" s="3"/>
      <c r="N100" s="3"/>
      <c r="O100" s="3"/>
      <c r="P100" s="3"/>
      <c r="Q100" s="4"/>
      <c r="R100" s="5">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v>0</v>
      </c>
      <c r="S100" s="4"/>
      <c r="T100" s="5">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v>0</v>
      </c>
      <c r="U100" s="4">
        <v>1.0</v>
      </c>
      <c r="V100" s="5">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v>0.5</v>
      </c>
      <c r="W100" s="4">
        <v>2.0</v>
      </c>
      <c r="X100" s="5">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v>1</v>
      </c>
      <c r="Y100" s="4">
        <v>5.0</v>
      </c>
      <c r="Z100" s="5">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v>4</v>
      </c>
      <c r="AA100" s="3">
        <f t="shared" si="2"/>
        <v>5.5</v>
      </c>
      <c r="AB100" s="3" t="str">
        <f>IFERROR(__xludf.DUMMYFUNCTION("
      Ifs( 
        ISBETWEEN(AA100, 0, 'Points-Table'!C$20, TRUE, False), 'Points-Table'!A$20,
        ISBETWEEN(AA100, 'Points-Table'!C$20, 'Points-Table'!C$21, TRUE, False), 'Points-Table'!A$21,
        ISBETWEEN(AA100, 'Points-Table'!C$22, 10000, TRU"&amp;"E, TRUE), 'Points-Table'!A$22,
        true, 
        0)
      "),"S")</f>
        <v>S</v>
      </c>
      <c r="AC100" s="3" t="s">
        <v>29</v>
      </c>
      <c r="AD100" s="3" t="s">
        <v>29</v>
      </c>
      <c r="AE100" s="3" t="s">
        <v>29</v>
      </c>
    </row>
    <row r="101" ht="24.75" customHeight="1">
      <c r="A101" s="3" t="s">
        <v>283</v>
      </c>
      <c r="B101" s="3" t="s">
        <v>284</v>
      </c>
      <c r="C101" s="3" t="s">
        <v>288</v>
      </c>
      <c r="D101" s="3"/>
      <c r="E101" s="3"/>
      <c r="F101" s="3"/>
      <c r="G101" s="3"/>
      <c r="H101" s="3"/>
      <c r="I101" s="3"/>
      <c r="J101" s="3"/>
      <c r="K101" s="3" t="s">
        <v>27</v>
      </c>
      <c r="L101" s="3" t="s">
        <v>28</v>
      </c>
      <c r="M101" s="3"/>
      <c r="N101" s="3"/>
      <c r="O101" s="3"/>
      <c r="P101" s="3"/>
      <c r="Q101" s="4"/>
      <c r="R101" s="5">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v>0</v>
      </c>
      <c r="S101" s="4"/>
      <c r="T101" s="5">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v>0</v>
      </c>
      <c r="U101" s="4">
        <v>3.0</v>
      </c>
      <c r="V101" s="5">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v>2</v>
      </c>
      <c r="W101" s="4">
        <v>1.0</v>
      </c>
      <c r="X101" s="5">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v>0.5</v>
      </c>
      <c r="Y101" s="4">
        <v>5.0</v>
      </c>
      <c r="Z101" s="5">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v>4</v>
      </c>
      <c r="AA101" s="3">
        <f t="shared" si="2"/>
        <v>6.5</v>
      </c>
      <c r="AB101" s="3" t="str">
        <f>IFERROR(__xludf.DUMMYFUNCTION("
      Ifs( 
        ISBETWEEN(AA101, 0, 'Points-Table'!C$20, TRUE, False), 'Points-Table'!A$20,
        ISBETWEEN(AA101, 'Points-Table'!C$20, 'Points-Table'!C$21, TRUE, False), 'Points-Table'!A$21,
        ISBETWEEN(AA101, 'Points-Table'!C$22, 10000, TRU"&amp;"E, TRUE), 'Points-Table'!A$22,
        true, 
        0)
      "),"S")</f>
        <v>S</v>
      </c>
      <c r="AC101" s="3" t="s">
        <v>29</v>
      </c>
      <c r="AD101" s="3" t="s">
        <v>29</v>
      </c>
      <c r="AE101" s="3" t="s">
        <v>29</v>
      </c>
    </row>
    <row r="102" ht="24.75" customHeight="1">
      <c r="A102" s="3" t="s">
        <v>283</v>
      </c>
      <c r="B102" s="3" t="s">
        <v>284</v>
      </c>
      <c r="C102" s="3" t="s">
        <v>289</v>
      </c>
      <c r="D102" s="3"/>
      <c r="E102" s="3"/>
      <c r="F102" s="3" t="s">
        <v>290</v>
      </c>
      <c r="G102" s="3"/>
      <c r="H102" s="3"/>
      <c r="I102" s="3"/>
      <c r="J102" s="3"/>
      <c r="K102" s="3" t="s">
        <v>27</v>
      </c>
      <c r="L102" s="3" t="s">
        <v>28</v>
      </c>
      <c r="M102" s="3"/>
      <c r="N102" s="3"/>
      <c r="O102" s="3"/>
      <c r="P102" s="3"/>
      <c r="Q102" s="4"/>
      <c r="R102" s="5">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v>0</v>
      </c>
      <c r="S102" s="4"/>
      <c r="T102" s="5">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v>0</v>
      </c>
      <c r="U102" s="4">
        <v>5.0</v>
      </c>
      <c r="V102" s="5">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v>4</v>
      </c>
      <c r="W102" s="4">
        <v>2.0</v>
      </c>
      <c r="X102" s="5">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v>1</v>
      </c>
      <c r="Y102" s="4">
        <v>5.0</v>
      </c>
      <c r="Z102" s="5">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v>4</v>
      </c>
      <c r="AA102" s="3">
        <f t="shared" si="2"/>
        <v>9</v>
      </c>
      <c r="AB102" s="3" t="str">
        <f>IFERROR(__xludf.DUMMYFUNCTION("
      Ifs( 
        ISBETWEEN(AA102, 0, 'Points-Table'!C$20, TRUE, False), 'Points-Table'!A$20,
        ISBETWEEN(AA102, 'Points-Table'!C$20, 'Points-Table'!C$21, TRUE, False), 'Points-Table'!A$21,
        ISBETWEEN(AA102, 'Points-Table'!C$22, 10000, TRU"&amp;"E, TRUE), 'Points-Table'!A$22,
        true, 
        0)
      "),"S")</f>
        <v>S</v>
      </c>
      <c r="AC102" s="3" t="s">
        <v>29</v>
      </c>
      <c r="AD102" s="3" t="s">
        <v>29</v>
      </c>
      <c r="AE102" s="3" t="s">
        <v>29</v>
      </c>
    </row>
    <row r="103" ht="24.75" customHeight="1">
      <c r="A103" s="6" t="s">
        <v>283</v>
      </c>
      <c r="B103" s="6" t="s">
        <v>284</v>
      </c>
      <c r="C103" s="6" t="s">
        <v>291</v>
      </c>
      <c r="D103" s="6"/>
      <c r="E103" s="6"/>
      <c r="F103" s="6"/>
      <c r="G103" s="6"/>
      <c r="H103" s="6"/>
      <c r="I103" s="6"/>
      <c r="J103" s="6"/>
      <c r="K103" s="6" t="s">
        <v>27</v>
      </c>
      <c r="L103" s="6" t="s">
        <v>28</v>
      </c>
      <c r="M103" s="6"/>
      <c r="N103" s="6"/>
      <c r="O103" s="6"/>
      <c r="P103" s="6"/>
      <c r="Q103" s="6"/>
      <c r="R103" s="6">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v>0</v>
      </c>
      <c r="S103" s="6"/>
      <c r="T103" s="6">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v>0</v>
      </c>
      <c r="U103" s="6">
        <v>8.0</v>
      </c>
      <c r="V103" s="6">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v>7</v>
      </c>
      <c r="W103" s="6">
        <v>0.0</v>
      </c>
      <c r="X103" s="6">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v>0</v>
      </c>
      <c r="Y103" s="6">
        <v>0.0</v>
      </c>
      <c r="Z103" s="6">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v>0</v>
      </c>
      <c r="AA103" s="6">
        <f t="shared" si="2"/>
        <v>7</v>
      </c>
      <c r="AB103" s="6" t="str">
        <f>IFERROR(__xludf.DUMMYFUNCTION("
      Ifs( 
        ISBETWEEN(AA103, 0, 'Points-Table'!C$20, TRUE, False), 'Points-Table'!A$20,
        ISBETWEEN(AA103, 'Points-Table'!C$20, 'Points-Table'!C$21, TRUE, False), 'Points-Table'!A$21,
        ISBETWEEN(AA103, 'Points-Table'!C$22, 10000, TRU"&amp;"E, TRUE), 'Points-Table'!A$22,
        true, 
        0)
      "),"S")</f>
        <v>S</v>
      </c>
      <c r="AC103" s="6" t="s">
        <v>29</v>
      </c>
      <c r="AD103" s="6" t="s">
        <v>29</v>
      </c>
      <c r="AE103" s="6" t="s">
        <v>29</v>
      </c>
    </row>
    <row r="104" ht="24.75" customHeight="1">
      <c r="A104" s="6" t="s">
        <v>283</v>
      </c>
      <c r="B104" s="6" t="s">
        <v>284</v>
      </c>
      <c r="C104" s="6" t="s">
        <v>292</v>
      </c>
      <c r="D104" s="6"/>
      <c r="E104" s="6"/>
      <c r="F104" s="6"/>
      <c r="G104" s="6"/>
      <c r="H104" s="6"/>
      <c r="I104" s="6"/>
      <c r="J104" s="6"/>
      <c r="K104" s="6" t="s">
        <v>27</v>
      </c>
      <c r="L104" s="6" t="s">
        <v>28</v>
      </c>
      <c r="M104" s="6"/>
      <c r="N104" s="6"/>
      <c r="O104" s="6"/>
      <c r="P104" s="6"/>
      <c r="Q104" s="6">
        <v>3.0</v>
      </c>
      <c r="R104" s="6">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v>2</v>
      </c>
      <c r="S104" s="6">
        <v>3.0</v>
      </c>
      <c r="T104" s="6">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v>2</v>
      </c>
      <c r="U104" s="6">
        <v>13.0</v>
      </c>
      <c r="V104" s="6">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v>11</v>
      </c>
      <c r="W104" s="6">
        <v>8.0</v>
      </c>
      <c r="X104" s="6">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v>7</v>
      </c>
      <c r="Y104" s="6">
        <v>13.0</v>
      </c>
      <c r="Z104" s="6">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v>11</v>
      </c>
      <c r="AA104" s="6">
        <f t="shared" si="2"/>
        <v>29</v>
      </c>
      <c r="AB104" s="6" t="str">
        <f>IFERROR(__xludf.DUMMYFUNCTION("
      Ifs( 
        ISBETWEEN(AA104, 0, 'Points-Table'!C$20, TRUE, False), 'Points-Table'!A$20,
        ISBETWEEN(AA104, 'Points-Table'!C$20, 'Points-Table'!C$21, TRUE, False), 'Points-Table'!A$21,
        ISBETWEEN(AA104, 'Points-Table'!C$22, 10000, TRU"&amp;"E, TRUE), 'Points-Table'!A$22,
        true, 
        0)
      "),"S")</f>
        <v>S</v>
      </c>
      <c r="AC104" s="6" t="s">
        <v>29</v>
      </c>
      <c r="AD104" s="6" t="s">
        <v>29</v>
      </c>
      <c r="AE104" s="6" t="s">
        <v>29</v>
      </c>
    </row>
    <row r="105" ht="24.75" customHeight="1">
      <c r="A105" s="3" t="s">
        <v>283</v>
      </c>
      <c r="B105" s="3" t="s">
        <v>293</v>
      </c>
      <c r="C105" s="3" t="s">
        <v>197</v>
      </c>
      <c r="D105" s="3"/>
      <c r="E105" s="3"/>
      <c r="F105" s="3"/>
      <c r="G105" s="3"/>
      <c r="H105" s="3"/>
      <c r="I105" s="3"/>
      <c r="J105" s="3"/>
      <c r="K105" s="3" t="s">
        <v>27</v>
      </c>
      <c r="L105" s="3" t="s">
        <v>216</v>
      </c>
      <c r="M105" s="3"/>
      <c r="N105" s="3"/>
      <c r="O105" s="3"/>
      <c r="P105" s="3"/>
      <c r="Q105" s="4">
        <v>0.0</v>
      </c>
      <c r="R105" s="5">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v>0</v>
      </c>
      <c r="S105" s="4">
        <v>0.0</v>
      </c>
      <c r="T105" s="5">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v>0</v>
      </c>
      <c r="U105" s="4">
        <v>3.0</v>
      </c>
      <c r="V105" s="5">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v>2</v>
      </c>
      <c r="W105" s="4">
        <v>2.0</v>
      </c>
      <c r="X105" s="5">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v>1</v>
      </c>
      <c r="Y105" s="4">
        <v>2.0</v>
      </c>
      <c r="Z105" s="5">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v>1</v>
      </c>
      <c r="AA105" s="3">
        <f t="shared" si="2"/>
        <v>4</v>
      </c>
      <c r="AB105" s="3" t="str">
        <f>IFERROR(__xludf.DUMMYFUNCTION("
      Ifs( 
        ISBETWEEN(AA105, 0, 'Points-Table'!C$20, TRUE, False), 'Points-Table'!A$20,
        ISBETWEEN(AA105, 'Points-Table'!C$20, 'Points-Table'!C$21, TRUE, False), 'Points-Table'!A$21,
        ISBETWEEN(AA105, 'Points-Table'!C$22, 10000, TRU"&amp;"E, TRUE), 'Points-Table'!A$22,
        true, 
        0)
      "),"S")</f>
        <v>S</v>
      </c>
      <c r="AC105" s="3" t="s">
        <v>29</v>
      </c>
      <c r="AD105" s="3" t="s">
        <v>29</v>
      </c>
      <c r="AE105" s="3" t="s">
        <v>29</v>
      </c>
    </row>
    <row r="106" ht="24.75" customHeight="1">
      <c r="A106" s="3" t="s">
        <v>283</v>
      </c>
      <c r="B106" s="3" t="s">
        <v>293</v>
      </c>
      <c r="C106" s="3" t="s">
        <v>217</v>
      </c>
      <c r="D106" s="3"/>
      <c r="E106" s="3"/>
      <c r="F106" s="3"/>
      <c r="G106" s="3"/>
      <c r="H106" s="3"/>
      <c r="I106" s="3"/>
      <c r="J106" s="3"/>
      <c r="K106" s="3" t="s">
        <v>27</v>
      </c>
      <c r="L106" s="3" t="s">
        <v>216</v>
      </c>
      <c r="M106" s="3"/>
      <c r="N106" s="3"/>
      <c r="O106" s="3"/>
      <c r="P106" s="3"/>
      <c r="Q106" s="4">
        <v>0.0</v>
      </c>
      <c r="R106" s="5">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v>0</v>
      </c>
      <c r="S106" s="4">
        <v>0.0</v>
      </c>
      <c r="T106" s="5">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v>0</v>
      </c>
      <c r="U106" s="4">
        <v>2.0</v>
      </c>
      <c r="V106" s="5">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v>1</v>
      </c>
      <c r="W106" s="4">
        <v>2.0</v>
      </c>
      <c r="X106" s="5">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v>1</v>
      </c>
      <c r="Y106" s="4">
        <v>1.0</v>
      </c>
      <c r="Z106" s="5">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v>0.5</v>
      </c>
      <c r="AA106" s="3">
        <f t="shared" si="2"/>
        <v>2.5</v>
      </c>
      <c r="AB106" s="3" t="str">
        <f>IFERROR(__xludf.DUMMYFUNCTION("
      Ifs( 
        ISBETWEEN(AA106, 0, 'Points-Table'!C$20, TRUE, False), 'Points-Table'!A$20,
        ISBETWEEN(AA106, 'Points-Table'!C$20, 'Points-Table'!C$21, TRUE, False), 'Points-Table'!A$21,
        ISBETWEEN(AA106, 'Points-Table'!C$22, 10000, TRU"&amp;"E, TRUE), 'Points-Table'!A$22,
        true, 
        0)
      "),"S")</f>
        <v>S</v>
      </c>
      <c r="AC106" s="3" t="s">
        <v>29</v>
      </c>
      <c r="AD106" s="3" t="s">
        <v>29</v>
      </c>
      <c r="AE106" s="3" t="s">
        <v>29</v>
      </c>
    </row>
    <row r="107" ht="24.75" customHeight="1">
      <c r="A107" s="3" t="s">
        <v>283</v>
      </c>
      <c r="B107" s="3" t="s">
        <v>293</v>
      </c>
      <c r="C107" s="3" t="s">
        <v>218</v>
      </c>
      <c r="D107" s="3"/>
      <c r="E107" s="3"/>
      <c r="F107" s="3"/>
      <c r="G107" s="3"/>
      <c r="H107" s="3"/>
      <c r="I107" s="3"/>
      <c r="J107" s="3"/>
      <c r="K107" s="3" t="s">
        <v>27</v>
      </c>
      <c r="L107" s="3" t="s">
        <v>216</v>
      </c>
      <c r="M107" s="3"/>
      <c r="N107" s="3"/>
      <c r="O107" s="3"/>
      <c r="P107" s="3"/>
      <c r="Q107" s="4">
        <v>0.0</v>
      </c>
      <c r="R107" s="5">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v>0</v>
      </c>
      <c r="S107" s="4">
        <v>0.0</v>
      </c>
      <c r="T107" s="5">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v>0</v>
      </c>
      <c r="U107" s="4">
        <v>2.0</v>
      </c>
      <c r="V107" s="5">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v>1</v>
      </c>
      <c r="W107" s="4">
        <v>2.0</v>
      </c>
      <c r="X107" s="5">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v>1</v>
      </c>
      <c r="Y107" s="4">
        <v>1.0</v>
      </c>
      <c r="Z107" s="5">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v>0.5</v>
      </c>
      <c r="AA107" s="3">
        <f t="shared" si="2"/>
        <v>2.5</v>
      </c>
      <c r="AB107" s="3" t="str">
        <f>IFERROR(__xludf.DUMMYFUNCTION("
      Ifs( 
        ISBETWEEN(AA107, 0, 'Points-Table'!C$20, TRUE, False), 'Points-Table'!A$20,
        ISBETWEEN(AA107, 'Points-Table'!C$20, 'Points-Table'!C$21, TRUE, False), 'Points-Table'!A$21,
        ISBETWEEN(AA107, 'Points-Table'!C$22, 10000, TRU"&amp;"E, TRUE), 'Points-Table'!A$22,
        true, 
        0)
      "),"S")</f>
        <v>S</v>
      </c>
      <c r="AC107" s="3" t="s">
        <v>29</v>
      </c>
      <c r="AD107" s="3" t="s">
        <v>29</v>
      </c>
      <c r="AE107" s="3" t="s">
        <v>29</v>
      </c>
    </row>
    <row r="108" ht="24.75" customHeight="1">
      <c r="A108" s="3" t="s">
        <v>283</v>
      </c>
      <c r="B108" s="3" t="s">
        <v>293</v>
      </c>
      <c r="C108" s="3" t="s">
        <v>219</v>
      </c>
      <c r="D108" s="3"/>
      <c r="E108" s="3"/>
      <c r="F108" s="3"/>
      <c r="G108" s="3"/>
      <c r="H108" s="3"/>
      <c r="I108" s="3"/>
      <c r="J108" s="3"/>
      <c r="K108" s="3" t="s">
        <v>27</v>
      </c>
      <c r="L108" s="3" t="s">
        <v>28</v>
      </c>
      <c r="M108" s="3"/>
      <c r="N108" s="3"/>
      <c r="O108" s="3"/>
      <c r="P108" s="3"/>
      <c r="Q108" s="4">
        <v>3.0</v>
      </c>
      <c r="R108" s="5">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v>2</v>
      </c>
      <c r="S108" s="4">
        <v>3.0</v>
      </c>
      <c r="T108" s="5">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v>2</v>
      </c>
      <c r="U108" s="4">
        <v>5.0</v>
      </c>
      <c r="V108" s="5">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v>4</v>
      </c>
      <c r="W108" s="4">
        <v>3.0</v>
      </c>
      <c r="X108" s="5">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v>2</v>
      </c>
      <c r="Y108" s="4">
        <v>5.0</v>
      </c>
      <c r="Z108" s="5">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v>4</v>
      </c>
      <c r="AA108" s="3">
        <f t="shared" si="2"/>
        <v>10</v>
      </c>
      <c r="AB108" s="3" t="str">
        <f>IFERROR(__xludf.DUMMYFUNCTION("
      Ifs( 
        ISBETWEEN(AA108, 0, 'Points-Table'!C$20, TRUE, False), 'Points-Table'!A$20,
        ISBETWEEN(AA108, 'Points-Table'!C$20, 'Points-Table'!C$21, TRUE, False), 'Points-Table'!A$21,
        ISBETWEEN(AA108, 'Points-Table'!C$22, 10000, TRU"&amp;"E, TRUE), 'Points-Table'!A$22,
        true, 
        0)
      "),"S")</f>
        <v>S</v>
      </c>
      <c r="AC108" s="3" t="s">
        <v>29</v>
      </c>
      <c r="AD108" s="3" t="s">
        <v>29</v>
      </c>
      <c r="AE108" s="3" t="s">
        <v>29</v>
      </c>
    </row>
    <row r="109" ht="24.75" customHeight="1">
      <c r="A109" s="3" t="s">
        <v>283</v>
      </c>
      <c r="B109" s="3" t="s">
        <v>294</v>
      </c>
      <c r="C109" s="3" t="s">
        <v>295</v>
      </c>
      <c r="D109" s="3"/>
      <c r="E109" s="3"/>
      <c r="F109" s="3"/>
      <c r="G109" s="3"/>
      <c r="H109" s="3"/>
      <c r="I109" s="3"/>
      <c r="J109" s="3"/>
      <c r="K109" s="3" t="s">
        <v>27</v>
      </c>
      <c r="L109" s="3" t="s">
        <v>28</v>
      </c>
      <c r="M109" s="3"/>
      <c r="N109" s="3"/>
      <c r="O109" s="3"/>
      <c r="P109" s="3"/>
      <c r="Q109" s="4"/>
      <c r="R109" s="5">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v>0</v>
      </c>
      <c r="S109" s="4"/>
      <c r="T109" s="5">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v>0</v>
      </c>
      <c r="U109" s="4">
        <v>3.0</v>
      </c>
      <c r="V109" s="5">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v>2</v>
      </c>
      <c r="W109" s="4">
        <v>3.0</v>
      </c>
      <c r="X109" s="5">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v>2</v>
      </c>
      <c r="Y109" s="4">
        <v>8.0</v>
      </c>
      <c r="Z109" s="5">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v>7</v>
      </c>
      <c r="AA109" s="3">
        <f t="shared" si="2"/>
        <v>11</v>
      </c>
      <c r="AB109" s="3" t="str">
        <f>IFERROR(__xludf.DUMMYFUNCTION("
      Ifs( 
        ISBETWEEN(AA109, 0, 'Points-Table'!C$20, TRUE, False), 'Points-Table'!A$20,
        ISBETWEEN(AA109, 'Points-Table'!C$20, 'Points-Table'!C$21, TRUE, False), 'Points-Table'!A$21,
        ISBETWEEN(AA109, 'Points-Table'!C$22, 10000, TRU"&amp;"E, TRUE), 'Points-Table'!A$22,
        true, 
        0)
      "),"S")</f>
        <v>S</v>
      </c>
      <c r="AC109" s="3" t="s">
        <v>29</v>
      </c>
      <c r="AD109" s="3" t="s">
        <v>29</v>
      </c>
      <c r="AE109" s="3" t="s">
        <v>29</v>
      </c>
    </row>
    <row r="110" ht="24.75" customHeight="1">
      <c r="A110" s="3" t="s">
        <v>283</v>
      </c>
      <c r="B110" s="3" t="s">
        <v>294</v>
      </c>
      <c r="C110" s="3" t="s">
        <v>296</v>
      </c>
      <c r="D110" s="3"/>
      <c r="E110" s="3"/>
      <c r="F110" s="3"/>
      <c r="G110" s="3"/>
      <c r="H110" s="3"/>
      <c r="I110" s="3"/>
      <c r="J110" s="3"/>
      <c r="K110" s="3" t="s">
        <v>27</v>
      </c>
      <c r="L110" s="3" t="s">
        <v>28</v>
      </c>
      <c r="M110" s="3"/>
      <c r="N110" s="3"/>
      <c r="O110" s="3"/>
      <c r="P110" s="3"/>
      <c r="Q110" s="4"/>
      <c r="R110" s="5">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v>0</v>
      </c>
      <c r="S110" s="4"/>
      <c r="T110" s="5">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v>0</v>
      </c>
      <c r="U110" s="4">
        <v>3.0</v>
      </c>
      <c r="V110" s="5">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v>2</v>
      </c>
      <c r="W110" s="4">
        <v>1.0</v>
      </c>
      <c r="X110" s="5">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v>0.5</v>
      </c>
      <c r="Y110" s="4">
        <v>5.0</v>
      </c>
      <c r="Z110" s="5">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v>4</v>
      </c>
      <c r="AA110" s="3">
        <f t="shared" si="2"/>
        <v>6.5</v>
      </c>
      <c r="AB110" s="3" t="str">
        <f>IFERROR(__xludf.DUMMYFUNCTION("
      Ifs( 
        ISBETWEEN(AA110, 0, 'Points-Table'!C$20, TRUE, False), 'Points-Table'!A$20,
        ISBETWEEN(AA110, 'Points-Table'!C$20, 'Points-Table'!C$21, TRUE, False), 'Points-Table'!A$21,
        ISBETWEEN(AA110, 'Points-Table'!C$22, 10000, TRU"&amp;"E, TRUE), 'Points-Table'!A$22,
        true, 
        0)
      "),"S")</f>
        <v>S</v>
      </c>
      <c r="AC110" s="3" t="s">
        <v>29</v>
      </c>
      <c r="AD110" s="3" t="s">
        <v>29</v>
      </c>
      <c r="AE110" s="3" t="s">
        <v>29</v>
      </c>
    </row>
    <row r="111" ht="24.75" customHeight="1">
      <c r="A111" s="3" t="s">
        <v>283</v>
      </c>
      <c r="B111" s="3" t="s">
        <v>294</v>
      </c>
      <c r="C111" s="3" t="s">
        <v>297</v>
      </c>
      <c r="D111" s="3"/>
      <c r="E111" s="3"/>
      <c r="F111" s="3" t="s">
        <v>298</v>
      </c>
      <c r="G111" s="3"/>
      <c r="H111" s="3"/>
      <c r="I111" s="3"/>
      <c r="J111" s="3"/>
      <c r="K111" s="3" t="s">
        <v>27</v>
      </c>
      <c r="L111" s="3" t="s">
        <v>28</v>
      </c>
      <c r="M111" s="3"/>
      <c r="N111" s="3"/>
      <c r="O111" s="3"/>
      <c r="P111" s="3"/>
      <c r="Q111" s="4"/>
      <c r="R111" s="5">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v>0</v>
      </c>
      <c r="S111" s="4"/>
      <c r="T111" s="5">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v>0</v>
      </c>
      <c r="U111" s="4">
        <v>2.0</v>
      </c>
      <c r="V111" s="5">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v>1</v>
      </c>
      <c r="W111" s="4">
        <v>1.0</v>
      </c>
      <c r="X111" s="5">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v>0.5</v>
      </c>
      <c r="Y111" s="4">
        <v>5.0</v>
      </c>
      <c r="Z111" s="5">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v>4</v>
      </c>
      <c r="AA111" s="3">
        <f t="shared" si="2"/>
        <v>5.5</v>
      </c>
      <c r="AB111" s="3" t="str">
        <f>IFERROR(__xludf.DUMMYFUNCTION("
      Ifs( 
        ISBETWEEN(AA111, 0, 'Points-Table'!C$20, TRUE, False), 'Points-Table'!A$20,
        ISBETWEEN(AA111, 'Points-Table'!C$20, 'Points-Table'!C$21, TRUE, False), 'Points-Table'!A$21,
        ISBETWEEN(AA111, 'Points-Table'!C$22, 10000, TRU"&amp;"E, TRUE), 'Points-Table'!A$22,
        true, 
        0)
      "),"S")</f>
        <v>S</v>
      </c>
      <c r="AC111" s="3" t="s">
        <v>29</v>
      </c>
      <c r="AD111" s="3" t="s">
        <v>29</v>
      </c>
      <c r="AE111" s="3" t="s">
        <v>29</v>
      </c>
    </row>
    <row r="112" ht="24.75" customHeight="1">
      <c r="A112" s="6" t="s">
        <v>283</v>
      </c>
      <c r="B112" s="6" t="s">
        <v>294</v>
      </c>
      <c r="C112" s="6" t="s">
        <v>299</v>
      </c>
      <c r="D112" s="6"/>
      <c r="E112" s="6"/>
      <c r="F112" s="6"/>
      <c r="G112" s="6"/>
      <c r="H112" s="6"/>
      <c r="I112" s="6"/>
      <c r="J112" s="6"/>
      <c r="K112" s="6" t="s">
        <v>27</v>
      </c>
      <c r="L112" s="6" t="s">
        <v>28</v>
      </c>
      <c r="M112" s="6"/>
      <c r="N112" s="6"/>
      <c r="O112" s="6"/>
      <c r="P112" s="6"/>
      <c r="Q112" s="6">
        <v>1.0</v>
      </c>
      <c r="R112" s="6">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v>0.5</v>
      </c>
      <c r="S112" s="6">
        <v>1.0</v>
      </c>
      <c r="T112" s="6">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v>0.5</v>
      </c>
      <c r="U112" s="6">
        <v>5.0</v>
      </c>
      <c r="V112" s="6">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v>4</v>
      </c>
      <c r="W112" s="6">
        <v>3.0</v>
      </c>
      <c r="X112" s="6">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v>2</v>
      </c>
      <c r="Y112" s="6">
        <v>5.0</v>
      </c>
      <c r="Z112" s="6">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v>4</v>
      </c>
      <c r="AA112" s="6">
        <f t="shared" si="2"/>
        <v>10</v>
      </c>
      <c r="AB112" s="6" t="str">
        <f>IFERROR(__xludf.DUMMYFUNCTION("
      Ifs( 
        ISBETWEEN(AA112, 0, 'Points-Table'!C$20, TRUE, False), 'Points-Table'!A$20,
        ISBETWEEN(AA112, 'Points-Table'!C$20, 'Points-Table'!C$21, TRUE, False), 'Points-Table'!A$21,
        ISBETWEEN(AA112, 'Points-Table'!C$22, 10000, TRU"&amp;"E, TRUE), 'Points-Table'!A$22,
        true, 
        0)
      "),"S")</f>
        <v>S</v>
      </c>
      <c r="AC112" s="6" t="s">
        <v>29</v>
      </c>
      <c r="AD112" s="6" t="s">
        <v>29</v>
      </c>
      <c r="AE112" s="6" t="s">
        <v>29</v>
      </c>
    </row>
    <row r="113" ht="24.75" customHeight="1">
      <c r="A113" s="6" t="s">
        <v>283</v>
      </c>
      <c r="B113" s="6" t="s">
        <v>294</v>
      </c>
      <c r="C113" s="6" t="s">
        <v>233</v>
      </c>
      <c r="D113" s="6"/>
      <c r="E113" s="6"/>
      <c r="F113" s="6"/>
      <c r="G113" s="6"/>
      <c r="H113" s="6"/>
      <c r="I113" s="6"/>
      <c r="J113" s="6"/>
      <c r="K113" s="6" t="s">
        <v>27</v>
      </c>
      <c r="L113" s="6" t="s">
        <v>28</v>
      </c>
      <c r="M113" s="6"/>
      <c r="N113" s="6"/>
      <c r="O113" s="6"/>
      <c r="P113" s="6"/>
      <c r="Q113" s="6">
        <v>1.0</v>
      </c>
      <c r="R113" s="6">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v>0.5</v>
      </c>
      <c r="S113" s="6">
        <v>1.0</v>
      </c>
      <c r="T113" s="6">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v>0.5</v>
      </c>
      <c r="U113" s="6">
        <v>3.0</v>
      </c>
      <c r="V113" s="6">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v>2</v>
      </c>
      <c r="W113" s="6">
        <v>2.0</v>
      </c>
      <c r="X113" s="6">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v>1</v>
      </c>
      <c r="Y113" s="6">
        <v>3.0</v>
      </c>
      <c r="Z113" s="6">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v>2</v>
      </c>
      <c r="AA113" s="6">
        <f t="shared" si="2"/>
        <v>5</v>
      </c>
      <c r="AB113" s="6" t="str">
        <f>IFERROR(__xludf.DUMMYFUNCTION("
      Ifs( 
        ISBETWEEN(AA113, 0, 'Points-Table'!C$20, TRUE, False), 'Points-Table'!A$20,
        ISBETWEEN(AA113, 'Points-Table'!C$20, 'Points-Table'!C$21, TRUE, False), 'Points-Table'!A$21,
        ISBETWEEN(AA113, 'Points-Table'!C$22, 10000, TRU"&amp;"E, TRUE), 'Points-Table'!A$22,
        true, 
        0)
      "),"S")</f>
        <v>S</v>
      </c>
      <c r="AC113" s="6" t="s">
        <v>29</v>
      </c>
      <c r="AD113" s="6" t="s">
        <v>29</v>
      </c>
      <c r="AE113" s="6" t="s">
        <v>29</v>
      </c>
    </row>
    <row r="114" ht="24.75" customHeight="1">
      <c r="A114" s="6" t="s">
        <v>283</v>
      </c>
      <c r="B114" s="6" t="s">
        <v>294</v>
      </c>
      <c r="C114" s="6" t="s">
        <v>300</v>
      </c>
      <c r="D114" s="6"/>
      <c r="E114" s="6"/>
      <c r="F114" s="6"/>
      <c r="G114" s="6"/>
      <c r="H114" s="6"/>
      <c r="I114" s="6"/>
      <c r="J114" s="6"/>
      <c r="K114" s="6" t="s">
        <v>27</v>
      </c>
      <c r="L114" s="6" t="s">
        <v>28</v>
      </c>
      <c r="M114" s="6"/>
      <c r="N114" s="6"/>
      <c r="O114" s="6"/>
      <c r="P114" s="6"/>
      <c r="Q114" s="6">
        <v>2.0</v>
      </c>
      <c r="R114" s="6">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v>1</v>
      </c>
      <c r="S114" s="6">
        <v>2.0</v>
      </c>
      <c r="T114" s="6">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v>1</v>
      </c>
      <c r="U114" s="6">
        <v>3.0</v>
      </c>
      <c r="V114" s="6">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v>2</v>
      </c>
      <c r="W114" s="6">
        <v>2.0</v>
      </c>
      <c r="X114" s="6">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v>1</v>
      </c>
      <c r="Y114" s="6">
        <v>5.0</v>
      </c>
      <c r="Z114" s="6">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v>4</v>
      </c>
      <c r="AA114" s="6">
        <f t="shared" si="2"/>
        <v>7</v>
      </c>
      <c r="AB114" s="6" t="str">
        <f>IFERROR(__xludf.DUMMYFUNCTION("
      Ifs( 
        ISBETWEEN(AA114, 0, 'Points-Table'!C$20, TRUE, False), 'Points-Table'!A$20,
        ISBETWEEN(AA114, 'Points-Table'!C$20, 'Points-Table'!C$21, TRUE, False), 'Points-Table'!A$21,
        ISBETWEEN(AA114, 'Points-Table'!C$22, 10000, TRU"&amp;"E, TRUE), 'Points-Table'!A$22,
        true, 
        0)
      "),"S")</f>
        <v>S</v>
      </c>
      <c r="AC114" s="6" t="s">
        <v>29</v>
      </c>
      <c r="AD114" s="6" t="s">
        <v>29</v>
      </c>
      <c r="AE114" s="6" t="s">
        <v>29</v>
      </c>
    </row>
    <row r="115" ht="24.75" customHeight="1">
      <c r="A115" s="3" t="s">
        <v>283</v>
      </c>
      <c r="B115" s="3" t="s">
        <v>301</v>
      </c>
      <c r="C115" s="3"/>
      <c r="D115" s="3"/>
      <c r="E115" s="3"/>
      <c r="F115" s="3"/>
      <c r="G115" s="3"/>
      <c r="H115" s="3"/>
      <c r="I115" s="3"/>
      <c r="J115" s="3"/>
      <c r="K115" s="3" t="s">
        <v>27</v>
      </c>
      <c r="L115" s="3" t="s">
        <v>216</v>
      </c>
      <c r="M115" s="3"/>
      <c r="N115" s="3"/>
      <c r="O115" s="3"/>
      <c r="P115" s="3"/>
      <c r="Q115" s="4">
        <v>0.0</v>
      </c>
      <c r="R115" s="5">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v>0</v>
      </c>
      <c r="S115" s="4">
        <v>0.0</v>
      </c>
      <c r="T115" s="5">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v>0</v>
      </c>
      <c r="U115" s="4">
        <v>2.0</v>
      </c>
      <c r="V115" s="5">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v>1</v>
      </c>
      <c r="W115" s="4">
        <v>1.0</v>
      </c>
      <c r="X115" s="5">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v>0.5</v>
      </c>
      <c r="Y115" s="4">
        <v>2.0</v>
      </c>
      <c r="Z115" s="5">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v>1</v>
      </c>
      <c r="AA115" s="3">
        <f t="shared" si="2"/>
        <v>2.5</v>
      </c>
      <c r="AB115" s="3" t="str">
        <f>IFERROR(__xludf.DUMMYFUNCTION("
      Ifs( 
        ISBETWEEN(AA115, 0, 'Points-Table'!C$20, TRUE, False), 'Points-Table'!A$20,
        ISBETWEEN(AA115, 'Points-Table'!C$20, 'Points-Table'!C$21, TRUE, False), 'Points-Table'!A$21,
        ISBETWEEN(AA115, 'Points-Table'!C$22, 10000, TRU"&amp;"E, TRUE), 'Points-Table'!A$22,
        true, 
        0)
      "),"S")</f>
        <v>S</v>
      </c>
      <c r="AC115" s="3" t="s">
        <v>29</v>
      </c>
      <c r="AD115" s="3" t="s">
        <v>29</v>
      </c>
      <c r="AE115" s="3" t="s">
        <v>29</v>
      </c>
    </row>
    <row r="116" ht="24.75" customHeight="1">
      <c r="A116" s="3" t="s">
        <v>283</v>
      </c>
      <c r="B116" s="3" t="s">
        <v>302</v>
      </c>
      <c r="C116" s="3"/>
      <c r="D116" s="3"/>
      <c r="E116" s="3"/>
      <c r="F116" s="3"/>
      <c r="G116" s="3"/>
      <c r="H116" s="3"/>
      <c r="I116" s="3"/>
      <c r="J116" s="3"/>
      <c r="K116" s="3" t="s">
        <v>27</v>
      </c>
      <c r="L116" s="3" t="s">
        <v>216</v>
      </c>
      <c r="M116" s="3"/>
      <c r="N116" s="3"/>
      <c r="O116" s="3"/>
      <c r="P116" s="3"/>
      <c r="Q116" s="4">
        <v>0.0</v>
      </c>
      <c r="R116" s="5">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v>0</v>
      </c>
      <c r="S116" s="4">
        <v>0.0</v>
      </c>
      <c r="T116" s="5">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v>0</v>
      </c>
      <c r="U116" s="4">
        <v>1.0</v>
      </c>
      <c r="V116" s="5">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v>0.5</v>
      </c>
      <c r="W116" s="4">
        <v>1.0</v>
      </c>
      <c r="X116" s="5">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v>0.5</v>
      </c>
      <c r="Y116" s="4">
        <v>3.0</v>
      </c>
      <c r="Z116" s="5">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v>2</v>
      </c>
      <c r="AA116" s="3">
        <f t="shared" si="2"/>
        <v>3</v>
      </c>
      <c r="AB116" s="3" t="str">
        <f>IFERROR(__xludf.DUMMYFUNCTION("
      Ifs( 
        ISBETWEEN(AA116, 0, 'Points-Table'!C$20, TRUE, False), 'Points-Table'!A$20,
        ISBETWEEN(AA116, 'Points-Table'!C$20, 'Points-Table'!C$21, TRUE, False), 'Points-Table'!A$21,
        ISBETWEEN(AA116, 'Points-Table'!C$22, 10000, TRU"&amp;"E, TRUE), 'Points-Table'!A$22,
        true, 
        0)
      "),"S")</f>
        <v>S</v>
      </c>
      <c r="AC116" s="3" t="s">
        <v>29</v>
      </c>
      <c r="AD116" s="3" t="s">
        <v>29</v>
      </c>
      <c r="AE116" s="3" t="s">
        <v>29</v>
      </c>
    </row>
    <row r="117" ht="24.75" customHeight="1">
      <c r="A117" s="6" t="s">
        <v>283</v>
      </c>
      <c r="B117" s="6" t="s">
        <v>303</v>
      </c>
      <c r="C117" s="6"/>
      <c r="D117" s="6"/>
      <c r="E117" s="6"/>
      <c r="F117" s="6"/>
      <c r="G117" s="6"/>
      <c r="H117" s="6"/>
      <c r="I117" s="6"/>
      <c r="J117" s="6"/>
      <c r="K117" s="6" t="s">
        <v>27</v>
      </c>
      <c r="L117" s="6" t="s">
        <v>216</v>
      </c>
      <c r="M117" s="6"/>
      <c r="N117" s="6"/>
      <c r="O117" s="6"/>
      <c r="P117" s="6"/>
      <c r="Q117" s="6">
        <v>0.0</v>
      </c>
      <c r="R117" s="6">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v>0</v>
      </c>
      <c r="S117" s="6">
        <v>0.0</v>
      </c>
      <c r="T117" s="6">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v>0</v>
      </c>
      <c r="U117" s="6">
        <v>1.0</v>
      </c>
      <c r="V117" s="6">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v>0.5</v>
      </c>
      <c r="W117" s="6">
        <v>1.0</v>
      </c>
      <c r="X117" s="6">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v>0.5</v>
      </c>
      <c r="Y117" s="6">
        <v>1.0</v>
      </c>
      <c r="Z117" s="6">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v>0.5</v>
      </c>
      <c r="AA117" s="6">
        <f t="shared" si="2"/>
        <v>1.5</v>
      </c>
      <c r="AB117" s="6" t="str">
        <f>IFERROR(__xludf.DUMMYFUNCTION("
      Ifs( 
        ISBETWEEN(AA117, 0, 'Points-Table'!C$20, TRUE, False), 'Points-Table'!A$20,
        ISBETWEEN(AA117, 'Points-Table'!C$20, 'Points-Table'!C$21, TRUE, False), 'Points-Table'!A$21,
        ISBETWEEN(AA117, 'Points-Table'!C$22, 10000, TRU"&amp;"E, TRUE), 'Points-Table'!A$22,
        true, 
        0)
      "),"S")</f>
        <v>S</v>
      </c>
      <c r="AC117" s="6" t="s">
        <v>29</v>
      </c>
      <c r="AD117" s="6" t="s">
        <v>29</v>
      </c>
      <c r="AE117" s="6" t="s">
        <v>29</v>
      </c>
    </row>
    <row r="118" ht="24.75" customHeight="1">
      <c r="A118" s="3" t="s">
        <v>304</v>
      </c>
      <c r="B118" s="3" t="s">
        <v>305</v>
      </c>
      <c r="C118" s="3"/>
      <c r="D118" s="3"/>
      <c r="E118" s="3"/>
      <c r="F118" s="3"/>
      <c r="G118" s="3"/>
      <c r="H118" s="3"/>
      <c r="I118" s="3"/>
      <c r="J118" s="3"/>
      <c r="K118" s="3" t="s">
        <v>27</v>
      </c>
      <c r="L118" s="3" t="s">
        <v>28</v>
      </c>
      <c r="M118" s="3"/>
      <c r="N118" s="3"/>
      <c r="O118" s="3"/>
      <c r="P118" s="3"/>
      <c r="Q118" s="4"/>
      <c r="R118" s="5">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v>0</v>
      </c>
      <c r="S118" s="4"/>
      <c r="T118" s="5">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v>0</v>
      </c>
      <c r="U118" s="4">
        <v>3.0</v>
      </c>
      <c r="V118" s="5">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v>2</v>
      </c>
      <c r="W118" s="4">
        <v>5.0</v>
      </c>
      <c r="X118" s="5">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v>4</v>
      </c>
      <c r="Y118" s="4">
        <v>8.0</v>
      </c>
      <c r="Z118" s="5">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v>7</v>
      </c>
      <c r="AA118" s="3">
        <f t="shared" si="2"/>
        <v>13</v>
      </c>
      <c r="AB118" s="3" t="str">
        <f>IFERROR(__xludf.DUMMYFUNCTION("
      Ifs( 
        ISBETWEEN(AA118, 0, 'Points-Table'!C$20, TRUE, False), 'Points-Table'!A$20,
        ISBETWEEN(AA118, 'Points-Table'!C$20, 'Points-Table'!C$21, TRUE, False), 'Points-Table'!A$21,
        ISBETWEEN(AA118, 'Points-Table'!C$22, 10000, TRU"&amp;"E, TRUE), 'Points-Table'!A$22,
        true, 
        0)
      "),"S")</f>
        <v>S</v>
      </c>
      <c r="AC118" s="3" t="s">
        <v>29</v>
      </c>
      <c r="AD118" s="3" t="s">
        <v>29</v>
      </c>
      <c r="AE118" s="3" t="s">
        <v>29</v>
      </c>
    </row>
    <row r="119" ht="24.75" customHeight="1">
      <c r="A119" s="3" t="s">
        <v>304</v>
      </c>
      <c r="B119" s="3" t="s">
        <v>306</v>
      </c>
      <c r="C119" s="3" t="s">
        <v>307</v>
      </c>
      <c r="D119" s="3"/>
      <c r="E119" s="3"/>
      <c r="F119" s="3" t="s">
        <v>308</v>
      </c>
      <c r="G119" s="3"/>
      <c r="H119" s="3"/>
      <c r="I119" s="3"/>
      <c r="J119" s="3"/>
      <c r="K119" s="3" t="s">
        <v>27</v>
      </c>
      <c r="L119" s="3" t="s">
        <v>28</v>
      </c>
      <c r="M119" s="3"/>
      <c r="N119" s="3"/>
      <c r="O119" s="3"/>
      <c r="P119" s="3"/>
      <c r="Q119" s="4"/>
      <c r="R119" s="5">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v>0</v>
      </c>
      <c r="S119" s="4"/>
      <c r="T119" s="5">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v>0</v>
      </c>
      <c r="U119" s="4">
        <v>3.0</v>
      </c>
      <c r="V119" s="5">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v>2</v>
      </c>
      <c r="W119" s="4">
        <v>1.0</v>
      </c>
      <c r="X119" s="5">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v>0.5</v>
      </c>
      <c r="Y119" s="4">
        <v>5.0</v>
      </c>
      <c r="Z119" s="5">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v>4</v>
      </c>
      <c r="AA119" s="3">
        <f t="shared" si="2"/>
        <v>6.5</v>
      </c>
      <c r="AB119" s="3" t="str">
        <f>IFERROR(__xludf.DUMMYFUNCTION("
      Ifs( 
        ISBETWEEN(AA119, 0, 'Points-Table'!C$20, TRUE, False), 'Points-Table'!A$20,
        ISBETWEEN(AA119, 'Points-Table'!C$20, 'Points-Table'!C$21, TRUE, False), 'Points-Table'!A$21,
        ISBETWEEN(AA119, 'Points-Table'!C$22, 10000, TRU"&amp;"E, TRUE), 'Points-Table'!A$22,
        true, 
        0)
      "),"S")</f>
        <v>S</v>
      </c>
      <c r="AC119" s="3" t="s">
        <v>29</v>
      </c>
      <c r="AD119" s="3" t="s">
        <v>29</v>
      </c>
      <c r="AE119" s="3" t="s">
        <v>29</v>
      </c>
    </row>
    <row r="120" ht="24.75" customHeight="1">
      <c r="A120" s="3" t="s">
        <v>304</v>
      </c>
      <c r="B120" s="3" t="s">
        <v>306</v>
      </c>
      <c r="C120" s="3" t="s">
        <v>243</v>
      </c>
      <c r="D120" s="3"/>
      <c r="E120" s="3"/>
      <c r="F120" s="3"/>
      <c r="G120" s="3"/>
      <c r="H120" s="3"/>
      <c r="I120" s="3"/>
      <c r="J120" s="3"/>
      <c r="K120" s="3" t="s">
        <v>27</v>
      </c>
      <c r="L120" s="3" t="s">
        <v>28</v>
      </c>
      <c r="M120" s="3"/>
      <c r="N120" s="3"/>
      <c r="O120" s="3"/>
      <c r="P120" s="3"/>
      <c r="Q120" s="4"/>
      <c r="R120" s="5">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v>0</v>
      </c>
      <c r="S120" s="4"/>
      <c r="T120" s="5">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v>0</v>
      </c>
      <c r="U120" s="4">
        <v>3.0</v>
      </c>
      <c r="V120" s="5">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v>2</v>
      </c>
      <c r="W120" s="4">
        <v>1.0</v>
      </c>
      <c r="X120" s="5">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v>0.5</v>
      </c>
      <c r="Y120" s="4">
        <v>3.0</v>
      </c>
      <c r="Z120" s="5">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v>2</v>
      </c>
      <c r="AA120" s="3">
        <f t="shared" si="2"/>
        <v>4.5</v>
      </c>
      <c r="AB120" s="3" t="str">
        <f>IFERROR(__xludf.DUMMYFUNCTION("
      Ifs( 
        ISBETWEEN(AA120, 0, 'Points-Table'!C$20, TRUE, False), 'Points-Table'!A$20,
        ISBETWEEN(AA120, 'Points-Table'!C$20, 'Points-Table'!C$21, TRUE, False), 'Points-Table'!A$21,
        ISBETWEEN(AA120, 'Points-Table'!C$22, 10000, TRU"&amp;"E, TRUE), 'Points-Table'!A$22,
        true, 
        0)
      "),"S")</f>
        <v>S</v>
      </c>
      <c r="AC120" s="3" t="s">
        <v>29</v>
      </c>
      <c r="AD120" s="3" t="s">
        <v>29</v>
      </c>
      <c r="AE120" s="3" t="s">
        <v>29</v>
      </c>
    </row>
    <row r="121" ht="24.75" customHeight="1">
      <c r="A121" s="3" t="s">
        <v>304</v>
      </c>
      <c r="B121" s="3" t="s">
        <v>306</v>
      </c>
      <c r="C121" s="3" t="s">
        <v>309</v>
      </c>
      <c r="D121" s="3"/>
      <c r="E121" s="3"/>
      <c r="F121" s="3" t="s">
        <v>310</v>
      </c>
      <c r="G121" s="3"/>
      <c r="H121" s="3"/>
      <c r="I121" s="3"/>
      <c r="J121" s="3"/>
      <c r="K121" s="3" t="s">
        <v>27</v>
      </c>
      <c r="L121" s="3" t="s">
        <v>28</v>
      </c>
      <c r="M121" s="3"/>
      <c r="N121" s="3"/>
      <c r="O121" s="3"/>
      <c r="P121" s="3"/>
      <c r="Q121" s="4"/>
      <c r="R121" s="5">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v>0</v>
      </c>
      <c r="S121" s="4"/>
      <c r="T121" s="5">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v>0</v>
      </c>
      <c r="U121" s="4">
        <v>2.0</v>
      </c>
      <c r="V121" s="5">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v>1</v>
      </c>
      <c r="W121" s="4">
        <v>0.0</v>
      </c>
      <c r="X121" s="5">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v>0</v>
      </c>
      <c r="Y121" s="4">
        <v>5.0</v>
      </c>
      <c r="Z121" s="5">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v>4</v>
      </c>
      <c r="AA121" s="3">
        <f t="shared" si="2"/>
        <v>5</v>
      </c>
      <c r="AB121" s="3" t="str">
        <f>IFERROR(__xludf.DUMMYFUNCTION("
      Ifs( 
        ISBETWEEN(AA121, 0, 'Points-Table'!C$20, TRUE, False), 'Points-Table'!A$20,
        ISBETWEEN(AA121, 'Points-Table'!C$20, 'Points-Table'!C$21, TRUE, False), 'Points-Table'!A$21,
        ISBETWEEN(AA121, 'Points-Table'!C$22, 10000, TRU"&amp;"E, TRUE), 'Points-Table'!A$22,
        true, 
        0)
      "),"S")</f>
        <v>S</v>
      </c>
      <c r="AC121" s="3" t="s">
        <v>29</v>
      </c>
      <c r="AD121" s="3" t="s">
        <v>29</v>
      </c>
      <c r="AE121" s="3" t="s">
        <v>29</v>
      </c>
    </row>
    <row r="122" ht="24.75" customHeight="1">
      <c r="A122" s="3" t="s">
        <v>304</v>
      </c>
      <c r="B122" s="3" t="s">
        <v>306</v>
      </c>
      <c r="C122" s="3" t="s">
        <v>311</v>
      </c>
      <c r="D122" s="3"/>
      <c r="E122" s="3"/>
      <c r="F122" s="3" t="s">
        <v>312</v>
      </c>
      <c r="G122" s="3"/>
      <c r="H122" s="3"/>
      <c r="I122" s="3"/>
      <c r="J122" s="3"/>
      <c r="K122" s="3" t="s">
        <v>27</v>
      </c>
      <c r="L122" s="3" t="s">
        <v>28</v>
      </c>
      <c r="M122" s="3"/>
      <c r="N122" s="3"/>
      <c r="O122" s="3"/>
      <c r="P122" s="3"/>
      <c r="Q122" s="4"/>
      <c r="R122" s="5">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v>0</v>
      </c>
      <c r="S122" s="4"/>
      <c r="T122" s="5">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v>0</v>
      </c>
      <c r="U122" s="4">
        <v>0.0</v>
      </c>
      <c r="V122" s="5">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v>0</v>
      </c>
      <c r="W122" s="4">
        <v>0.0</v>
      </c>
      <c r="X122" s="5">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v>0</v>
      </c>
      <c r="Y122" s="4">
        <v>5.0</v>
      </c>
      <c r="Z122" s="5">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v>4</v>
      </c>
      <c r="AA122" s="3">
        <f t="shared" si="2"/>
        <v>4</v>
      </c>
      <c r="AB122" s="3" t="str">
        <f>IFERROR(__xludf.DUMMYFUNCTION("
      Ifs( 
        ISBETWEEN(AA122, 0, 'Points-Table'!C$20, TRUE, False), 'Points-Table'!A$20,
        ISBETWEEN(AA122, 'Points-Table'!C$20, 'Points-Table'!C$21, TRUE, False), 'Points-Table'!A$21,
        ISBETWEEN(AA122, 'Points-Table'!C$22, 10000, TRU"&amp;"E, TRUE), 'Points-Table'!A$22,
        true, 
        0)
      "),"S")</f>
        <v>S</v>
      </c>
      <c r="AC122" s="3" t="s">
        <v>29</v>
      </c>
      <c r="AD122" s="3" t="s">
        <v>29</v>
      </c>
      <c r="AE122" s="3" t="s">
        <v>29</v>
      </c>
    </row>
    <row r="123" ht="24.75" customHeight="1">
      <c r="A123" s="3" t="s">
        <v>304</v>
      </c>
      <c r="B123" s="3" t="s">
        <v>313</v>
      </c>
      <c r="C123" s="3" t="s">
        <v>197</v>
      </c>
      <c r="D123" s="3"/>
      <c r="E123" s="3"/>
      <c r="F123" s="3"/>
      <c r="G123" s="3"/>
      <c r="H123" s="3"/>
      <c r="I123" s="3"/>
      <c r="J123" s="3"/>
      <c r="K123" s="3" t="s">
        <v>27</v>
      </c>
      <c r="L123" s="3" t="s">
        <v>28</v>
      </c>
      <c r="M123" s="3"/>
      <c r="N123" s="3"/>
      <c r="O123" s="3"/>
      <c r="P123" s="3"/>
      <c r="Q123" s="4">
        <v>0.0</v>
      </c>
      <c r="R123" s="5">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v>0</v>
      </c>
      <c r="S123" s="4">
        <v>0.0</v>
      </c>
      <c r="T123" s="5">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v>0</v>
      </c>
      <c r="U123" s="4">
        <v>2.0</v>
      </c>
      <c r="V123" s="5">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v>1</v>
      </c>
      <c r="W123" s="4">
        <v>3.0</v>
      </c>
      <c r="X123" s="5">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v>2</v>
      </c>
      <c r="Y123" s="4">
        <v>3.0</v>
      </c>
      <c r="Z123" s="5">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v>2</v>
      </c>
      <c r="AA123" s="3">
        <f t="shared" si="2"/>
        <v>5</v>
      </c>
      <c r="AB123" s="3" t="str">
        <f>IFERROR(__xludf.DUMMYFUNCTION("
      Ifs( 
        ISBETWEEN(AA123, 0, 'Points-Table'!C$20, TRUE, False), 'Points-Table'!A$20,
        ISBETWEEN(AA123, 'Points-Table'!C$20, 'Points-Table'!C$21, TRUE, False), 'Points-Table'!A$21,
        ISBETWEEN(AA123, 'Points-Table'!C$22, 10000, TRU"&amp;"E, TRUE), 'Points-Table'!A$22,
        true, 
        0)
      "),"S")</f>
        <v>S</v>
      </c>
      <c r="AC123" s="3" t="s">
        <v>29</v>
      </c>
      <c r="AD123" s="3" t="s">
        <v>29</v>
      </c>
      <c r="AE123" s="3" t="s">
        <v>29</v>
      </c>
    </row>
    <row r="124" ht="24.75" customHeight="1">
      <c r="A124" s="3" t="s">
        <v>304</v>
      </c>
      <c r="B124" s="3" t="s">
        <v>313</v>
      </c>
      <c r="C124" s="3" t="s">
        <v>218</v>
      </c>
      <c r="D124" s="3"/>
      <c r="E124" s="3"/>
      <c r="F124" s="3"/>
      <c r="G124" s="3"/>
      <c r="H124" s="3"/>
      <c r="I124" s="3"/>
      <c r="J124" s="3"/>
      <c r="K124" s="3" t="s">
        <v>27</v>
      </c>
      <c r="L124" s="3" t="s">
        <v>28</v>
      </c>
      <c r="M124" s="3"/>
      <c r="N124" s="3"/>
      <c r="O124" s="3"/>
      <c r="P124" s="3"/>
      <c r="Q124" s="4">
        <v>0.0</v>
      </c>
      <c r="R124" s="5">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v>0</v>
      </c>
      <c r="S124" s="4">
        <v>0.0</v>
      </c>
      <c r="T124" s="5">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v>0</v>
      </c>
      <c r="U124" s="4">
        <v>2.0</v>
      </c>
      <c r="V124" s="5">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v>1</v>
      </c>
      <c r="W124" s="4">
        <v>2.0</v>
      </c>
      <c r="X124" s="5">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v>1</v>
      </c>
      <c r="Y124" s="4">
        <v>2.0</v>
      </c>
      <c r="Z124" s="5">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v>1</v>
      </c>
      <c r="AA124" s="3">
        <f t="shared" si="2"/>
        <v>3</v>
      </c>
      <c r="AB124" s="3" t="str">
        <f>IFERROR(__xludf.DUMMYFUNCTION("
      Ifs( 
        ISBETWEEN(AA124, 0, 'Points-Table'!C$20, TRUE, False), 'Points-Table'!A$20,
        ISBETWEEN(AA124, 'Points-Table'!C$20, 'Points-Table'!C$21, TRUE, False), 'Points-Table'!A$21,
        ISBETWEEN(AA124, 'Points-Table'!C$22, 10000, TRU"&amp;"E, TRUE), 'Points-Table'!A$22,
        true, 
        0)
      "),"S")</f>
        <v>S</v>
      </c>
      <c r="AC124" s="3" t="s">
        <v>29</v>
      </c>
      <c r="AD124" s="3" t="s">
        <v>29</v>
      </c>
      <c r="AE124" s="3" t="s">
        <v>29</v>
      </c>
    </row>
    <row r="125" ht="24.75" customHeight="1">
      <c r="A125" s="3" t="s">
        <v>304</v>
      </c>
      <c r="B125" s="3" t="s">
        <v>313</v>
      </c>
      <c r="C125" s="3" t="s">
        <v>217</v>
      </c>
      <c r="D125" s="3"/>
      <c r="E125" s="3"/>
      <c r="F125" s="3"/>
      <c r="G125" s="3"/>
      <c r="H125" s="3"/>
      <c r="I125" s="3"/>
      <c r="J125" s="3"/>
      <c r="K125" s="3" t="s">
        <v>27</v>
      </c>
      <c r="L125" s="3" t="s">
        <v>28</v>
      </c>
      <c r="M125" s="3"/>
      <c r="N125" s="3"/>
      <c r="O125" s="3"/>
      <c r="P125" s="3"/>
      <c r="Q125" s="4">
        <v>0.0</v>
      </c>
      <c r="R125" s="5">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v>0</v>
      </c>
      <c r="S125" s="4">
        <v>0.0</v>
      </c>
      <c r="T125" s="5">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v>0</v>
      </c>
      <c r="U125" s="4">
        <v>2.0</v>
      </c>
      <c r="V125" s="5">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v>1</v>
      </c>
      <c r="W125" s="4">
        <v>2.0</v>
      </c>
      <c r="X125" s="5">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v>1</v>
      </c>
      <c r="Y125" s="4">
        <v>2.0</v>
      </c>
      <c r="Z125" s="5">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v>1</v>
      </c>
      <c r="AA125" s="3">
        <f t="shared" si="2"/>
        <v>3</v>
      </c>
      <c r="AB125" s="3" t="str">
        <f>IFERROR(__xludf.DUMMYFUNCTION("
      Ifs( 
        ISBETWEEN(AA125, 0, 'Points-Table'!C$20, TRUE, False), 'Points-Table'!A$20,
        ISBETWEEN(AA125, 'Points-Table'!C$20, 'Points-Table'!C$21, TRUE, False), 'Points-Table'!A$21,
        ISBETWEEN(AA125, 'Points-Table'!C$22, 10000, TRU"&amp;"E, TRUE), 'Points-Table'!A$22,
        true, 
        0)
      "),"S")</f>
        <v>S</v>
      </c>
      <c r="AC125" s="3" t="s">
        <v>29</v>
      </c>
      <c r="AD125" s="3" t="s">
        <v>29</v>
      </c>
      <c r="AE125" s="3" t="s">
        <v>29</v>
      </c>
    </row>
    <row r="126" ht="24.75" customHeight="1">
      <c r="A126" s="3" t="s">
        <v>304</v>
      </c>
      <c r="B126" s="3" t="s">
        <v>313</v>
      </c>
      <c r="C126" s="3" t="s">
        <v>219</v>
      </c>
      <c r="D126" s="3"/>
      <c r="E126" s="3"/>
      <c r="F126" s="3"/>
      <c r="G126" s="3"/>
      <c r="H126" s="3"/>
      <c r="I126" s="3"/>
      <c r="J126" s="3"/>
      <c r="K126" s="3" t="s">
        <v>27</v>
      </c>
      <c r="L126" s="3" t="s">
        <v>28</v>
      </c>
      <c r="M126" s="3"/>
      <c r="N126" s="3"/>
      <c r="O126" s="3"/>
      <c r="P126" s="3"/>
      <c r="Q126" s="4">
        <v>3.0</v>
      </c>
      <c r="R126" s="5">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v>2</v>
      </c>
      <c r="S126" s="4">
        <v>3.0</v>
      </c>
      <c r="T126" s="5">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v>2</v>
      </c>
      <c r="U126" s="4">
        <v>5.0</v>
      </c>
      <c r="V126" s="5">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v>4</v>
      </c>
      <c r="W126" s="4">
        <v>3.0</v>
      </c>
      <c r="X126" s="5">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v>2</v>
      </c>
      <c r="Y126" s="4">
        <v>5.0</v>
      </c>
      <c r="Z126" s="5">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v>4</v>
      </c>
      <c r="AA126" s="3">
        <f t="shared" si="2"/>
        <v>10</v>
      </c>
      <c r="AB126" s="3" t="str">
        <f>IFERROR(__xludf.DUMMYFUNCTION("
      Ifs( 
        ISBETWEEN(AA126, 0, 'Points-Table'!C$20, TRUE, False), 'Points-Table'!A$20,
        ISBETWEEN(AA126, 'Points-Table'!C$20, 'Points-Table'!C$21, TRUE, False), 'Points-Table'!A$21,
        ISBETWEEN(AA126, 'Points-Table'!C$22, 10000, TRU"&amp;"E, TRUE), 'Points-Table'!A$22,
        true, 
        0)
      "),"S")</f>
        <v>S</v>
      </c>
      <c r="AC126" s="3" t="s">
        <v>29</v>
      </c>
      <c r="AD126" s="3" t="s">
        <v>29</v>
      </c>
      <c r="AE126" s="3" t="s">
        <v>29</v>
      </c>
    </row>
    <row r="127" ht="24.75" customHeight="1">
      <c r="A127" s="3" t="s">
        <v>304</v>
      </c>
      <c r="B127" s="3" t="s">
        <v>313</v>
      </c>
      <c r="C127" s="3" t="s">
        <v>314</v>
      </c>
      <c r="D127" s="3" t="s">
        <v>315</v>
      </c>
      <c r="E127" s="3"/>
      <c r="F127" s="3"/>
      <c r="G127" s="3"/>
      <c r="H127" s="3"/>
      <c r="I127" s="3"/>
      <c r="J127" s="3"/>
      <c r="K127" s="3" t="s">
        <v>27</v>
      </c>
      <c r="L127" s="3" t="s">
        <v>28</v>
      </c>
      <c r="M127" s="3"/>
      <c r="N127" s="3"/>
      <c r="O127" s="3"/>
      <c r="P127" s="3"/>
      <c r="Q127" s="4"/>
      <c r="R127" s="5">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v>0</v>
      </c>
      <c r="S127" s="4"/>
      <c r="T127" s="5">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v>0</v>
      </c>
      <c r="U127" s="4">
        <v>2.0</v>
      </c>
      <c r="V127" s="5">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v>1</v>
      </c>
      <c r="W127" s="4">
        <v>0.0</v>
      </c>
      <c r="X127" s="5">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v>0</v>
      </c>
      <c r="Y127" s="4">
        <v>5.0</v>
      </c>
      <c r="Z127" s="5">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v>4</v>
      </c>
      <c r="AA127" s="3">
        <f t="shared" si="2"/>
        <v>5</v>
      </c>
      <c r="AB127" s="3" t="str">
        <f>IFERROR(__xludf.DUMMYFUNCTION("
      Ifs( 
        ISBETWEEN(AA127, 0, 'Points-Table'!C$20, TRUE, False), 'Points-Table'!A$20,
        ISBETWEEN(AA127, 'Points-Table'!C$20, 'Points-Table'!C$21, TRUE, False), 'Points-Table'!A$21,
        ISBETWEEN(AA127, 'Points-Table'!C$22, 10000, TRU"&amp;"E, TRUE), 'Points-Table'!A$22,
        true, 
        0)
      "),"S")</f>
        <v>S</v>
      </c>
      <c r="AC127" s="3" t="s">
        <v>29</v>
      </c>
      <c r="AD127" s="3" t="s">
        <v>29</v>
      </c>
      <c r="AE127" s="3" t="s">
        <v>29</v>
      </c>
    </row>
    <row r="128" ht="24.75" customHeight="1">
      <c r="A128" s="3" t="s">
        <v>304</v>
      </c>
      <c r="B128" s="3" t="s">
        <v>316</v>
      </c>
      <c r="C128" s="3" t="s">
        <v>317</v>
      </c>
      <c r="D128" s="3"/>
      <c r="E128" s="3"/>
      <c r="F128" s="3"/>
      <c r="G128" s="3"/>
      <c r="H128" s="3"/>
      <c r="I128" s="3"/>
      <c r="J128" s="3"/>
      <c r="K128" s="3" t="s">
        <v>27</v>
      </c>
      <c r="L128" s="3" t="s">
        <v>28</v>
      </c>
      <c r="M128" s="3"/>
      <c r="N128" s="3"/>
      <c r="O128" s="3"/>
      <c r="P128" s="3"/>
      <c r="Q128" s="4">
        <v>0.0</v>
      </c>
      <c r="R128" s="5">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v>0</v>
      </c>
      <c r="S128" s="4">
        <v>0.0</v>
      </c>
      <c r="T128" s="5">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v>0</v>
      </c>
      <c r="U128" s="4">
        <v>3.0</v>
      </c>
      <c r="V128" s="5">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v>2</v>
      </c>
      <c r="W128" s="4">
        <v>2.0</v>
      </c>
      <c r="X128" s="5">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v>1</v>
      </c>
      <c r="Y128" s="4">
        <v>5.0</v>
      </c>
      <c r="Z128" s="5">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v>4</v>
      </c>
      <c r="AA128" s="3">
        <f t="shared" si="2"/>
        <v>7</v>
      </c>
      <c r="AB128" s="3" t="str">
        <f>IFERROR(__xludf.DUMMYFUNCTION("
      Ifs( 
        ISBETWEEN(AA128, 0, 'Points-Table'!C$20, TRUE, False), 'Points-Table'!A$20,
        ISBETWEEN(AA128, 'Points-Table'!C$20, 'Points-Table'!C$21, TRUE, False), 'Points-Table'!A$21,
        ISBETWEEN(AA128, 'Points-Table'!C$22, 10000, TRU"&amp;"E, TRUE), 'Points-Table'!A$22,
        true, 
        0)
      "),"S")</f>
        <v>S</v>
      </c>
      <c r="AC128" s="3" t="s">
        <v>29</v>
      </c>
      <c r="AD128" s="3" t="s">
        <v>29</v>
      </c>
      <c r="AE128" s="3" t="s">
        <v>29</v>
      </c>
    </row>
    <row r="129" ht="24.75" customHeight="1">
      <c r="A129" s="6" t="s">
        <v>304</v>
      </c>
      <c r="B129" s="6" t="s">
        <v>316</v>
      </c>
      <c r="C129" s="6" t="s">
        <v>318</v>
      </c>
      <c r="D129" s="6"/>
      <c r="E129" s="6"/>
      <c r="F129" s="6"/>
      <c r="G129" s="6"/>
      <c r="H129" s="6"/>
      <c r="I129" s="6"/>
      <c r="J129" s="6"/>
      <c r="K129" s="6" t="s">
        <v>27</v>
      </c>
      <c r="L129" s="6" t="s">
        <v>28</v>
      </c>
      <c r="M129" s="6"/>
      <c r="N129" s="6"/>
      <c r="O129" s="6"/>
      <c r="P129" s="6"/>
      <c r="Q129" s="6">
        <v>3.0</v>
      </c>
      <c r="R129" s="6">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v>2</v>
      </c>
      <c r="S129" s="6">
        <v>3.0</v>
      </c>
      <c r="T129" s="6">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v>2</v>
      </c>
      <c r="U129" s="6">
        <v>5.0</v>
      </c>
      <c r="V129" s="6">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v>4</v>
      </c>
      <c r="W129" s="6">
        <v>3.0</v>
      </c>
      <c r="X129" s="6">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v>2</v>
      </c>
      <c r="Y129" s="6">
        <v>5.0</v>
      </c>
      <c r="Z129" s="6">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v>4</v>
      </c>
      <c r="AA129" s="6">
        <f t="shared" si="2"/>
        <v>10</v>
      </c>
      <c r="AB129" s="6" t="str">
        <f>IFERROR(__xludf.DUMMYFUNCTION("
      Ifs( 
        ISBETWEEN(AA129, 0, 'Points-Table'!C$20, TRUE, False), 'Points-Table'!A$20,
        ISBETWEEN(AA129, 'Points-Table'!C$20, 'Points-Table'!C$21, TRUE, False), 'Points-Table'!A$21,
        ISBETWEEN(AA129, 'Points-Table'!C$22, 10000, TRU"&amp;"E, TRUE), 'Points-Table'!A$22,
        true, 
        0)
      "),"S")</f>
        <v>S</v>
      </c>
      <c r="AC129" s="6" t="s">
        <v>29</v>
      </c>
      <c r="AD129" s="6" t="s">
        <v>29</v>
      </c>
      <c r="AE129" s="6" t="s">
        <v>29</v>
      </c>
    </row>
    <row r="130" ht="24.75" customHeight="1">
      <c r="A130" s="6" t="s">
        <v>304</v>
      </c>
      <c r="B130" s="6" t="s">
        <v>316</v>
      </c>
      <c r="C130" s="6" t="s">
        <v>319</v>
      </c>
      <c r="D130" s="6"/>
      <c r="E130" s="6"/>
      <c r="F130" s="6"/>
      <c r="G130" s="6"/>
      <c r="H130" s="6"/>
      <c r="I130" s="6"/>
      <c r="J130" s="6"/>
      <c r="K130" s="6" t="s">
        <v>27</v>
      </c>
      <c r="L130" s="6" t="s">
        <v>28</v>
      </c>
      <c r="M130" s="6"/>
      <c r="N130" s="6"/>
      <c r="O130" s="6"/>
      <c r="P130" s="6"/>
      <c r="Q130" s="6"/>
      <c r="R130" s="6">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v>0</v>
      </c>
      <c r="S130" s="6"/>
      <c r="T130" s="6">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v>0</v>
      </c>
      <c r="U130" s="6">
        <v>2.0</v>
      </c>
      <c r="V130" s="6">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v>1</v>
      </c>
      <c r="W130" s="6">
        <v>1.0</v>
      </c>
      <c r="X130" s="6">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v>0.5</v>
      </c>
      <c r="Y130" s="6">
        <v>1.0</v>
      </c>
      <c r="Z130" s="6">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v>0.5</v>
      </c>
      <c r="AA130" s="6">
        <f t="shared" si="2"/>
        <v>2</v>
      </c>
      <c r="AB130" s="6" t="str">
        <f>IFERROR(__xludf.DUMMYFUNCTION("
      Ifs( 
        ISBETWEEN(AA130, 0, 'Points-Table'!C$20, TRUE, False), 'Points-Table'!A$20,
        ISBETWEEN(AA130, 'Points-Table'!C$20, 'Points-Table'!C$21, TRUE, False), 'Points-Table'!A$21,
        ISBETWEEN(AA130, 'Points-Table'!C$22, 10000, TRU"&amp;"E, TRUE), 'Points-Table'!A$22,
        true, 
        0)
      "),"S")</f>
        <v>S</v>
      </c>
      <c r="AC130" s="6" t="s">
        <v>29</v>
      </c>
      <c r="AD130" s="6" t="s">
        <v>29</v>
      </c>
      <c r="AE130" s="6" t="s">
        <v>29</v>
      </c>
    </row>
    <row r="131" ht="24.75" customHeight="1">
      <c r="A131" s="6" t="s">
        <v>304</v>
      </c>
      <c r="B131" s="6" t="s">
        <v>316</v>
      </c>
      <c r="C131" s="6" t="s">
        <v>320</v>
      </c>
      <c r="D131" s="6"/>
      <c r="E131" s="6"/>
      <c r="F131" s="6"/>
      <c r="G131" s="6"/>
      <c r="H131" s="6"/>
      <c r="I131" s="6"/>
      <c r="J131" s="6"/>
      <c r="K131" s="6" t="s">
        <v>27</v>
      </c>
      <c r="L131" s="6" t="s">
        <v>28</v>
      </c>
      <c r="M131" s="6"/>
      <c r="N131" s="6"/>
      <c r="O131" s="6"/>
      <c r="P131" s="6"/>
      <c r="Q131" s="6"/>
      <c r="R131" s="6">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v>0</v>
      </c>
      <c r="S131" s="6"/>
      <c r="T131" s="6">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v>0</v>
      </c>
      <c r="U131" s="6">
        <v>3.0</v>
      </c>
      <c r="V131" s="6">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v>2</v>
      </c>
      <c r="W131" s="6">
        <v>2.0</v>
      </c>
      <c r="X131" s="6">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v>1</v>
      </c>
      <c r="Y131" s="6">
        <v>2.0</v>
      </c>
      <c r="Z131" s="6">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v>1</v>
      </c>
      <c r="AA131" s="6">
        <f t="shared" si="2"/>
        <v>4</v>
      </c>
      <c r="AB131" s="6" t="str">
        <f>IFERROR(__xludf.DUMMYFUNCTION("
      Ifs( 
        ISBETWEEN(AA131, 0, 'Points-Table'!C$20, TRUE, False), 'Points-Table'!A$20,
        ISBETWEEN(AA131, 'Points-Table'!C$20, 'Points-Table'!C$21, TRUE, False), 'Points-Table'!A$21,
        ISBETWEEN(AA131, 'Points-Table'!C$22, 10000, TRU"&amp;"E, TRUE), 'Points-Table'!A$22,
        true, 
        0)
      "),"S")</f>
        <v>S</v>
      </c>
      <c r="AC131" s="6" t="s">
        <v>29</v>
      </c>
      <c r="AD131" s="6" t="s">
        <v>29</v>
      </c>
      <c r="AE131" s="6" t="s">
        <v>29</v>
      </c>
    </row>
    <row r="132" ht="24.75" customHeight="1">
      <c r="A132" s="6" t="s">
        <v>304</v>
      </c>
      <c r="B132" s="6" t="s">
        <v>316</v>
      </c>
      <c r="C132" s="6" t="s">
        <v>321</v>
      </c>
      <c r="D132" s="6"/>
      <c r="E132" s="6"/>
      <c r="F132" s="6"/>
      <c r="G132" s="6"/>
      <c r="H132" s="6"/>
      <c r="I132" s="6"/>
      <c r="J132" s="6"/>
      <c r="K132" s="6" t="s">
        <v>27</v>
      </c>
      <c r="L132" s="6" t="s">
        <v>28</v>
      </c>
      <c r="M132" s="6"/>
      <c r="N132" s="6"/>
      <c r="O132" s="6"/>
      <c r="P132" s="6"/>
      <c r="Q132" s="6"/>
      <c r="R132" s="6">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v>0</v>
      </c>
      <c r="S132" s="6"/>
      <c r="T132" s="6">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v>0</v>
      </c>
      <c r="U132" s="6">
        <v>5.0</v>
      </c>
      <c r="V132" s="6">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v>4</v>
      </c>
      <c r="W132" s="6">
        <v>3.0</v>
      </c>
      <c r="X132" s="6">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v>2</v>
      </c>
      <c r="Y132" s="6">
        <v>3.0</v>
      </c>
      <c r="Z132" s="6">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v>2</v>
      </c>
      <c r="AA132" s="6">
        <f t="shared" si="2"/>
        <v>8</v>
      </c>
      <c r="AB132" s="6" t="str">
        <f>IFERROR(__xludf.DUMMYFUNCTION("
      Ifs( 
        ISBETWEEN(AA132, 0, 'Points-Table'!C$20, TRUE, False), 'Points-Table'!A$20,
        ISBETWEEN(AA132, 'Points-Table'!C$20, 'Points-Table'!C$21, TRUE, False), 'Points-Table'!A$21,
        ISBETWEEN(AA132, 'Points-Table'!C$22, 10000, TRU"&amp;"E, TRUE), 'Points-Table'!A$22,
        true, 
        0)
      "),"S")</f>
        <v>S</v>
      </c>
      <c r="AC132" s="6" t="s">
        <v>29</v>
      </c>
      <c r="AD132" s="6" t="s">
        <v>29</v>
      </c>
      <c r="AE132" s="6" t="s">
        <v>29</v>
      </c>
    </row>
    <row r="133" ht="24.75" customHeight="1">
      <c r="A133" s="3" t="s">
        <v>304</v>
      </c>
      <c r="B133" s="3" t="s">
        <v>322</v>
      </c>
      <c r="C133" s="3"/>
      <c r="D133" s="3" t="s">
        <v>323</v>
      </c>
      <c r="E133" s="3"/>
      <c r="F133" s="3"/>
      <c r="G133" s="3"/>
      <c r="H133" s="3"/>
      <c r="I133" s="3"/>
      <c r="J133" s="3"/>
      <c r="K133" s="3" t="s">
        <v>27</v>
      </c>
      <c r="L133" s="3" t="s">
        <v>28</v>
      </c>
      <c r="M133" s="3"/>
      <c r="N133" s="3"/>
      <c r="O133" s="3"/>
      <c r="P133" s="3"/>
      <c r="Q133" s="4">
        <v>0.0</v>
      </c>
      <c r="R133" s="5">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v>0</v>
      </c>
      <c r="S133" s="4">
        <v>0.0</v>
      </c>
      <c r="T133" s="5">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v>0</v>
      </c>
      <c r="U133" s="4">
        <v>3.0</v>
      </c>
      <c r="V133" s="5">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v>2</v>
      </c>
      <c r="W133" s="4">
        <v>3.0</v>
      </c>
      <c r="X133" s="5">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v>2</v>
      </c>
      <c r="Y133" s="4">
        <v>5.0</v>
      </c>
      <c r="Z133" s="5">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v>4</v>
      </c>
      <c r="AA133" s="3">
        <f t="shared" si="2"/>
        <v>8</v>
      </c>
      <c r="AB133" s="3" t="str">
        <f>IFERROR(__xludf.DUMMYFUNCTION("
      Ifs( 
        ISBETWEEN(AA133, 0, 'Points-Table'!C$20, TRUE, False), 'Points-Table'!A$20,
        ISBETWEEN(AA133, 'Points-Table'!C$20, 'Points-Table'!C$21, TRUE, False), 'Points-Table'!A$21,
        ISBETWEEN(AA133, 'Points-Table'!C$22, 10000, TRU"&amp;"E, TRUE), 'Points-Table'!A$22,
        true, 
        0)
      "),"S")</f>
        <v>S</v>
      </c>
      <c r="AC133" s="3" t="s">
        <v>29</v>
      </c>
      <c r="AD133" s="3" t="s">
        <v>29</v>
      </c>
      <c r="AE133" s="3" t="s">
        <v>29</v>
      </c>
    </row>
    <row r="134" ht="24.75" customHeight="1">
      <c r="A134" s="3" t="s">
        <v>304</v>
      </c>
      <c r="B134" s="3" t="s">
        <v>324</v>
      </c>
      <c r="C134" s="3"/>
      <c r="D134" s="3"/>
      <c r="E134" s="3"/>
      <c r="F134" s="3"/>
      <c r="G134" s="3"/>
      <c r="H134" s="3"/>
      <c r="I134" s="3"/>
      <c r="J134" s="3"/>
      <c r="K134" s="3" t="s">
        <v>27</v>
      </c>
      <c r="L134" s="3" t="s">
        <v>28</v>
      </c>
      <c r="M134" s="3"/>
      <c r="N134" s="3"/>
      <c r="O134" s="3"/>
      <c r="P134" s="3"/>
      <c r="Q134" s="4">
        <v>0.0</v>
      </c>
      <c r="R134" s="5">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v>0</v>
      </c>
      <c r="S134" s="4">
        <v>0.0</v>
      </c>
      <c r="T134" s="5">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v>0</v>
      </c>
      <c r="U134" s="4">
        <v>1.0</v>
      </c>
      <c r="V134" s="5">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v>0.5</v>
      </c>
      <c r="W134" s="4">
        <v>1.0</v>
      </c>
      <c r="X134" s="5">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v>0.5</v>
      </c>
      <c r="Y134" s="4">
        <v>2.0</v>
      </c>
      <c r="Z134" s="5">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v>1</v>
      </c>
      <c r="AA134" s="3">
        <f t="shared" si="2"/>
        <v>2</v>
      </c>
      <c r="AB134" s="3" t="str">
        <f>IFERROR(__xludf.DUMMYFUNCTION("
      Ifs( 
        ISBETWEEN(AA134, 0, 'Points-Table'!C$20, TRUE, False), 'Points-Table'!A$20,
        ISBETWEEN(AA134, 'Points-Table'!C$20, 'Points-Table'!C$21, TRUE, False), 'Points-Table'!A$21,
        ISBETWEEN(AA134, 'Points-Table'!C$22, 10000, TRU"&amp;"E, TRUE), 'Points-Table'!A$22,
        true, 
        0)
      "),"S")</f>
        <v>S</v>
      </c>
      <c r="AC134" s="3" t="s">
        <v>29</v>
      </c>
      <c r="AD134" s="3" t="s">
        <v>29</v>
      </c>
      <c r="AE134" s="3" t="s">
        <v>29</v>
      </c>
    </row>
    <row r="135" ht="24.75" customHeight="1">
      <c r="A135" s="3" t="s">
        <v>304</v>
      </c>
      <c r="B135" s="3" t="s">
        <v>325</v>
      </c>
      <c r="C135" s="3"/>
      <c r="D135" s="3"/>
      <c r="E135" s="3"/>
      <c r="F135" s="3"/>
      <c r="G135" s="3"/>
      <c r="H135" s="3"/>
      <c r="I135" s="3"/>
      <c r="J135" s="3"/>
      <c r="K135" s="3" t="s">
        <v>27</v>
      </c>
      <c r="L135" s="3" t="s">
        <v>28</v>
      </c>
      <c r="M135" s="3"/>
      <c r="N135" s="3"/>
      <c r="O135" s="3"/>
      <c r="P135" s="3"/>
      <c r="Q135" s="4"/>
      <c r="R135" s="5">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v>0</v>
      </c>
      <c r="S135" s="4"/>
      <c r="T135" s="5">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v>0</v>
      </c>
      <c r="U135" s="4">
        <v>1.0</v>
      </c>
      <c r="V135" s="5">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v>0.5</v>
      </c>
      <c r="W135" s="4">
        <v>0.0</v>
      </c>
      <c r="X135" s="5">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v>0</v>
      </c>
      <c r="Y135" s="4">
        <v>3.0</v>
      </c>
      <c r="Z135" s="5">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v>2</v>
      </c>
      <c r="AA135" s="3">
        <f t="shared" si="2"/>
        <v>2.5</v>
      </c>
      <c r="AB135" s="3" t="str">
        <f>IFERROR(__xludf.DUMMYFUNCTION("
      Ifs( 
        ISBETWEEN(AA135, 0, 'Points-Table'!C$20, TRUE, False), 'Points-Table'!A$20,
        ISBETWEEN(AA135, 'Points-Table'!C$20, 'Points-Table'!C$21, TRUE, False), 'Points-Table'!A$21,
        ISBETWEEN(AA135, 'Points-Table'!C$22, 10000, TRU"&amp;"E, TRUE), 'Points-Table'!A$22,
        true, 
        0)
      "),"S")</f>
        <v>S</v>
      </c>
      <c r="AC135" s="3" t="s">
        <v>29</v>
      </c>
      <c r="AD135" s="3" t="s">
        <v>29</v>
      </c>
      <c r="AE135" s="3" t="s">
        <v>29</v>
      </c>
    </row>
    <row r="136" ht="24.75" customHeight="1">
      <c r="A136" s="3" t="s">
        <v>304</v>
      </c>
      <c r="B136" s="3" t="s">
        <v>326</v>
      </c>
      <c r="C136" s="3"/>
      <c r="D136" s="3" t="s">
        <v>327</v>
      </c>
      <c r="E136" s="3"/>
      <c r="F136" s="3" t="s">
        <v>328</v>
      </c>
      <c r="G136" s="3"/>
      <c r="H136" s="3"/>
      <c r="I136" s="3"/>
      <c r="J136" s="3"/>
      <c r="K136" s="3" t="s">
        <v>27</v>
      </c>
      <c r="L136" s="3" t="s">
        <v>28</v>
      </c>
      <c r="M136" s="3"/>
      <c r="N136" s="3"/>
      <c r="O136" s="3"/>
      <c r="P136" s="3"/>
      <c r="Q136" s="4"/>
      <c r="R136" s="5">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v>0</v>
      </c>
      <c r="S136" s="4"/>
      <c r="T136" s="5">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v>0</v>
      </c>
      <c r="U136" s="4">
        <v>5.0</v>
      </c>
      <c r="V136" s="5">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v>4</v>
      </c>
      <c r="W136" s="4">
        <v>1.0</v>
      </c>
      <c r="X136" s="5">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v>0.5</v>
      </c>
      <c r="Y136" s="4">
        <v>3.0</v>
      </c>
      <c r="Z136" s="5">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v>2</v>
      </c>
      <c r="AA136" s="3">
        <f t="shared" si="2"/>
        <v>6.5</v>
      </c>
      <c r="AB136" s="3" t="str">
        <f>IFERROR(__xludf.DUMMYFUNCTION("
      Ifs( 
        ISBETWEEN(AA136, 0, 'Points-Table'!C$20, TRUE, False), 'Points-Table'!A$20,
        ISBETWEEN(AA136, 'Points-Table'!C$20, 'Points-Table'!C$21, TRUE, False), 'Points-Table'!A$21,
        ISBETWEEN(AA136, 'Points-Table'!C$22, 10000, TRU"&amp;"E, TRUE), 'Points-Table'!A$22,
        true, 
        0)
      "),"S")</f>
        <v>S</v>
      </c>
      <c r="AC136" s="3" t="s">
        <v>29</v>
      </c>
      <c r="AD136" s="3" t="s">
        <v>29</v>
      </c>
      <c r="AE136" s="3" t="s">
        <v>29</v>
      </c>
    </row>
    <row r="137" ht="24.75" customHeight="1">
      <c r="A137" s="6" t="s">
        <v>304</v>
      </c>
      <c r="B137" s="6" t="s">
        <v>329</v>
      </c>
      <c r="C137" s="6"/>
      <c r="D137" s="6"/>
      <c r="E137" s="6"/>
      <c r="F137" s="6" t="s">
        <v>330</v>
      </c>
      <c r="G137" s="6"/>
      <c r="H137" s="6"/>
      <c r="I137" s="6"/>
      <c r="J137" s="6"/>
      <c r="K137" s="6" t="s">
        <v>27</v>
      </c>
      <c r="L137" s="6" t="s">
        <v>28</v>
      </c>
      <c r="M137" s="6"/>
      <c r="N137" s="6"/>
      <c r="O137" s="6"/>
      <c r="P137" s="6"/>
      <c r="Q137" s="6">
        <v>0.0</v>
      </c>
      <c r="R137" s="6">
        <f>
              Ifs(
                (Q137 = 'Points-Table'!$A$4), 'Points-Table'!$C$4,
                (Q137 = 'Points-Table'!$A$5), 'Points-Table'!$C$5,
                (Q137 = 'Points-Table'!$A$6), 'Points-Table'!$C$6,
                (Q137 = 'Points-Table'!$A$7), 'Points-Table'!$C$7,
                (Q137 = 'Points-Table'!$A$8), 'Points-Table'!$C$8,
                (Q137 = 'Points-Table'!$A$9), 'Points-Table'!$C$9,
                (Q137 = 'Points-Table'!$A$10), 'Points-Table'!$C$10,
                (Q137 = 'Points-Table'!$A$11), 'Points-Table'!$C$11,
                (Q137 = 'Points-Table'!$A$12), 'Points-Table'!$C$12,
                (Q137 = 'Points-Table'!$A$13), 'Points-Table'!$C$13,
                true, 0
              )
            </f>
        <v>0</v>
      </c>
      <c r="S137" s="6">
        <v>0.0</v>
      </c>
      <c r="T137" s="6">
        <f>
              Ifs(
                (S137 = 'Points-Table'!$A$4), 'Points-Table'!$C$4,
                (S137 = 'Points-Table'!$A$5), 'Points-Table'!$C$5,
                (S137 = 'Points-Table'!$A$6), 'Points-Table'!$C$6,
                (S137 = 'Points-Table'!$A$7), 'Points-Table'!$C$7,
                (S137 = 'Points-Table'!$A$8), 'Points-Table'!$C$8,
                (S137 = 'Points-Table'!$A$9), 'Points-Table'!$C$9,
                (S137 = 'Points-Table'!$A$10), 'Points-Table'!$C$10,
                (S137 = 'Points-Table'!$A$11), 'Points-Table'!$C$11,
                (S137 = 'Points-Table'!$A$12), 'Points-Table'!$C$12,
                (S137 = 'Points-Table'!$A$13), 'Points-Table'!$C$13,
                true, 0
              )
            </f>
        <v>0</v>
      </c>
      <c r="U137" s="6">
        <v>5.0</v>
      </c>
      <c r="V137" s="6">
        <f>
              Ifs(
                (U137 = 'Points-Table'!$A$4), 'Points-Table'!$C$4,
                (U137 = 'Points-Table'!$A$5), 'Points-Table'!$C$5,
                (U137 = 'Points-Table'!$A$6), 'Points-Table'!$C$6,
                (U137 = 'Points-Table'!$A$7), 'Points-Table'!$C$7,
                (U137 = 'Points-Table'!$A$8), 'Points-Table'!$C$8,
                (U137 = 'Points-Table'!$A$9), 'Points-Table'!$C$9,
                (U137 = 'Points-Table'!$A$10), 'Points-Table'!$C$10,
                (U137 = 'Points-Table'!$A$11), 'Points-Table'!$C$11,
                (U137 = 'Points-Table'!$A$12), 'Points-Table'!$C$12,
                (U137 = 'Points-Table'!$A$13), 'Points-Table'!$C$13,
                true, 0
              )
            </f>
        <v>4</v>
      </c>
      <c r="W137" s="6">
        <v>3.0</v>
      </c>
      <c r="X137" s="6">
        <f>
              Ifs(
                (W137 = 'Points-Table'!$A$4), 'Points-Table'!$C$4,
                (W137 = 'Points-Table'!$A$5), 'Points-Table'!$C$5,
                (W137 = 'Points-Table'!$A$6), 'Points-Table'!$C$6,
                (W137 = 'Points-Table'!$A$7), 'Points-Table'!$C$7,
                (W137 = 'Points-Table'!$A$8), 'Points-Table'!$C$8,
                (W137 = 'Points-Table'!$A$9), 'Points-Table'!$C$9,
                (W137 = 'Points-Table'!$A$10), 'Points-Table'!$C$10,
                (W137 = 'Points-Table'!$A$11), 'Points-Table'!$C$11,
                (W137 = 'Points-Table'!$A$12), 'Points-Table'!$C$12,
                (W137 = 'Points-Table'!$A$13), 'Points-Table'!$C$13,
                true, 0
              )
            </f>
        <v>2</v>
      </c>
      <c r="Y137" s="6">
        <v>5.0</v>
      </c>
      <c r="Z137" s="6">
        <f>
              Ifs(
                (Y137 = 'Points-Table'!$A$4), 'Points-Table'!$C$4,
                (Y137 = 'Points-Table'!$A$5), 'Points-Table'!$C$5,
                (Y137 = 'Points-Table'!$A$6), 'Points-Table'!$C$6,
                (Y137 = 'Points-Table'!$A$7), 'Points-Table'!$C$7,
                (Y137 = 'Points-Table'!$A$8), 'Points-Table'!$C$8,
                (Y137 = 'Points-Table'!$A$9), 'Points-Table'!$C$9,
                (Y137 = 'Points-Table'!$A$10), 'Points-Table'!$C$10,
                (Y137 = 'Points-Table'!$A$11), 'Points-Table'!$C$11,
                (Y137 = 'Points-Table'!$A$12), 'Points-Table'!$C$12,
                (Y137 = 'Points-Table'!$A$13), 'Points-Table'!$C$13,
                true, 0
              )
            </f>
        <v>4</v>
      </c>
      <c r="AA137" s="6">
        <f t="shared" si="2"/>
        <v>10</v>
      </c>
      <c r="AB137" s="6" t="str">
        <f>IFERROR(__xludf.DUMMYFUNCTION("
      Ifs( 
        ISBETWEEN(AA137, 0, 'Points-Table'!C$20, TRUE, False), 'Points-Table'!A$20,
        ISBETWEEN(AA137, 'Points-Table'!C$20, 'Points-Table'!C$21, TRUE, False), 'Points-Table'!A$21,
        ISBETWEEN(AA137, 'Points-Table'!C$22, 10000, TRU"&amp;"E, TRUE), 'Points-Table'!A$22,
        true, 
        0)
      "),"S")</f>
        <v>S</v>
      </c>
      <c r="AC137" s="6" t="s">
        <v>29</v>
      </c>
      <c r="AD137" s="6" t="s">
        <v>29</v>
      </c>
      <c r="AE137" s="6" t="s">
        <v>29</v>
      </c>
    </row>
    <row r="138" ht="24.75" customHeight="1">
      <c r="A138" s="3" t="s">
        <v>331</v>
      </c>
      <c r="B138" s="3" t="s">
        <v>332</v>
      </c>
      <c r="C138" s="3"/>
      <c r="D138" s="3"/>
      <c r="E138" s="3"/>
      <c r="F138" s="3"/>
      <c r="G138" s="3"/>
      <c r="H138" s="3"/>
      <c r="I138" s="3"/>
      <c r="J138" s="3"/>
      <c r="K138" s="3" t="s">
        <v>27</v>
      </c>
      <c r="L138" s="3" t="s">
        <v>28</v>
      </c>
      <c r="M138" s="3"/>
      <c r="N138" s="3"/>
      <c r="O138" s="3"/>
      <c r="P138" s="3"/>
      <c r="Q138" s="4"/>
      <c r="R138" s="5">
        <f>
              Ifs(
                (Q138 = 'Points-Table'!$A$4), 'Points-Table'!$C$4,
                (Q138 = 'Points-Table'!$A$5), 'Points-Table'!$C$5,
                (Q138 = 'Points-Table'!$A$6), 'Points-Table'!$C$6,
                (Q138 = 'Points-Table'!$A$7), 'Points-Table'!$C$7,
                (Q138 = 'Points-Table'!$A$8), 'Points-Table'!$C$8,
                (Q138 = 'Points-Table'!$A$9), 'Points-Table'!$C$9,
                (Q138 = 'Points-Table'!$A$10), 'Points-Table'!$C$10,
                (Q138 = 'Points-Table'!$A$11), 'Points-Table'!$C$11,
                (Q138 = 'Points-Table'!$A$12), 'Points-Table'!$C$12,
                (Q138 = 'Points-Table'!$A$13), 'Points-Table'!$C$13,
                true, 0
              )
            </f>
        <v>0</v>
      </c>
      <c r="S138" s="4"/>
      <c r="T138" s="5">
        <f>
              Ifs(
                (S138 = 'Points-Table'!$A$4), 'Points-Table'!$C$4,
                (S138 = 'Points-Table'!$A$5), 'Points-Table'!$C$5,
                (S138 = 'Points-Table'!$A$6), 'Points-Table'!$C$6,
                (S138 = 'Points-Table'!$A$7), 'Points-Table'!$C$7,
                (S138 = 'Points-Table'!$A$8), 'Points-Table'!$C$8,
                (S138 = 'Points-Table'!$A$9), 'Points-Table'!$C$9,
                (S138 = 'Points-Table'!$A$10), 'Points-Table'!$C$10,
                (S138 = 'Points-Table'!$A$11), 'Points-Table'!$C$11,
                (S138 = 'Points-Table'!$A$12), 'Points-Table'!$C$12,
                (S138 = 'Points-Table'!$A$13), 'Points-Table'!$C$13,
                true, 0
              )
            </f>
        <v>0</v>
      </c>
      <c r="U138" s="4">
        <v>1.0</v>
      </c>
      <c r="V138" s="5">
        <f>
              Ifs(
                (U138 = 'Points-Table'!$A$4), 'Points-Table'!$C$4,
                (U138 = 'Points-Table'!$A$5), 'Points-Table'!$C$5,
                (U138 = 'Points-Table'!$A$6), 'Points-Table'!$C$6,
                (U138 = 'Points-Table'!$A$7), 'Points-Table'!$C$7,
                (U138 = 'Points-Table'!$A$8), 'Points-Table'!$C$8,
                (U138 = 'Points-Table'!$A$9), 'Points-Table'!$C$9,
                (U138 = 'Points-Table'!$A$10), 'Points-Table'!$C$10,
                (U138 = 'Points-Table'!$A$11), 'Points-Table'!$C$11,
                (U138 = 'Points-Table'!$A$12), 'Points-Table'!$C$12,
                (U138 = 'Points-Table'!$A$13), 'Points-Table'!$C$13,
                true, 0
              )
            </f>
        <v>0.5</v>
      </c>
      <c r="W138" s="4">
        <v>0.0</v>
      </c>
      <c r="X138" s="5">
        <f>
              Ifs(
                (W138 = 'Points-Table'!$A$4), 'Points-Table'!$C$4,
                (W138 = 'Points-Table'!$A$5), 'Points-Table'!$C$5,
                (W138 = 'Points-Table'!$A$6), 'Points-Table'!$C$6,
                (W138 = 'Points-Table'!$A$7), 'Points-Table'!$C$7,
                (W138 = 'Points-Table'!$A$8), 'Points-Table'!$C$8,
                (W138 = 'Points-Table'!$A$9), 'Points-Table'!$C$9,
                (W138 = 'Points-Table'!$A$10), 'Points-Table'!$C$10,
                (W138 = 'Points-Table'!$A$11), 'Points-Table'!$C$11,
                (W138 = 'Points-Table'!$A$12), 'Points-Table'!$C$12,
                (W138 = 'Points-Table'!$A$13), 'Points-Table'!$C$13,
                true, 0
              )
            </f>
        <v>0</v>
      </c>
      <c r="Y138" s="4">
        <v>3.0</v>
      </c>
      <c r="Z138" s="5">
        <f>
              Ifs(
                (Y138 = 'Points-Table'!$A$4), 'Points-Table'!$C$4,
                (Y138 = 'Points-Table'!$A$5), 'Points-Table'!$C$5,
                (Y138 = 'Points-Table'!$A$6), 'Points-Table'!$C$6,
                (Y138 = 'Points-Table'!$A$7), 'Points-Table'!$C$7,
                (Y138 = 'Points-Table'!$A$8), 'Points-Table'!$C$8,
                (Y138 = 'Points-Table'!$A$9), 'Points-Table'!$C$9,
                (Y138 = 'Points-Table'!$A$10), 'Points-Table'!$C$10,
                (Y138 = 'Points-Table'!$A$11), 'Points-Table'!$C$11,
                (Y138 = 'Points-Table'!$A$12), 'Points-Table'!$C$12,
                (Y138 = 'Points-Table'!$A$13), 'Points-Table'!$C$13,
                true, 0
              )
            </f>
        <v>2</v>
      </c>
      <c r="AA138" s="3">
        <f t="shared" si="2"/>
        <v>2.5</v>
      </c>
      <c r="AB138" s="3" t="str">
        <f>IFERROR(__xludf.DUMMYFUNCTION("
      Ifs( 
        ISBETWEEN(AA138, 0, 'Points-Table'!C$20, TRUE, False), 'Points-Table'!A$20,
        ISBETWEEN(AA138, 'Points-Table'!C$20, 'Points-Table'!C$21, TRUE, False), 'Points-Table'!A$21,
        ISBETWEEN(AA138, 'Points-Table'!C$22, 10000, TRU"&amp;"E, TRUE), 'Points-Table'!A$22,
        true, 
        0)
      "),"S")</f>
        <v>S</v>
      </c>
      <c r="AC138" s="3" t="s">
        <v>29</v>
      </c>
      <c r="AD138" s="3" t="s">
        <v>29</v>
      </c>
      <c r="AE138" s="3" t="s">
        <v>29</v>
      </c>
    </row>
    <row r="139" ht="24.75" customHeight="1">
      <c r="A139" s="3" t="s">
        <v>331</v>
      </c>
      <c r="B139" s="3" t="s">
        <v>333</v>
      </c>
      <c r="C139" s="3"/>
      <c r="D139" s="3" t="s">
        <v>29</v>
      </c>
      <c r="E139" s="3"/>
      <c r="F139" s="3"/>
      <c r="G139" s="3"/>
      <c r="H139" s="3"/>
      <c r="I139" s="3"/>
      <c r="J139" s="3"/>
      <c r="K139" s="3" t="s">
        <v>27</v>
      </c>
      <c r="L139" s="3" t="s">
        <v>28</v>
      </c>
      <c r="M139" s="3"/>
      <c r="N139" s="3"/>
      <c r="O139" s="3"/>
      <c r="P139" s="3"/>
      <c r="Q139" s="4"/>
      <c r="R139" s="5">
        <f>
              Ifs(
                (Q139 = 'Points-Table'!$A$4), 'Points-Table'!$C$4,
                (Q139 = 'Points-Table'!$A$5), 'Points-Table'!$C$5,
                (Q139 = 'Points-Table'!$A$6), 'Points-Table'!$C$6,
                (Q139 = 'Points-Table'!$A$7), 'Points-Table'!$C$7,
                (Q139 = 'Points-Table'!$A$8), 'Points-Table'!$C$8,
                (Q139 = 'Points-Table'!$A$9), 'Points-Table'!$C$9,
                (Q139 = 'Points-Table'!$A$10), 'Points-Table'!$C$10,
                (Q139 = 'Points-Table'!$A$11), 'Points-Table'!$C$11,
                (Q139 = 'Points-Table'!$A$12), 'Points-Table'!$C$12,
                (Q139 = 'Points-Table'!$A$13), 'Points-Table'!$C$13,
                true, 0
              )
            </f>
        <v>0</v>
      </c>
      <c r="S139" s="4"/>
      <c r="T139" s="5">
        <f>
              Ifs(
                (S139 = 'Points-Table'!$A$4), 'Points-Table'!$C$4,
                (S139 = 'Points-Table'!$A$5), 'Points-Table'!$C$5,
                (S139 = 'Points-Table'!$A$6), 'Points-Table'!$C$6,
                (S139 = 'Points-Table'!$A$7), 'Points-Table'!$C$7,
                (S139 = 'Points-Table'!$A$8), 'Points-Table'!$C$8,
                (S139 = 'Points-Table'!$A$9), 'Points-Table'!$C$9,
                (S139 = 'Points-Table'!$A$10), 'Points-Table'!$C$10,
                (S139 = 'Points-Table'!$A$11), 'Points-Table'!$C$11,
                (S139 = 'Points-Table'!$A$12), 'Points-Table'!$C$12,
                (S139 = 'Points-Table'!$A$13), 'Points-Table'!$C$13,
                true, 0
              )
            </f>
        <v>0</v>
      </c>
      <c r="U139" s="4">
        <v>1.0</v>
      </c>
      <c r="V139" s="5">
        <f>
              Ifs(
                (U139 = 'Points-Table'!$A$4), 'Points-Table'!$C$4,
                (U139 = 'Points-Table'!$A$5), 'Points-Table'!$C$5,
                (U139 = 'Points-Table'!$A$6), 'Points-Table'!$C$6,
                (U139 = 'Points-Table'!$A$7), 'Points-Table'!$C$7,
                (U139 = 'Points-Table'!$A$8), 'Points-Table'!$C$8,
                (U139 = 'Points-Table'!$A$9), 'Points-Table'!$C$9,
                (U139 = 'Points-Table'!$A$10), 'Points-Table'!$C$10,
                (U139 = 'Points-Table'!$A$11), 'Points-Table'!$C$11,
                (U139 = 'Points-Table'!$A$12), 'Points-Table'!$C$12,
                (U139 = 'Points-Table'!$A$13), 'Points-Table'!$C$13,
                true, 0
              )
            </f>
        <v>0.5</v>
      </c>
      <c r="W139" s="4">
        <v>3.0</v>
      </c>
      <c r="X139" s="5">
        <f>
              Ifs(
                (W139 = 'Points-Table'!$A$4), 'Points-Table'!$C$4,
                (W139 = 'Points-Table'!$A$5), 'Points-Table'!$C$5,
                (W139 = 'Points-Table'!$A$6), 'Points-Table'!$C$6,
                (W139 = 'Points-Table'!$A$7), 'Points-Table'!$C$7,
                (W139 = 'Points-Table'!$A$8), 'Points-Table'!$C$8,
                (W139 = 'Points-Table'!$A$9), 'Points-Table'!$C$9,
                (W139 = 'Points-Table'!$A$10), 'Points-Table'!$C$10,
                (W139 = 'Points-Table'!$A$11), 'Points-Table'!$C$11,
                (W139 = 'Points-Table'!$A$12), 'Points-Table'!$C$12,
                (W139 = 'Points-Table'!$A$13), 'Points-Table'!$C$13,
                true, 0
              )
            </f>
        <v>2</v>
      </c>
      <c r="Y139" s="4">
        <v>3.0</v>
      </c>
      <c r="Z139" s="5">
        <f>
              Ifs(
                (Y139 = 'Points-Table'!$A$4), 'Points-Table'!$C$4,
                (Y139 = 'Points-Table'!$A$5), 'Points-Table'!$C$5,
                (Y139 = 'Points-Table'!$A$6), 'Points-Table'!$C$6,
                (Y139 = 'Points-Table'!$A$7), 'Points-Table'!$C$7,
                (Y139 = 'Points-Table'!$A$8), 'Points-Table'!$C$8,
                (Y139 = 'Points-Table'!$A$9), 'Points-Table'!$C$9,
                (Y139 = 'Points-Table'!$A$10), 'Points-Table'!$C$10,
                (Y139 = 'Points-Table'!$A$11), 'Points-Table'!$C$11,
                (Y139 = 'Points-Table'!$A$12), 'Points-Table'!$C$12,
                (Y139 = 'Points-Table'!$A$13), 'Points-Table'!$C$13,
                true, 0
              )
            </f>
        <v>2</v>
      </c>
      <c r="AA139" s="3">
        <f t="shared" si="2"/>
        <v>4.5</v>
      </c>
      <c r="AB139" s="3" t="str">
        <f>IFERROR(__xludf.DUMMYFUNCTION("
      Ifs( 
        ISBETWEEN(AA139, 0, 'Points-Table'!C$20, TRUE, False), 'Points-Table'!A$20,
        ISBETWEEN(AA139, 'Points-Table'!C$20, 'Points-Table'!C$21, TRUE, False), 'Points-Table'!A$21,
        ISBETWEEN(AA139, 'Points-Table'!C$22, 10000, TRU"&amp;"E, TRUE), 'Points-Table'!A$22,
        true, 
        0)
      "),"S")</f>
        <v>S</v>
      </c>
      <c r="AC139" s="3" t="s">
        <v>29</v>
      </c>
      <c r="AD139" s="3" t="s">
        <v>29</v>
      </c>
      <c r="AE139" s="3" t="s">
        <v>29</v>
      </c>
    </row>
    <row r="140" ht="24.75" customHeight="1">
      <c r="A140" s="3" t="s">
        <v>331</v>
      </c>
      <c r="B140" s="3" t="s">
        <v>334</v>
      </c>
      <c r="C140" s="3"/>
      <c r="D140" s="3"/>
      <c r="E140" s="3"/>
      <c r="F140" s="3"/>
      <c r="G140" s="3"/>
      <c r="H140" s="3"/>
      <c r="I140" s="3"/>
      <c r="J140" s="3"/>
      <c r="K140" s="3" t="s">
        <v>27</v>
      </c>
      <c r="L140" s="3" t="s">
        <v>28</v>
      </c>
      <c r="M140" s="3"/>
      <c r="N140" s="3"/>
      <c r="O140" s="3"/>
      <c r="P140" s="3"/>
      <c r="Q140" s="4"/>
      <c r="R140" s="5">
        <f>
              Ifs(
                (Q140 = 'Points-Table'!$A$4), 'Points-Table'!$C$4,
                (Q140 = 'Points-Table'!$A$5), 'Points-Table'!$C$5,
                (Q140 = 'Points-Table'!$A$6), 'Points-Table'!$C$6,
                (Q140 = 'Points-Table'!$A$7), 'Points-Table'!$C$7,
                (Q140 = 'Points-Table'!$A$8), 'Points-Table'!$C$8,
                (Q140 = 'Points-Table'!$A$9), 'Points-Table'!$C$9,
                (Q140 = 'Points-Table'!$A$10), 'Points-Table'!$C$10,
                (Q140 = 'Points-Table'!$A$11), 'Points-Table'!$C$11,
                (Q140 = 'Points-Table'!$A$12), 'Points-Table'!$C$12,
                (Q140 = 'Points-Table'!$A$13), 'Points-Table'!$C$13,
                true, 0
              )
            </f>
        <v>0</v>
      </c>
      <c r="S140" s="4"/>
      <c r="T140" s="5">
        <f>
              Ifs(
                (S140 = 'Points-Table'!$A$4), 'Points-Table'!$C$4,
                (S140 = 'Points-Table'!$A$5), 'Points-Table'!$C$5,
                (S140 = 'Points-Table'!$A$6), 'Points-Table'!$C$6,
                (S140 = 'Points-Table'!$A$7), 'Points-Table'!$C$7,
                (S140 = 'Points-Table'!$A$8), 'Points-Table'!$C$8,
                (S140 = 'Points-Table'!$A$9), 'Points-Table'!$C$9,
                (S140 = 'Points-Table'!$A$10), 'Points-Table'!$C$10,
                (S140 = 'Points-Table'!$A$11), 'Points-Table'!$C$11,
                (S140 = 'Points-Table'!$A$12), 'Points-Table'!$C$12,
                (S140 = 'Points-Table'!$A$13), 'Points-Table'!$C$13,
                true, 0
              )
            </f>
        <v>0</v>
      </c>
      <c r="U140" s="4">
        <v>1.0</v>
      </c>
      <c r="V140" s="5">
        <f>
              Ifs(
                (U140 = 'Points-Table'!$A$4), 'Points-Table'!$C$4,
                (U140 = 'Points-Table'!$A$5), 'Points-Table'!$C$5,
                (U140 = 'Points-Table'!$A$6), 'Points-Table'!$C$6,
                (U140 = 'Points-Table'!$A$7), 'Points-Table'!$C$7,
                (U140 = 'Points-Table'!$A$8), 'Points-Table'!$C$8,
                (U140 = 'Points-Table'!$A$9), 'Points-Table'!$C$9,
                (U140 = 'Points-Table'!$A$10), 'Points-Table'!$C$10,
                (U140 = 'Points-Table'!$A$11), 'Points-Table'!$C$11,
                (U140 = 'Points-Table'!$A$12), 'Points-Table'!$C$12,
                (U140 = 'Points-Table'!$A$13), 'Points-Table'!$C$13,
                true, 0
              )
            </f>
        <v>0.5</v>
      </c>
      <c r="W140" s="4">
        <v>0.0</v>
      </c>
      <c r="X140" s="5">
        <f>
              Ifs(
                (W140 = 'Points-Table'!$A$4), 'Points-Table'!$C$4,
                (W140 = 'Points-Table'!$A$5), 'Points-Table'!$C$5,
                (W140 = 'Points-Table'!$A$6), 'Points-Table'!$C$6,
                (W140 = 'Points-Table'!$A$7), 'Points-Table'!$C$7,
                (W140 = 'Points-Table'!$A$8), 'Points-Table'!$C$8,
                (W140 = 'Points-Table'!$A$9), 'Points-Table'!$C$9,
                (W140 = 'Points-Table'!$A$10), 'Points-Table'!$C$10,
                (W140 = 'Points-Table'!$A$11), 'Points-Table'!$C$11,
                (W140 = 'Points-Table'!$A$12), 'Points-Table'!$C$12,
                (W140 = 'Points-Table'!$A$13), 'Points-Table'!$C$13,
                true, 0
              )
            </f>
        <v>0</v>
      </c>
      <c r="Y140" s="4">
        <v>3.0</v>
      </c>
      <c r="Z140" s="5">
        <f>
              Ifs(
                (Y140 = 'Points-Table'!$A$4), 'Points-Table'!$C$4,
                (Y140 = 'Points-Table'!$A$5), 'Points-Table'!$C$5,
                (Y140 = 'Points-Table'!$A$6), 'Points-Table'!$C$6,
                (Y140 = 'Points-Table'!$A$7), 'Points-Table'!$C$7,
                (Y140 = 'Points-Table'!$A$8), 'Points-Table'!$C$8,
                (Y140 = 'Points-Table'!$A$9), 'Points-Table'!$C$9,
                (Y140 = 'Points-Table'!$A$10), 'Points-Table'!$C$10,
                (Y140 = 'Points-Table'!$A$11), 'Points-Table'!$C$11,
                (Y140 = 'Points-Table'!$A$12), 'Points-Table'!$C$12,
                (Y140 = 'Points-Table'!$A$13), 'Points-Table'!$C$13,
                true, 0
              )
            </f>
        <v>2</v>
      </c>
      <c r="AA140" s="3">
        <f t="shared" si="2"/>
        <v>2.5</v>
      </c>
      <c r="AB140" s="3" t="str">
        <f>IFERROR(__xludf.DUMMYFUNCTION("
      Ifs( 
        ISBETWEEN(AA140, 0, 'Points-Table'!C$20, TRUE, False), 'Points-Table'!A$20,
        ISBETWEEN(AA140, 'Points-Table'!C$20, 'Points-Table'!C$21, TRUE, False), 'Points-Table'!A$21,
        ISBETWEEN(AA140, 'Points-Table'!C$22, 10000, TRU"&amp;"E, TRUE), 'Points-Table'!A$22,
        true, 
        0)
      "),"S")</f>
        <v>S</v>
      </c>
      <c r="AC140" s="3" t="s">
        <v>29</v>
      </c>
      <c r="AD140" s="3" t="s">
        <v>29</v>
      </c>
      <c r="AE140" s="3" t="s">
        <v>29</v>
      </c>
    </row>
    <row r="141" ht="24.75" customHeight="1">
      <c r="A141" s="3" t="s">
        <v>331</v>
      </c>
      <c r="B141" s="3" t="s">
        <v>335</v>
      </c>
      <c r="C141" s="3"/>
      <c r="D141" s="3" t="s">
        <v>29</v>
      </c>
      <c r="E141" s="3"/>
      <c r="F141" s="3"/>
      <c r="G141" s="3"/>
      <c r="H141" s="3"/>
      <c r="I141" s="3"/>
      <c r="J141" s="3"/>
      <c r="K141" s="3" t="s">
        <v>27</v>
      </c>
      <c r="L141" s="3" t="s">
        <v>28</v>
      </c>
      <c r="M141" s="3"/>
      <c r="N141" s="3"/>
      <c r="O141" s="3"/>
      <c r="P141" s="3"/>
      <c r="Q141" s="4"/>
      <c r="R141" s="5">
        <f>
              Ifs(
                (Q141 = 'Points-Table'!$A$4), 'Points-Table'!$C$4,
                (Q141 = 'Points-Table'!$A$5), 'Points-Table'!$C$5,
                (Q141 = 'Points-Table'!$A$6), 'Points-Table'!$C$6,
                (Q141 = 'Points-Table'!$A$7), 'Points-Table'!$C$7,
                (Q141 = 'Points-Table'!$A$8), 'Points-Table'!$C$8,
                (Q141 = 'Points-Table'!$A$9), 'Points-Table'!$C$9,
                (Q141 = 'Points-Table'!$A$10), 'Points-Table'!$C$10,
                (Q141 = 'Points-Table'!$A$11), 'Points-Table'!$C$11,
                (Q141 = 'Points-Table'!$A$12), 'Points-Table'!$C$12,
                (Q141 = 'Points-Table'!$A$13), 'Points-Table'!$C$13,
                true, 0
              )
            </f>
        <v>0</v>
      </c>
      <c r="S141" s="4"/>
      <c r="T141" s="5">
        <f>
              Ifs(
                (S141 = 'Points-Table'!$A$4), 'Points-Table'!$C$4,
                (S141 = 'Points-Table'!$A$5), 'Points-Table'!$C$5,
                (S141 = 'Points-Table'!$A$6), 'Points-Table'!$C$6,
                (S141 = 'Points-Table'!$A$7), 'Points-Table'!$C$7,
                (S141 = 'Points-Table'!$A$8), 'Points-Table'!$C$8,
                (S141 = 'Points-Table'!$A$9), 'Points-Table'!$C$9,
                (S141 = 'Points-Table'!$A$10), 'Points-Table'!$C$10,
                (S141 = 'Points-Table'!$A$11), 'Points-Table'!$C$11,
                (S141 = 'Points-Table'!$A$12), 'Points-Table'!$C$12,
                (S141 = 'Points-Table'!$A$13), 'Points-Table'!$C$13,
                true, 0
              )
            </f>
        <v>0</v>
      </c>
      <c r="U141" s="4">
        <v>1.0</v>
      </c>
      <c r="V141" s="5">
        <f>
              Ifs(
                (U141 = 'Points-Table'!$A$4), 'Points-Table'!$C$4,
                (U141 = 'Points-Table'!$A$5), 'Points-Table'!$C$5,
                (U141 = 'Points-Table'!$A$6), 'Points-Table'!$C$6,
                (U141 = 'Points-Table'!$A$7), 'Points-Table'!$C$7,
                (U141 = 'Points-Table'!$A$8), 'Points-Table'!$C$8,
                (U141 = 'Points-Table'!$A$9), 'Points-Table'!$C$9,
                (U141 = 'Points-Table'!$A$10), 'Points-Table'!$C$10,
                (U141 = 'Points-Table'!$A$11), 'Points-Table'!$C$11,
                (U141 = 'Points-Table'!$A$12), 'Points-Table'!$C$12,
                (U141 = 'Points-Table'!$A$13), 'Points-Table'!$C$13,
                true, 0
              )
            </f>
        <v>0.5</v>
      </c>
      <c r="W141" s="4">
        <v>0.0</v>
      </c>
      <c r="X141" s="5">
        <f>
              Ifs(
                (W141 = 'Points-Table'!$A$4), 'Points-Table'!$C$4,
                (W141 = 'Points-Table'!$A$5), 'Points-Table'!$C$5,
                (W141 = 'Points-Table'!$A$6), 'Points-Table'!$C$6,
                (W141 = 'Points-Table'!$A$7), 'Points-Table'!$C$7,
                (W141 = 'Points-Table'!$A$8), 'Points-Table'!$C$8,
                (W141 = 'Points-Table'!$A$9), 'Points-Table'!$C$9,
                (W141 = 'Points-Table'!$A$10), 'Points-Table'!$C$10,
                (W141 = 'Points-Table'!$A$11), 'Points-Table'!$C$11,
                (W141 = 'Points-Table'!$A$12), 'Points-Table'!$C$12,
                (W141 = 'Points-Table'!$A$13), 'Points-Table'!$C$13,
                true, 0
              )
            </f>
        <v>0</v>
      </c>
      <c r="Y141" s="4">
        <v>3.0</v>
      </c>
      <c r="Z141" s="5">
        <f>
              Ifs(
                (Y141 = 'Points-Table'!$A$4), 'Points-Table'!$C$4,
                (Y141 = 'Points-Table'!$A$5), 'Points-Table'!$C$5,
                (Y141 = 'Points-Table'!$A$6), 'Points-Table'!$C$6,
                (Y141 = 'Points-Table'!$A$7), 'Points-Table'!$C$7,
                (Y141 = 'Points-Table'!$A$8), 'Points-Table'!$C$8,
                (Y141 = 'Points-Table'!$A$9), 'Points-Table'!$C$9,
                (Y141 = 'Points-Table'!$A$10), 'Points-Table'!$C$10,
                (Y141 = 'Points-Table'!$A$11), 'Points-Table'!$C$11,
                (Y141 = 'Points-Table'!$A$12), 'Points-Table'!$C$12,
                (Y141 = 'Points-Table'!$A$13), 'Points-Table'!$C$13,
                true, 0
              )
            </f>
        <v>2</v>
      </c>
      <c r="AA141" s="3">
        <f t="shared" si="2"/>
        <v>2.5</v>
      </c>
      <c r="AB141" s="3" t="str">
        <f>IFERROR(__xludf.DUMMYFUNCTION("
      Ifs( 
        ISBETWEEN(AA141, 0, 'Points-Table'!C$20, TRUE, False), 'Points-Table'!A$20,
        ISBETWEEN(AA141, 'Points-Table'!C$20, 'Points-Table'!C$21, TRUE, False), 'Points-Table'!A$21,
        ISBETWEEN(AA141, 'Points-Table'!C$22, 10000, TRU"&amp;"E, TRUE), 'Points-Table'!A$22,
        true, 
        0)
      "),"S")</f>
        <v>S</v>
      </c>
      <c r="AC141" s="3" t="s">
        <v>29</v>
      </c>
      <c r="AD141" s="3" t="s">
        <v>29</v>
      </c>
      <c r="AE141" s="3" t="s">
        <v>29</v>
      </c>
    </row>
    <row r="142" ht="24.75" customHeight="1">
      <c r="A142" s="3" t="s">
        <v>331</v>
      </c>
      <c r="B142" s="3" t="s">
        <v>336</v>
      </c>
      <c r="C142" s="3"/>
      <c r="D142" s="3"/>
      <c r="E142" s="3"/>
      <c r="F142" s="3"/>
      <c r="G142" s="3"/>
      <c r="H142" s="3"/>
      <c r="I142" s="3"/>
      <c r="J142" s="3"/>
      <c r="K142" s="3" t="s">
        <v>27</v>
      </c>
      <c r="L142" s="3" t="s">
        <v>28</v>
      </c>
      <c r="M142" s="3"/>
      <c r="N142" s="3"/>
      <c r="O142" s="3"/>
      <c r="P142" s="3"/>
      <c r="Q142" s="4"/>
      <c r="R142" s="5">
        <f>
              Ifs(
                (Q142 = 'Points-Table'!$A$4), 'Points-Table'!$C$4,
                (Q142 = 'Points-Table'!$A$5), 'Points-Table'!$C$5,
                (Q142 = 'Points-Table'!$A$6), 'Points-Table'!$C$6,
                (Q142 = 'Points-Table'!$A$7), 'Points-Table'!$C$7,
                (Q142 = 'Points-Table'!$A$8), 'Points-Table'!$C$8,
                (Q142 = 'Points-Table'!$A$9), 'Points-Table'!$C$9,
                (Q142 = 'Points-Table'!$A$10), 'Points-Table'!$C$10,
                (Q142 = 'Points-Table'!$A$11), 'Points-Table'!$C$11,
                (Q142 = 'Points-Table'!$A$12), 'Points-Table'!$C$12,
                (Q142 = 'Points-Table'!$A$13), 'Points-Table'!$C$13,
                true, 0
              )
            </f>
        <v>0</v>
      </c>
      <c r="S142" s="4"/>
      <c r="T142" s="5">
        <f>
              Ifs(
                (S142 = 'Points-Table'!$A$4), 'Points-Table'!$C$4,
                (S142 = 'Points-Table'!$A$5), 'Points-Table'!$C$5,
                (S142 = 'Points-Table'!$A$6), 'Points-Table'!$C$6,
                (S142 = 'Points-Table'!$A$7), 'Points-Table'!$C$7,
                (S142 = 'Points-Table'!$A$8), 'Points-Table'!$C$8,
                (S142 = 'Points-Table'!$A$9), 'Points-Table'!$C$9,
                (S142 = 'Points-Table'!$A$10), 'Points-Table'!$C$10,
                (S142 = 'Points-Table'!$A$11), 'Points-Table'!$C$11,
                (S142 = 'Points-Table'!$A$12), 'Points-Table'!$C$12,
                (S142 = 'Points-Table'!$A$13), 'Points-Table'!$C$13,
                true, 0
              )
            </f>
        <v>0</v>
      </c>
      <c r="U142" s="4">
        <v>1.0</v>
      </c>
      <c r="V142" s="5">
        <f>
              Ifs(
                (U142 = 'Points-Table'!$A$4), 'Points-Table'!$C$4,
                (U142 = 'Points-Table'!$A$5), 'Points-Table'!$C$5,
                (U142 = 'Points-Table'!$A$6), 'Points-Table'!$C$6,
                (U142 = 'Points-Table'!$A$7), 'Points-Table'!$C$7,
                (U142 = 'Points-Table'!$A$8), 'Points-Table'!$C$8,
                (U142 = 'Points-Table'!$A$9), 'Points-Table'!$C$9,
                (U142 = 'Points-Table'!$A$10), 'Points-Table'!$C$10,
                (U142 = 'Points-Table'!$A$11), 'Points-Table'!$C$11,
                (U142 = 'Points-Table'!$A$12), 'Points-Table'!$C$12,
                (U142 = 'Points-Table'!$A$13), 'Points-Table'!$C$13,
                true, 0
              )
            </f>
        <v>0.5</v>
      </c>
      <c r="W142" s="4">
        <v>0.0</v>
      </c>
      <c r="X142" s="5">
        <f>
              Ifs(
                (W142 = 'Points-Table'!$A$4), 'Points-Table'!$C$4,
                (W142 = 'Points-Table'!$A$5), 'Points-Table'!$C$5,
                (W142 = 'Points-Table'!$A$6), 'Points-Table'!$C$6,
                (W142 = 'Points-Table'!$A$7), 'Points-Table'!$C$7,
                (W142 = 'Points-Table'!$A$8), 'Points-Table'!$C$8,
                (W142 = 'Points-Table'!$A$9), 'Points-Table'!$C$9,
                (W142 = 'Points-Table'!$A$10), 'Points-Table'!$C$10,
                (W142 = 'Points-Table'!$A$11), 'Points-Table'!$C$11,
                (W142 = 'Points-Table'!$A$12), 'Points-Table'!$C$12,
                (W142 = 'Points-Table'!$A$13), 'Points-Table'!$C$13,
                true, 0
              )
            </f>
        <v>0</v>
      </c>
      <c r="Y142" s="4">
        <v>2.0</v>
      </c>
      <c r="Z142" s="5">
        <f>
              Ifs(
                (Y142 = 'Points-Table'!$A$4), 'Points-Table'!$C$4,
                (Y142 = 'Points-Table'!$A$5), 'Points-Table'!$C$5,
                (Y142 = 'Points-Table'!$A$6), 'Points-Table'!$C$6,
                (Y142 = 'Points-Table'!$A$7), 'Points-Table'!$C$7,
                (Y142 = 'Points-Table'!$A$8), 'Points-Table'!$C$8,
                (Y142 = 'Points-Table'!$A$9), 'Points-Table'!$C$9,
                (Y142 = 'Points-Table'!$A$10), 'Points-Table'!$C$10,
                (Y142 = 'Points-Table'!$A$11), 'Points-Table'!$C$11,
                (Y142 = 'Points-Table'!$A$12), 'Points-Table'!$C$12,
                (Y142 = 'Points-Table'!$A$13), 'Points-Table'!$C$13,
                true, 0
              )
            </f>
        <v>1</v>
      </c>
      <c r="AA142" s="3">
        <f t="shared" si="2"/>
        <v>1.5</v>
      </c>
      <c r="AB142" s="3" t="str">
        <f>IFERROR(__xludf.DUMMYFUNCTION("
      Ifs( 
        ISBETWEEN(AA142, 0, 'Points-Table'!C$20, TRUE, False), 'Points-Table'!A$20,
        ISBETWEEN(AA142, 'Points-Table'!C$20, 'Points-Table'!C$21, TRUE, False), 'Points-Table'!A$21,
        ISBETWEEN(AA142, 'Points-Table'!C$22, 10000, TRU"&amp;"E, TRUE), 'Points-Table'!A$22,
        true, 
        0)
      "),"S")</f>
        <v>S</v>
      </c>
      <c r="AC142" s="3" t="s">
        <v>29</v>
      </c>
      <c r="AD142" s="3" t="s">
        <v>29</v>
      </c>
      <c r="AE142" s="3" t="s">
        <v>29</v>
      </c>
    </row>
    <row r="143" ht="24.75" customHeight="1">
      <c r="A143" s="3" t="s">
        <v>331</v>
      </c>
      <c r="B143" s="3" t="s">
        <v>337</v>
      </c>
      <c r="C143" s="3"/>
      <c r="D143" s="3"/>
      <c r="E143" s="3"/>
      <c r="F143" s="3"/>
      <c r="G143" s="3"/>
      <c r="H143" s="3"/>
      <c r="I143" s="3"/>
      <c r="J143" s="3"/>
      <c r="K143" s="3" t="s">
        <v>27</v>
      </c>
      <c r="L143" s="3" t="s">
        <v>28</v>
      </c>
      <c r="M143" s="3"/>
      <c r="N143" s="3"/>
      <c r="O143" s="3"/>
      <c r="P143" s="3"/>
      <c r="Q143" s="4"/>
      <c r="R143" s="5">
        <f>
              Ifs(
                (Q143 = 'Points-Table'!$A$4), 'Points-Table'!$C$4,
                (Q143 = 'Points-Table'!$A$5), 'Points-Table'!$C$5,
                (Q143 = 'Points-Table'!$A$6), 'Points-Table'!$C$6,
                (Q143 = 'Points-Table'!$A$7), 'Points-Table'!$C$7,
                (Q143 = 'Points-Table'!$A$8), 'Points-Table'!$C$8,
                (Q143 = 'Points-Table'!$A$9), 'Points-Table'!$C$9,
                (Q143 = 'Points-Table'!$A$10), 'Points-Table'!$C$10,
                (Q143 = 'Points-Table'!$A$11), 'Points-Table'!$C$11,
                (Q143 = 'Points-Table'!$A$12), 'Points-Table'!$C$12,
                (Q143 = 'Points-Table'!$A$13), 'Points-Table'!$C$13,
                true, 0
              )
            </f>
        <v>0</v>
      </c>
      <c r="S143" s="4"/>
      <c r="T143" s="5">
        <f>
              Ifs(
                (S143 = 'Points-Table'!$A$4), 'Points-Table'!$C$4,
                (S143 = 'Points-Table'!$A$5), 'Points-Table'!$C$5,
                (S143 = 'Points-Table'!$A$6), 'Points-Table'!$C$6,
                (S143 = 'Points-Table'!$A$7), 'Points-Table'!$C$7,
                (S143 = 'Points-Table'!$A$8), 'Points-Table'!$C$8,
                (S143 = 'Points-Table'!$A$9), 'Points-Table'!$C$9,
                (S143 = 'Points-Table'!$A$10), 'Points-Table'!$C$10,
                (S143 = 'Points-Table'!$A$11), 'Points-Table'!$C$11,
                (S143 = 'Points-Table'!$A$12), 'Points-Table'!$C$12,
                (S143 = 'Points-Table'!$A$13), 'Points-Table'!$C$13,
                true, 0
              )
            </f>
        <v>0</v>
      </c>
      <c r="U143" s="4">
        <v>1.0</v>
      </c>
      <c r="V143" s="5">
        <f>
              Ifs(
                (U143 = 'Points-Table'!$A$4), 'Points-Table'!$C$4,
                (U143 = 'Points-Table'!$A$5), 'Points-Table'!$C$5,
                (U143 = 'Points-Table'!$A$6), 'Points-Table'!$C$6,
                (U143 = 'Points-Table'!$A$7), 'Points-Table'!$C$7,
                (U143 = 'Points-Table'!$A$8), 'Points-Table'!$C$8,
                (U143 = 'Points-Table'!$A$9), 'Points-Table'!$C$9,
                (U143 = 'Points-Table'!$A$10), 'Points-Table'!$C$10,
                (U143 = 'Points-Table'!$A$11), 'Points-Table'!$C$11,
                (U143 = 'Points-Table'!$A$12), 'Points-Table'!$C$12,
                (U143 = 'Points-Table'!$A$13), 'Points-Table'!$C$13,
                true, 0
              )
            </f>
        <v>0.5</v>
      </c>
      <c r="W143" s="4">
        <v>0.0</v>
      </c>
      <c r="X143" s="5">
        <f>
              Ifs(
                (W143 = 'Points-Table'!$A$4), 'Points-Table'!$C$4,
                (W143 = 'Points-Table'!$A$5), 'Points-Table'!$C$5,
                (W143 = 'Points-Table'!$A$6), 'Points-Table'!$C$6,
                (W143 = 'Points-Table'!$A$7), 'Points-Table'!$C$7,
                (W143 = 'Points-Table'!$A$8), 'Points-Table'!$C$8,
                (W143 = 'Points-Table'!$A$9), 'Points-Table'!$C$9,
                (W143 = 'Points-Table'!$A$10), 'Points-Table'!$C$10,
                (W143 = 'Points-Table'!$A$11), 'Points-Table'!$C$11,
                (W143 = 'Points-Table'!$A$12), 'Points-Table'!$C$12,
                (W143 = 'Points-Table'!$A$13), 'Points-Table'!$C$13,
                true, 0
              )
            </f>
        <v>0</v>
      </c>
      <c r="Y143" s="4">
        <v>3.0</v>
      </c>
      <c r="Z143" s="5">
        <f>
              Ifs(
                (Y143 = 'Points-Table'!$A$4), 'Points-Table'!$C$4,
                (Y143 = 'Points-Table'!$A$5), 'Points-Table'!$C$5,
                (Y143 = 'Points-Table'!$A$6), 'Points-Table'!$C$6,
                (Y143 = 'Points-Table'!$A$7), 'Points-Table'!$C$7,
                (Y143 = 'Points-Table'!$A$8), 'Points-Table'!$C$8,
                (Y143 = 'Points-Table'!$A$9), 'Points-Table'!$C$9,
                (Y143 = 'Points-Table'!$A$10), 'Points-Table'!$C$10,
                (Y143 = 'Points-Table'!$A$11), 'Points-Table'!$C$11,
                (Y143 = 'Points-Table'!$A$12), 'Points-Table'!$C$12,
                (Y143 = 'Points-Table'!$A$13), 'Points-Table'!$C$13,
                true, 0
              )
            </f>
        <v>2</v>
      </c>
      <c r="AA143" s="3">
        <f t="shared" si="2"/>
        <v>2.5</v>
      </c>
      <c r="AB143" s="3" t="str">
        <f>IFERROR(__xludf.DUMMYFUNCTION("
      Ifs( 
        ISBETWEEN(AA143, 0, 'Points-Table'!C$20, TRUE, False), 'Points-Table'!A$20,
        ISBETWEEN(AA143, 'Points-Table'!C$20, 'Points-Table'!C$21, TRUE, False), 'Points-Table'!A$21,
        ISBETWEEN(AA143, 'Points-Table'!C$22, 10000, TRU"&amp;"E, TRUE), 'Points-Table'!A$22,
        true, 
        0)
      "),"S")</f>
        <v>S</v>
      </c>
      <c r="AC143" s="3" t="s">
        <v>29</v>
      </c>
      <c r="AD143" s="3" t="s">
        <v>29</v>
      </c>
      <c r="AE143" s="3" t="s">
        <v>29</v>
      </c>
    </row>
    <row r="144" ht="24.75" customHeight="1">
      <c r="A144" s="3" t="s">
        <v>331</v>
      </c>
      <c r="B144" s="3" t="s">
        <v>338</v>
      </c>
      <c r="C144" s="3"/>
      <c r="D144" s="3"/>
      <c r="E144" s="3"/>
      <c r="F144" s="3"/>
      <c r="G144" s="3"/>
      <c r="H144" s="3"/>
      <c r="I144" s="3"/>
      <c r="J144" s="3"/>
      <c r="K144" s="3" t="s">
        <v>27</v>
      </c>
      <c r="L144" s="3" t="s">
        <v>28</v>
      </c>
      <c r="M144" s="3"/>
      <c r="N144" s="3"/>
      <c r="O144" s="3"/>
      <c r="P144" s="3"/>
      <c r="Q144" s="4"/>
      <c r="R144" s="5">
        <f>
              Ifs(
                (Q144 = 'Points-Table'!$A$4), 'Points-Table'!$C$4,
                (Q144 = 'Points-Table'!$A$5), 'Points-Table'!$C$5,
                (Q144 = 'Points-Table'!$A$6), 'Points-Table'!$C$6,
                (Q144 = 'Points-Table'!$A$7), 'Points-Table'!$C$7,
                (Q144 = 'Points-Table'!$A$8), 'Points-Table'!$C$8,
                (Q144 = 'Points-Table'!$A$9), 'Points-Table'!$C$9,
                (Q144 = 'Points-Table'!$A$10), 'Points-Table'!$C$10,
                (Q144 = 'Points-Table'!$A$11), 'Points-Table'!$C$11,
                (Q144 = 'Points-Table'!$A$12), 'Points-Table'!$C$12,
                (Q144 = 'Points-Table'!$A$13), 'Points-Table'!$C$13,
                true, 0
              )
            </f>
        <v>0</v>
      </c>
      <c r="S144" s="4"/>
      <c r="T144" s="5">
        <f>
              Ifs(
                (S144 = 'Points-Table'!$A$4), 'Points-Table'!$C$4,
                (S144 = 'Points-Table'!$A$5), 'Points-Table'!$C$5,
                (S144 = 'Points-Table'!$A$6), 'Points-Table'!$C$6,
                (S144 = 'Points-Table'!$A$7), 'Points-Table'!$C$7,
                (S144 = 'Points-Table'!$A$8), 'Points-Table'!$C$8,
                (S144 = 'Points-Table'!$A$9), 'Points-Table'!$C$9,
                (S144 = 'Points-Table'!$A$10), 'Points-Table'!$C$10,
                (S144 = 'Points-Table'!$A$11), 'Points-Table'!$C$11,
                (S144 = 'Points-Table'!$A$12), 'Points-Table'!$C$12,
                (S144 = 'Points-Table'!$A$13), 'Points-Table'!$C$13,
                true, 0
              )
            </f>
        <v>0</v>
      </c>
      <c r="U144" s="4">
        <v>1.0</v>
      </c>
      <c r="V144" s="5">
        <f>
              Ifs(
                (U144 = 'Points-Table'!$A$4), 'Points-Table'!$C$4,
                (U144 = 'Points-Table'!$A$5), 'Points-Table'!$C$5,
                (U144 = 'Points-Table'!$A$6), 'Points-Table'!$C$6,
                (U144 = 'Points-Table'!$A$7), 'Points-Table'!$C$7,
                (U144 = 'Points-Table'!$A$8), 'Points-Table'!$C$8,
                (U144 = 'Points-Table'!$A$9), 'Points-Table'!$C$9,
                (U144 = 'Points-Table'!$A$10), 'Points-Table'!$C$10,
                (U144 = 'Points-Table'!$A$11), 'Points-Table'!$C$11,
                (U144 = 'Points-Table'!$A$12), 'Points-Table'!$C$12,
                (U144 = 'Points-Table'!$A$13), 'Points-Table'!$C$13,
                true, 0
              )
            </f>
        <v>0.5</v>
      </c>
      <c r="W144" s="4">
        <v>0.0</v>
      </c>
      <c r="X144" s="5">
        <f>
              Ifs(
                (W144 = 'Points-Table'!$A$4), 'Points-Table'!$C$4,
                (W144 = 'Points-Table'!$A$5), 'Points-Table'!$C$5,
                (W144 = 'Points-Table'!$A$6), 'Points-Table'!$C$6,
                (W144 = 'Points-Table'!$A$7), 'Points-Table'!$C$7,
                (W144 = 'Points-Table'!$A$8), 'Points-Table'!$C$8,
                (W144 = 'Points-Table'!$A$9), 'Points-Table'!$C$9,
                (W144 = 'Points-Table'!$A$10), 'Points-Table'!$C$10,
                (W144 = 'Points-Table'!$A$11), 'Points-Table'!$C$11,
                (W144 = 'Points-Table'!$A$12), 'Points-Table'!$C$12,
                (W144 = 'Points-Table'!$A$13), 'Points-Table'!$C$13,
                true, 0
              )
            </f>
        <v>0</v>
      </c>
      <c r="Y144" s="4">
        <v>2.0</v>
      </c>
      <c r="Z144" s="5">
        <f>
              Ifs(
                (Y144 = 'Points-Table'!$A$4), 'Points-Table'!$C$4,
                (Y144 = 'Points-Table'!$A$5), 'Points-Table'!$C$5,
                (Y144 = 'Points-Table'!$A$6), 'Points-Table'!$C$6,
                (Y144 = 'Points-Table'!$A$7), 'Points-Table'!$C$7,
                (Y144 = 'Points-Table'!$A$8), 'Points-Table'!$C$8,
                (Y144 = 'Points-Table'!$A$9), 'Points-Table'!$C$9,
                (Y144 = 'Points-Table'!$A$10), 'Points-Table'!$C$10,
                (Y144 = 'Points-Table'!$A$11), 'Points-Table'!$C$11,
                (Y144 = 'Points-Table'!$A$12), 'Points-Table'!$C$12,
                (Y144 = 'Points-Table'!$A$13), 'Points-Table'!$C$13,
                true, 0
              )
            </f>
        <v>1</v>
      </c>
      <c r="AA144" s="3">
        <f t="shared" si="2"/>
        <v>1.5</v>
      </c>
      <c r="AB144" s="3" t="str">
        <f>IFERROR(__xludf.DUMMYFUNCTION("
      Ifs( 
        ISBETWEEN(AA144, 0, 'Points-Table'!C$20, TRUE, False), 'Points-Table'!A$20,
        ISBETWEEN(AA144, 'Points-Table'!C$20, 'Points-Table'!C$21, TRUE, False), 'Points-Table'!A$21,
        ISBETWEEN(AA144, 'Points-Table'!C$22, 10000, TRU"&amp;"E, TRUE), 'Points-Table'!A$22,
        true, 
        0)
      "),"S")</f>
        <v>S</v>
      </c>
      <c r="AC144" s="3" t="s">
        <v>29</v>
      </c>
      <c r="AD144" s="3" t="s">
        <v>29</v>
      </c>
      <c r="AE144" s="3" t="s">
        <v>29</v>
      </c>
    </row>
    <row r="145" ht="24.75" customHeight="1">
      <c r="A145" s="3" t="s">
        <v>331</v>
      </c>
      <c r="B145" s="3" t="s">
        <v>339</v>
      </c>
      <c r="C145" s="3" t="s">
        <v>340</v>
      </c>
      <c r="D145" s="3"/>
      <c r="E145" s="3"/>
      <c r="F145" s="3" t="s">
        <v>341</v>
      </c>
      <c r="G145" s="3"/>
      <c r="H145" s="3"/>
      <c r="I145" s="3"/>
      <c r="J145" s="3"/>
      <c r="K145" s="3" t="s">
        <v>27</v>
      </c>
      <c r="L145" s="3" t="s">
        <v>28</v>
      </c>
      <c r="M145" s="3"/>
      <c r="N145" s="3"/>
      <c r="O145" s="3"/>
      <c r="P145" s="3"/>
      <c r="Q145" s="4"/>
      <c r="R145" s="5">
        <f>
              Ifs(
                (Q145 = 'Points-Table'!$A$4), 'Points-Table'!$C$4,
                (Q145 = 'Points-Table'!$A$5), 'Points-Table'!$C$5,
                (Q145 = 'Points-Table'!$A$6), 'Points-Table'!$C$6,
                (Q145 = 'Points-Table'!$A$7), 'Points-Table'!$C$7,
                (Q145 = 'Points-Table'!$A$8), 'Points-Table'!$C$8,
                (Q145 = 'Points-Table'!$A$9), 'Points-Table'!$C$9,
                (Q145 = 'Points-Table'!$A$10), 'Points-Table'!$C$10,
                (Q145 = 'Points-Table'!$A$11), 'Points-Table'!$C$11,
                (Q145 = 'Points-Table'!$A$12), 'Points-Table'!$C$12,
                (Q145 = 'Points-Table'!$A$13), 'Points-Table'!$C$13,
                true, 0
              )
            </f>
        <v>0</v>
      </c>
      <c r="S145" s="4"/>
      <c r="T145" s="5">
        <f>
              Ifs(
                (S145 = 'Points-Table'!$A$4), 'Points-Table'!$C$4,
                (S145 = 'Points-Table'!$A$5), 'Points-Table'!$C$5,
                (S145 = 'Points-Table'!$A$6), 'Points-Table'!$C$6,
                (S145 = 'Points-Table'!$A$7), 'Points-Table'!$C$7,
                (S145 = 'Points-Table'!$A$8), 'Points-Table'!$C$8,
                (S145 = 'Points-Table'!$A$9), 'Points-Table'!$C$9,
                (S145 = 'Points-Table'!$A$10), 'Points-Table'!$C$10,
                (S145 = 'Points-Table'!$A$11), 'Points-Table'!$C$11,
                (S145 = 'Points-Table'!$A$12), 'Points-Table'!$C$12,
                (S145 = 'Points-Table'!$A$13), 'Points-Table'!$C$13,
                true, 0
              )
            </f>
        <v>0</v>
      </c>
      <c r="U145" s="4">
        <v>5.0</v>
      </c>
      <c r="V145" s="5">
        <f>
              Ifs(
                (U145 = 'Points-Table'!$A$4), 'Points-Table'!$C$4,
                (U145 = 'Points-Table'!$A$5), 'Points-Table'!$C$5,
                (U145 = 'Points-Table'!$A$6), 'Points-Table'!$C$6,
                (U145 = 'Points-Table'!$A$7), 'Points-Table'!$C$7,
                (U145 = 'Points-Table'!$A$8), 'Points-Table'!$C$8,
                (U145 = 'Points-Table'!$A$9), 'Points-Table'!$C$9,
                (U145 = 'Points-Table'!$A$10), 'Points-Table'!$C$10,
                (U145 = 'Points-Table'!$A$11), 'Points-Table'!$C$11,
                (U145 = 'Points-Table'!$A$12), 'Points-Table'!$C$12,
                (U145 = 'Points-Table'!$A$13), 'Points-Table'!$C$13,
                true, 0
              )
            </f>
        <v>4</v>
      </c>
      <c r="W145" s="4">
        <v>2.0</v>
      </c>
      <c r="X145" s="5">
        <f>
              Ifs(
                (W145 = 'Points-Table'!$A$4), 'Points-Table'!$C$4,
                (W145 = 'Points-Table'!$A$5), 'Points-Table'!$C$5,
                (W145 = 'Points-Table'!$A$6), 'Points-Table'!$C$6,
                (W145 = 'Points-Table'!$A$7), 'Points-Table'!$C$7,
                (W145 = 'Points-Table'!$A$8), 'Points-Table'!$C$8,
                (W145 = 'Points-Table'!$A$9), 'Points-Table'!$C$9,
                (W145 = 'Points-Table'!$A$10), 'Points-Table'!$C$10,
                (W145 = 'Points-Table'!$A$11), 'Points-Table'!$C$11,
                (W145 = 'Points-Table'!$A$12), 'Points-Table'!$C$12,
                (W145 = 'Points-Table'!$A$13), 'Points-Table'!$C$13,
                true, 0
              )
            </f>
        <v>1</v>
      </c>
      <c r="Y145" s="4">
        <v>13.0</v>
      </c>
      <c r="Z145" s="5">
        <f>
              Ifs(
                (Y145 = 'Points-Table'!$A$4), 'Points-Table'!$C$4,
                (Y145 = 'Points-Table'!$A$5), 'Points-Table'!$C$5,
                (Y145 = 'Points-Table'!$A$6), 'Points-Table'!$C$6,
                (Y145 = 'Points-Table'!$A$7), 'Points-Table'!$C$7,
                (Y145 = 'Points-Table'!$A$8), 'Points-Table'!$C$8,
                (Y145 = 'Points-Table'!$A$9), 'Points-Table'!$C$9,
                (Y145 = 'Points-Table'!$A$10), 'Points-Table'!$C$10,
                (Y145 = 'Points-Table'!$A$11), 'Points-Table'!$C$11,
                (Y145 = 'Points-Table'!$A$12), 'Points-Table'!$C$12,
                (Y145 = 'Points-Table'!$A$13), 'Points-Table'!$C$13,
                true, 0
              )
            </f>
        <v>11</v>
      </c>
      <c r="AA145" s="3">
        <f t="shared" si="2"/>
        <v>16</v>
      </c>
      <c r="AB145" s="3" t="str">
        <f>IFERROR(__xludf.DUMMYFUNCTION("
      Ifs( 
        ISBETWEEN(AA145, 0, 'Points-Table'!C$20, TRUE, False), 'Points-Table'!A$20,
        ISBETWEEN(AA145, 'Points-Table'!C$20, 'Points-Table'!C$21, TRUE, False), 'Points-Table'!A$21,
        ISBETWEEN(AA145, 'Points-Table'!C$22, 10000, TRU"&amp;"E, TRUE), 'Points-Table'!A$22,
        true, 
        0)
      "),"S")</f>
        <v>S</v>
      </c>
      <c r="AC145" s="3" t="s">
        <v>29</v>
      </c>
      <c r="AD145" s="3" t="s">
        <v>29</v>
      </c>
      <c r="AE145" s="3" t="s">
        <v>29</v>
      </c>
    </row>
    <row r="146" ht="24.75" customHeight="1">
      <c r="A146" s="3" t="s">
        <v>331</v>
      </c>
      <c r="B146" s="3" t="s">
        <v>339</v>
      </c>
      <c r="C146" s="3" t="s">
        <v>342</v>
      </c>
      <c r="D146" s="3"/>
      <c r="E146" s="3"/>
      <c r="F146" s="3"/>
      <c r="G146" s="3"/>
      <c r="H146" s="3"/>
      <c r="I146" s="3"/>
      <c r="J146" s="3"/>
      <c r="K146" s="3" t="s">
        <v>27</v>
      </c>
      <c r="L146" s="3" t="s">
        <v>28</v>
      </c>
      <c r="M146" s="3"/>
      <c r="N146" s="3"/>
      <c r="O146" s="3"/>
      <c r="P146" s="3"/>
      <c r="Q146" s="4"/>
      <c r="R146" s="5">
        <f>
              Ifs(
                (Q146 = 'Points-Table'!$A$4), 'Points-Table'!$C$4,
                (Q146 = 'Points-Table'!$A$5), 'Points-Table'!$C$5,
                (Q146 = 'Points-Table'!$A$6), 'Points-Table'!$C$6,
                (Q146 = 'Points-Table'!$A$7), 'Points-Table'!$C$7,
                (Q146 = 'Points-Table'!$A$8), 'Points-Table'!$C$8,
                (Q146 = 'Points-Table'!$A$9), 'Points-Table'!$C$9,
                (Q146 = 'Points-Table'!$A$10), 'Points-Table'!$C$10,
                (Q146 = 'Points-Table'!$A$11), 'Points-Table'!$C$11,
                (Q146 = 'Points-Table'!$A$12), 'Points-Table'!$C$12,
                (Q146 = 'Points-Table'!$A$13), 'Points-Table'!$C$13,
                true, 0
              )
            </f>
        <v>0</v>
      </c>
      <c r="S146" s="4"/>
      <c r="T146" s="5">
        <f>
              Ifs(
                (S146 = 'Points-Table'!$A$4), 'Points-Table'!$C$4,
                (S146 = 'Points-Table'!$A$5), 'Points-Table'!$C$5,
                (S146 = 'Points-Table'!$A$6), 'Points-Table'!$C$6,
                (S146 = 'Points-Table'!$A$7), 'Points-Table'!$C$7,
                (S146 = 'Points-Table'!$A$8), 'Points-Table'!$C$8,
                (S146 = 'Points-Table'!$A$9), 'Points-Table'!$C$9,
                (S146 = 'Points-Table'!$A$10), 'Points-Table'!$C$10,
                (S146 = 'Points-Table'!$A$11), 'Points-Table'!$C$11,
                (S146 = 'Points-Table'!$A$12), 'Points-Table'!$C$12,
                (S146 = 'Points-Table'!$A$13), 'Points-Table'!$C$13,
                true, 0
              )
            </f>
        <v>0</v>
      </c>
      <c r="U146" s="4">
        <v>5.0</v>
      </c>
      <c r="V146" s="5">
        <f>
              Ifs(
                (U146 = 'Points-Table'!$A$4), 'Points-Table'!$C$4,
                (U146 = 'Points-Table'!$A$5), 'Points-Table'!$C$5,
                (U146 = 'Points-Table'!$A$6), 'Points-Table'!$C$6,
                (U146 = 'Points-Table'!$A$7), 'Points-Table'!$C$7,
                (U146 = 'Points-Table'!$A$8), 'Points-Table'!$C$8,
                (U146 = 'Points-Table'!$A$9), 'Points-Table'!$C$9,
                (U146 = 'Points-Table'!$A$10), 'Points-Table'!$C$10,
                (U146 = 'Points-Table'!$A$11), 'Points-Table'!$C$11,
                (U146 = 'Points-Table'!$A$12), 'Points-Table'!$C$12,
                (U146 = 'Points-Table'!$A$13), 'Points-Table'!$C$13,
                true, 0
              )
            </f>
        <v>4</v>
      </c>
      <c r="W146" s="4">
        <v>1.0</v>
      </c>
      <c r="X146" s="5">
        <f>
              Ifs(
                (W146 = 'Points-Table'!$A$4), 'Points-Table'!$C$4,
                (W146 = 'Points-Table'!$A$5), 'Points-Table'!$C$5,
                (W146 = 'Points-Table'!$A$6), 'Points-Table'!$C$6,
                (W146 = 'Points-Table'!$A$7), 'Points-Table'!$C$7,
                (W146 = 'Points-Table'!$A$8), 'Points-Table'!$C$8,
                (W146 = 'Points-Table'!$A$9), 'Points-Table'!$C$9,
                (W146 = 'Points-Table'!$A$10), 'Points-Table'!$C$10,
                (W146 = 'Points-Table'!$A$11), 'Points-Table'!$C$11,
                (W146 = 'Points-Table'!$A$12), 'Points-Table'!$C$12,
                (W146 = 'Points-Table'!$A$13), 'Points-Table'!$C$13,
                true, 0
              )
            </f>
        <v>0.5</v>
      </c>
      <c r="Y146" s="4">
        <v>8.0</v>
      </c>
      <c r="Z146" s="5">
        <f>
              Ifs(
                (Y146 = 'Points-Table'!$A$4), 'Points-Table'!$C$4,
                (Y146 = 'Points-Table'!$A$5), 'Points-Table'!$C$5,
                (Y146 = 'Points-Table'!$A$6), 'Points-Table'!$C$6,
                (Y146 = 'Points-Table'!$A$7), 'Points-Table'!$C$7,
                (Y146 = 'Points-Table'!$A$8), 'Points-Table'!$C$8,
                (Y146 = 'Points-Table'!$A$9), 'Points-Table'!$C$9,
                (Y146 = 'Points-Table'!$A$10), 'Points-Table'!$C$10,
                (Y146 = 'Points-Table'!$A$11), 'Points-Table'!$C$11,
                (Y146 = 'Points-Table'!$A$12), 'Points-Table'!$C$12,
                (Y146 = 'Points-Table'!$A$13), 'Points-Table'!$C$13,
                true, 0
              )
            </f>
        <v>7</v>
      </c>
      <c r="AA146" s="3">
        <f t="shared" si="2"/>
        <v>11.5</v>
      </c>
      <c r="AB146" s="3" t="str">
        <f>IFERROR(__xludf.DUMMYFUNCTION("
      Ifs( 
        ISBETWEEN(AA146, 0, 'Points-Table'!C$20, TRUE, False), 'Points-Table'!A$20,
        ISBETWEEN(AA146, 'Points-Table'!C$20, 'Points-Table'!C$21, TRUE, False), 'Points-Table'!A$21,
        ISBETWEEN(AA146, 'Points-Table'!C$22, 10000, TRU"&amp;"E, TRUE), 'Points-Table'!A$22,
        true, 
        0)
      "),"S")</f>
        <v>S</v>
      </c>
      <c r="AC146" s="3" t="s">
        <v>29</v>
      </c>
      <c r="AD146" s="3" t="s">
        <v>29</v>
      </c>
      <c r="AE146" s="3" t="s">
        <v>29</v>
      </c>
    </row>
    <row r="147" ht="24.75" customHeight="1">
      <c r="A147" s="3" t="s">
        <v>331</v>
      </c>
      <c r="B147" s="3" t="s">
        <v>343</v>
      </c>
      <c r="C147" s="3" t="s">
        <v>344</v>
      </c>
      <c r="D147" s="3"/>
      <c r="E147" s="3"/>
      <c r="F147" s="3"/>
      <c r="G147" s="3"/>
      <c r="H147" s="3"/>
      <c r="I147" s="3"/>
      <c r="J147" s="3"/>
      <c r="K147" s="3" t="s">
        <v>27</v>
      </c>
      <c r="L147" s="3" t="s">
        <v>28</v>
      </c>
      <c r="M147" s="3"/>
      <c r="N147" s="3"/>
      <c r="O147" s="3"/>
      <c r="P147" s="3"/>
      <c r="Q147" s="4"/>
      <c r="R147" s="5">
        <f>
              Ifs(
                (Q147 = 'Points-Table'!$A$4), 'Points-Table'!$C$4,
                (Q147 = 'Points-Table'!$A$5), 'Points-Table'!$C$5,
                (Q147 = 'Points-Table'!$A$6), 'Points-Table'!$C$6,
                (Q147 = 'Points-Table'!$A$7), 'Points-Table'!$C$7,
                (Q147 = 'Points-Table'!$A$8), 'Points-Table'!$C$8,
                (Q147 = 'Points-Table'!$A$9), 'Points-Table'!$C$9,
                (Q147 = 'Points-Table'!$A$10), 'Points-Table'!$C$10,
                (Q147 = 'Points-Table'!$A$11), 'Points-Table'!$C$11,
                (Q147 = 'Points-Table'!$A$12), 'Points-Table'!$C$12,
                (Q147 = 'Points-Table'!$A$13), 'Points-Table'!$C$13,
                true, 0
              )
            </f>
        <v>0</v>
      </c>
      <c r="S147" s="4"/>
      <c r="T147" s="5">
        <f>
              Ifs(
                (S147 = 'Points-Table'!$A$4), 'Points-Table'!$C$4,
                (S147 = 'Points-Table'!$A$5), 'Points-Table'!$C$5,
                (S147 = 'Points-Table'!$A$6), 'Points-Table'!$C$6,
                (S147 = 'Points-Table'!$A$7), 'Points-Table'!$C$7,
                (S147 = 'Points-Table'!$A$8), 'Points-Table'!$C$8,
                (S147 = 'Points-Table'!$A$9), 'Points-Table'!$C$9,
                (S147 = 'Points-Table'!$A$10), 'Points-Table'!$C$10,
                (S147 = 'Points-Table'!$A$11), 'Points-Table'!$C$11,
                (S147 = 'Points-Table'!$A$12), 'Points-Table'!$C$12,
                (S147 = 'Points-Table'!$A$13), 'Points-Table'!$C$13,
                true, 0
              )
            </f>
        <v>0</v>
      </c>
      <c r="U147" s="4">
        <v>5.0</v>
      </c>
      <c r="V147" s="5">
        <f>
              Ifs(
                (U147 = 'Points-Table'!$A$4), 'Points-Table'!$C$4,
                (U147 = 'Points-Table'!$A$5), 'Points-Table'!$C$5,
                (U147 = 'Points-Table'!$A$6), 'Points-Table'!$C$6,
                (U147 = 'Points-Table'!$A$7), 'Points-Table'!$C$7,
                (U147 = 'Points-Table'!$A$8), 'Points-Table'!$C$8,
                (U147 = 'Points-Table'!$A$9), 'Points-Table'!$C$9,
                (U147 = 'Points-Table'!$A$10), 'Points-Table'!$C$10,
                (U147 = 'Points-Table'!$A$11), 'Points-Table'!$C$11,
                (U147 = 'Points-Table'!$A$12), 'Points-Table'!$C$12,
                (U147 = 'Points-Table'!$A$13), 'Points-Table'!$C$13,
                true, 0
              )
            </f>
        <v>4</v>
      </c>
      <c r="W147" s="4">
        <v>1.0</v>
      </c>
      <c r="X147" s="5">
        <f>
              Ifs(
                (W147 = 'Points-Table'!$A$4), 'Points-Table'!$C$4,
                (W147 = 'Points-Table'!$A$5), 'Points-Table'!$C$5,
                (W147 = 'Points-Table'!$A$6), 'Points-Table'!$C$6,
                (W147 = 'Points-Table'!$A$7), 'Points-Table'!$C$7,
                (W147 = 'Points-Table'!$A$8), 'Points-Table'!$C$8,
                (W147 = 'Points-Table'!$A$9), 'Points-Table'!$C$9,
                (W147 = 'Points-Table'!$A$10), 'Points-Table'!$C$10,
                (W147 = 'Points-Table'!$A$11), 'Points-Table'!$C$11,
                (W147 = 'Points-Table'!$A$12), 'Points-Table'!$C$12,
                (W147 = 'Points-Table'!$A$13), 'Points-Table'!$C$13,
                true, 0
              )
            </f>
        <v>0.5</v>
      </c>
      <c r="Y147" s="4">
        <v>5.0</v>
      </c>
      <c r="Z147" s="5">
        <f>
              Ifs(
                (Y147 = 'Points-Table'!$A$4), 'Points-Table'!$C$4,
                (Y147 = 'Points-Table'!$A$5), 'Points-Table'!$C$5,
                (Y147 = 'Points-Table'!$A$6), 'Points-Table'!$C$6,
                (Y147 = 'Points-Table'!$A$7), 'Points-Table'!$C$7,
                (Y147 = 'Points-Table'!$A$8), 'Points-Table'!$C$8,
                (Y147 = 'Points-Table'!$A$9), 'Points-Table'!$C$9,
                (Y147 = 'Points-Table'!$A$10), 'Points-Table'!$C$10,
                (Y147 = 'Points-Table'!$A$11), 'Points-Table'!$C$11,
                (Y147 = 'Points-Table'!$A$12), 'Points-Table'!$C$12,
                (Y147 = 'Points-Table'!$A$13), 'Points-Table'!$C$13,
                true, 0
              )
            </f>
        <v>4</v>
      </c>
      <c r="AA147" s="3">
        <f t="shared" si="2"/>
        <v>8.5</v>
      </c>
      <c r="AB147" s="3" t="str">
        <f>IFERROR(__xludf.DUMMYFUNCTION("
      Ifs( 
        ISBETWEEN(AA147, 0, 'Points-Table'!C$20, TRUE, False), 'Points-Table'!A$20,
        ISBETWEEN(AA147, 'Points-Table'!C$20, 'Points-Table'!C$21, TRUE, False), 'Points-Table'!A$21,
        ISBETWEEN(AA147, 'Points-Table'!C$22, 10000, TRU"&amp;"E, TRUE), 'Points-Table'!A$22,
        true, 
        0)
      "),"S")</f>
        <v>S</v>
      </c>
      <c r="AC147" s="3" t="s">
        <v>29</v>
      </c>
      <c r="AD147" s="3" t="s">
        <v>29</v>
      </c>
      <c r="AE147" s="3" t="s">
        <v>29</v>
      </c>
    </row>
    <row r="148" ht="24.75" customHeight="1">
      <c r="A148" s="3" t="s">
        <v>331</v>
      </c>
      <c r="B148" s="3" t="s">
        <v>343</v>
      </c>
      <c r="C148" s="3" t="s">
        <v>345</v>
      </c>
      <c r="D148" s="3"/>
      <c r="E148" s="3"/>
      <c r="F148" s="3"/>
      <c r="G148" s="3"/>
      <c r="H148" s="3"/>
      <c r="I148" s="3"/>
      <c r="J148" s="3"/>
      <c r="K148" s="3" t="s">
        <v>27</v>
      </c>
      <c r="L148" s="3" t="s">
        <v>28</v>
      </c>
      <c r="M148" s="3"/>
      <c r="N148" s="3"/>
      <c r="O148" s="3"/>
      <c r="P148" s="3"/>
      <c r="Q148" s="4"/>
      <c r="R148" s="5">
        <f>
              Ifs(
                (Q148 = 'Points-Table'!$A$4), 'Points-Table'!$C$4,
                (Q148 = 'Points-Table'!$A$5), 'Points-Table'!$C$5,
                (Q148 = 'Points-Table'!$A$6), 'Points-Table'!$C$6,
                (Q148 = 'Points-Table'!$A$7), 'Points-Table'!$C$7,
                (Q148 = 'Points-Table'!$A$8), 'Points-Table'!$C$8,
                (Q148 = 'Points-Table'!$A$9), 'Points-Table'!$C$9,
                (Q148 = 'Points-Table'!$A$10), 'Points-Table'!$C$10,
                (Q148 = 'Points-Table'!$A$11), 'Points-Table'!$C$11,
                (Q148 = 'Points-Table'!$A$12), 'Points-Table'!$C$12,
                (Q148 = 'Points-Table'!$A$13), 'Points-Table'!$C$13,
                true, 0
              )
            </f>
        <v>0</v>
      </c>
      <c r="S148" s="4"/>
      <c r="T148" s="5">
        <f>
              Ifs(
                (S148 = 'Points-Table'!$A$4), 'Points-Table'!$C$4,
                (S148 = 'Points-Table'!$A$5), 'Points-Table'!$C$5,
                (S148 = 'Points-Table'!$A$6), 'Points-Table'!$C$6,
                (S148 = 'Points-Table'!$A$7), 'Points-Table'!$C$7,
                (S148 = 'Points-Table'!$A$8), 'Points-Table'!$C$8,
                (S148 = 'Points-Table'!$A$9), 'Points-Table'!$C$9,
                (S148 = 'Points-Table'!$A$10), 'Points-Table'!$C$10,
                (S148 = 'Points-Table'!$A$11), 'Points-Table'!$C$11,
                (S148 = 'Points-Table'!$A$12), 'Points-Table'!$C$12,
                (S148 = 'Points-Table'!$A$13), 'Points-Table'!$C$13,
                true, 0
              )
            </f>
        <v>0</v>
      </c>
      <c r="U148" s="4">
        <v>5.0</v>
      </c>
      <c r="V148" s="5">
        <f>
              Ifs(
                (U148 = 'Points-Table'!$A$4), 'Points-Table'!$C$4,
                (U148 = 'Points-Table'!$A$5), 'Points-Table'!$C$5,
                (U148 = 'Points-Table'!$A$6), 'Points-Table'!$C$6,
                (U148 = 'Points-Table'!$A$7), 'Points-Table'!$C$7,
                (U148 = 'Points-Table'!$A$8), 'Points-Table'!$C$8,
                (U148 = 'Points-Table'!$A$9), 'Points-Table'!$C$9,
                (U148 = 'Points-Table'!$A$10), 'Points-Table'!$C$10,
                (U148 = 'Points-Table'!$A$11), 'Points-Table'!$C$11,
                (U148 = 'Points-Table'!$A$12), 'Points-Table'!$C$12,
                (U148 = 'Points-Table'!$A$13), 'Points-Table'!$C$13,
                true, 0
              )
            </f>
        <v>4</v>
      </c>
      <c r="W148" s="4">
        <v>1.0</v>
      </c>
      <c r="X148" s="5">
        <f>
              Ifs(
                (W148 = 'Points-Table'!$A$4), 'Points-Table'!$C$4,
                (W148 = 'Points-Table'!$A$5), 'Points-Table'!$C$5,
                (W148 = 'Points-Table'!$A$6), 'Points-Table'!$C$6,
                (W148 = 'Points-Table'!$A$7), 'Points-Table'!$C$7,
                (W148 = 'Points-Table'!$A$8), 'Points-Table'!$C$8,
                (W148 = 'Points-Table'!$A$9), 'Points-Table'!$C$9,
                (W148 = 'Points-Table'!$A$10), 'Points-Table'!$C$10,
                (W148 = 'Points-Table'!$A$11), 'Points-Table'!$C$11,
                (W148 = 'Points-Table'!$A$12), 'Points-Table'!$C$12,
                (W148 = 'Points-Table'!$A$13), 'Points-Table'!$C$13,
                true, 0
              )
            </f>
        <v>0.5</v>
      </c>
      <c r="Y148" s="4">
        <v>5.0</v>
      </c>
      <c r="Z148" s="5">
        <f>
              Ifs(
                (Y148 = 'Points-Table'!$A$4), 'Points-Table'!$C$4,
                (Y148 = 'Points-Table'!$A$5), 'Points-Table'!$C$5,
                (Y148 = 'Points-Table'!$A$6), 'Points-Table'!$C$6,
                (Y148 = 'Points-Table'!$A$7), 'Points-Table'!$C$7,
                (Y148 = 'Points-Table'!$A$8), 'Points-Table'!$C$8,
                (Y148 = 'Points-Table'!$A$9), 'Points-Table'!$C$9,
                (Y148 = 'Points-Table'!$A$10), 'Points-Table'!$C$10,
                (Y148 = 'Points-Table'!$A$11), 'Points-Table'!$C$11,
                (Y148 = 'Points-Table'!$A$12), 'Points-Table'!$C$12,
                (Y148 = 'Points-Table'!$A$13), 'Points-Table'!$C$13,
                true, 0
              )
            </f>
        <v>4</v>
      </c>
      <c r="AA148" s="3">
        <f t="shared" si="2"/>
        <v>8.5</v>
      </c>
      <c r="AB148" s="3" t="str">
        <f>IFERROR(__xludf.DUMMYFUNCTION("
      Ifs( 
        ISBETWEEN(AA148, 0, 'Points-Table'!C$20, TRUE, False), 'Points-Table'!A$20,
        ISBETWEEN(AA148, 'Points-Table'!C$20, 'Points-Table'!C$21, TRUE, False), 'Points-Table'!A$21,
        ISBETWEEN(AA148, 'Points-Table'!C$22, 10000, TRU"&amp;"E, TRUE), 'Points-Table'!A$22,
        true, 
        0)
      "),"S")</f>
        <v>S</v>
      </c>
      <c r="AC148" s="3" t="s">
        <v>29</v>
      </c>
      <c r="AD148" s="3" t="s">
        <v>29</v>
      </c>
      <c r="AE148" s="3" t="s">
        <v>29</v>
      </c>
    </row>
    <row r="149" ht="24.75" customHeight="1">
      <c r="A149" s="3" t="s">
        <v>331</v>
      </c>
      <c r="B149" s="3" t="s">
        <v>343</v>
      </c>
      <c r="C149" s="3" t="s">
        <v>346</v>
      </c>
      <c r="D149" s="3"/>
      <c r="E149" s="3"/>
      <c r="F149" s="3"/>
      <c r="G149" s="3"/>
      <c r="H149" s="3"/>
      <c r="I149" s="3"/>
      <c r="J149" s="3"/>
      <c r="K149" s="3" t="s">
        <v>27</v>
      </c>
      <c r="L149" s="3" t="s">
        <v>28</v>
      </c>
      <c r="M149" s="3"/>
      <c r="N149" s="3"/>
      <c r="O149" s="3"/>
      <c r="P149" s="3"/>
      <c r="Q149" s="4"/>
      <c r="R149" s="5">
        <f>
              Ifs(
                (Q149 = 'Points-Table'!$A$4), 'Points-Table'!$C$4,
                (Q149 = 'Points-Table'!$A$5), 'Points-Table'!$C$5,
                (Q149 = 'Points-Table'!$A$6), 'Points-Table'!$C$6,
                (Q149 = 'Points-Table'!$A$7), 'Points-Table'!$C$7,
                (Q149 = 'Points-Table'!$A$8), 'Points-Table'!$C$8,
                (Q149 = 'Points-Table'!$A$9), 'Points-Table'!$C$9,
                (Q149 = 'Points-Table'!$A$10), 'Points-Table'!$C$10,
                (Q149 = 'Points-Table'!$A$11), 'Points-Table'!$C$11,
                (Q149 = 'Points-Table'!$A$12), 'Points-Table'!$C$12,
                (Q149 = 'Points-Table'!$A$13), 'Points-Table'!$C$13,
                true, 0
              )
            </f>
        <v>0</v>
      </c>
      <c r="S149" s="4"/>
      <c r="T149" s="5">
        <f>
              Ifs(
                (S149 = 'Points-Table'!$A$4), 'Points-Table'!$C$4,
                (S149 = 'Points-Table'!$A$5), 'Points-Table'!$C$5,
                (S149 = 'Points-Table'!$A$6), 'Points-Table'!$C$6,
                (S149 = 'Points-Table'!$A$7), 'Points-Table'!$C$7,
                (S149 = 'Points-Table'!$A$8), 'Points-Table'!$C$8,
                (S149 = 'Points-Table'!$A$9), 'Points-Table'!$C$9,
                (S149 = 'Points-Table'!$A$10), 'Points-Table'!$C$10,
                (S149 = 'Points-Table'!$A$11), 'Points-Table'!$C$11,
                (S149 = 'Points-Table'!$A$12), 'Points-Table'!$C$12,
                (S149 = 'Points-Table'!$A$13), 'Points-Table'!$C$13,
                true, 0
              )
            </f>
        <v>0</v>
      </c>
      <c r="U149" s="4">
        <v>3.0</v>
      </c>
      <c r="V149" s="5">
        <f>
              Ifs(
                (U149 = 'Points-Table'!$A$4), 'Points-Table'!$C$4,
                (U149 = 'Points-Table'!$A$5), 'Points-Table'!$C$5,
                (U149 = 'Points-Table'!$A$6), 'Points-Table'!$C$6,
                (U149 = 'Points-Table'!$A$7), 'Points-Table'!$C$7,
                (U149 = 'Points-Table'!$A$8), 'Points-Table'!$C$8,
                (U149 = 'Points-Table'!$A$9), 'Points-Table'!$C$9,
                (U149 = 'Points-Table'!$A$10), 'Points-Table'!$C$10,
                (U149 = 'Points-Table'!$A$11), 'Points-Table'!$C$11,
                (U149 = 'Points-Table'!$A$12), 'Points-Table'!$C$12,
                (U149 = 'Points-Table'!$A$13), 'Points-Table'!$C$13,
                true, 0
              )
            </f>
        <v>2</v>
      </c>
      <c r="W149" s="4">
        <v>1.0</v>
      </c>
      <c r="X149" s="5">
        <f>
              Ifs(
                (W149 = 'Points-Table'!$A$4), 'Points-Table'!$C$4,
                (W149 = 'Points-Table'!$A$5), 'Points-Table'!$C$5,
                (W149 = 'Points-Table'!$A$6), 'Points-Table'!$C$6,
                (W149 = 'Points-Table'!$A$7), 'Points-Table'!$C$7,
                (W149 = 'Points-Table'!$A$8), 'Points-Table'!$C$8,
                (W149 = 'Points-Table'!$A$9), 'Points-Table'!$C$9,
                (W149 = 'Points-Table'!$A$10), 'Points-Table'!$C$10,
                (W149 = 'Points-Table'!$A$11), 'Points-Table'!$C$11,
                (W149 = 'Points-Table'!$A$12), 'Points-Table'!$C$12,
                (W149 = 'Points-Table'!$A$13), 'Points-Table'!$C$13,
                true, 0
              )
            </f>
        <v>0.5</v>
      </c>
      <c r="Y149" s="4">
        <v>5.0</v>
      </c>
      <c r="Z149" s="5">
        <f>
              Ifs(
                (Y149 = 'Points-Table'!$A$4), 'Points-Table'!$C$4,
                (Y149 = 'Points-Table'!$A$5), 'Points-Table'!$C$5,
                (Y149 = 'Points-Table'!$A$6), 'Points-Table'!$C$6,
                (Y149 = 'Points-Table'!$A$7), 'Points-Table'!$C$7,
                (Y149 = 'Points-Table'!$A$8), 'Points-Table'!$C$8,
                (Y149 = 'Points-Table'!$A$9), 'Points-Table'!$C$9,
                (Y149 = 'Points-Table'!$A$10), 'Points-Table'!$C$10,
                (Y149 = 'Points-Table'!$A$11), 'Points-Table'!$C$11,
                (Y149 = 'Points-Table'!$A$12), 'Points-Table'!$C$12,
                (Y149 = 'Points-Table'!$A$13), 'Points-Table'!$C$13,
                true, 0
              )
            </f>
        <v>4</v>
      </c>
      <c r="AA149" s="3">
        <f t="shared" si="2"/>
        <v>6.5</v>
      </c>
      <c r="AB149" s="3" t="str">
        <f>IFERROR(__xludf.DUMMYFUNCTION("
      Ifs( 
        ISBETWEEN(AA149, 0, 'Points-Table'!C$20, TRUE, False), 'Points-Table'!A$20,
        ISBETWEEN(AA149, 'Points-Table'!C$20, 'Points-Table'!C$21, TRUE, False), 'Points-Table'!A$21,
        ISBETWEEN(AA149, 'Points-Table'!C$22, 10000, TRU"&amp;"E, TRUE), 'Points-Table'!A$22,
        true, 
        0)
      "),"S")</f>
        <v>S</v>
      </c>
      <c r="AC149" s="3" t="s">
        <v>29</v>
      </c>
      <c r="AD149" s="3" t="s">
        <v>29</v>
      </c>
      <c r="AE149" s="3" t="s">
        <v>29</v>
      </c>
    </row>
    <row r="150" ht="24.75" customHeight="1">
      <c r="A150" s="3" t="s">
        <v>331</v>
      </c>
      <c r="B150" s="3" t="s">
        <v>343</v>
      </c>
      <c r="C150" s="3" t="s">
        <v>347</v>
      </c>
      <c r="D150" s="3"/>
      <c r="E150" s="3"/>
      <c r="F150" s="3"/>
      <c r="G150" s="3"/>
      <c r="H150" s="3"/>
      <c r="I150" s="3"/>
      <c r="J150" s="3"/>
      <c r="K150" s="3" t="s">
        <v>27</v>
      </c>
      <c r="L150" s="3" t="s">
        <v>28</v>
      </c>
      <c r="M150" s="3"/>
      <c r="N150" s="3"/>
      <c r="O150" s="3"/>
      <c r="P150" s="3"/>
      <c r="Q150" s="4"/>
      <c r="R150" s="5">
        <f>
              Ifs(
                (Q150 = 'Points-Table'!$A$4), 'Points-Table'!$C$4,
                (Q150 = 'Points-Table'!$A$5), 'Points-Table'!$C$5,
                (Q150 = 'Points-Table'!$A$6), 'Points-Table'!$C$6,
                (Q150 = 'Points-Table'!$A$7), 'Points-Table'!$C$7,
                (Q150 = 'Points-Table'!$A$8), 'Points-Table'!$C$8,
                (Q150 = 'Points-Table'!$A$9), 'Points-Table'!$C$9,
                (Q150 = 'Points-Table'!$A$10), 'Points-Table'!$C$10,
                (Q150 = 'Points-Table'!$A$11), 'Points-Table'!$C$11,
                (Q150 = 'Points-Table'!$A$12), 'Points-Table'!$C$12,
                (Q150 = 'Points-Table'!$A$13), 'Points-Table'!$C$13,
                true, 0
              )
            </f>
        <v>0</v>
      </c>
      <c r="S150" s="4"/>
      <c r="T150" s="5">
        <f>
              Ifs(
                (S150 = 'Points-Table'!$A$4), 'Points-Table'!$C$4,
                (S150 = 'Points-Table'!$A$5), 'Points-Table'!$C$5,
                (S150 = 'Points-Table'!$A$6), 'Points-Table'!$C$6,
                (S150 = 'Points-Table'!$A$7), 'Points-Table'!$C$7,
                (S150 = 'Points-Table'!$A$8), 'Points-Table'!$C$8,
                (S150 = 'Points-Table'!$A$9), 'Points-Table'!$C$9,
                (S150 = 'Points-Table'!$A$10), 'Points-Table'!$C$10,
                (S150 = 'Points-Table'!$A$11), 'Points-Table'!$C$11,
                (S150 = 'Points-Table'!$A$12), 'Points-Table'!$C$12,
                (S150 = 'Points-Table'!$A$13), 'Points-Table'!$C$13,
                true, 0
              )
            </f>
        <v>0</v>
      </c>
      <c r="U150" s="4">
        <v>5.0</v>
      </c>
      <c r="V150" s="5">
        <f>
              Ifs(
                (U150 = 'Points-Table'!$A$4), 'Points-Table'!$C$4,
                (U150 = 'Points-Table'!$A$5), 'Points-Table'!$C$5,
                (U150 = 'Points-Table'!$A$6), 'Points-Table'!$C$6,
                (U150 = 'Points-Table'!$A$7), 'Points-Table'!$C$7,
                (U150 = 'Points-Table'!$A$8), 'Points-Table'!$C$8,
                (U150 = 'Points-Table'!$A$9), 'Points-Table'!$C$9,
                (U150 = 'Points-Table'!$A$10), 'Points-Table'!$C$10,
                (U150 = 'Points-Table'!$A$11), 'Points-Table'!$C$11,
                (U150 = 'Points-Table'!$A$12), 'Points-Table'!$C$12,
                (U150 = 'Points-Table'!$A$13), 'Points-Table'!$C$13,
                true, 0
              )
            </f>
        <v>4</v>
      </c>
      <c r="W150" s="4">
        <v>1.0</v>
      </c>
      <c r="X150" s="5">
        <f>
              Ifs(
                (W150 = 'Points-Table'!$A$4), 'Points-Table'!$C$4,
                (W150 = 'Points-Table'!$A$5), 'Points-Table'!$C$5,
                (W150 = 'Points-Table'!$A$6), 'Points-Table'!$C$6,
                (W150 = 'Points-Table'!$A$7), 'Points-Table'!$C$7,
                (W150 = 'Points-Table'!$A$8), 'Points-Table'!$C$8,
                (W150 = 'Points-Table'!$A$9), 'Points-Table'!$C$9,
                (W150 = 'Points-Table'!$A$10), 'Points-Table'!$C$10,
                (W150 = 'Points-Table'!$A$11), 'Points-Table'!$C$11,
                (W150 = 'Points-Table'!$A$12), 'Points-Table'!$C$12,
                (W150 = 'Points-Table'!$A$13), 'Points-Table'!$C$13,
                true, 0
              )
            </f>
        <v>0.5</v>
      </c>
      <c r="Y150" s="4">
        <v>5.0</v>
      </c>
      <c r="Z150" s="5">
        <f>
              Ifs(
                (Y150 = 'Points-Table'!$A$4), 'Points-Table'!$C$4,
                (Y150 = 'Points-Table'!$A$5), 'Points-Table'!$C$5,
                (Y150 = 'Points-Table'!$A$6), 'Points-Table'!$C$6,
                (Y150 = 'Points-Table'!$A$7), 'Points-Table'!$C$7,
                (Y150 = 'Points-Table'!$A$8), 'Points-Table'!$C$8,
                (Y150 = 'Points-Table'!$A$9), 'Points-Table'!$C$9,
                (Y150 = 'Points-Table'!$A$10), 'Points-Table'!$C$10,
                (Y150 = 'Points-Table'!$A$11), 'Points-Table'!$C$11,
                (Y150 = 'Points-Table'!$A$12), 'Points-Table'!$C$12,
                (Y150 = 'Points-Table'!$A$13), 'Points-Table'!$C$13,
                true, 0
              )
            </f>
        <v>4</v>
      </c>
      <c r="AA150" s="3">
        <f t="shared" si="2"/>
        <v>8.5</v>
      </c>
      <c r="AB150" s="3" t="str">
        <f>IFERROR(__xludf.DUMMYFUNCTION("
      Ifs( 
        ISBETWEEN(AA150, 0, 'Points-Table'!C$20, TRUE, False), 'Points-Table'!A$20,
        ISBETWEEN(AA150, 'Points-Table'!C$20, 'Points-Table'!C$21, TRUE, False), 'Points-Table'!A$21,
        ISBETWEEN(AA150, 'Points-Table'!C$22, 10000, TRU"&amp;"E, TRUE), 'Points-Table'!A$22,
        true, 
        0)
      "),"S")</f>
        <v>S</v>
      </c>
      <c r="AC150" s="3" t="s">
        <v>29</v>
      </c>
      <c r="AD150" s="3" t="s">
        <v>29</v>
      </c>
      <c r="AE150" s="3" t="s">
        <v>29</v>
      </c>
    </row>
    <row r="151" ht="24.75" customHeight="1">
      <c r="A151" s="3" t="s">
        <v>331</v>
      </c>
      <c r="B151" s="3" t="s">
        <v>348</v>
      </c>
      <c r="C151" s="3"/>
      <c r="D151" s="3"/>
      <c r="E151" s="3"/>
      <c r="F151" s="3" t="s">
        <v>349</v>
      </c>
      <c r="G151" s="3"/>
      <c r="H151" s="3"/>
      <c r="I151" s="3"/>
      <c r="J151" s="3"/>
      <c r="K151" s="3" t="s">
        <v>27</v>
      </c>
      <c r="L151" s="3" t="s">
        <v>28</v>
      </c>
      <c r="M151" s="3"/>
      <c r="N151" s="3"/>
      <c r="O151" s="3"/>
      <c r="P151" s="3"/>
      <c r="Q151" s="4"/>
      <c r="R151" s="5">
        <f>
              Ifs(
                (Q151 = 'Points-Table'!$A$4), 'Points-Table'!$C$4,
                (Q151 = 'Points-Table'!$A$5), 'Points-Table'!$C$5,
                (Q151 = 'Points-Table'!$A$6), 'Points-Table'!$C$6,
                (Q151 = 'Points-Table'!$A$7), 'Points-Table'!$C$7,
                (Q151 = 'Points-Table'!$A$8), 'Points-Table'!$C$8,
                (Q151 = 'Points-Table'!$A$9), 'Points-Table'!$C$9,
                (Q151 = 'Points-Table'!$A$10), 'Points-Table'!$C$10,
                (Q151 = 'Points-Table'!$A$11), 'Points-Table'!$C$11,
                (Q151 = 'Points-Table'!$A$12), 'Points-Table'!$C$12,
                (Q151 = 'Points-Table'!$A$13), 'Points-Table'!$C$13,
                true, 0
              )
            </f>
        <v>0</v>
      </c>
      <c r="S151" s="4"/>
      <c r="T151" s="5">
        <f>
              Ifs(
                (S151 = 'Points-Table'!$A$4), 'Points-Table'!$C$4,
                (S151 = 'Points-Table'!$A$5), 'Points-Table'!$C$5,
                (S151 = 'Points-Table'!$A$6), 'Points-Table'!$C$6,
                (S151 = 'Points-Table'!$A$7), 'Points-Table'!$C$7,
                (S151 = 'Points-Table'!$A$8), 'Points-Table'!$C$8,
                (S151 = 'Points-Table'!$A$9), 'Points-Table'!$C$9,
                (S151 = 'Points-Table'!$A$10), 'Points-Table'!$C$10,
                (S151 = 'Points-Table'!$A$11), 'Points-Table'!$C$11,
                (S151 = 'Points-Table'!$A$12), 'Points-Table'!$C$12,
                (S151 = 'Points-Table'!$A$13), 'Points-Table'!$C$13,
                true, 0
              )
            </f>
        <v>0</v>
      </c>
      <c r="U151" s="4">
        <v>3.0</v>
      </c>
      <c r="V151" s="5">
        <f>
              Ifs(
                (U151 = 'Points-Table'!$A$4), 'Points-Table'!$C$4,
                (U151 = 'Points-Table'!$A$5), 'Points-Table'!$C$5,
                (U151 = 'Points-Table'!$A$6), 'Points-Table'!$C$6,
                (U151 = 'Points-Table'!$A$7), 'Points-Table'!$C$7,
                (U151 = 'Points-Table'!$A$8), 'Points-Table'!$C$8,
                (U151 = 'Points-Table'!$A$9), 'Points-Table'!$C$9,
                (U151 = 'Points-Table'!$A$10), 'Points-Table'!$C$10,
                (U151 = 'Points-Table'!$A$11), 'Points-Table'!$C$11,
                (U151 = 'Points-Table'!$A$12), 'Points-Table'!$C$12,
                (U151 = 'Points-Table'!$A$13), 'Points-Table'!$C$13,
                true, 0
              )
            </f>
        <v>2</v>
      </c>
      <c r="W151" s="4">
        <v>3.0</v>
      </c>
      <c r="X151" s="5">
        <f>
              Ifs(
                (W151 = 'Points-Table'!$A$4), 'Points-Table'!$C$4,
                (W151 = 'Points-Table'!$A$5), 'Points-Table'!$C$5,
                (W151 = 'Points-Table'!$A$6), 'Points-Table'!$C$6,
                (W151 = 'Points-Table'!$A$7), 'Points-Table'!$C$7,
                (W151 = 'Points-Table'!$A$8), 'Points-Table'!$C$8,
                (W151 = 'Points-Table'!$A$9), 'Points-Table'!$C$9,
                (W151 = 'Points-Table'!$A$10), 'Points-Table'!$C$10,
                (W151 = 'Points-Table'!$A$11), 'Points-Table'!$C$11,
                (W151 = 'Points-Table'!$A$12), 'Points-Table'!$C$12,
                (W151 = 'Points-Table'!$A$13), 'Points-Table'!$C$13,
                true, 0
              )
            </f>
        <v>2</v>
      </c>
      <c r="Y151" s="4">
        <v>8.0</v>
      </c>
      <c r="Z151" s="5">
        <f>
              Ifs(
                (Y151 = 'Points-Table'!$A$4), 'Points-Table'!$C$4,
                (Y151 = 'Points-Table'!$A$5), 'Points-Table'!$C$5,
                (Y151 = 'Points-Table'!$A$6), 'Points-Table'!$C$6,
                (Y151 = 'Points-Table'!$A$7), 'Points-Table'!$C$7,
                (Y151 = 'Points-Table'!$A$8), 'Points-Table'!$C$8,
                (Y151 = 'Points-Table'!$A$9), 'Points-Table'!$C$9,
                (Y151 = 'Points-Table'!$A$10), 'Points-Table'!$C$10,
                (Y151 = 'Points-Table'!$A$11), 'Points-Table'!$C$11,
                (Y151 = 'Points-Table'!$A$12), 'Points-Table'!$C$12,
                (Y151 = 'Points-Table'!$A$13), 'Points-Table'!$C$13,
                true, 0
              )
            </f>
        <v>7</v>
      </c>
      <c r="AA151" s="3">
        <f t="shared" si="2"/>
        <v>11</v>
      </c>
      <c r="AB151" s="3" t="str">
        <f>IFERROR(__xludf.DUMMYFUNCTION("
      Ifs( 
        ISBETWEEN(AA151, 0, 'Points-Table'!C$20, TRUE, False), 'Points-Table'!A$20,
        ISBETWEEN(AA151, 'Points-Table'!C$20, 'Points-Table'!C$21, TRUE, False), 'Points-Table'!A$21,
        ISBETWEEN(AA151, 'Points-Table'!C$22, 10000, TRU"&amp;"E, TRUE), 'Points-Table'!A$22,
        true, 
        0)
      "),"S")</f>
        <v>S</v>
      </c>
      <c r="AC151" s="3" t="s">
        <v>29</v>
      </c>
      <c r="AD151" s="3" t="s">
        <v>29</v>
      </c>
      <c r="AE151" s="3" t="s">
        <v>29</v>
      </c>
    </row>
    <row r="152" ht="24.75" customHeight="1">
      <c r="A152" s="3" t="s">
        <v>331</v>
      </c>
      <c r="B152" s="3" t="s">
        <v>350</v>
      </c>
      <c r="C152" s="3" t="s">
        <v>351</v>
      </c>
      <c r="D152" s="3"/>
      <c r="E152" s="3"/>
      <c r="F152" s="3" t="s">
        <v>352</v>
      </c>
      <c r="G152" s="3"/>
      <c r="H152" s="3"/>
      <c r="I152" s="3"/>
      <c r="J152" s="3"/>
      <c r="K152" s="3" t="s">
        <v>27</v>
      </c>
      <c r="L152" s="3" t="s">
        <v>28</v>
      </c>
      <c r="M152" s="3"/>
      <c r="N152" s="3"/>
      <c r="O152" s="3"/>
      <c r="P152" s="3"/>
      <c r="Q152" s="4"/>
      <c r="R152" s="5">
        <f>
              Ifs(
                (Q152 = 'Points-Table'!$A$4), 'Points-Table'!$C$4,
                (Q152 = 'Points-Table'!$A$5), 'Points-Table'!$C$5,
                (Q152 = 'Points-Table'!$A$6), 'Points-Table'!$C$6,
                (Q152 = 'Points-Table'!$A$7), 'Points-Table'!$C$7,
                (Q152 = 'Points-Table'!$A$8), 'Points-Table'!$C$8,
                (Q152 = 'Points-Table'!$A$9), 'Points-Table'!$C$9,
                (Q152 = 'Points-Table'!$A$10), 'Points-Table'!$C$10,
                (Q152 = 'Points-Table'!$A$11), 'Points-Table'!$C$11,
                (Q152 = 'Points-Table'!$A$12), 'Points-Table'!$C$12,
                (Q152 = 'Points-Table'!$A$13), 'Points-Table'!$C$13,
                true, 0
              )
            </f>
        <v>0</v>
      </c>
      <c r="S152" s="4"/>
      <c r="T152" s="5">
        <f>
              Ifs(
                (S152 = 'Points-Table'!$A$4), 'Points-Table'!$C$4,
                (S152 = 'Points-Table'!$A$5), 'Points-Table'!$C$5,
                (S152 = 'Points-Table'!$A$6), 'Points-Table'!$C$6,
                (S152 = 'Points-Table'!$A$7), 'Points-Table'!$C$7,
                (S152 = 'Points-Table'!$A$8), 'Points-Table'!$C$8,
                (S152 = 'Points-Table'!$A$9), 'Points-Table'!$C$9,
                (S152 = 'Points-Table'!$A$10), 'Points-Table'!$C$10,
                (S152 = 'Points-Table'!$A$11), 'Points-Table'!$C$11,
                (S152 = 'Points-Table'!$A$12), 'Points-Table'!$C$12,
                (S152 = 'Points-Table'!$A$13), 'Points-Table'!$C$13,
                true, 0
              )
            </f>
        <v>0</v>
      </c>
      <c r="U152" s="4">
        <v>0.0</v>
      </c>
      <c r="V152" s="5">
        <f>
              Ifs(
                (U152 = 'Points-Table'!$A$4), 'Points-Table'!$C$4,
                (U152 = 'Points-Table'!$A$5), 'Points-Table'!$C$5,
                (U152 = 'Points-Table'!$A$6), 'Points-Table'!$C$6,
                (U152 = 'Points-Table'!$A$7), 'Points-Table'!$C$7,
                (U152 = 'Points-Table'!$A$8), 'Points-Table'!$C$8,
                (U152 = 'Points-Table'!$A$9), 'Points-Table'!$C$9,
                (U152 = 'Points-Table'!$A$10), 'Points-Table'!$C$10,
                (U152 = 'Points-Table'!$A$11), 'Points-Table'!$C$11,
                (U152 = 'Points-Table'!$A$12), 'Points-Table'!$C$12,
                (U152 = 'Points-Table'!$A$13), 'Points-Table'!$C$13,
                true, 0
              )
            </f>
        <v>0</v>
      </c>
      <c r="W152" s="4">
        <v>0.0</v>
      </c>
      <c r="X152" s="5">
        <f>
              Ifs(
                (W152 = 'Points-Table'!$A$4), 'Points-Table'!$C$4,
                (W152 = 'Points-Table'!$A$5), 'Points-Table'!$C$5,
                (W152 = 'Points-Table'!$A$6), 'Points-Table'!$C$6,
                (W152 = 'Points-Table'!$A$7), 'Points-Table'!$C$7,
                (W152 = 'Points-Table'!$A$8), 'Points-Table'!$C$8,
                (W152 = 'Points-Table'!$A$9), 'Points-Table'!$C$9,
                (W152 = 'Points-Table'!$A$10), 'Points-Table'!$C$10,
                (W152 = 'Points-Table'!$A$11), 'Points-Table'!$C$11,
                (W152 = 'Points-Table'!$A$12), 'Points-Table'!$C$12,
                (W152 = 'Points-Table'!$A$13), 'Points-Table'!$C$13,
                true, 0
              )
            </f>
        <v>0</v>
      </c>
      <c r="Y152" s="4">
        <v>8.0</v>
      </c>
      <c r="Z152" s="5">
        <f>
              Ifs(
                (Y152 = 'Points-Table'!$A$4), 'Points-Table'!$C$4,
                (Y152 = 'Points-Table'!$A$5), 'Points-Table'!$C$5,
                (Y152 = 'Points-Table'!$A$6), 'Points-Table'!$C$6,
                (Y152 = 'Points-Table'!$A$7), 'Points-Table'!$C$7,
                (Y152 = 'Points-Table'!$A$8), 'Points-Table'!$C$8,
                (Y152 = 'Points-Table'!$A$9), 'Points-Table'!$C$9,
                (Y152 = 'Points-Table'!$A$10), 'Points-Table'!$C$10,
                (Y152 = 'Points-Table'!$A$11), 'Points-Table'!$C$11,
                (Y152 = 'Points-Table'!$A$12), 'Points-Table'!$C$12,
                (Y152 = 'Points-Table'!$A$13), 'Points-Table'!$C$13,
                true, 0
              )
            </f>
        <v>7</v>
      </c>
      <c r="AA152" s="3">
        <f t="shared" si="2"/>
        <v>7</v>
      </c>
      <c r="AB152" s="3" t="str">
        <f>IFERROR(__xludf.DUMMYFUNCTION("
      Ifs( 
        ISBETWEEN(AA152, 0, 'Points-Table'!C$20, TRUE, False), 'Points-Table'!A$20,
        ISBETWEEN(AA152, 'Points-Table'!C$20, 'Points-Table'!C$21, TRUE, False), 'Points-Table'!A$21,
        ISBETWEEN(AA152, 'Points-Table'!C$22, 10000, TRU"&amp;"E, TRUE), 'Points-Table'!A$22,
        true, 
        0)
      "),"S")</f>
        <v>S</v>
      </c>
      <c r="AC152" s="3" t="s">
        <v>29</v>
      </c>
      <c r="AD152" s="3" t="s">
        <v>29</v>
      </c>
      <c r="AE152" s="3" t="s">
        <v>29</v>
      </c>
    </row>
    <row r="153" ht="24.75" customHeight="1">
      <c r="A153" s="3" t="s">
        <v>331</v>
      </c>
      <c r="B153" s="3" t="s">
        <v>350</v>
      </c>
      <c r="C153" s="3" t="s">
        <v>353</v>
      </c>
      <c r="D153" s="3"/>
      <c r="E153" s="3"/>
      <c r="F153" s="3"/>
      <c r="G153" s="3"/>
      <c r="H153" s="3"/>
      <c r="I153" s="3"/>
      <c r="J153" s="3"/>
      <c r="K153" s="3" t="s">
        <v>27</v>
      </c>
      <c r="L153" s="3" t="s">
        <v>28</v>
      </c>
      <c r="M153" s="3"/>
      <c r="N153" s="3"/>
      <c r="O153" s="3"/>
      <c r="P153" s="3"/>
      <c r="Q153" s="4"/>
      <c r="R153" s="5">
        <f>
              Ifs(
                (Q153 = 'Points-Table'!$A$4), 'Points-Table'!$C$4,
                (Q153 = 'Points-Table'!$A$5), 'Points-Table'!$C$5,
                (Q153 = 'Points-Table'!$A$6), 'Points-Table'!$C$6,
                (Q153 = 'Points-Table'!$A$7), 'Points-Table'!$C$7,
                (Q153 = 'Points-Table'!$A$8), 'Points-Table'!$C$8,
                (Q153 = 'Points-Table'!$A$9), 'Points-Table'!$C$9,
                (Q153 = 'Points-Table'!$A$10), 'Points-Table'!$C$10,
                (Q153 = 'Points-Table'!$A$11), 'Points-Table'!$C$11,
                (Q153 = 'Points-Table'!$A$12), 'Points-Table'!$C$12,
                (Q153 = 'Points-Table'!$A$13), 'Points-Table'!$C$13,
                true, 0
              )
            </f>
        <v>0</v>
      </c>
      <c r="S153" s="4"/>
      <c r="T153" s="5">
        <f>
              Ifs(
                (S153 = 'Points-Table'!$A$4), 'Points-Table'!$C$4,
                (S153 = 'Points-Table'!$A$5), 'Points-Table'!$C$5,
                (S153 = 'Points-Table'!$A$6), 'Points-Table'!$C$6,
                (S153 = 'Points-Table'!$A$7), 'Points-Table'!$C$7,
                (S153 = 'Points-Table'!$A$8), 'Points-Table'!$C$8,
                (S153 = 'Points-Table'!$A$9), 'Points-Table'!$C$9,
                (S153 = 'Points-Table'!$A$10), 'Points-Table'!$C$10,
                (S153 = 'Points-Table'!$A$11), 'Points-Table'!$C$11,
                (S153 = 'Points-Table'!$A$12), 'Points-Table'!$C$12,
                (S153 = 'Points-Table'!$A$13), 'Points-Table'!$C$13,
                true, 0
              )
            </f>
        <v>0</v>
      </c>
      <c r="U153" s="4">
        <v>2.0</v>
      </c>
      <c r="V153" s="5">
        <f>
              Ifs(
                (U153 = 'Points-Table'!$A$4), 'Points-Table'!$C$4,
                (U153 = 'Points-Table'!$A$5), 'Points-Table'!$C$5,
                (U153 = 'Points-Table'!$A$6), 'Points-Table'!$C$6,
                (U153 = 'Points-Table'!$A$7), 'Points-Table'!$C$7,
                (U153 = 'Points-Table'!$A$8), 'Points-Table'!$C$8,
                (U153 = 'Points-Table'!$A$9), 'Points-Table'!$C$9,
                (U153 = 'Points-Table'!$A$10), 'Points-Table'!$C$10,
                (U153 = 'Points-Table'!$A$11), 'Points-Table'!$C$11,
                (U153 = 'Points-Table'!$A$12), 'Points-Table'!$C$12,
                (U153 = 'Points-Table'!$A$13), 'Points-Table'!$C$13,
                true, 0
              )
            </f>
        <v>1</v>
      </c>
      <c r="W153" s="4">
        <v>1.0</v>
      </c>
      <c r="X153" s="5">
        <f>
              Ifs(
                (W153 = 'Points-Table'!$A$4), 'Points-Table'!$C$4,
                (W153 = 'Points-Table'!$A$5), 'Points-Table'!$C$5,
                (W153 = 'Points-Table'!$A$6), 'Points-Table'!$C$6,
                (W153 = 'Points-Table'!$A$7), 'Points-Table'!$C$7,
                (W153 = 'Points-Table'!$A$8), 'Points-Table'!$C$8,
                (W153 = 'Points-Table'!$A$9), 'Points-Table'!$C$9,
                (W153 = 'Points-Table'!$A$10), 'Points-Table'!$C$10,
                (W153 = 'Points-Table'!$A$11), 'Points-Table'!$C$11,
                (W153 = 'Points-Table'!$A$12), 'Points-Table'!$C$12,
                (W153 = 'Points-Table'!$A$13), 'Points-Table'!$C$13,
                true, 0
              )
            </f>
        <v>0.5</v>
      </c>
      <c r="Y153" s="4">
        <v>2.0</v>
      </c>
      <c r="Z153" s="5">
        <f>
              Ifs(
                (Y153 = 'Points-Table'!$A$4), 'Points-Table'!$C$4,
                (Y153 = 'Points-Table'!$A$5), 'Points-Table'!$C$5,
                (Y153 = 'Points-Table'!$A$6), 'Points-Table'!$C$6,
                (Y153 = 'Points-Table'!$A$7), 'Points-Table'!$C$7,
                (Y153 = 'Points-Table'!$A$8), 'Points-Table'!$C$8,
                (Y153 = 'Points-Table'!$A$9), 'Points-Table'!$C$9,
                (Y153 = 'Points-Table'!$A$10), 'Points-Table'!$C$10,
                (Y153 = 'Points-Table'!$A$11), 'Points-Table'!$C$11,
                (Y153 = 'Points-Table'!$A$12), 'Points-Table'!$C$12,
                (Y153 = 'Points-Table'!$A$13), 'Points-Table'!$C$13,
                true, 0
              )
            </f>
        <v>1</v>
      </c>
      <c r="AA153" s="3">
        <f t="shared" si="2"/>
        <v>2.5</v>
      </c>
      <c r="AB153" s="3" t="str">
        <f>IFERROR(__xludf.DUMMYFUNCTION("
      Ifs( 
        ISBETWEEN(AA153, 0, 'Points-Table'!C$20, TRUE, False), 'Points-Table'!A$20,
        ISBETWEEN(AA153, 'Points-Table'!C$20, 'Points-Table'!C$21, TRUE, False), 'Points-Table'!A$21,
        ISBETWEEN(AA153, 'Points-Table'!C$22, 10000, TRU"&amp;"E, TRUE), 'Points-Table'!A$22,
        true, 
        0)
      "),"S")</f>
        <v>S</v>
      </c>
      <c r="AC153" s="3" t="s">
        <v>29</v>
      </c>
      <c r="AD153" s="3" t="s">
        <v>29</v>
      </c>
      <c r="AE153" s="3" t="s">
        <v>29</v>
      </c>
    </row>
    <row r="154" ht="24.75" customHeight="1">
      <c r="A154" s="3" t="s">
        <v>331</v>
      </c>
      <c r="B154" s="3" t="s">
        <v>350</v>
      </c>
      <c r="C154" s="3" t="s">
        <v>354</v>
      </c>
      <c r="D154" s="3"/>
      <c r="E154" s="3"/>
      <c r="F154" s="3"/>
      <c r="G154" s="3"/>
      <c r="H154" s="3"/>
      <c r="I154" s="3"/>
      <c r="J154" s="3"/>
      <c r="K154" s="3" t="s">
        <v>27</v>
      </c>
      <c r="L154" s="3" t="s">
        <v>28</v>
      </c>
      <c r="M154" s="3"/>
      <c r="N154" s="3"/>
      <c r="O154" s="3"/>
      <c r="P154" s="3"/>
      <c r="Q154" s="4"/>
      <c r="R154" s="5">
        <f>
              Ifs(
                (Q154 = 'Points-Table'!$A$4), 'Points-Table'!$C$4,
                (Q154 = 'Points-Table'!$A$5), 'Points-Table'!$C$5,
                (Q154 = 'Points-Table'!$A$6), 'Points-Table'!$C$6,
                (Q154 = 'Points-Table'!$A$7), 'Points-Table'!$C$7,
                (Q154 = 'Points-Table'!$A$8), 'Points-Table'!$C$8,
                (Q154 = 'Points-Table'!$A$9), 'Points-Table'!$C$9,
                (Q154 = 'Points-Table'!$A$10), 'Points-Table'!$C$10,
                (Q154 = 'Points-Table'!$A$11), 'Points-Table'!$C$11,
                (Q154 = 'Points-Table'!$A$12), 'Points-Table'!$C$12,
                (Q154 = 'Points-Table'!$A$13), 'Points-Table'!$C$13,
                true, 0
              )
            </f>
        <v>0</v>
      </c>
      <c r="S154" s="4"/>
      <c r="T154" s="5">
        <f>
              Ifs(
                (S154 = 'Points-Table'!$A$4), 'Points-Table'!$C$4,
                (S154 = 'Points-Table'!$A$5), 'Points-Table'!$C$5,
                (S154 = 'Points-Table'!$A$6), 'Points-Table'!$C$6,
                (S154 = 'Points-Table'!$A$7), 'Points-Table'!$C$7,
                (S154 = 'Points-Table'!$A$8), 'Points-Table'!$C$8,
                (S154 = 'Points-Table'!$A$9), 'Points-Table'!$C$9,
                (S154 = 'Points-Table'!$A$10), 'Points-Table'!$C$10,
                (S154 = 'Points-Table'!$A$11), 'Points-Table'!$C$11,
                (S154 = 'Points-Table'!$A$12), 'Points-Table'!$C$12,
                (S154 = 'Points-Table'!$A$13), 'Points-Table'!$C$13,
                true, 0
              )
            </f>
        <v>0</v>
      </c>
      <c r="U154" s="4">
        <v>1.0</v>
      </c>
      <c r="V154" s="5">
        <f>
              Ifs(
                (U154 = 'Points-Table'!$A$4), 'Points-Table'!$C$4,
                (U154 = 'Points-Table'!$A$5), 'Points-Table'!$C$5,
                (U154 = 'Points-Table'!$A$6), 'Points-Table'!$C$6,
                (U154 = 'Points-Table'!$A$7), 'Points-Table'!$C$7,
                (U154 = 'Points-Table'!$A$8), 'Points-Table'!$C$8,
                (U154 = 'Points-Table'!$A$9), 'Points-Table'!$C$9,
                (U154 = 'Points-Table'!$A$10), 'Points-Table'!$C$10,
                (U154 = 'Points-Table'!$A$11), 'Points-Table'!$C$11,
                (U154 = 'Points-Table'!$A$12), 'Points-Table'!$C$12,
                (U154 = 'Points-Table'!$A$13), 'Points-Table'!$C$13,
                true, 0
              )
            </f>
        <v>0.5</v>
      </c>
      <c r="W154" s="4">
        <v>1.0</v>
      </c>
      <c r="X154" s="5">
        <f>
              Ifs(
                (W154 = 'Points-Table'!$A$4), 'Points-Table'!$C$4,
                (W154 = 'Points-Table'!$A$5), 'Points-Table'!$C$5,
                (W154 = 'Points-Table'!$A$6), 'Points-Table'!$C$6,
                (W154 = 'Points-Table'!$A$7), 'Points-Table'!$C$7,
                (W154 = 'Points-Table'!$A$8), 'Points-Table'!$C$8,
                (W154 = 'Points-Table'!$A$9), 'Points-Table'!$C$9,
                (W154 = 'Points-Table'!$A$10), 'Points-Table'!$C$10,
                (W154 = 'Points-Table'!$A$11), 'Points-Table'!$C$11,
                (W154 = 'Points-Table'!$A$12), 'Points-Table'!$C$12,
                (W154 = 'Points-Table'!$A$13), 'Points-Table'!$C$13,
                true, 0
              )
            </f>
        <v>0.5</v>
      </c>
      <c r="Y154" s="4">
        <v>2.0</v>
      </c>
      <c r="Z154" s="5">
        <f>
              Ifs(
                (Y154 = 'Points-Table'!$A$4), 'Points-Table'!$C$4,
                (Y154 = 'Points-Table'!$A$5), 'Points-Table'!$C$5,
                (Y154 = 'Points-Table'!$A$6), 'Points-Table'!$C$6,
                (Y154 = 'Points-Table'!$A$7), 'Points-Table'!$C$7,
                (Y154 = 'Points-Table'!$A$8), 'Points-Table'!$C$8,
                (Y154 = 'Points-Table'!$A$9), 'Points-Table'!$C$9,
                (Y154 = 'Points-Table'!$A$10), 'Points-Table'!$C$10,
                (Y154 = 'Points-Table'!$A$11), 'Points-Table'!$C$11,
                (Y154 = 'Points-Table'!$A$12), 'Points-Table'!$C$12,
                (Y154 = 'Points-Table'!$A$13), 'Points-Table'!$C$13,
                true, 0
              )
            </f>
        <v>1</v>
      </c>
      <c r="AA154" s="3">
        <f t="shared" si="2"/>
        <v>2</v>
      </c>
      <c r="AB154" s="3" t="str">
        <f>IFERROR(__xludf.DUMMYFUNCTION("
      Ifs( 
        ISBETWEEN(AA154, 0, 'Points-Table'!C$20, TRUE, False), 'Points-Table'!A$20,
        ISBETWEEN(AA154, 'Points-Table'!C$20, 'Points-Table'!C$21, TRUE, False), 'Points-Table'!A$21,
        ISBETWEEN(AA154, 'Points-Table'!C$22, 10000, TRU"&amp;"E, TRUE), 'Points-Table'!A$22,
        true, 
        0)
      "),"S")</f>
        <v>S</v>
      </c>
      <c r="AC154" s="3" t="s">
        <v>29</v>
      </c>
      <c r="AD154" s="3" t="s">
        <v>29</v>
      </c>
      <c r="AE154" s="3" t="s">
        <v>29</v>
      </c>
    </row>
    <row r="155" ht="24.75" customHeight="1">
      <c r="A155" s="3" t="s">
        <v>331</v>
      </c>
      <c r="B155" s="3" t="s">
        <v>350</v>
      </c>
      <c r="C155" s="3" t="s">
        <v>355</v>
      </c>
      <c r="D155" s="3"/>
      <c r="E155" s="3"/>
      <c r="F155" s="3"/>
      <c r="G155" s="3"/>
      <c r="H155" s="3"/>
      <c r="I155" s="3"/>
      <c r="J155" s="3"/>
      <c r="K155" s="3" t="s">
        <v>27</v>
      </c>
      <c r="L155" s="3" t="s">
        <v>28</v>
      </c>
      <c r="M155" s="3"/>
      <c r="N155" s="3"/>
      <c r="O155" s="3"/>
      <c r="P155" s="3"/>
      <c r="Q155" s="4"/>
      <c r="R155" s="5">
        <f>
              Ifs(
                (Q155 = 'Points-Table'!$A$4), 'Points-Table'!$C$4,
                (Q155 = 'Points-Table'!$A$5), 'Points-Table'!$C$5,
                (Q155 = 'Points-Table'!$A$6), 'Points-Table'!$C$6,
                (Q155 = 'Points-Table'!$A$7), 'Points-Table'!$C$7,
                (Q155 = 'Points-Table'!$A$8), 'Points-Table'!$C$8,
                (Q155 = 'Points-Table'!$A$9), 'Points-Table'!$C$9,
                (Q155 = 'Points-Table'!$A$10), 'Points-Table'!$C$10,
                (Q155 = 'Points-Table'!$A$11), 'Points-Table'!$C$11,
                (Q155 = 'Points-Table'!$A$12), 'Points-Table'!$C$12,
                (Q155 = 'Points-Table'!$A$13), 'Points-Table'!$C$13,
                true, 0
              )
            </f>
        <v>0</v>
      </c>
      <c r="S155" s="4"/>
      <c r="T155" s="5">
        <f>
              Ifs(
                (S155 = 'Points-Table'!$A$4), 'Points-Table'!$C$4,
                (S155 = 'Points-Table'!$A$5), 'Points-Table'!$C$5,
                (S155 = 'Points-Table'!$A$6), 'Points-Table'!$C$6,
                (S155 = 'Points-Table'!$A$7), 'Points-Table'!$C$7,
                (S155 = 'Points-Table'!$A$8), 'Points-Table'!$C$8,
                (S155 = 'Points-Table'!$A$9), 'Points-Table'!$C$9,
                (S155 = 'Points-Table'!$A$10), 'Points-Table'!$C$10,
                (S155 = 'Points-Table'!$A$11), 'Points-Table'!$C$11,
                (S155 = 'Points-Table'!$A$12), 'Points-Table'!$C$12,
                (S155 = 'Points-Table'!$A$13), 'Points-Table'!$C$13,
                true, 0
              )
            </f>
        <v>0</v>
      </c>
      <c r="U155" s="4">
        <v>5.0</v>
      </c>
      <c r="V155" s="5">
        <f>
              Ifs(
                (U155 = 'Points-Table'!$A$4), 'Points-Table'!$C$4,
                (U155 = 'Points-Table'!$A$5), 'Points-Table'!$C$5,
                (U155 = 'Points-Table'!$A$6), 'Points-Table'!$C$6,
                (U155 = 'Points-Table'!$A$7), 'Points-Table'!$C$7,
                (U155 = 'Points-Table'!$A$8), 'Points-Table'!$C$8,
                (U155 = 'Points-Table'!$A$9), 'Points-Table'!$C$9,
                (U155 = 'Points-Table'!$A$10), 'Points-Table'!$C$10,
                (U155 = 'Points-Table'!$A$11), 'Points-Table'!$C$11,
                (U155 = 'Points-Table'!$A$12), 'Points-Table'!$C$12,
                (U155 = 'Points-Table'!$A$13), 'Points-Table'!$C$13,
                true, 0
              )
            </f>
        <v>4</v>
      </c>
      <c r="W155" s="4">
        <v>2.0</v>
      </c>
      <c r="X155" s="5">
        <f>
              Ifs(
                (W155 = 'Points-Table'!$A$4), 'Points-Table'!$C$4,
                (W155 = 'Points-Table'!$A$5), 'Points-Table'!$C$5,
                (W155 = 'Points-Table'!$A$6), 'Points-Table'!$C$6,
                (W155 = 'Points-Table'!$A$7), 'Points-Table'!$C$7,
                (W155 = 'Points-Table'!$A$8), 'Points-Table'!$C$8,
                (W155 = 'Points-Table'!$A$9), 'Points-Table'!$C$9,
                (W155 = 'Points-Table'!$A$10), 'Points-Table'!$C$10,
                (W155 = 'Points-Table'!$A$11), 'Points-Table'!$C$11,
                (W155 = 'Points-Table'!$A$12), 'Points-Table'!$C$12,
                (W155 = 'Points-Table'!$A$13), 'Points-Table'!$C$13,
                true, 0
              )
            </f>
        <v>1</v>
      </c>
      <c r="Y155" s="4">
        <v>5.0</v>
      </c>
      <c r="Z155" s="5">
        <f>
              Ifs(
                (Y155 = 'Points-Table'!$A$4), 'Points-Table'!$C$4,
                (Y155 = 'Points-Table'!$A$5), 'Points-Table'!$C$5,
                (Y155 = 'Points-Table'!$A$6), 'Points-Table'!$C$6,
                (Y155 = 'Points-Table'!$A$7), 'Points-Table'!$C$7,
                (Y155 = 'Points-Table'!$A$8), 'Points-Table'!$C$8,
                (Y155 = 'Points-Table'!$A$9), 'Points-Table'!$C$9,
                (Y155 = 'Points-Table'!$A$10), 'Points-Table'!$C$10,
                (Y155 = 'Points-Table'!$A$11), 'Points-Table'!$C$11,
                (Y155 = 'Points-Table'!$A$12), 'Points-Table'!$C$12,
                (Y155 = 'Points-Table'!$A$13), 'Points-Table'!$C$13,
                true, 0
              )
            </f>
        <v>4</v>
      </c>
      <c r="AA155" s="3">
        <f t="shared" si="2"/>
        <v>9</v>
      </c>
      <c r="AB155" s="3" t="str">
        <f>IFERROR(__xludf.DUMMYFUNCTION("
      Ifs( 
        ISBETWEEN(AA155, 0, 'Points-Table'!C$20, TRUE, False), 'Points-Table'!A$20,
        ISBETWEEN(AA155, 'Points-Table'!C$20, 'Points-Table'!C$21, TRUE, False), 'Points-Table'!A$21,
        ISBETWEEN(AA155, 'Points-Table'!C$22, 10000, TRU"&amp;"E, TRUE), 'Points-Table'!A$22,
        true, 
        0)
      "),"S")</f>
        <v>S</v>
      </c>
      <c r="AC155" s="3" t="s">
        <v>29</v>
      </c>
      <c r="AD155" s="3" t="s">
        <v>29</v>
      </c>
      <c r="AE155" s="3" t="s">
        <v>29</v>
      </c>
    </row>
    <row r="156" ht="24.75" customHeight="1">
      <c r="A156" s="6" t="s">
        <v>331</v>
      </c>
      <c r="B156" s="6" t="s">
        <v>356</v>
      </c>
      <c r="C156" s="6" t="s">
        <v>357</v>
      </c>
      <c r="D156" s="6"/>
      <c r="E156" s="6"/>
      <c r="F156" s="6"/>
      <c r="G156" s="6"/>
      <c r="H156" s="6"/>
      <c r="I156" s="6"/>
      <c r="J156" s="6"/>
      <c r="K156" s="6" t="s">
        <v>27</v>
      </c>
      <c r="L156" s="6" t="s">
        <v>28</v>
      </c>
      <c r="M156" s="6"/>
      <c r="N156" s="6"/>
      <c r="O156" s="6"/>
      <c r="P156" s="6"/>
      <c r="Q156" s="6">
        <v>3.0</v>
      </c>
      <c r="R156" s="6">
        <f>
              Ifs(
                (Q156 = 'Points-Table'!$A$4), 'Points-Table'!$C$4,
                (Q156 = 'Points-Table'!$A$5), 'Points-Table'!$C$5,
                (Q156 = 'Points-Table'!$A$6), 'Points-Table'!$C$6,
                (Q156 = 'Points-Table'!$A$7), 'Points-Table'!$C$7,
                (Q156 = 'Points-Table'!$A$8), 'Points-Table'!$C$8,
                (Q156 = 'Points-Table'!$A$9), 'Points-Table'!$C$9,
                (Q156 = 'Points-Table'!$A$10), 'Points-Table'!$C$10,
                (Q156 = 'Points-Table'!$A$11), 'Points-Table'!$C$11,
                (Q156 = 'Points-Table'!$A$12), 'Points-Table'!$C$12,
                (Q156 = 'Points-Table'!$A$13), 'Points-Table'!$C$13,
                true, 0
              )
            </f>
        <v>2</v>
      </c>
      <c r="S156" s="6">
        <v>3.0</v>
      </c>
      <c r="T156" s="6">
        <f>
              Ifs(
                (S156 = 'Points-Table'!$A$4), 'Points-Table'!$C$4,
                (S156 = 'Points-Table'!$A$5), 'Points-Table'!$C$5,
                (S156 = 'Points-Table'!$A$6), 'Points-Table'!$C$6,
                (S156 = 'Points-Table'!$A$7), 'Points-Table'!$C$7,
                (S156 = 'Points-Table'!$A$8), 'Points-Table'!$C$8,
                (S156 = 'Points-Table'!$A$9), 'Points-Table'!$C$9,
                (S156 = 'Points-Table'!$A$10), 'Points-Table'!$C$10,
                (S156 = 'Points-Table'!$A$11), 'Points-Table'!$C$11,
                (S156 = 'Points-Table'!$A$12), 'Points-Table'!$C$12,
                (S156 = 'Points-Table'!$A$13), 'Points-Table'!$C$13,
                true, 0
              )
            </f>
        <v>2</v>
      </c>
      <c r="U156" s="6">
        <v>8.0</v>
      </c>
      <c r="V156" s="6">
        <f>
              Ifs(
                (U156 = 'Points-Table'!$A$4), 'Points-Table'!$C$4,
                (U156 = 'Points-Table'!$A$5), 'Points-Table'!$C$5,
                (U156 = 'Points-Table'!$A$6), 'Points-Table'!$C$6,
                (U156 = 'Points-Table'!$A$7), 'Points-Table'!$C$7,
                (U156 = 'Points-Table'!$A$8), 'Points-Table'!$C$8,
                (U156 = 'Points-Table'!$A$9), 'Points-Table'!$C$9,
                (U156 = 'Points-Table'!$A$10), 'Points-Table'!$C$10,
                (U156 = 'Points-Table'!$A$11), 'Points-Table'!$C$11,
                (U156 = 'Points-Table'!$A$12), 'Points-Table'!$C$12,
                (U156 = 'Points-Table'!$A$13), 'Points-Table'!$C$13,
                true, 0
              )
            </f>
        <v>7</v>
      </c>
      <c r="W156" s="6">
        <v>5.0</v>
      </c>
      <c r="X156" s="6">
        <f>
              Ifs(
                (W156 = 'Points-Table'!$A$4), 'Points-Table'!$C$4,
                (W156 = 'Points-Table'!$A$5), 'Points-Table'!$C$5,
                (W156 = 'Points-Table'!$A$6), 'Points-Table'!$C$6,
                (W156 = 'Points-Table'!$A$7), 'Points-Table'!$C$7,
                (W156 = 'Points-Table'!$A$8), 'Points-Table'!$C$8,
                (W156 = 'Points-Table'!$A$9), 'Points-Table'!$C$9,
                (W156 = 'Points-Table'!$A$10), 'Points-Table'!$C$10,
                (W156 = 'Points-Table'!$A$11), 'Points-Table'!$C$11,
                (W156 = 'Points-Table'!$A$12), 'Points-Table'!$C$12,
                (W156 = 'Points-Table'!$A$13), 'Points-Table'!$C$13,
                true, 0
              )
            </f>
        <v>4</v>
      </c>
      <c r="Y156" s="6">
        <v>8.0</v>
      </c>
      <c r="Z156" s="6">
        <f>
              Ifs(
                (Y156 = 'Points-Table'!$A$4), 'Points-Table'!$C$4,
                (Y156 = 'Points-Table'!$A$5), 'Points-Table'!$C$5,
                (Y156 = 'Points-Table'!$A$6), 'Points-Table'!$C$6,
                (Y156 = 'Points-Table'!$A$7), 'Points-Table'!$C$7,
                (Y156 = 'Points-Table'!$A$8), 'Points-Table'!$C$8,
                (Y156 = 'Points-Table'!$A$9), 'Points-Table'!$C$9,
                (Y156 = 'Points-Table'!$A$10), 'Points-Table'!$C$10,
                (Y156 = 'Points-Table'!$A$11), 'Points-Table'!$C$11,
                (Y156 = 'Points-Table'!$A$12), 'Points-Table'!$C$12,
                (Y156 = 'Points-Table'!$A$13), 'Points-Table'!$C$13,
                true, 0
              )
            </f>
        <v>7</v>
      </c>
      <c r="AA156" s="6">
        <f t="shared" si="2"/>
        <v>18</v>
      </c>
      <c r="AB156" s="6" t="str">
        <f>IFERROR(__xludf.DUMMYFUNCTION("
      Ifs( 
        ISBETWEEN(AA156, 0, 'Points-Table'!C$20, TRUE, False), 'Points-Table'!A$20,
        ISBETWEEN(AA156, 'Points-Table'!C$20, 'Points-Table'!C$21, TRUE, False), 'Points-Table'!A$21,
        ISBETWEEN(AA156, 'Points-Table'!C$22, 10000, TRU"&amp;"E, TRUE), 'Points-Table'!A$22,
        true, 
        0)
      "),"S")</f>
        <v>S</v>
      </c>
      <c r="AC156" s="6" t="s">
        <v>29</v>
      </c>
      <c r="AD156" s="6" t="s">
        <v>29</v>
      </c>
      <c r="AE156" s="6" t="s">
        <v>29</v>
      </c>
    </row>
    <row r="157" ht="24.75" customHeight="1">
      <c r="A157" s="6" t="s">
        <v>331</v>
      </c>
      <c r="B157" s="6" t="s">
        <v>356</v>
      </c>
      <c r="C157" s="6" t="s">
        <v>358</v>
      </c>
      <c r="D157" s="6"/>
      <c r="E157" s="6"/>
      <c r="F157" s="6"/>
      <c r="G157" s="6"/>
      <c r="H157" s="6"/>
      <c r="I157" s="6"/>
      <c r="J157" s="6"/>
      <c r="K157" s="6" t="s">
        <v>27</v>
      </c>
      <c r="L157" s="6" t="s">
        <v>28</v>
      </c>
      <c r="M157" s="6"/>
      <c r="N157" s="6"/>
      <c r="O157" s="6"/>
      <c r="P157" s="6"/>
      <c r="Q157" s="6">
        <v>0.0</v>
      </c>
      <c r="R157" s="6">
        <f>
              Ifs(
                (Q157 = 'Points-Table'!$A$4), 'Points-Table'!$C$4,
                (Q157 = 'Points-Table'!$A$5), 'Points-Table'!$C$5,
                (Q157 = 'Points-Table'!$A$6), 'Points-Table'!$C$6,
                (Q157 = 'Points-Table'!$A$7), 'Points-Table'!$C$7,
                (Q157 = 'Points-Table'!$A$8), 'Points-Table'!$C$8,
                (Q157 = 'Points-Table'!$A$9), 'Points-Table'!$C$9,
                (Q157 = 'Points-Table'!$A$10), 'Points-Table'!$C$10,
                (Q157 = 'Points-Table'!$A$11), 'Points-Table'!$C$11,
                (Q157 = 'Points-Table'!$A$12), 'Points-Table'!$C$12,
                (Q157 = 'Points-Table'!$A$13), 'Points-Table'!$C$13,
                true, 0
              )
            </f>
        <v>0</v>
      </c>
      <c r="S157" s="6">
        <v>0.0</v>
      </c>
      <c r="T157" s="6">
        <f>
              Ifs(
                (S157 = 'Points-Table'!$A$4), 'Points-Table'!$C$4,
                (S157 = 'Points-Table'!$A$5), 'Points-Table'!$C$5,
                (S157 = 'Points-Table'!$A$6), 'Points-Table'!$C$6,
                (S157 = 'Points-Table'!$A$7), 'Points-Table'!$C$7,
                (S157 = 'Points-Table'!$A$8), 'Points-Table'!$C$8,
                (S157 = 'Points-Table'!$A$9), 'Points-Table'!$C$9,
                (S157 = 'Points-Table'!$A$10), 'Points-Table'!$C$10,
                (S157 = 'Points-Table'!$A$11), 'Points-Table'!$C$11,
                (S157 = 'Points-Table'!$A$12), 'Points-Table'!$C$12,
                (S157 = 'Points-Table'!$A$13), 'Points-Table'!$C$13,
                true, 0
              )
            </f>
        <v>0</v>
      </c>
      <c r="U157" s="6">
        <v>5.0</v>
      </c>
      <c r="V157" s="6">
        <f>
              Ifs(
                (U157 = 'Points-Table'!$A$4), 'Points-Table'!$C$4,
                (U157 = 'Points-Table'!$A$5), 'Points-Table'!$C$5,
                (U157 = 'Points-Table'!$A$6), 'Points-Table'!$C$6,
                (U157 = 'Points-Table'!$A$7), 'Points-Table'!$C$7,
                (U157 = 'Points-Table'!$A$8), 'Points-Table'!$C$8,
                (U157 = 'Points-Table'!$A$9), 'Points-Table'!$C$9,
                (U157 = 'Points-Table'!$A$10), 'Points-Table'!$C$10,
                (U157 = 'Points-Table'!$A$11), 'Points-Table'!$C$11,
                (U157 = 'Points-Table'!$A$12), 'Points-Table'!$C$12,
                (U157 = 'Points-Table'!$A$13), 'Points-Table'!$C$13,
                true, 0
              )
            </f>
        <v>4</v>
      </c>
      <c r="W157" s="6">
        <v>3.0</v>
      </c>
      <c r="X157" s="6">
        <f>
              Ifs(
                (W157 = 'Points-Table'!$A$4), 'Points-Table'!$C$4,
                (W157 = 'Points-Table'!$A$5), 'Points-Table'!$C$5,
                (W157 = 'Points-Table'!$A$6), 'Points-Table'!$C$6,
                (W157 = 'Points-Table'!$A$7), 'Points-Table'!$C$7,
                (W157 = 'Points-Table'!$A$8), 'Points-Table'!$C$8,
                (W157 = 'Points-Table'!$A$9), 'Points-Table'!$C$9,
                (W157 = 'Points-Table'!$A$10), 'Points-Table'!$C$10,
                (W157 = 'Points-Table'!$A$11), 'Points-Table'!$C$11,
                (W157 = 'Points-Table'!$A$12), 'Points-Table'!$C$12,
                (W157 = 'Points-Table'!$A$13), 'Points-Table'!$C$13,
                true, 0
              )
            </f>
        <v>2</v>
      </c>
      <c r="Y157" s="6">
        <v>5.0</v>
      </c>
      <c r="Z157" s="6">
        <f>
              Ifs(
                (Y157 = 'Points-Table'!$A$4), 'Points-Table'!$C$4,
                (Y157 = 'Points-Table'!$A$5), 'Points-Table'!$C$5,
                (Y157 = 'Points-Table'!$A$6), 'Points-Table'!$C$6,
                (Y157 = 'Points-Table'!$A$7), 'Points-Table'!$C$7,
                (Y157 = 'Points-Table'!$A$8), 'Points-Table'!$C$8,
                (Y157 = 'Points-Table'!$A$9), 'Points-Table'!$C$9,
                (Y157 = 'Points-Table'!$A$10), 'Points-Table'!$C$10,
                (Y157 = 'Points-Table'!$A$11), 'Points-Table'!$C$11,
                (Y157 = 'Points-Table'!$A$12), 'Points-Table'!$C$12,
                (Y157 = 'Points-Table'!$A$13), 'Points-Table'!$C$13,
                true, 0
              )
            </f>
        <v>4</v>
      </c>
      <c r="AA157" s="6">
        <f t="shared" si="2"/>
        <v>10</v>
      </c>
      <c r="AB157" s="6" t="str">
        <f>IFERROR(__xludf.DUMMYFUNCTION("
      Ifs( 
        ISBETWEEN(AA157, 0, 'Points-Table'!C$20, TRUE, False), 'Points-Table'!A$20,
        ISBETWEEN(AA157, 'Points-Table'!C$20, 'Points-Table'!C$21, TRUE, False), 'Points-Table'!A$21,
        ISBETWEEN(AA157, 'Points-Table'!C$22, 10000, TRU"&amp;"E, TRUE), 'Points-Table'!A$22,
        true, 
        0)
      "),"S")</f>
        <v>S</v>
      </c>
      <c r="AC157" s="6" t="s">
        <v>29</v>
      </c>
      <c r="AD157" s="6" t="s">
        <v>29</v>
      </c>
      <c r="AE157" s="6" t="s">
        <v>29</v>
      </c>
    </row>
    <row r="158" ht="24.75" customHeight="1">
      <c r="A158" s="6" t="s">
        <v>331</v>
      </c>
      <c r="B158" s="6" t="s">
        <v>356</v>
      </c>
      <c r="C158" s="6" t="s">
        <v>359</v>
      </c>
      <c r="D158" s="6"/>
      <c r="E158" s="6"/>
      <c r="F158" s="6"/>
      <c r="G158" s="6"/>
      <c r="H158" s="6"/>
      <c r="I158" s="6"/>
      <c r="J158" s="6"/>
      <c r="K158" s="6" t="s">
        <v>27</v>
      </c>
      <c r="L158" s="6" t="s">
        <v>28</v>
      </c>
      <c r="M158" s="6"/>
      <c r="N158" s="6"/>
      <c r="O158" s="6"/>
      <c r="P158" s="6"/>
      <c r="Q158" s="6">
        <v>0.0</v>
      </c>
      <c r="R158" s="6">
        <f>
              Ifs(
                (Q158 = 'Points-Table'!$A$4), 'Points-Table'!$C$4,
                (Q158 = 'Points-Table'!$A$5), 'Points-Table'!$C$5,
                (Q158 = 'Points-Table'!$A$6), 'Points-Table'!$C$6,
                (Q158 = 'Points-Table'!$A$7), 'Points-Table'!$C$7,
                (Q158 = 'Points-Table'!$A$8), 'Points-Table'!$C$8,
                (Q158 = 'Points-Table'!$A$9), 'Points-Table'!$C$9,
                (Q158 = 'Points-Table'!$A$10), 'Points-Table'!$C$10,
                (Q158 = 'Points-Table'!$A$11), 'Points-Table'!$C$11,
                (Q158 = 'Points-Table'!$A$12), 'Points-Table'!$C$12,
                (Q158 = 'Points-Table'!$A$13), 'Points-Table'!$C$13,
                true, 0
              )
            </f>
        <v>0</v>
      </c>
      <c r="S158" s="6">
        <v>0.0</v>
      </c>
      <c r="T158" s="6">
        <f>
              Ifs(
                (S158 = 'Points-Table'!$A$4), 'Points-Table'!$C$4,
                (S158 = 'Points-Table'!$A$5), 'Points-Table'!$C$5,
                (S158 = 'Points-Table'!$A$6), 'Points-Table'!$C$6,
                (S158 = 'Points-Table'!$A$7), 'Points-Table'!$C$7,
                (S158 = 'Points-Table'!$A$8), 'Points-Table'!$C$8,
                (S158 = 'Points-Table'!$A$9), 'Points-Table'!$C$9,
                (S158 = 'Points-Table'!$A$10), 'Points-Table'!$C$10,
                (S158 = 'Points-Table'!$A$11), 'Points-Table'!$C$11,
                (S158 = 'Points-Table'!$A$12), 'Points-Table'!$C$12,
                (S158 = 'Points-Table'!$A$13), 'Points-Table'!$C$13,
                true, 0
              )
            </f>
        <v>0</v>
      </c>
      <c r="U158" s="6">
        <v>5.0</v>
      </c>
      <c r="V158" s="6">
        <f>
              Ifs(
                (U158 = 'Points-Table'!$A$4), 'Points-Table'!$C$4,
                (U158 = 'Points-Table'!$A$5), 'Points-Table'!$C$5,
                (U158 = 'Points-Table'!$A$6), 'Points-Table'!$C$6,
                (U158 = 'Points-Table'!$A$7), 'Points-Table'!$C$7,
                (U158 = 'Points-Table'!$A$8), 'Points-Table'!$C$8,
                (U158 = 'Points-Table'!$A$9), 'Points-Table'!$C$9,
                (U158 = 'Points-Table'!$A$10), 'Points-Table'!$C$10,
                (U158 = 'Points-Table'!$A$11), 'Points-Table'!$C$11,
                (U158 = 'Points-Table'!$A$12), 'Points-Table'!$C$12,
                (U158 = 'Points-Table'!$A$13), 'Points-Table'!$C$13,
                true, 0
              )
            </f>
        <v>4</v>
      </c>
      <c r="W158" s="6">
        <v>3.0</v>
      </c>
      <c r="X158" s="6">
        <f>
              Ifs(
                (W158 = 'Points-Table'!$A$4), 'Points-Table'!$C$4,
                (W158 = 'Points-Table'!$A$5), 'Points-Table'!$C$5,
                (W158 = 'Points-Table'!$A$6), 'Points-Table'!$C$6,
                (W158 = 'Points-Table'!$A$7), 'Points-Table'!$C$7,
                (W158 = 'Points-Table'!$A$8), 'Points-Table'!$C$8,
                (W158 = 'Points-Table'!$A$9), 'Points-Table'!$C$9,
                (W158 = 'Points-Table'!$A$10), 'Points-Table'!$C$10,
                (W158 = 'Points-Table'!$A$11), 'Points-Table'!$C$11,
                (W158 = 'Points-Table'!$A$12), 'Points-Table'!$C$12,
                (W158 = 'Points-Table'!$A$13), 'Points-Table'!$C$13,
                true, 0
              )
            </f>
        <v>2</v>
      </c>
      <c r="Y158" s="6">
        <v>5.0</v>
      </c>
      <c r="Z158" s="6">
        <f>
              Ifs(
                (Y158 = 'Points-Table'!$A$4), 'Points-Table'!$C$4,
                (Y158 = 'Points-Table'!$A$5), 'Points-Table'!$C$5,
                (Y158 = 'Points-Table'!$A$6), 'Points-Table'!$C$6,
                (Y158 = 'Points-Table'!$A$7), 'Points-Table'!$C$7,
                (Y158 = 'Points-Table'!$A$8), 'Points-Table'!$C$8,
                (Y158 = 'Points-Table'!$A$9), 'Points-Table'!$C$9,
                (Y158 = 'Points-Table'!$A$10), 'Points-Table'!$C$10,
                (Y158 = 'Points-Table'!$A$11), 'Points-Table'!$C$11,
                (Y158 = 'Points-Table'!$A$12), 'Points-Table'!$C$12,
                (Y158 = 'Points-Table'!$A$13), 'Points-Table'!$C$13,
                true, 0
              )
            </f>
        <v>4</v>
      </c>
      <c r="AA158" s="6">
        <f t="shared" si="2"/>
        <v>10</v>
      </c>
      <c r="AB158" s="6" t="str">
        <f>IFERROR(__xludf.DUMMYFUNCTION("
      Ifs( 
        ISBETWEEN(AA158, 0, 'Points-Table'!C$20, TRUE, False), 'Points-Table'!A$20,
        ISBETWEEN(AA158, 'Points-Table'!C$20, 'Points-Table'!C$21, TRUE, False), 'Points-Table'!A$21,
        ISBETWEEN(AA158, 'Points-Table'!C$22, 10000, TRU"&amp;"E, TRUE), 'Points-Table'!A$22,
        true, 
        0)
      "),"S")</f>
        <v>S</v>
      </c>
      <c r="AC158" s="6" t="s">
        <v>29</v>
      </c>
      <c r="AD158" s="6" t="s">
        <v>29</v>
      </c>
      <c r="AE158" s="6" t="s">
        <v>29</v>
      </c>
    </row>
    <row r="159" ht="24.75" customHeight="1">
      <c r="A159" s="6" t="s">
        <v>331</v>
      </c>
      <c r="B159" s="6" t="s">
        <v>356</v>
      </c>
      <c r="C159" s="6" t="s">
        <v>360</v>
      </c>
      <c r="D159" s="6"/>
      <c r="E159" s="6"/>
      <c r="F159" s="6"/>
      <c r="G159" s="6"/>
      <c r="H159" s="6"/>
      <c r="I159" s="6"/>
      <c r="J159" s="6"/>
      <c r="K159" s="6" t="s">
        <v>27</v>
      </c>
      <c r="L159" s="6" t="s">
        <v>28</v>
      </c>
      <c r="M159" s="6"/>
      <c r="N159" s="6"/>
      <c r="O159" s="6"/>
      <c r="P159" s="6"/>
      <c r="Q159" s="6"/>
      <c r="R159" s="6">
        <f>
              Ifs(
                (Q159 = 'Points-Table'!$A$4), 'Points-Table'!$C$4,
                (Q159 = 'Points-Table'!$A$5), 'Points-Table'!$C$5,
                (Q159 = 'Points-Table'!$A$6), 'Points-Table'!$C$6,
                (Q159 = 'Points-Table'!$A$7), 'Points-Table'!$C$7,
                (Q159 = 'Points-Table'!$A$8), 'Points-Table'!$C$8,
                (Q159 = 'Points-Table'!$A$9), 'Points-Table'!$C$9,
                (Q159 = 'Points-Table'!$A$10), 'Points-Table'!$C$10,
                (Q159 = 'Points-Table'!$A$11), 'Points-Table'!$C$11,
                (Q159 = 'Points-Table'!$A$12), 'Points-Table'!$C$12,
                (Q159 = 'Points-Table'!$A$13), 'Points-Table'!$C$13,
                true, 0
              )
            </f>
        <v>0</v>
      </c>
      <c r="S159" s="6"/>
      <c r="T159" s="6">
        <f>
              Ifs(
                (S159 = 'Points-Table'!$A$4), 'Points-Table'!$C$4,
                (S159 = 'Points-Table'!$A$5), 'Points-Table'!$C$5,
                (S159 = 'Points-Table'!$A$6), 'Points-Table'!$C$6,
                (S159 = 'Points-Table'!$A$7), 'Points-Table'!$C$7,
                (S159 = 'Points-Table'!$A$8), 'Points-Table'!$C$8,
                (S159 = 'Points-Table'!$A$9), 'Points-Table'!$C$9,
                (S159 = 'Points-Table'!$A$10), 'Points-Table'!$C$10,
                (S159 = 'Points-Table'!$A$11), 'Points-Table'!$C$11,
                (S159 = 'Points-Table'!$A$12), 'Points-Table'!$C$12,
                (S159 = 'Points-Table'!$A$13), 'Points-Table'!$C$13,
                true, 0
              )
            </f>
        <v>0</v>
      </c>
      <c r="U159" s="6">
        <v>5.0</v>
      </c>
      <c r="V159" s="6">
        <f>
              Ifs(
                (U159 = 'Points-Table'!$A$4), 'Points-Table'!$C$4,
                (U159 = 'Points-Table'!$A$5), 'Points-Table'!$C$5,
                (U159 = 'Points-Table'!$A$6), 'Points-Table'!$C$6,
                (U159 = 'Points-Table'!$A$7), 'Points-Table'!$C$7,
                (U159 = 'Points-Table'!$A$8), 'Points-Table'!$C$8,
                (U159 = 'Points-Table'!$A$9), 'Points-Table'!$C$9,
                (U159 = 'Points-Table'!$A$10), 'Points-Table'!$C$10,
                (U159 = 'Points-Table'!$A$11), 'Points-Table'!$C$11,
                (U159 = 'Points-Table'!$A$12), 'Points-Table'!$C$12,
                (U159 = 'Points-Table'!$A$13), 'Points-Table'!$C$13,
                true, 0
              )
            </f>
        <v>4</v>
      </c>
      <c r="W159" s="6">
        <v>3.0</v>
      </c>
      <c r="X159" s="6">
        <f>
              Ifs(
                (W159 = 'Points-Table'!$A$4), 'Points-Table'!$C$4,
                (W159 = 'Points-Table'!$A$5), 'Points-Table'!$C$5,
                (W159 = 'Points-Table'!$A$6), 'Points-Table'!$C$6,
                (W159 = 'Points-Table'!$A$7), 'Points-Table'!$C$7,
                (W159 = 'Points-Table'!$A$8), 'Points-Table'!$C$8,
                (W159 = 'Points-Table'!$A$9), 'Points-Table'!$C$9,
                (W159 = 'Points-Table'!$A$10), 'Points-Table'!$C$10,
                (W159 = 'Points-Table'!$A$11), 'Points-Table'!$C$11,
                (W159 = 'Points-Table'!$A$12), 'Points-Table'!$C$12,
                (W159 = 'Points-Table'!$A$13), 'Points-Table'!$C$13,
                true, 0
              )
            </f>
        <v>2</v>
      </c>
      <c r="Y159" s="6">
        <v>5.0</v>
      </c>
      <c r="Z159" s="6">
        <f>
              Ifs(
                (Y159 = 'Points-Table'!$A$4), 'Points-Table'!$C$4,
                (Y159 = 'Points-Table'!$A$5), 'Points-Table'!$C$5,
                (Y159 = 'Points-Table'!$A$6), 'Points-Table'!$C$6,
                (Y159 = 'Points-Table'!$A$7), 'Points-Table'!$C$7,
                (Y159 = 'Points-Table'!$A$8), 'Points-Table'!$C$8,
                (Y159 = 'Points-Table'!$A$9), 'Points-Table'!$C$9,
                (Y159 = 'Points-Table'!$A$10), 'Points-Table'!$C$10,
                (Y159 = 'Points-Table'!$A$11), 'Points-Table'!$C$11,
                (Y159 = 'Points-Table'!$A$12), 'Points-Table'!$C$12,
                (Y159 = 'Points-Table'!$A$13), 'Points-Table'!$C$13,
                true, 0
              )
            </f>
        <v>4</v>
      </c>
      <c r="AA159" s="6">
        <f t="shared" si="2"/>
        <v>10</v>
      </c>
      <c r="AB159" s="6" t="str">
        <f>IFERROR(__xludf.DUMMYFUNCTION("
      Ifs( 
        ISBETWEEN(AA159, 0, 'Points-Table'!C$20, TRUE, False), 'Points-Table'!A$20,
        ISBETWEEN(AA159, 'Points-Table'!C$20, 'Points-Table'!C$21, TRUE, False), 'Points-Table'!A$21,
        ISBETWEEN(AA159, 'Points-Table'!C$22, 10000, TRU"&amp;"E, TRUE), 'Points-Table'!A$22,
        true, 
        0)
      "),"S")</f>
        <v>S</v>
      </c>
      <c r="AC159" s="6" t="s">
        <v>29</v>
      </c>
      <c r="AD159" s="6" t="s">
        <v>29</v>
      </c>
      <c r="AE159" s="6" t="s">
        <v>29</v>
      </c>
    </row>
    <row r="160" ht="24.75" customHeight="1">
      <c r="A160" s="6" t="s">
        <v>331</v>
      </c>
      <c r="B160" s="6" t="s">
        <v>361</v>
      </c>
      <c r="C160" s="6" t="s">
        <v>362</v>
      </c>
      <c r="D160" s="6"/>
      <c r="E160" s="6"/>
      <c r="F160" s="6"/>
      <c r="G160" s="6"/>
      <c r="H160" s="6"/>
      <c r="I160" s="6"/>
      <c r="J160" s="6"/>
      <c r="K160" s="6" t="s">
        <v>27</v>
      </c>
      <c r="L160" s="6" t="s">
        <v>28</v>
      </c>
      <c r="M160" s="6"/>
      <c r="N160" s="6"/>
      <c r="O160" s="6"/>
      <c r="P160" s="6"/>
      <c r="Q160" s="6">
        <v>2.0</v>
      </c>
      <c r="R160" s="6">
        <f>
              Ifs(
                (Q160 = 'Points-Table'!$A$4), 'Points-Table'!$C$4,
                (Q160 = 'Points-Table'!$A$5), 'Points-Table'!$C$5,
                (Q160 = 'Points-Table'!$A$6), 'Points-Table'!$C$6,
                (Q160 = 'Points-Table'!$A$7), 'Points-Table'!$C$7,
                (Q160 = 'Points-Table'!$A$8), 'Points-Table'!$C$8,
                (Q160 = 'Points-Table'!$A$9), 'Points-Table'!$C$9,
                (Q160 = 'Points-Table'!$A$10), 'Points-Table'!$C$10,
                (Q160 = 'Points-Table'!$A$11), 'Points-Table'!$C$11,
                (Q160 = 'Points-Table'!$A$12), 'Points-Table'!$C$12,
                (Q160 = 'Points-Table'!$A$13), 'Points-Table'!$C$13,
                true, 0
              )
            </f>
        <v>1</v>
      </c>
      <c r="S160" s="6">
        <v>2.0</v>
      </c>
      <c r="T160" s="6">
        <f>
              Ifs(
                (S160 = 'Points-Table'!$A$4), 'Points-Table'!$C$4,
                (S160 = 'Points-Table'!$A$5), 'Points-Table'!$C$5,
                (S160 = 'Points-Table'!$A$6), 'Points-Table'!$C$6,
                (S160 = 'Points-Table'!$A$7), 'Points-Table'!$C$7,
                (S160 = 'Points-Table'!$A$8), 'Points-Table'!$C$8,
                (S160 = 'Points-Table'!$A$9), 'Points-Table'!$C$9,
                (S160 = 'Points-Table'!$A$10), 'Points-Table'!$C$10,
                (S160 = 'Points-Table'!$A$11), 'Points-Table'!$C$11,
                (S160 = 'Points-Table'!$A$12), 'Points-Table'!$C$12,
                (S160 = 'Points-Table'!$A$13), 'Points-Table'!$C$13,
                true, 0
              )
            </f>
        <v>1</v>
      </c>
      <c r="U160" s="6">
        <v>8.0</v>
      </c>
      <c r="V160" s="6">
        <f>
              Ifs(
                (U160 = 'Points-Table'!$A$4), 'Points-Table'!$C$4,
                (U160 = 'Points-Table'!$A$5), 'Points-Table'!$C$5,
                (U160 = 'Points-Table'!$A$6), 'Points-Table'!$C$6,
                (U160 = 'Points-Table'!$A$7), 'Points-Table'!$C$7,
                (U160 = 'Points-Table'!$A$8), 'Points-Table'!$C$8,
                (U160 = 'Points-Table'!$A$9), 'Points-Table'!$C$9,
                (U160 = 'Points-Table'!$A$10), 'Points-Table'!$C$10,
                (U160 = 'Points-Table'!$A$11), 'Points-Table'!$C$11,
                (U160 = 'Points-Table'!$A$12), 'Points-Table'!$C$12,
                (U160 = 'Points-Table'!$A$13), 'Points-Table'!$C$13,
                true, 0
              )
            </f>
        <v>7</v>
      </c>
      <c r="W160" s="6">
        <v>5.0</v>
      </c>
      <c r="X160" s="6">
        <f>
              Ifs(
                (W160 = 'Points-Table'!$A$4), 'Points-Table'!$C$4,
                (W160 = 'Points-Table'!$A$5), 'Points-Table'!$C$5,
                (W160 = 'Points-Table'!$A$6), 'Points-Table'!$C$6,
                (W160 = 'Points-Table'!$A$7), 'Points-Table'!$C$7,
                (W160 = 'Points-Table'!$A$8), 'Points-Table'!$C$8,
                (W160 = 'Points-Table'!$A$9), 'Points-Table'!$C$9,
                (W160 = 'Points-Table'!$A$10), 'Points-Table'!$C$10,
                (W160 = 'Points-Table'!$A$11), 'Points-Table'!$C$11,
                (W160 = 'Points-Table'!$A$12), 'Points-Table'!$C$12,
                (W160 = 'Points-Table'!$A$13), 'Points-Table'!$C$13,
                true, 0
              )
            </f>
        <v>4</v>
      </c>
      <c r="Y160" s="6">
        <v>8.0</v>
      </c>
      <c r="Z160" s="6">
        <f>
              Ifs(
                (Y160 = 'Points-Table'!$A$4), 'Points-Table'!$C$4,
                (Y160 = 'Points-Table'!$A$5), 'Points-Table'!$C$5,
                (Y160 = 'Points-Table'!$A$6), 'Points-Table'!$C$6,
                (Y160 = 'Points-Table'!$A$7), 'Points-Table'!$C$7,
                (Y160 = 'Points-Table'!$A$8), 'Points-Table'!$C$8,
                (Y160 = 'Points-Table'!$A$9), 'Points-Table'!$C$9,
                (Y160 = 'Points-Table'!$A$10), 'Points-Table'!$C$10,
                (Y160 = 'Points-Table'!$A$11), 'Points-Table'!$C$11,
                (Y160 = 'Points-Table'!$A$12), 'Points-Table'!$C$12,
                (Y160 = 'Points-Table'!$A$13), 'Points-Table'!$C$13,
                true, 0
              )
            </f>
        <v>7</v>
      </c>
      <c r="AA160" s="6">
        <f t="shared" si="2"/>
        <v>18</v>
      </c>
      <c r="AB160" s="6" t="str">
        <f>IFERROR(__xludf.DUMMYFUNCTION("
      Ifs( 
        ISBETWEEN(AA160, 0, 'Points-Table'!C$20, TRUE, False), 'Points-Table'!A$20,
        ISBETWEEN(AA160, 'Points-Table'!C$20, 'Points-Table'!C$21, TRUE, False), 'Points-Table'!A$21,
        ISBETWEEN(AA160, 'Points-Table'!C$22, 10000, TRU"&amp;"E, TRUE), 'Points-Table'!A$22,
        true, 
        0)
      "),"S")</f>
        <v>S</v>
      </c>
      <c r="AC160" s="6" t="s">
        <v>29</v>
      </c>
      <c r="AD160" s="6" t="s">
        <v>29</v>
      </c>
      <c r="AE160" s="6" t="s">
        <v>29</v>
      </c>
    </row>
    <row r="161" ht="24.75" customHeight="1">
      <c r="A161" s="6" t="s">
        <v>331</v>
      </c>
      <c r="B161" s="6" t="s">
        <v>361</v>
      </c>
      <c r="C161" s="6" t="s">
        <v>363</v>
      </c>
      <c r="D161" s="6"/>
      <c r="E161" s="6"/>
      <c r="F161" s="6"/>
      <c r="G161" s="6"/>
      <c r="H161" s="6"/>
      <c r="I161" s="6"/>
      <c r="J161" s="6"/>
      <c r="K161" s="6" t="s">
        <v>27</v>
      </c>
      <c r="L161" s="6" t="s">
        <v>28</v>
      </c>
      <c r="M161" s="6"/>
      <c r="N161" s="6"/>
      <c r="O161" s="6"/>
      <c r="P161" s="6"/>
      <c r="Q161" s="6">
        <v>2.0</v>
      </c>
      <c r="R161" s="6">
        <f>
              Ifs(
                (Q161 = 'Points-Table'!$A$4), 'Points-Table'!$C$4,
                (Q161 = 'Points-Table'!$A$5), 'Points-Table'!$C$5,
                (Q161 = 'Points-Table'!$A$6), 'Points-Table'!$C$6,
                (Q161 = 'Points-Table'!$A$7), 'Points-Table'!$C$7,
                (Q161 = 'Points-Table'!$A$8), 'Points-Table'!$C$8,
                (Q161 = 'Points-Table'!$A$9), 'Points-Table'!$C$9,
                (Q161 = 'Points-Table'!$A$10), 'Points-Table'!$C$10,
                (Q161 = 'Points-Table'!$A$11), 'Points-Table'!$C$11,
                (Q161 = 'Points-Table'!$A$12), 'Points-Table'!$C$12,
                (Q161 = 'Points-Table'!$A$13), 'Points-Table'!$C$13,
                true, 0
              )
            </f>
        <v>1</v>
      </c>
      <c r="S161" s="6">
        <v>2.0</v>
      </c>
      <c r="T161" s="6">
        <f>
              Ifs(
                (S161 = 'Points-Table'!$A$4), 'Points-Table'!$C$4,
                (S161 = 'Points-Table'!$A$5), 'Points-Table'!$C$5,
                (S161 = 'Points-Table'!$A$6), 'Points-Table'!$C$6,
                (S161 = 'Points-Table'!$A$7), 'Points-Table'!$C$7,
                (S161 = 'Points-Table'!$A$8), 'Points-Table'!$C$8,
                (S161 = 'Points-Table'!$A$9), 'Points-Table'!$C$9,
                (S161 = 'Points-Table'!$A$10), 'Points-Table'!$C$10,
                (S161 = 'Points-Table'!$A$11), 'Points-Table'!$C$11,
                (S161 = 'Points-Table'!$A$12), 'Points-Table'!$C$12,
                (S161 = 'Points-Table'!$A$13), 'Points-Table'!$C$13,
                true, 0
              )
            </f>
        <v>1</v>
      </c>
      <c r="U161" s="6">
        <v>1.0</v>
      </c>
      <c r="V161" s="6">
        <f>
              Ifs(
                (U161 = 'Points-Table'!$A$4), 'Points-Table'!$C$4,
                (U161 = 'Points-Table'!$A$5), 'Points-Table'!$C$5,
                (U161 = 'Points-Table'!$A$6), 'Points-Table'!$C$6,
                (U161 = 'Points-Table'!$A$7), 'Points-Table'!$C$7,
                (U161 = 'Points-Table'!$A$8), 'Points-Table'!$C$8,
                (U161 = 'Points-Table'!$A$9), 'Points-Table'!$C$9,
                (U161 = 'Points-Table'!$A$10), 'Points-Table'!$C$10,
                (U161 = 'Points-Table'!$A$11), 'Points-Table'!$C$11,
                (U161 = 'Points-Table'!$A$12), 'Points-Table'!$C$12,
                (U161 = 'Points-Table'!$A$13), 'Points-Table'!$C$13,
                true, 0
              )
            </f>
        <v>0.5</v>
      </c>
      <c r="W161" s="6">
        <v>1.0</v>
      </c>
      <c r="X161" s="6">
        <f>
              Ifs(
                (W161 = 'Points-Table'!$A$4), 'Points-Table'!$C$4,
                (W161 = 'Points-Table'!$A$5), 'Points-Table'!$C$5,
                (W161 = 'Points-Table'!$A$6), 'Points-Table'!$C$6,
                (W161 = 'Points-Table'!$A$7), 'Points-Table'!$C$7,
                (W161 = 'Points-Table'!$A$8), 'Points-Table'!$C$8,
                (W161 = 'Points-Table'!$A$9), 'Points-Table'!$C$9,
                (W161 = 'Points-Table'!$A$10), 'Points-Table'!$C$10,
                (W161 = 'Points-Table'!$A$11), 'Points-Table'!$C$11,
                (W161 = 'Points-Table'!$A$12), 'Points-Table'!$C$12,
                (W161 = 'Points-Table'!$A$13), 'Points-Table'!$C$13,
                true, 0
              )
            </f>
        <v>0.5</v>
      </c>
      <c r="Y161" s="6">
        <v>1.0</v>
      </c>
      <c r="Z161" s="6">
        <f>
              Ifs(
                (Y161 = 'Points-Table'!$A$4), 'Points-Table'!$C$4,
                (Y161 = 'Points-Table'!$A$5), 'Points-Table'!$C$5,
                (Y161 = 'Points-Table'!$A$6), 'Points-Table'!$C$6,
                (Y161 = 'Points-Table'!$A$7), 'Points-Table'!$C$7,
                (Y161 = 'Points-Table'!$A$8), 'Points-Table'!$C$8,
                (Y161 = 'Points-Table'!$A$9), 'Points-Table'!$C$9,
                (Y161 = 'Points-Table'!$A$10), 'Points-Table'!$C$10,
                (Y161 = 'Points-Table'!$A$11), 'Points-Table'!$C$11,
                (Y161 = 'Points-Table'!$A$12), 'Points-Table'!$C$12,
                (Y161 = 'Points-Table'!$A$13), 'Points-Table'!$C$13,
                true, 0
              )
            </f>
        <v>0.5</v>
      </c>
      <c r="AA161" s="6">
        <f t="shared" si="2"/>
        <v>1.5</v>
      </c>
      <c r="AB161" s="6" t="str">
        <f>IFERROR(__xludf.DUMMYFUNCTION("
      Ifs( 
        ISBETWEEN(AA161, 0, 'Points-Table'!C$20, TRUE, False), 'Points-Table'!A$20,
        ISBETWEEN(AA161, 'Points-Table'!C$20, 'Points-Table'!C$21, TRUE, False), 'Points-Table'!A$21,
        ISBETWEEN(AA161, 'Points-Table'!C$22, 10000, TRU"&amp;"E, TRUE), 'Points-Table'!A$22,
        true, 
        0)
      "),"S")</f>
        <v>S</v>
      </c>
      <c r="AC161" s="6" t="s">
        <v>29</v>
      </c>
      <c r="AD161" s="6" t="s">
        <v>29</v>
      </c>
      <c r="AE161" s="6" t="s">
        <v>29</v>
      </c>
    </row>
    <row r="162" ht="24.75" customHeight="1">
      <c r="A162" s="6" t="s">
        <v>331</v>
      </c>
      <c r="B162" s="6" t="s">
        <v>361</v>
      </c>
      <c r="C162" s="6" t="s">
        <v>364</v>
      </c>
      <c r="D162" s="6"/>
      <c r="E162" s="6"/>
      <c r="F162" s="6"/>
      <c r="G162" s="6"/>
      <c r="H162" s="6"/>
      <c r="I162" s="6"/>
      <c r="J162" s="6"/>
      <c r="K162" s="6" t="s">
        <v>27</v>
      </c>
      <c r="L162" s="6" t="s">
        <v>28</v>
      </c>
      <c r="M162" s="6"/>
      <c r="N162" s="6"/>
      <c r="O162" s="6"/>
      <c r="P162" s="6"/>
      <c r="Q162" s="6"/>
      <c r="R162" s="6">
        <f>
              Ifs(
                (Q162 = 'Points-Table'!$A$4), 'Points-Table'!$C$4,
                (Q162 = 'Points-Table'!$A$5), 'Points-Table'!$C$5,
                (Q162 = 'Points-Table'!$A$6), 'Points-Table'!$C$6,
                (Q162 = 'Points-Table'!$A$7), 'Points-Table'!$C$7,
                (Q162 = 'Points-Table'!$A$8), 'Points-Table'!$C$8,
                (Q162 = 'Points-Table'!$A$9), 'Points-Table'!$C$9,
                (Q162 = 'Points-Table'!$A$10), 'Points-Table'!$C$10,
                (Q162 = 'Points-Table'!$A$11), 'Points-Table'!$C$11,
                (Q162 = 'Points-Table'!$A$12), 'Points-Table'!$C$12,
                (Q162 = 'Points-Table'!$A$13), 'Points-Table'!$C$13,
                true, 0
              )
            </f>
        <v>0</v>
      </c>
      <c r="S162" s="6"/>
      <c r="T162" s="6">
        <f>
              Ifs(
                (S162 = 'Points-Table'!$A$4), 'Points-Table'!$C$4,
                (S162 = 'Points-Table'!$A$5), 'Points-Table'!$C$5,
                (S162 = 'Points-Table'!$A$6), 'Points-Table'!$C$6,
                (S162 = 'Points-Table'!$A$7), 'Points-Table'!$C$7,
                (S162 = 'Points-Table'!$A$8), 'Points-Table'!$C$8,
                (S162 = 'Points-Table'!$A$9), 'Points-Table'!$C$9,
                (S162 = 'Points-Table'!$A$10), 'Points-Table'!$C$10,
                (S162 = 'Points-Table'!$A$11), 'Points-Table'!$C$11,
                (S162 = 'Points-Table'!$A$12), 'Points-Table'!$C$12,
                (S162 = 'Points-Table'!$A$13), 'Points-Table'!$C$13,
                true, 0
              )
            </f>
        <v>0</v>
      </c>
      <c r="U162" s="6">
        <v>1.0</v>
      </c>
      <c r="V162" s="6">
        <f>
              Ifs(
                (U162 = 'Points-Table'!$A$4), 'Points-Table'!$C$4,
                (U162 = 'Points-Table'!$A$5), 'Points-Table'!$C$5,
                (U162 = 'Points-Table'!$A$6), 'Points-Table'!$C$6,
                (U162 = 'Points-Table'!$A$7), 'Points-Table'!$C$7,
                (U162 = 'Points-Table'!$A$8), 'Points-Table'!$C$8,
                (U162 = 'Points-Table'!$A$9), 'Points-Table'!$C$9,
                (U162 = 'Points-Table'!$A$10), 'Points-Table'!$C$10,
                (U162 = 'Points-Table'!$A$11), 'Points-Table'!$C$11,
                (U162 = 'Points-Table'!$A$12), 'Points-Table'!$C$12,
                (U162 = 'Points-Table'!$A$13), 'Points-Table'!$C$13,
                true, 0
              )
            </f>
        <v>0.5</v>
      </c>
      <c r="W162" s="6">
        <v>1.0</v>
      </c>
      <c r="X162" s="6">
        <f>
              Ifs(
                (W162 = 'Points-Table'!$A$4), 'Points-Table'!$C$4,
                (W162 = 'Points-Table'!$A$5), 'Points-Table'!$C$5,
                (W162 = 'Points-Table'!$A$6), 'Points-Table'!$C$6,
                (W162 = 'Points-Table'!$A$7), 'Points-Table'!$C$7,
                (W162 = 'Points-Table'!$A$8), 'Points-Table'!$C$8,
                (W162 = 'Points-Table'!$A$9), 'Points-Table'!$C$9,
                (W162 = 'Points-Table'!$A$10), 'Points-Table'!$C$10,
                (W162 = 'Points-Table'!$A$11), 'Points-Table'!$C$11,
                (W162 = 'Points-Table'!$A$12), 'Points-Table'!$C$12,
                (W162 = 'Points-Table'!$A$13), 'Points-Table'!$C$13,
                true, 0
              )
            </f>
        <v>0.5</v>
      </c>
      <c r="Y162" s="6">
        <v>1.0</v>
      </c>
      <c r="Z162" s="6">
        <f>
              Ifs(
                (Y162 = 'Points-Table'!$A$4), 'Points-Table'!$C$4,
                (Y162 = 'Points-Table'!$A$5), 'Points-Table'!$C$5,
                (Y162 = 'Points-Table'!$A$6), 'Points-Table'!$C$6,
                (Y162 = 'Points-Table'!$A$7), 'Points-Table'!$C$7,
                (Y162 = 'Points-Table'!$A$8), 'Points-Table'!$C$8,
                (Y162 = 'Points-Table'!$A$9), 'Points-Table'!$C$9,
                (Y162 = 'Points-Table'!$A$10), 'Points-Table'!$C$10,
                (Y162 = 'Points-Table'!$A$11), 'Points-Table'!$C$11,
                (Y162 = 'Points-Table'!$A$12), 'Points-Table'!$C$12,
                (Y162 = 'Points-Table'!$A$13), 'Points-Table'!$C$13,
                true, 0
              )
            </f>
        <v>0.5</v>
      </c>
      <c r="AA162" s="6">
        <f t="shared" si="2"/>
        <v>1.5</v>
      </c>
      <c r="AB162" s="6" t="str">
        <f>IFERROR(__xludf.DUMMYFUNCTION("
      Ifs( 
        ISBETWEEN(AA162, 0, 'Points-Table'!C$20, TRUE, False), 'Points-Table'!A$20,
        ISBETWEEN(AA162, 'Points-Table'!C$20, 'Points-Table'!C$21, TRUE, False), 'Points-Table'!A$21,
        ISBETWEEN(AA162, 'Points-Table'!C$22, 10000, TRU"&amp;"E, TRUE), 'Points-Table'!A$22,
        true, 
        0)
      "),"S")</f>
        <v>S</v>
      </c>
      <c r="AC162" s="6" t="s">
        <v>29</v>
      </c>
      <c r="AD162" s="6" t="s">
        <v>29</v>
      </c>
      <c r="AE162" s="6" t="s">
        <v>29</v>
      </c>
    </row>
    <row r="163" ht="24.75" customHeight="1">
      <c r="A163" s="6" t="s">
        <v>331</v>
      </c>
      <c r="B163" s="6" t="s">
        <v>361</v>
      </c>
      <c r="C163" s="6" t="s">
        <v>365</v>
      </c>
      <c r="D163" s="6" t="s">
        <v>366</v>
      </c>
      <c r="E163" s="6"/>
      <c r="F163" s="6"/>
      <c r="G163" s="6"/>
      <c r="H163" s="6"/>
      <c r="I163" s="6"/>
      <c r="J163" s="6"/>
      <c r="K163" s="6" t="s">
        <v>27</v>
      </c>
      <c r="L163" s="6" t="s">
        <v>28</v>
      </c>
      <c r="M163" s="6"/>
      <c r="N163" s="6"/>
      <c r="O163" s="6"/>
      <c r="P163" s="6"/>
      <c r="Q163" s="6">
        <v>3.0</v>
      </c>
      <c r="R163" s="6">
        <f>
              Ifs(
                (Q163 = 'Points-Table'!$A$4), 'Points-Table'!$C$4,
                (Q163 = 'Points-Table'!$A$5), 'Points-Table'!$C$5,
                (Q163 = 'Points-Table'!$A$6), 'Points-Table'!$C$6,
                (Q163 = 'Points-Table'!$A$7), 'Points-Table'!$C$7,
                (Q163 = 'Points-Table'!$A$8), 'Points-Table'!$C$8,
                (Q163 = 'Points-Table'!$A$9), 'Points-Table'!$C$9,
                (Q163 = 'Points-Table'!$A$10), 'Points-Table'!$C$10,
                (Q163 = 'Points-Table'!$A$11), 'Points-Table'!$C$11,
                (Q163 = 'Points-Table'!$A$12), 'Points-Table'!$C$12,
                (Q163 = 'Points-Table'!$A$13), 'Points-Table'!$C$13,
                true, 0
              )
            </f>
        <v>2</v>
      </c>
      <c r="S163" s="6">
        <v>3.0</v>
      </c>
      <c r="T163" s="6">
        <f>
              Ifs(
                (S163 = 'Points-Table'!$A$4), 'Points-Table'!$C$4,
                (S163 = 'Points-Table'!$A$5), 'Points-Table'!$C$5,
                (S163 = 'Points-Table'!$A$6), 'Points-Table'!$C$6,
                (S163 = 'Points-Table'!$A$7), 'Points-Table'!$C$7,
                (S163 = 'Points-Table'!$A$8), 'Points-Table'!$C$8,
                (S163 = 'Points-Table'!$A$9), 'Points-Table'!$C$9,
                (S163 = 'Points-Table'!$A$10), 'Points-Table'!$C$10,
                (S163 = 'Points-Table'!$A$11), 'Points-Table'!$C$11,
                (S163 = 'Points-Table'!$A$12), 'Points-Table'!$C$12,
                (S163 = 'Points-Table'!$A$13), 'Points-Table'!$C$13,
                true, 0
              )
            </f>
        <v>2</v>
      </c>
      <c r="U163" s="6">
        <v>8.0</v>
      </c>
      <c r="V163" s="6">
        <f>
              Ifs(
                (U163 = 'Points-Table'!$A$4), 'Points-Table'!$C$4,
                (U163 = 'Points-Table'!$A$5), 'Points-Table'!$C$5,
                (U163 = 'Points-Table'!$A$6), 'Points-Table'!$C$6,
                (U163 = 'Points-Table'!$A$7), 'Points-Table'!$C$7,
                (U163 = 'Points-Table'!$A$8), 'Points-Table'!$C$8,
                (U163 = 'Points-Table'!$A$9), 'Points-Table'!$C$9,
                (U163 = 'Points-Table'!$A$10), 'Points-Table'!$C$10,
                (U163 = 'Points-Table'!$A$11), 'Points-Table'!$C$11,
                (U163 = 'Points-Table'!$A$12), 'Points-Table'!$C$12,
                (U163 = 'Points-Table'!$A$13), 'Points-Table'!$C$13,
                true, 0
              )
            </f>
        <v>7</v>
      </c>
      <c r="W163" s="6">
        <v>3.0</v>
      </c>
      <c r="X163" s="6">
        <f>
              Ifs(
                (W163 = 'Points-Table'!$A$4), 'Points-Table'!$C$4,
                (W163 = 'Points-Table'!$A$5), 'Points-Table'!$C$5,
                (W163 = 'Points-Table'!$A$6), 'Points-Table'!$C$6,
                (W163 = 'Points-Table'!$A$7), 'Points-Table'!$C$7,
                (W163 = 'Points-Table'!$A$8), 'Points-Table'!$C$8,
                (W163 = 'Points-Table'!$A$9), 'Points-Table'!$C$9,
                (W163 = 'Points-Table'!$A$10), 'Points-Table'!$C$10,
                (W163 = 'Points-Table'!$A$11), 'Points-Table'!$C$11,
                (W163 = 'Points-Table'!$A$12), 'Points-Table'!$C$12,
                (W163 = 'Points-Table'!$A$13), 'Points-Table'!$C$13,
                true, 0
              )
            </f>
        <v>2</v>
      </c>
      <c r="Y163" s="6">
        <v>13.0</v>
      </c>
      <c r="Z163" s="6">
        <f>
              Ifs(
                (Y163 = 'Points-Table'!$A$4), 'Points-Table'!$C$4,
                (Y163 = 'Points-Table'!$A$5), 'Points-Table'!$C$5,
                (Y163 = 'Points-Table'!$A$6), 'Points-Table'!$C$6,
                (Y163 = 'Points-Table'!$A$7), 'Points-Table'!$C$7,
                (Y163 = 'Points-Table'!$A$8), 'Points-Table'!$C$8,
                (Y163 = 'Points-Table'!$A$9), 'Points-Table'!$C$9,
                (Y163 = 'Points-Table'!$A$10), 'Points-Table'!$C$10,
                (Y163 = 'Points-Table'!$A$11), 'Points-Table'!$C$11,
                (Y163 = 'Points-Table'!$A$12), 'Points-Table'!$C$12,
                (Y163 = 'Points-Table'!$A$13), 'Points-Table'!$C$13,
                true, 0
              )
            </f>
        <v>11</v>
      </c>
      <c r="AA163" s="6">
        <f t="shared" si="2"/>
        <v>20</v>
      </c>
      <c r="AB163" s="6" t="str">
        <f>IFERROR(__xludf.DUMMYFUNCTION("
      Ifs( 
        ISBETWEEN(AA163, 0, 'Points-Table'!C$20, TRUE, False), 'Points-Table'!A$20,
        ISBETWEEN(AA163, 'Points-Table'!C$20, 'Points-Table'!C$21, TRUE, False), 'Points-Table'!A$21,
        ISBETWEEN(AA163, 'Points-Table'!C$22, 10000, TRU"&amp;"E, TRUE), 'Points-Table'!A$22,
        true, 
        0)
      "),"S")</f>
        <v>S</v>
      </c>
      <c r="AC163" s="6" t="s">
        <v>29</v>
      </c>
      <c r="AD163" s="6" t="s">
        <v>29</v>
      </c>
      <c r="AE163" s="6" t="s">
        <v>29</v>
      </c>
    </row>
    <row r="164" ht="24.75" customHeight="1">
      <c r="A164" s="6" t="s">
        <v>331</v>
      </c>
      <c r="B164" s="6" t="s">
        <v>367</v>
      </c>
      <c r="C164" s="6" t="s">
        <v>368</v>
      </c>
      <c r="D164" s="6" t="s">
        <v>369</v>
      </c>
      <c r="E164" s="6"/>
      <c r="F164" s="6"/>
      <c r="G164" s="6"/>
      <c r="H164" s="6"/>
      <c r="I164" s="6"/>
      <c r="J164" s="6"/>
      <c r="K164" s="6" t="s">
        <v>27</v>
      </c>
      <c r="L164" s="6" t="s">
        <v>28</v>
      </c>
      <c r="M164" s="6"/>
      <c r="N164" s="6"/>
      <c r="O164" s="6"/>
      <c r="P164" s="6"/>
      <c r="Q164" s="6">
        <v>3.0</v>
      </c>
      <c r="R164" s="6">
        <f>
              Ifs(
                (Q164 = 'Points-Table'!$A$4), 'Points-Table'!$C$4,
                (Q164 = 'Points-Table'!$A$5), 'Points-Table'!$C$5,
                (Q164 = 'Points-Table'!$A$6), 'Points-Table'!$C$6,
                (Q164 = 'Points-Table'!$A$7), 'Points-Table'!$C$7,
                (Q164 = 'Points-Table'!$A$8), 'Points-Table'!$C$8,
                (Q164 = 'Points-Table'!$A$9), 'Points-Table'!$C$9,
                (Q164 = 'Points-Table'!$A$10), 'Points-Table'!$C$10,
                (Q164 = 'Points-Table'!$A$11), 'Points-Table'!$C$11,
                (Q164 = 'Points-Table'!$A$12), 'Points-Table'!$C$12,
                (Q164 = 'Points-Table'!$A$13), 'Points-Table'!$C$13,
                true, 0
              )
            </f>
        <v>2</v>
      </c>
      <c r="S164" s="6">
        <v>3.0</v>
      </c>
      <c r="T164" s="6">
        <f>
              Ifs(
                (S164 = 'Points-Table'!$A$4), 'Points-Table'!$C$4,
                (S164 = 'Points-Table'!$A$5), 'Points-Table'!$C$5,
                (S164 = 'Points-Table'!$A$6), 'Points-Table'!$C$6,
                (S164 = 'Points-Table'!$A$7), 'Points-Table'!$C$7,
                (S164 = 'Points-Table'!$A$8), 'Points-Table'!$C$8,
                (S164 = 'Points-Table'!$A$9), 'Points-Table'!$C$9,
                (S164 = 'Points-Table'!$A$10), 'Points-Table'!$C$10,
                (S164 = 'Points-Table'!$A$11), 'Points-Table'!$C$11,
                (S164 = 'Points-Table'!$A$12), 'Points-Table'!$C$12,
                (S164 = 'Points-Table'!$A$13), 'Points-Table'!$C$13,
                true, 0
              )
            </f>
        <v>2</v>
      </c>
      <c r="U164" s="6">
        <v>3.0</v>
      </c>
      <c r="V164" s="6">
        <f>
              Ifs(
                (U164 = 'Points-Table'!$A$4), 'Points-Table'!$C$4,
                (U164 = 'Points-Table'!$A$5), 'Points-Table'!$C$5,
                (U164 = 'Points-Table'!$A$6), 'Points-Table'!$C$6,
                (U164 = 'Points-Table'!$A$7), 'Points-Table'!$C$7,
                (U164 = 'Points-Table'!$A$8), 'Points-Table'!$C$8,
                (U164 = 'Points-Table'!$A$9), 'Points-Table'!$C$9,
                (U164 = 'Points-Table'!$A$10), 'Points-Table'!$C$10,
                (U164 = 'Points-Table'!$A$11), 'Points-Table'!$C$11,
                (U164 = 'Points-Table'!$A$12), 'Points-Table'!$C$12,
                (U164 = 'Points-Table'!$A$13), 'Points-Table'!$C$13,
                true, 0
              )
            </f>
        <v>2</v>
      </c>
      <c r="W164" s="6">
        <v>5.0</v>
      </c>
      <c r="X164" s="6">
        <f>
              Ifs(
                (W164 = 'Points-Table'!$A$4), 'Points-Table'!$C$4,
                (W164 = 'Points-Table'!$A$5), 'Points-Table'!$C$5,
                (W164 = 'Points-Table'!$A$6), 'Points-Table'!$C$6,
                (W164 = 'Points-Table'!$A$7), 'Points-Table'!$C$7,
                (W164 = 'Points-Table'!$A$8), 'Points-Table'!$C$8,
                (W164 = 'Points-Table'!$A$9), 'Points-Table'!$C$9,
                (W164 = 'Points-Table'!$A$10), 'Points-Table'!$C$10,
                (W164 = 'Points-Table'!$A$11), 'Points-Table'!$C$11,
                (W164 = 'Points-Table'!$A$12), 'Points-Table'!$C$12,
                (W164 = 'Points-Table'!$A$13), 'Points-Table'!$C$13,
                true, 0
              )
            </f>
        <v>4</v>
      </c>
      <c r="Y164" s="6">
        <v>8.0</v>
      </c>
      <c r="Z164" s="6">
        <f>
              Ifs(
                (Y164 = 'Points-Table'!$A$4), 'Points-Table'!$C$4,
                (Y164 = 'Points-Table'!$A$5), 'Points-Table'!$C$5,
                (Y164 = 'Points-Table'!$A$6), 'Points-Table'!$C$6,
                (Y164 = 'Points-Table'!$A$7), 'Points-Table'!$C$7,
                (Y164 = 'Points-Table'!$A$8), 'Points-Table'!$C$8,
                (Y164 = 'Points-Table'!$A$9), 'Points-Table'!$C$9,
                (Y164 = 'Points-Table'!$A$10), 'Points-Table'!$C$10,
                (Y164 = 'Points-Table'!$A$11), 'Points-Table'!$C$11,
                (Y164 = 'Points-Table'!$A$12), 'Points-Table'!$C$12,
                (Y164 = 'Points-Table'!$A$13), 'Points-Table'!$C$13,
                true, 0
              )
            </f>
        <v>7</v>
      </c>
      <c r="AA164" s="6">
        <f t="shared" si="2"/>
        <v>13</v>
      </c>
      <c r="AB164" s="6" t="str">
        <f>IFERROR(__xludf.DUMMYFUNCTION("
      Ifs( 
        ISBETWEEN(AA164, 0, 'Points-Table'!C$20, TRUE, False), 'Points-Table'!A$20,
        ISBETWEEN(AA164, 'Points-Table'!C$20, 'Points-Table'!C$21, TRUE, False), 'Points-Table'!A$21,
        ISBETWEEN(AA164, 'Points-Table'!C$22, 10000, TRU"&amp;"E, TRUE), 'Points-Table'!A$22,
        true, 
        0)
      "),"S")</f>
        <v>S</v>
      </c>
      <c r="AC164" s="6" t="s">
        <v>29</v>
      </c>
      <c r="AD164" s="6" t="s">
        <v>29</v>
      </c>
      <c r="AE164" s="6" t="s">
        <v>29</v>
      </c>
    </row>
    <row r="165" ht="24.75" customHeight="1">
      <c r="A165" s="6" t="s">
        <v>331</v>
      </c>
      <c r="B165" s="6" t="s">
        <v>367</v>
      </c>
      <c r="C165" s="6" t="s">
        <v>370</v>
      </c>
      <c r="D165" s="6" t="s">
        <v>371</v>
      </c>
      <c r="E165" s="6"/>
      <c r="F165" s="6"/>
      <c r="G165" s="6"/>
      <c r="H165" s="6"/>
      <c r="I165" s="6"/>
      <c r="J165" s="6"/>
      <c r="K165" s="6" t="s">
        <v>27</v>
      </c>
      <c r="L165" s="6" t="s">
        <v>28</v>
      </c>
      <c r="M165" s="6"/>
      <c r="N165" s="6"/>
      <c r="O165" s="6"/>
      <c r="P165" s="6"/>
      <c r="Q165" s="6"/>
      <c r="R165" s="6">
        <f>
              Ifs(
                (Q165 = 'Points-Table'!$A$4), 'Points-Table'!$C$4,
                (Q165 = 'Points-Table'!$A$5), 'Points-Table'!$C$5,
                (Q165 = 'Points-Table'!$A$6), 'Points-Table'!$C$6,
                (Q165 = 'Points-Table'!$A$7), 'Points-Table'!$C$7,
                (Q165 = 'Points-Table'!$A$8), 'Points-Table'!$C$8,
                (Q165 = 'Points-Table'!$A$9), 'Points-Table'!$C$9,
                (Q165 = 'Points-Table'!$A$10), 'Points-Table'!$C$10,
                (Q165 = 'Points-Table'!$A$11), 'Points-Table'!$C$11,
                (Q165 = 'Points-Table'!$A$12), 'Points-Table'!$C$12,
                (Q165 = 'Points-Table'!$A$13), 'Points-Table'!$C$13,
                true, 0
              )
            </f>
        <v>0</v>
      </c>
      <c r="S165" s="6"/>
      <c r="T165" s="6">
        <f>
              Ifs(
                (S165 = 'Points-Table'!$A$4), 'Points-Table'!$C$4,
                (S165 = 'Points-Table'!$A$5), 'Points-Table'!$C$5,
                (S165 = 'Points-Table'!$A$6), 'Points-Table'!$C$6,
                (S165 = 'Points-Table'!$A$7), 'Points-Table'!$C$7,
                (S165 = 'Points-Table'!$A$8), 'Points-Table'!$C$8,
                (S165 = 'Points-Table'!$A$9), 'Points-Table'!$C$9,
                (S165 = 'Points-Table'!$A$10), 'Points-Table'!$C$10,
                (S165 = 'Points-Table'!$A$11), 'Points-Table'!$C$11,
                (S165 = 'Points-Table'!$A$12), 'Points-Table'!$C$12,
                (S165 = 'Points-Table'!$A$13), 'Points-Table'!$C$13,
                true, 0
              )
            </f>
        <v>0</v>
      </c>
      <c r="U165" s="6">
        <v>3.0</v>
      </c>
      <c r="V165" s="6">
        <f>
              Ifs(
                (U165 = 'Points-Table'!$A$4), 'Points-Table'!$C$4,
                (U165 = 'Points-Table'!$A$5), 'Points-Table'!$C$5,
                (U165 = 'Points-Table'!$A$6), 'Points-Table'!$C$6,
                (U165 = 'Points-Table'!$A$7), 'Points-Table'!$C$7,
                (U165 = 'Points-Table'!$A$8), 'Points-Table'!$C$8,
                (U165 = 'Points-Table'!$A$9), 'Points-Table'!$C$9,
                (U165 = 'Points-Table'!$A$10), 'Points-Table'!$C$10,
                (U165 = 'Points-Table'!$A$11), 'Points-Table'!$C$11,
                (U165 = 'Points-Table'!$A$12), 'Points-Table'!$C$12,
                (U165 = 'Points-Table'!$A$13), 'Points-Table'!$C$13,
                true, 0
              )
            </f>
        <v>2</v>
      </c>
      <c r="W165" s="6">
        <v>0.0</v>
      </c>
      <c r="X165" s="6">
        <f>
              Ifs(
                (W165 = 'Points-Table'!$A$4), 'Points-Table'!$C$4,
                (W165 = 'Points-Table'!$A$5), 'Points-Table'!$C$5,
                (W165 = 'Points-Table'!$A$6), 'Points-Table'!$C$6,
                (W165 = 'Points-Table'!$A$7), 'Points-Table'!$C$7,
                (W165 = 'Points-Table'!$A$8), 'Points-Table'!$C$8,
                (W165 = 'Points-Table'!$A$9), 'Points-Table'!$C$9,
                (W165 = 'Points-Table'!$A$10), 'Points-Table'!$C$10,
                (W165 = 'Points-Table'!$A$11), 'Points-Table'!$C$11,
                (W165 = 'Points-Table'!$A$12), 'Points-Table'!$C$12,
                (W165 = 'Points-Table'!$A$13), 'Points-Table'!$C$13,
                true, 0
              )
            </f>
        <v>0</v>
      </c>
      <c r="Y165" s="6">
        <v>0.0</v>
      </c>
      <c r="Z165" s="6">
        <f>
              Ifs(
                (Y165 = 'Points-Table'!$A$4), 'Points-Table'!$C$4,
                (Y165 = 'Points-Table'!$A$5), 'Points-Table'!$C$5,
                (Y165 = 'Points-Table'!$A$6), 'Points-Table'!$C$6,
                (Y165 = 'Points-Table'!$A$7), 'Points-Table'!$C$7,
                (Y165 = 'Points-Table'!$A$8), 'Points-Table'!$C$8,
                (Y165 = 'Points-Table'!$A$9), 'Points-Table'!$C$9,
                (Y165 = 'Points-Table'!$A$10), 'Points-Table'!$C$10,
                (Y165 = 'Points-Table'!$A$11), 'Points-Table'!$C$11,
                (Y165 = 'Points-Table'!$A$12), 'Points-Table'!$C$12,
                (Y165 = 'Points-Table'!$A$13), 'Points-Table'!$C$13,
                true, 0
              )
            </f>
        <v>0</v>
      </c>
      <c r="AA165" s="6">
        <f t="shared" si="2"/>
        <v>2</v>
      </c>
      <c r="AB165" s="6" t="str">
        <f>IFERROR(__xludf.DUMMYFUNCTION("
      Ifs( 
        ISBETWEEN(AA165, 0, 'Points-Table'!C$20, TRUE, False), 'Points-Table'!A$20,
        ISBETWEEN(AA165, 'Points-Table'!C$20, 'Points-Table'!C$21, TRUE, False), 'Points-Table'!A$21,
        ISBETWEEN(AA165, 'Points-Table'!C$22, 10000, TRU"&amp;"E, TRUE), 'Points-Table'!A$22,
        true, 
        0)
      "),"S")</f>
        <v>S</v>
      </c>
      <c r="AC165" s="6" t="s">
        <v>29</v>
      </c>
      <c r="AD165" s="6" t="s">
        <v>29</v>
      </c>
      <c r="AE165" s="6" t="s">
        <v>29</v>
      </c>
    </row>
    <row r="166" ht="24.75" customHeight="1">
      <c r="A166" s="6" t="s">
        <v>331</v>
      </c>
      <c r="B166" s="6" t="s">
        <v>367</v>
      </c>
      <c r="C166" s="6" t="s">
        <v>372</v>
      </c>
      <c r="D166" s="6" t="s">
        <v>373</v>
      </c>
      <c r="E166" s="6"/>
      <c r="F166" s="6"/>
      <c r="G166" s="6"/>
      <c r="H166" s="6"/>
      <c r="I166" s="6"/>
      <c r="J166" s="6"/>
      <c r="K166" s="6" t="s">
        <v>27</v>
      </c>
      <c r="L166" s="6" t="s">
        <v>28</v>
      </c>
      <c r="M166" s="6"/>
      <c r="N166" s="6"/>
      <c r="O166" s="6"/>
      <c r="P166" s="6"/>
      <c r="Q166" s="6"/>
      <c r="R166" s="6">
        <f>
              Ifs(
                (Q166 = 'Points-Table'!$A$4), 'Points-Table'!$C$4,
                (Q166 = 'Points-Table'!$A$5), 'Points-Table'!$C$5,
                (Q166 = 'Points-Table'!$A$6), 'Points-Table'!$C$6,
                (Q166 = 'Points-Table'!$A$7), 'Points-Table'!$C$7,
                (Q166 = 'Points-Table'!$A$8), 'Points-Table'!$C$8,
                (Q166 = 'Points-Table'!$A$9), 'Points-Table'!$C$9,
                (Q166 = 'Points-Table'!$A$10), 'Points-Table'!$C$10,
                (Q166 = 'Points-Table'!$A$11), 'Points-Table'!$C$11,
                (Q166 = 'Points-Table'!$A$12), 'Points-Table'!$C$12,
                (Q166 = 'Points-Table'!$A$13), 'Points-Table'!$C$13,
                true, 0
              )
            </f>
        <v>0</v>
      </c>
      <c r="S166" s="6"/>
      <c r="T166" s="6">
        <f>
              Ifs(
                (S166 = 'Points-Table'!$A$4), 'Points-Table'!$C$4,
                (S166 = 'Points-Table'!$A$5), 'Points-Table'!$C$5,
                (S166 = 'Points-Table'!$A$6), 'Points-Table'!$C$6,
                (S166 = 'Points-Table'!$A$7), 'Points-Table'!$C$7,
                (S166 = 'Points-Table'!$A$8), 'Points-Table'!$C$8,
                (S166 = 'Points-Table'!$A$9), 'Points-Table'!$C$9,
                (S166 = 'Points-Table'!$A$10), 'Points-Table'!$C$10,
                (S166 = 'Points-Table'!$A$11), 'Points-Table'!$C$11,
                (S166 = 'Points-Table'!$A$12), 'Points-Table'!$C$12,
                (S166 = 'Points-Table'!$A$13), 'Points-Table'!$C$13,
                true, 0
              )
            </f>
        <v>0</v>
      </c>
      <c r="U166" s="6">
        <v>3.0</v>
      </c>
      <c r="V166" s="6">
        <f>
              Ifs(
                (U166 = 'Points-Table'!$A$4), 'Points-Table'!$C$4,
                (U166 = 'Points-Table'!$A$5), 'Points-Table'!$C$5,
                (U166 = 'Points-Table'!$A$6), 'Points-Table'!$C$6,
                (U166 = 'Points-Table'!$A$7), 'Points-Table'!$C$7,
                (U166 = 'Points-Table'!$A$8), 'Points-Table'!$C$8,
                (U166 = 'Points-Table'!$A$9), 'Points-Table'!$C$9,
                (U166 = 'Points-Table'!$A$10), 'Points-Table'!$C$10,
                (U166 = 'Points-Table'!$A$11), 'Points-Table'!$C$11,
                (U166 = 'Points-Table'!$A$12), 'Points-Table'!$C$12,
                (U166 = 'Points-Table'!$A$13), 'Points-Table'!$C$13,
                true, 0
              )
            </f>
        <v>2</v>
      </c>
      <c r="W166" s="6">
        <v>0.0</v>
      </c>
      <c r="X166" s="6">
        <f>
              Ifs(
                (W166 = 'Points-Table'!$A$4), 'Points-Table'!$C$4,
                (W166 = 'Points-Table'!$A$5), 'Points-Table'!$C$5,
                (W166 = 'Points-Table'!$A$6), 'Points-Table'!$C$6,
                (W166 = 'Points-Table'!$A$7), 'Points-Table'!$C$7,
                (W166 = 'Points-Table'!$A$8), 'Points-Table'!$C$8,
                (W166 = 'Points-Table'!$A$9), 'Points-Table'!$C$9,
                (W166 = 'Points-Table'!$A$10), 'Points-Table'!$C$10,
                (W166 = 'Points-Table'!$A$11), 'Points-Table'!$C$11,
                (W166 = 'Points-Table'!$A$12), 'Points-Table'!$C$12,
                (W166 = 'Points-Table'!$A$13), 'Points-Table'!$C$13,
                true, 0
              )
            </f>
        <v>0</v>
      </c>
      <c r="Y166" s="6">
        <v>0.0</v>
      </c>
      <c r="Z166" s="6">
        <f>
              Ifs(
                (Y166 = 'Points-Table'!$A$4), 'Points-Table'!$C$4,
                (Y166 = 'Points-Table'!$A$5), 'Points-Table'!$C$5,
                (Y166 = 'Points-Table'!$A$6), 'Points-Table'!$C$6,
                (Y166 = 'Points-Table'!$A$7), 'Points-Table'!$C$7,
                (Y166 = 'Points-Table'!$A$8), 'Points-Table'!$C$8,
                (Y166 = 'Points-Table'!$A$9), 'Points-Table'!$C$9,
                (Y166 = 'Points-Table'!$A$10), 'Points-Table'!$C$10,
                (Y166 = 'Points-Table'!$A$11), 'Points-Table'!$C$11,
                (Y166 = 'Points-Table'!$A$12), 'Points-Table'!$C$12,
                (Y166 = 'Points-Table'!$A$13), 'Points-Table'!$C$13,
                true, 0
              )
            </f>
        <v>0</v>
      </c>
      <c r="AA166" s="6">
        <f t="shared" si="2"/>
        <v>2</v>
      </c>
      <c r="AB166" s="6" t="str">
        <f>IFERROR(__xludf.DUMMYFUNCTION("
      Ifs( 
        ISBETWEEN(AA166, 0, 'Points-Table'!C$20, TRUE, False), 'Points-Table'!A$20,
        ISBETWEEN(AA166, 'Points-Table'!C$20, 'Points-Table'!C$21, TRUE, False), 'Points-Table'!A$21,
        ISBETWEEN(AA166, 'Points-Table'!C$22, 10000, TRU"&amp;"E, TRUE), 'Points-Table'!A$22,
        true, 
        0)
      "),"S")</f>
        <v>S</v>
      </c>
      <c r="AC166" s="6" t="s">
        <v>29</v>
      </c>
      <c r="AD166" s="6" t="s">
        <v>29</v>
      </c>
      <c r="AE166" s="6" t="s">
        <v>29</v>
      </c>
    </row>
    <row r="167" ht="24.75" customHeight="1">
      <c r="A167" s="6" t="s">
        <v>331</v>
      </c>
      <c r="B167" s="6" t="s">
        <v>367</v>
      </c>
      <c r="C167" s="6" t="s">
        <v>374</v>
      </c>
      <c r="D167" s="6" t="s">
        <v>375</v>
      </c>
      <c r="E167" s="6"/>
      <c r="F167" s="6"/>
      <c r="G167" s="6"/>
      <c r="H167" s="6"/>
      <c r="I167" s="6"/>
      <c r="J167" s="6"/>
      <c r="K167" s="6" t="s">
        <v>27</v>
      </c>
      <c r="L167" s="6" t="s">
        <v>28</v>
      </c>
      <c r="M167" s="6"/>
      <c r="N167" s="6"/>
      <c r="O167" s="6"/>
      <c r="P167" s="6"/>
      <c r="Q167" s="6"/>
      <c r="R167" s="6">
        <f>
              Ifs(
                (Q167 = 'Points-Table'!$A$4), 'Points-Table'!$C$4,
                (Q167 = 'Points-Table'!$A$5), 'Points-Table'!$C$5,
                (Q167 = 'Points-Table'!$A$6), 'Points-Table'!$C$6,
                (Q167 = 'Points-Table'!$A$7), 'Points-Table'!$C$7,
                (Q167 = 'Points-Table'!$A$8), 'Points-Table'!$C$8,
                (Q167 = 'Points-Table'!$A$9), 'Points-Table'!$C$9,
                (Q167 = 'Points-Table'!$A$10), 'Points-Table'!$C$10,
                (Q167 = 'Points-Table'!$A$11), 'Points-Table'!$C$11,
                (Q167 = 'Points-Table'!$A$12), 'Points-Table'!$C$12,
                (Q167 = 'Points-Table'!$A$13), 'Points-Table'!$C$13,
                true, 0
              )
            </f>
        <v>0</v>
      </c>
      <c r="S167" s="6"/>
      <c r="T167" s="6">
        <f>
              Ifs(
                (S167 = 'Points-Table'!$A$4), 'Points-Table'!$C$4,
                (S167 = 'Points-Table'!$A$5), 'Points-Table'!$C$5,
                (S167 = 'Points-Table'!$A$6), 'Points-Table'!$C$6,
                (S167 = 'Points-Table'!$A$7), 'Points-Table'!$C$7,
                (S167 = 'Points-Table'!$A$8), 'Points-Table'!$C$8,
                (S167 = 'Points-Table'!$A$9), 'Points-Table'!$C$9,
                (S167 = 'Points-Table'!$A$10), 'Points-Table'!$C$10,
                (S167 = 'Points-Table'!$A$11), 'Points-Table'!$C$11,
                (S167 = 'Points-Table'!$A$12), 'Points-Table'!$C$12,
                (S167 = 'Points-Table'!$A$13), 'Points-Table'!$C$13,
                true, 0
              )
            </f>
        <v>0</v>
      </c>
      <c r="U167" s="6">
        <v>5.0</v>
      </c>
      <c r="V167" s="6">
        <f>
              Ifs(
                (U167 = 'Points-Table'!$A$4), 'Points-Table'!$C$4,
                (U167 = 'Points-Table'!$A$5), 'Points-Table'!$C$5,
                (U167 = 'Points-Table'!$A$6), 'Points-Table'!$C$6,
                (U167 = 'Points-Table'!$A$7), 'Points-Table'!$C$7,
                (U167 = 'Points-Table'!$A$8), 'Points-Table'!$C$8,
                (U167 = 'Points-Table'!$A$9), 'Points-Table'!$C$9,
                (U167 = 'Points-Table'!$A$10), 'Points-Table'!$C$10,
                (U167 = 'Points-Table'!$A$11), 'Points-Table'!$C$11,
                (U167 = 'Points-Table'!$A$12), 'Points-Table'!$C$12,
                (U167 = 'Points-Table'!$A$13), 'Points-Table'!$C$13,
                true, 0
              )
            </f>
        <v>4</v>
      </c>
      <c r="W167" s="6">
        <v>3.0</v>
      </c>
      <c r="X167" s="6">
        <f>
              Ifs(
                (W167 = 'Points-Table'!$A$4), 'Points-Table'!$C$4,
                (W167 = 'Points-Table'!$A$5), 'Points-Table'!$C$5,
                (W167 = 'Points-Table'!$A$6), 'Points-Table'!$C$6,
                (W167 = 'Points-Table'!$A$7), 'Points-Table'!$C$7,
                (W167 = 'Points-Table'!$A$8), 'Points-Table'!$C$8,
                (W167 = 'Points-Table'!$A$9), 'Points-Table'!$C$9,
                (W167 = 'Points-Table'!$A$10), 'Points-Table'!$C$10,
                (W167 = 'Points-Table'!$A$11), 'Points-Table'!$C$11,
                (W167 = 'Points-Table'!$A$12), 'Points-Table'!$C$12,
                (W167 = 'Points-Table'!$A$13), 'Points-Table'!$C$13,
                true, 0
              )
            </f>
        <v>2</v>
      </c>
      <c r="Y167" s="6">
        <v>3.0</v>
      </c>
      <c r="Z167" s="6">
        <f>
              Ifs(
                (Y167 = 'Points-Table'!$A$4), 'Points-Table'!$C$4,
                (Y167 = 'Points-Table'!$A$5), 'Points-Table'!$C$5,
                (Y167 = 'Points-Table'!$A$6), 'Points-Table'!$C$6,
                (Y167 = 'Points-Table'!$A$7), 'Points-Table'!$C$7,
                (Y167 = 'Points-Table'!$A$8), 'Points-Table'!$C$8,
                (Y167 = 'Points-Table'!$A$9), 'Points-Table'!$C$9,
                (Y167 = 'Points-Table'!$A$10), 'Points-Table'!$C$10,
                (Y167 = 'Points-Table'!$A$11), 'Points-Table'!$C$11,
                (Y167 = 'Points-Table'!$A$12), 'Points-Table'!$C$12,
                (Y167 = 'Points-Table'!$A$13), 'Points-Table'!$C$13,
                true, 0
              )
            </f>
        <v>2</v>
      </c>
      <c r="AA167" s="6">
        <f t="shared" si="2"/>
        <v>8</v>
      </c>
      <c r="AB167" s="6" t="str">
        <f>IFERROR(__xludf.DUMMYFUNCTION("
      Ifs( 
        ISBETWEEN(AA167, 0, 'Points-Table'!C$20, TRUE, False), 'Points-Table'!A$20,
        ISBETWEEN(AA167, 'Points-Table'!C$20, 'Points-Table'!C$21, TRUE, False), 'Points-Table'!A$21,
        ISBETWEEN(AA167, 'Points-Table'!C$22, 10000, TRU"&amp;"E, TRUE), 'Points-Table'!A$22,
        true, 
        0)
      "),"S")</f>
        <v>S</v>
      </c>
      <c r="AC167" s="6" t="s">
        <v>29</v>
      </c>
      <c r="AD167" s="6" t="s">
        <v>29</v>
      </c>
      <c r="AE167" s="6" t="s">
        <v>29</v>
      </c>
    </row>
    <row r="168" ht="24.75" customHeight="1">
      <c r="A168" s="6" t="s">
        <v>331</v>
      </c>
      <c r="B168" s="6" t="s">
        <v>376</v>
      </c>
      <c r="C168" s="6"/>
      <c r="D168" s="6"/>
      <c r="E168" s="6"/>
      <c r="F168" s="6"/>
      <c r="G168" s="6"/>
      <c r="H168" s="6"/>
      <c r="I168" s="6"/>
      <c r="J168" s="6"/>
      <c r="K168" s="6" t="s">
        <v>27</v>
      </c>
      <c r="L168" s="6" t="s">
        <v>28</v>
      </c>
      <c r="M168" s="6"/>
      <c r="N168" s="6"/>
      <c r="O168" s="6"/>
      <c r="P168" s="6"/>
      <c r="Q168" s="6"/>
      <c r="R168" s="6">
        <f>
              Ifs(
                (Q168 = 'Points-Table'!$A$4), 'Points-Table'!$C$4,
                (Q168 = 'Points-Table'!$A$5), 'Points-Table'!$C$5,
                (Q168 = 'Points-Table'!$A$6), 'Points-Table'!$C$6,
                (Q168 = 'Points-Table'!$A$7), 'Points-Table'!$C$7,
                (Q168 = 'Points-Table'!$A$8), 'Points-Table'!$C$8,
                (Q168 = 'Points-Table'!$A$9), 'Points-Table'!$C$9,
                (Q168 = 'Points-Table'!$A$10), 'Points-Table'!$C$10,
                (Q168 = 'Points-Table'!$A$11), 'Points-Table'!$C$11,
                (Q168 = 'Points-Table'!$A$12), 'Points-Table'!$C$12,
                (Q168 = 'Points-Table'!$A$13), 'Points-Table'!$C$13,
                true, 0
              )
            </f>
        <v>0</v>
      </c>
      <c r="S168" s="6"/>
      <c r="T168" s="6">
        <f>
              Ifs(
                (S168 = 'Points-Table'!$A$4), 'Points-Table'!$C$4,
                (S168 = 'Points-Table'!$A$5), 'Points-Table'!$C$5,
                (S168 = 'Points-Table'!$A$6), 'Points-Table'!$C$6,
                (S168 = 'Points-Table'!$A$7), 'Points-Table'!$C$7,
                (S168 = 'Points-Table'!$A$8), 'Points-Table'!$C$8,
                (S168 = 'Points-Table'!$A$9), 'Points-Table'!$C$9,
                (S168 = 'Points-Table'!$A$10), 'Points-Table'!$C$10,
                (S168 = 'Points-Table'!$A$11), 'Points-Table'!$C$11,
                (S168 = 'Points-Table'!$A$12), 'Points-Table'!$C$12,
                (S168 = 'Points-Table'!$A$13), 'Points-Table'!$C$13,
                true, 0
              )
            </f>
        <v>0</v>
      </c>
      <c r="U168" s="6"/>
      <c r="V168" s="6">
        <f>
              Ifs(
                (U168 = 'Points-Table'!$A$4), 'Points-Table'!$C$4,
                (U168 = 'Points-Table'!$A$5), 'Points-Table'!$C$5,
                (U168 = 'Points-Table'!$A$6), 'Points-Table'!$C$6,
                (U168 = 'Points-Table'!$A$7), 'Points-Table'!$C$7,
                (U168 = 'Points-Table'!$A$8), 'Points-Table'!$C$8,
                (U168 = 'Points-Table'!$A$9), 'Points-Table'!$C$9,
                (U168 = 'Points-Table'!$A$10), 'Points-Table'!$C$10,
                (U168 = 'Points-Table'!$A$11), 'Points-Table'!$C$11,
                (U168 = 'Points-Table'!$A$12), 'Points-Table'!$C$12,
                (U168 = 'Points-Table'!$A$13), 'Points-Table'!$C$13,
                true, 0
              )
            </f>
        <v>0</v>
      </c>
      <c r="W168" s="6"/>
      <c r="X168" s="6">
        <f>
              Ifs(
                (W168 = 'Points-Table'!$A$4), 'Points-Table'!$C$4,
                (W168 = 'Points-Table'!$A$5), 'Points-Table'!$C$5,
                (W168 = 'Points-Table'!$A$6), 'Points-Table'!$C$6,
                (W168 = 'Points-Table'!$A$7), 'Points-Table'!$C$7,
                (W168 = 'Points-Table'!$A$8), 'Points-Table'!$C$8,
                (W168 = 'Points-Table'!$A$9), 'Points-Table'!$C$9,
                (W168 = 'Points-Table'!$A$10), 'Points-Table'!$C$10,
                (W168 = 'Points-Table'!$A$11), 'Points-Table'!$C$11,
                (W168 = 'Points-Table'!$A$12), 'Points-Table'!$C$12,
                (W168 = 'Points-Table'!$A$13), 'Points-Table'!$C$13,
                true, 0
              )
            </f>
        <v>0</v>
      </c>
      <c r="Y168" s="6"/>
      <c r="Z168" s="6">
        <f>
              Ifs(
                (Y168 = 'Points-Table'!$A$4), 'Points-Table'!$C$4,
                (Y168 = 'Points-Table'!$A$5), 'Points-Table'!$C$5,
                (Y168 = 'Points-Table'!$A$6), 'Points-Table'!$C$6,
                (Y168 = 'Points-Table'!$A$7), 'Points-Table'!$C$7,
                (Y168 = 'Points-Table'!$A$8), 'Points-Table'!$C$8,
                (Y168 = 'Points-Table'!$A$9), 'Points-Table'!$C$9,
                (Y168 = 'Points-Table'!$A$10), 'Points-Table'!$C$10,
                (Y168 = 'Points-Table'!$A$11), 'Points-Table'!$C$11,
                (Y168 = 'Points-Table'!$A$12), 'Points-Table'!$C$12,
                (Y168 = 'Points-Table'!$A$13), 'Points-Table'!$C$13,
                true, 0
              )
            </f>
        <v>0</v>
      </c>
      <c r="AA168" s="6">
        <f t="shared" si="2"/>
        <v>0</v>
      </c>
      <c r="AB168" s="6" t="str">
        <f>IFERROR(__xludf.DUMMYFUNCTION("
      Ifs( 
        ISBETWEEN(AA168, 0, 'Points-Table'!C$20, TRUE, False), 'Points-Table'!A$20,
        ISBETWEEN(AA168, 'Points-Table'!C$20, 'Points-Table'!C$21, TRUE, False), 'Points-Table'!A$21,
        ISBETWEEN(AA168, 'Points-Table'!C$22, 10000, TRU"&amp;"E, TRUE), 'Points-Table'!A$22,
        true, 
        0)
      "),"S")</f>
        <v>S</v>
      </c>
      <c r="AC168" s="6" t="s">
        <v>29</v>
      </c>
      <c r="AD168" s="6" t="s">
        <v>29</v>
      </c>
      <c r="AE168" s="6" t="s">
        <v>29</v>
      </c>
    </row>
    <row r="169" ht="24.75" customHeight="1">
      <c r="A169" s="6" t="s">
        <v>331</v>
      </c>
      <c r="B169" s="6" t="s">
        <v>377</v>
      </c>
      <c r="C169" s="6" t="s">
        <v>378</v>
      </c>
      <c r="D169" s="6"/>
      <c r="E169" s="6"/>
      <c r="F169" s="6"/>
      <c r="G169" s="6"/>
      <c r="H169" s="6"/>
      <c r="I169" s="6"/>
      <c r="J169" s="6"/>
      <c r="K169" s="6" t="s">
        <v>27</v>
      </c>
      <c r="L169" s="6" t="s">
        <v>28</v>
      </c>
      <c r="M169" s="6"/>
      <c r="N169" s="6"/>
      <c r="O169" s="6"/>
      <c r="P169" s="6"/>
      <c r="Q169" s="6"/>
      <c r="R169" s="6">
        <f>
              Ifs(
                (Q169 = 'Points-Table'!$A$4), 'Points-Table'!$C$4,
                (Q169 = 'Points-Table'!$A$5), 'Points-Table'!$C$5,
                (Q169 = 'Points-Table'!$A$6), 'Points-Table'!$C$6,
                (Q169 = 'Points-Table'!$A$7), 'Points-Table'!$C$7,
                (Q169 = 'Points-Table'!$A$8), 'Points-Table'!$C$8,
                (Q169 = 'Points-Table'!$A$9), 'Points-Table'!$C$9,
                (Q169 = 'Points-Table'!$A$10), 'Points-Table'!$C$10,
                (Q169 = 'Points-Table'!$A$11), 'Points-Table'!$C$11,
                (Q169 = 'Points-Table'!$A$12), 'Points-Table'!$C$12,
                (Q169 = 'Points-Table'!$A$13), 'Points-Table'!$C$13,
                true, 0
              )
            </f>
        <v>0</v>
      </c>
      <c r="S169" s="6"/>
      <c r="T169" s="6">
        <f>
              Ifs(
                (S169 = 'Points-Table'!$A$4), 'Points-Table'!$C$4,
                (S169 = 'Points-Table'!$A$5), 'Points-Table'!$C$5,
                (S169 = 'Points-Table'!$A$6), 'Points-Table'!$C$6,
                (S169 = 'Points-Table'!$A$7), 'Points-Table'!$C$7,
                (S169 = 'Points-Table'!$A$8), 'Points-Table'!$C$8,
                (S169 = 'Points-Table'!$A$9), 'Points-Table'!$C$9,
                (S169 = 'Points-Table'!$A$10), 'Points-Table'!$C$10,
                (S169 = 'Points-Table'!$A$11), 'Points-Table'!$C$11,
                (S169 = 'Points-Table'!$A$12), 'Points-Table'!$C$12,
                (S169 = 'Points-Table'!$A$13), 'Points-Table'!$C$13,
                true, 0
              )
            </f>
        <v>0</v>
      </c>
      <c r="U169" s="6">
        <v>5.0</v>
      </c>
      <c r="V169" s="6">
        <f>
              Ifs(
                (U169 = 'Points-Table'!$A$4), 'Points-Table'!$C$4,
                (U169 = 'Points-Table'!$A$5), 'Points-Table'!$C$5,
                (U169 = 'Points-Table'!$A$6), 'Points-Table'!$C$6,
                (U169 = 'Points-Table'!$A$7), 'Points-Table'!$C$7,
                (U169 = 'Points-Table'!$A$8), 'Points-Table'!$C$8,
                (U169 = 'Points-Table'!$A$9), 'Points-Table'!$C$9,
                (U169 = 'Points-Table'!$A$10), 'Points-Table'!$C$10,
                (U169 = 'Points-Table'!$A$11), 'Points-Table'!$C$11,
                (U169 = 'Points-Table'!$A$12), 'Points-Table'!$C$12,
                (U169 = 'Points-Table'!$A$13), 'Points-Table'!$C$13,
                true, 0
              )
            </f>
        <v>4</v>
      </c>
      <c r="W169" s="6">
        <v>2.0</v>
      </c>
      <c r="X169" s="6">
        <f>
              Ifs(
                (W169 = 'Points-Table'!$A$4), 'Points-Table'!$C$4,
                (W169 = 'Points-Table'!$A$5), 'Points-Table'!$C$5,
                (W169 = 'Points-Table'!$A$6), 'Points-Table'!$C$6,
                (W169 = 'Points-Table'!$A$7), 'Points-Table'!$C$7,
                (W169 = 'Points-Table'!$A$8), 'Points-Table'!$C$8,
                (W169 = 'Points-Table'!$A$9), 'Points-Table'!$C$9,
                (W169 = 'Points-Table'!$A$10), 'Points-Table'!$C$10,
                (W169 = 'Points-Table'!$A$11), 'Points-Table'!$C$11,
                (W169 = 'Points-Table'!$A$12), 'Points-Table'!$C$12,
                (W169 = 'Points-Table'!$A$13), 'Points-Table'!$C$13,
                true, 0
              )
            </f>
        <v>1</v>
      </c>
      <c r="Y169" s="6">
        <v>5.0</v>
      </c>
      <c r="Z169" s="6">
        <f>
              Ifs(
                (Y169 = 'Points-Table'!$A$4), 'Points-Table'!$C$4,
                (Y169 = 'Points-Table'!$A$5), 'Points-Table'!$C$5,
                (Y169 = 'Points-Table'!$A$6), 'Points-Table'!$C$6,
                (Y169 = 'Points-Table'!$A$7), 'Points-Table'!$C$7,
                (Y169 = 'Points-Table'!$A$8), 'Points-Table'!$C$8,
                (Y169 = 'Points-Table'!$A$9), 'Points-Table'!$C$9,
                (Y169 = 'Points-Table'!$A$10), 'Points-Table'!$C$10,
                (Y169 = 'Points-Table'!$A$11), 'Points-Table'!$C$11,
                (Y169 = 'Points-Table'!$A$12), 'Points-Table'!$C$12,
                (Y169 = 'Points-Table'!$A$13), 'Points-Table'!$C$13,
                true, 0
              )
            </f>
        <v>4</v>
      </c>
      <c r="AA169" s="6">
        <f t="shared" si="2"/>
        <v>9</v>
      </c>
      <c r="AB169" s="6" t="str">
        <f>IFERROR(__xludf.DUMMYFUNCTION("
      Ifs( 
        ISBETWEEN(AA169, 0, 'Points-Table'!C$20, TRUE, False), 'Points-Table'!A$20,
        ISBETWEEN(AA169, 'Points-Table'!C$20, 'Points-Table'!C$21, TRUE, False), 'Points-Table'!A$21,
        ISBETWEEN(AA169, 'Points-Table'!C$22, 10000, TRU"&amp;"E, TRUE), 'Points-Table'!A$22,
        true, 
        0)
      "),"S")</f>
        <v>S</v>
      </c>
      <c r="AC169" s="6" t="s">
        <v>29</v>
      </c>
      <c r="AD169" s="6" t="s">
        <v>29</v>
      </c>
      <c r="AE169" s="6" t="s">
        <v>29</v>
      </c>
    </row>
    <row r="170" ht="24.75" customHeight="1">
      <c r="A170" s="3" t="s">
        <v>379</v>
      </c>
      <c r="B170" s="3" t="s">
        <v>380</v>
      </c>
      <c r="C170" s="3" t="s">
        <v>219</v>
      </c>
      <c r="D170" s="3"/>
      <c r="E170" s="3"/>
      <c r="F170" s="3"/>
      <c r="G170" s="3"/>
      <c r="H170" s="3"/>
      <c r="I170" s="3"/>
      <c r="J170" s="3"/>
      <c r="K170" s="3" t="s">
        <v>27</v>
      </c>
      <c r="L170" s="3" t="s">
        <v>28</v>
      </c>
      <c r="M170" s="3"/>
      <c r="N170" s="3"/>
      <c r="O170" s="3"/>
      <c r="P170" s="3"/>
      <c r="Q170" s="4">
        <v>5.0</v>
      </c>
      <c r="R170" s="5">
        <f>
              Ifs(
                (Q170 = 'Points-Table'!$A$4), 'Points-Table'!$C$4,
                (Q170 = 'Points-Table'!$A$5), 'Points-Table'!$C$5,
                (Q170 = 'Points-Table'!$A$6), 'Points-Table'!$C$6,
                (Q170 = 'Points-Table'!$A$7), 'Points-Table'!$C$7,
                (Q170 = 'Points-Table'!$A$8), 'Points-Table'!$C$8,
                (Q170 = 'Points-Table'!$A$9), 'Points-Table'!$C$9,
                (Q170 = 'Points-Table'!$A$10), 'Points-Table'!$C$10,
                (Q170 = 'Points-Table'!$A$11), 'Points-Table'!$C$11,
                (Q170 = 'Points-Table'!$A$12), 'Points-Table'!$C$12,
                (Q170 = 'Points-Table'!$A$13), 'Points-Table'!$C$13,
                true, 0
              )
            </f>
        <v>4</v>
      </c>
      <c r="S170" s="4">
        <v>5.0</v>
      </c>
      <c r="T170" s="5">
        <f>
              Ifs(
                (S170 = 'Points-Table'!$A$4), 'Points-Table'!$C$4,
                (S170 = 'Points-Table'!$A$5), 'Points-Table'!$C$5,
                (S170 = 'Points-Table'!$A$6), 'Points-Table'!$C$6,
                (S170 = 'Points-Table'!$A$7), 'Points-Table'!$C$7,
                (S170 = 'Points-Table'!$A$8), 'Points-Table'!$C$8,
                (S170 = 'Points-Table'!$A$9), 'Points-Table'!$C$9,
                (S170 = 'Points-Table'!$A$10), 'Points-Table'!$C$10,
                (S170 = 'Points-Table'!$A$11), 'Points-Table'!$C$11,
                (S170 = 'Points-Table'!$A$12), 'Points-Table'!$C$12,
                (S170 = 'Points-Table'!$A$13), 'Points-Table'!$C$13,
                true, 0
              )
            </f>
        <v>4</v>
      </c>
      <c r="U170" s="4">
        <v>5.0</v>
      </c>
      <c r="V170" s="5">
        <f>
              Ifs(
                (U170 = 'Points-Table'!$A$4), 'Points-Table'!$C$4,
                (U170 = 'Points-Table'!$A$5), 'Points-Table'!$C$5,
                (U170 = 'Points-Table'!$A$6), 'Points-Table'!$C$6,
                (U170 = 'Points-Table'!$A$7), 'Points-Table'!$C$7,
                (U170 = 'Points-Table'!$A$8), 'Points-Table'!$C$8,
                (U170 = 'Points-Table'!$A$9), 'Points-Table'!$C$9,
                (U170 = 'Points-Table'!$A$10), 'Points-Table'!$C$10,
                (U170 = 'Points-Table'!$A$11), 'Points-Table'!$C$11,
                (U170 = 'Points-Table'!$A$12), 'Points-Table'!$C$12,
                (U170 = 'Points-Table'!$A$13), 'Points-Table'!$C$13,
                true, 0
              )
            </f>
        <v>4</v>
      </c>
      <c r="W170" s="4">
        <v>2.0</v>
      </c>
      <c r="X170" s="5">
        <f>
              Ifs(
                (W170 = 'Points-Table'!$A$4), 'Points-Table'!$C$4,
                (W170 = 'Points-Table'!$A$5), 'Points-Table'!$C$5,
                (W170 = 'Points-Table'!$A$6), 'Points-Table'!$C$6,
                (W170 = 'Points-Table'!$A$7), 'Points-Table'!$C$7,
                (W170 = 'Points-Table'!$A$8), 'Points-Table'!$C$8,
                (W170 = 'Points-Table'!$A$9), 'Points-Table'!$C$9,
                (W170 = 'Points-Table'!$A$10), 'Points-Table'!$C$10,
                (W170 = 'Points-Table'!$A$11), 'Points-Table'!$C$11,
                (W170 = 'Points-Table'!$A$12), 'Points-Table'!$C$12,
                (W170 = 'Points-Table'!$A$13), 'Points-Table'!$C$13,
                true, 0
              )
            </f>
        <v>1</v>
      </c>
      <c r="Y170" s="4">
        <v>5.0</v>
      </c>
      <c r="Z170" s="5">
        <f>
              Ifs(
                (Y170 = 'Points-Table'!$A$4), 'Points-Table'!$C$4,
                (Y170 = 'Points-Table'!$A$5), 'Points-Table'!$C$5,
                (Y170 = 'Points-Table'!$A$6), 'Points-Table'!$C$6,
                (Y170 = 'Points-Table'!$A$7), 'Points-Table'!$C$7,
                (Y170 = 'Points-Table'!$A$8), 'Points-Table'!$C$8,
                (Y170 = 'Points-Table'!$A$9), 'Points-Table'!$C$9,
                (Y170 = 'Points-Table'!$A$10), 'Points-Table'!$C$10,
                (Y170 = 'Points-Table'!$A$11), 'Points-Table'!$C$11,
                (Y170 = 'Points-Table'!$A$12), 'Points-Table'!$C$12,
                (Y170 = 'Points-Table'!$A$13), 'Points-Table'!$C$13,
                true, 0
              )
            </f>
        <v>4</v>
      </c>
      <c r="AA170" s="3">
        <f t="shared" si="2"/>
        <v>9</v>
      </c>
      <c r="AB170" s="3" t="str">
        <f>IFERROR(__xludf.DUMMYFUNCTION("
      Ifs( 
        ISBETWEEN(AA170, 0, 'Points-Table'!C$20, TRUE, False), 'Points-Table'!A$20,
        ISBETWEEN(AA170, 'Points-Table'!C$20, 'Points-Table'!C$21, TRUE, False), 'Points-Table'!A$21,
        ISBETWEEN(AA170, 'Points-Table'!C$22, 10000, TRU"&amp;"E, TRUE), 'Points-Table'!A$22,
        true, 
        0)
      "),"S")</f>
        <v>S</v>
      </c>
      <c r="AC170" s="3" t="s">
        <v>29</v>
      </c>
      <c r="AD170" s="3" t="s">
        <v>29</v>
      </c>
      <c r="AE170" s="3" t="s">
        <v>29</v>
      </c>
    </row>
    <row r="171" ht="24.75" customHeight="1">
      <c r="A171" s="6" t="s">
        <v>379</v>
      </c>
      <c r="B171" s="6" t="s">
        <v>380</v>
      </c>
      <c r="C171" s="6" t="s">
        <v>197</v>
      </c>
      <c r="D171" s="6"/>
      <c r="E171" s="6"/>
      <c r="F171" s="6"/>
      <c r="G171" s="6"/>
      <c r="H171" s="6"/>
      <c r="I171" s="6"/>
      <c r="J171" s="6"/>
      <c r="K171" s="6" t="s">
        <v>27</v>
      </c>
      <c r="L171" s="6" t="s">
        <v>28</v>
      </c>
      <c r="M171" s="6"/>
      <c r="N171" s="6"/>
      <c r="O171" s="6"/>
      <c r="P171" s="6"/>
      <c r="Q171" s="6">
        <v>0.0</v>
      </c>
      <c r="R171" s="6">
        <f>
              Ifs(
                (Q171 = 'Points-Table'!$A$4), 'Points-Table'!$C$4,
                (Q171 = 'Points-Table'!$A$5), 'Points-Table'!$C$5,
                (Q171 = 'Points-Table'!$A$6), 'Points-Table'!$C$6,
                (Q171 = 'Points-Table'!$A$7), 'Points-Table'!$C$7,
                (Q171 = 'Points-Table'!$A$8), 'Points-Table'!$C$8,
                (Q171 = 'Points-Table'!$A$9), 'Points-Table'!$C$9,
                (Q171 = 'Points-Table'!$A$10), 'Points-Table'!$C$10,
                (Q171 = 'Points-Table'!$A$11), 'Points-Table'!$C$11,
                (Q171 = 'Points-Table'!$A$12), 'Points-Table'!$C$12,
                (Q171 = 'Points-Table'!$A$13), 'Points-Table'!$C$13,
                true, 0
              )
            </f>
        <v>0</v>
      </c>
      <c r="S171" s="6">
        <v>0.0</v>
      </c>
      <c r="T171" s="6">
        <f>
              Ifs(
                (S171 = 'Points-Table'!$A$4), 'Points-Table'!$C$4,
                (S171 = 'Points-Table'!$A$5), 'Points-Table'!$C$5,
                (S171 = 'Points-Table'!$A$6), 'Points-Table'!$C$6,
                (S171 = 'Points-Table'!$A$7), 'Points-Table'!$C$7,
                (S171 = 'Points-Table'!$A$8), 'Points-Table'!$C$8,
                (S171 = 'Points-Table'!$A$9), 'Points-Table'!$C$9,
                (S171 = 'Points-Table'!$A$10), 'Points-Table'!$C$10,
                (S171 = 'Points-Table'!$A$11), 'Points-Table'!$C$11,
                (S171 = 'Points-Table'!$A$12), 'Points-Table'!$C$12,
                (S171 = 'Points-Table'!$A$13), 'Points-Table'!$C$13,
                true, 0
              )
            </f>
        <v>0</v>
      </c>
      <c r="U171" s="6">
        <v>2.0</v>
      </c>
      <c r="V171" s="6">
        <f>
              Ifs(
                (U171 = 'Points-Table'!$A$4), 'Points-Table'!$C$4,
                (U171 = 'Points-Table'!$A$5), 'Points-Table'!$C$5,
                (U171 = 'Points-Table'!$A$6), 'Points-Table'!$C$6,
                (U171 = 'Points-Table'!$A$7), 'Points-Table'!$C$7,
                (U171 = 'Points-Table'!$A$8), 'Points-Table'!$C$8,
                (U171 = 'Points-Table'!$A$9), 'Points-Table'!$C$9,
                (U171 = 'Points-Table'!$A$10), 'Points-Table'!$C$10,
                (U171 = 'Points-Table'!$A$11), 'Points-Table'!$C$11,
                (U171 = 'Points-Table'!$A$12), 'Points-Table'!$C$12,
                (U171 = 'Points-Table'!$A$13), 'Points-Table'!$C$13,
                true, 0
              )
            </f>
        <v>1</v>
      </c>
      <c r="W171" s="6">
        <v>1.0</v>
      </c>
      <c r="X171" s="6">
        <f>
              Ifs(
                (W171 = 'Points-Table'!$A$4), 'Points-Table'!$C$4,
                (W171 = 'Points-Table'!$A$5), 'Points-Table'!$C$5,
                (W171 = 'Points-Table'!$A$6), 'Points-Table'!$C$6,
                (W171 = 'Points-Table'!$A$7), 'Points-Table'!$C$7,
                (W171 = 'Points-Table'!$A$8), 'Points-Table'!$C$8,
                (W171 = 'Points-Table'!$A$9), 'Points-Table'!$C$9,
                (W171 = 'Points-Table'!$A$10), 'Points-Table'!$C$10,
                (W171 = 'Points-Table'!$A$11), 'Points-Table'!$C$11,
                (W171 = 'Points-Table'!$A$12), 'Points-Table'!$C$12,
                (W171 = 'Points-Table'!$A$13), 'Points-Table'!$C$13,
                true, 0
              )
            </f>
        <v>0.5</v>
      </c>
      <c r="Y171" s="6">
        <v>2.0</v>
      </c>
      <c r="Z171" s="6">
        <f>
              Ifs(
                (Y171 = 'Points-Table'!$A$4), 'Points-Table'!$C$4,
                (Y171 = 'Points-Table'!$A$5), 'Points-Table'!$C$5,
                (Y171 = 'Points-Table'!$A$6), 'Points-Table'!$C$6,
                (Y171 = 'Points-Table'!$A$7), 'Points-Table'!$C$7,
                (Y171 = 'Points-Table'!$A$8), 'Points-Table'!$C$8,
                (Y171 = 'Points-Table'!$A$9), 'Points-Table'!$C$9,
                (Y171 = 'Points-Table'!$A$10), 'Points-Table'!$C$10,
                (Y171 = 'Points-Table'!$A$11), 'Points-Table'!$C$11,
                (Y171 = 'Points-Table'!$A$12), 'Points-Table'!$C$12,
                (Y171 = 'Points-Table'!$A$13), 'Points-Table'!$C$13,
                true, 0
              )
            </f>
        <v>1</v>
      </c>
      <c r="AA171" s="6">
        <f t="shared" si="2"/>
        <v>2.5</v>
      </c>
      <c r="AB171" s="6" t="str">
        <f>IFERROR(__xludf.DUMMYFUNCTION("
      Ifs( 
        ISBETWEEN(AA171, 0, 'Points-Table'!C$20, TRUE, False), 'Points-Table'!A$20,
        ISBETWEEN(AA171, 'Points-Table'!C$20, 'Points-Table'!C$21, TRUE, False), 'Points-Table'!A$21,
        ISBETWEEN(AA171, 'Points-Table'!C$22, 10000, TRU"&amp;"E, TRUE), 'Points-Table'!A$22,
        true, 
        0)
      "),"S")</f>
        <v>S</v>
      </c>
      <c r="AC171" s="6" t="s">
        <v>29</v>
      </c>
      <c r="AD171" s="6" t="s">
        <v>29</v>
      </c>
      <c r="AE171" s="6" t="s">
        <v>29</v>
      </c>
    </row>
    <row r="172" ht="24.75" customHeight="1">
      <c r="A172" s="6" t="s">
        <v>379</v>
      </c>
      <c r="B172" s="6" t="s">
        <v>380</v>
      </c>
      <c r="C172" s="6" t="s">
        <v>217</v>
      </c>
      <c r="D172" s="6"/>
      <c r="E172" s="6"/>
      <c r="F172" s="6"/>
      <c r="G172" s="6"/>
      <c r="H172" s="6"/>
      <c r="I172" s="6"/>
      <c r="J172" s="6"/>
      <c r="K172" s="6" t="s">
        <v>27</v>
      </c>
      <c r="L172" s="6" t="s">
        <v>28</v>
      </c>
      <c r="M172" s="6"/>
      <c r="N172" s="6"/>
      <c r="O172" s="6"/>
      <c r="P172" s="6"/>
      <c r="Q172" s="6">
        <v>0.0</v>
      </c>
      <c r="R172" s="6">
        <f>
              Ifs(
                (Q172 = 'Points-Table'!$A$4), 'Points-Table'!$C$4,
                (Q172 = 'Points-Table'!$A$5), 'Points-Table'!$C$5,
                (Q172 = 'Points-Table'!$A$6), 'Points-Table'!$C$6,
                (Q172 = 'Points-Table'!$A$7), 'Points-Table'!$C$7,
                (Q172 = 'Points-Table'!$A$8), 'Points-Table'!$C$8,
                (Q172 = 'Points-Table'!$A$9), 'Points-Table'!$C$9,
                (Q172 = 'Points-Table'!$A$10), 'Points-Table'!$C$10,
                (Q172 = 'Points-Table'!$A$11), 'Points-Table'!$C$11,
                (Q172 = 'Points-Table'!$A$12), 'Points-Table'!$C$12,
                (Q172 = 'Points-Table'!$A$13), 'Points-Table'!$C$13,
                true, 0
              )
            </f>
        <v>0</v>
      </c>
      <c r="S172" s="6">
        <v>0.0</v>
      </c>
      <c r="T172" s="6">
        <f>
              Ifs(
                (S172 = 'Points-Table'!$A$4), 'Points-Table'!$C$4,
                (S172 = 'Points-Table'!$A$5), 'Points-Table'!$C$5,
                (S172 = 'Points-Table'!$A$6), 'Points-Table'!$C$6,
                (S172 = 'Points-Table'!$A$7), 'Points-Table'!$C$7,
                (S172 = 'Points-Table'!$A$8), 'Points-Table'!$C$8,
                (S172 = 'Points-Table'!$A$9), 'Points-Table'!$C$9,
                (S172 = 'Points-Table'!$A$10), 'Points-Table'!$C$10,
                (S172 = 'Points-Table'!$A$11), 'Points-Table'!$C$11,
                (S172 = 'Points-Table'!$A$12), 'Points-Table'!$C$12,
                (S172 = 'Points-Table'!$A$13), 'Points-Table'!$C$13,
                true, 0
              )
            </f>
        <v>0</v>
      </c>
      <c r="U172" s="6">
        <v>1.0</v>
      </c>
      <c r="V172" s="6">
        <f>
              Ifs(
                (U172 = 'Points-Table'!$A$4), 'Points-Table'!$C$4,
                (U172 = 'Points-Table'!$A$5), 'Points-Table'!$C$5,
                (U172 = 'Points-Table'!$A$6), 'Points-Table'!$C$6,
                (U172 = 'Points-Table'!$A$7), 'Points-Table'!$C$7,
                (U172 = 'Points-Table'!$A$8), 'Points-Table'!$C$8,
                (U172 = 'Points-Table'!$A$9), 'Points-Table'!$C$9,
                (U172 = 'Points-Table'!$A$10), 'Points-Table'!$C$10,
                (U172 = 'Points-Table'!$A$11), 'Points-Table'!$C$11,
                (U172 = 'Points-Table'!$A$12), 'Points-Table'!$C$12,
                (U172 = 'Points-Table'!$A$13), 'Points-Table'!$C$13,
                true, 0
              )
            </f>
        <v>0.5</v>
      </c>
      <c r="W172" s="6">
        <v>2.0</v>
      </c>
      <c r="X172" s="6">
        <f>
              Ifs(
                (W172 = 'Points-Table'!$A$4), 'Points-Table'!$C$4,
                (W172 = 'Points-Table'!$A$5), 'Points-Table'!$C$5,
                (W172 = 'Points-Table'!$A$6), 'Points-Table'!$C$6,
                (W172 = 'Points-Table'!$A$7), 'Points-Table'!$C$7,
                (W172 = 'Points-Table'!$A$8), 'Points-Table'!$C$8,
                (W172 = 'Points-Table'!$A$9), 'Points-Table'!$C$9,
                (W172 = 'Points-Table'!$A$10), 'Points-Table'!$C$10,
                (W172 = 'Points-Table'!$A$11), 'Points-Table'!$C$11,
                (W172 = 'Points-Table'!$A$12), 'Points-Table'!$C$12,
                (W172 = 'Points-Table'!$A$13), 'Points-Table'!$C$13,
                true, 0
              )
            </f>
        <v>1</v>
      </c>
      <c r="Y172" s="6">
        <v>1.0</v>
      </c>
      <c r="Z172" s="6">
        <f>
              Ifs(
                (Y172 = 'Points-Table'!$A$4), 'Points-Table'!$C$4,
                (Y172 = 'Points-Table'!$A$5), 'Points-Table'!$C$5,
                (Y172 = 'Points-Table'!$A$6), 'Points-Table'!$C$6,
                (Y172 = 'Points-Table'!$A$7), 'Points-Table'!$C$7,
                (Y172 = 'Points-Table'!$A$8), 'Points-Table'!$C$8,
                (Y172 = 'Points-Table'!$A$9), 'Points-Table'!$C$9,
                (Y172 = 'Points-Table'!$A$10), 'Points-Table'!$C$10,
                (Y172 = 'Points-Table'!$A$11), 'Points-Table'!$C$11,
                (Y172 = 'Points-Table'!$A$12), 'Points-Table'!$C$12,
                (Y172 = 'Points-Table'!$A$13), 'Points-Table'!$C$13,
                true, 0
              )
            </f>
        <v>0.5</v>
      </c>
      <c r="AA172" s="6">
        <f t="shared" si="2"/>
        <v>2</v>
      </c>
      <c r="AB172" s="6" t="str">
        <f>IFERROR(__xludf.DUMMYFUNCTION("
      Ifs( 
        ISBETWEEN(AA172, 0, 'Points-Table'!C$20, TRUE, False), 'Points-Table'!A$20,
        ISBETWEEN(AA172, 'Points-Table'!C$20, 'Points-Table'!C$21, TRUE, False), 'Points-Table'!A$21,
        ISBETWEEN(AA172, 'Points-Table'!C$22, 10000, TRU"&amp;"E, TRUE), 'Points-Table'!A$22,
        true, 
        0)
      "),"S")</f>
        <v>S</v>
      </c>
      <c r="AC172" s="6" t="s">
        <v>29</v>
      </c>
      <c r="AD172" s="6" t="s">
        <v>29</v>
      </c>
      <c r="AE172" s="6" t="s">
        <v>29</v>
      </c>
    </row>
    <row r="173" ht="24.75" customHeight="1">
      <c r="A173" s="6" t="s">
        <v>379</v>
      </c>
      <c r="B173" s="6" t="s">
        <v>380</v>
      </c>
      <c r="C173" s="6" t="s">
        <v>218</v>
      </c>
      <c r="D173" s="6"/>
      <c r="E173" s="6"/>
      <c r="F173" s="6"/>
      <c r="G173" s="6"/>
      <c r="H173" s="6"/>
      <c r="I173" s="6"/>
      <c r="J173" s="6"/>
      <c r="K173" s="6" t="s">
        <v>27</v>
      </c>
      <c r="L173" s="6" t="s">
        <v>28</v>
      </c>
      <c r="M173" s="6"/>
      <c r="N173" s="6"/>
      <c r="O173" s="6"/>
      <c r="P173" s="6"/>
      <c r="Q173" s="6">
        <v>0.0</v>
      </c>
      <c r="R173" s="6">
        <f>
              Ifs(
                (Q173 = 'Points-Table'!$A$4), 'Points-Table'!$C$4,
                (Q173 = 'Points-Table'!$A$5), 'Points-Table'!$C$5,
                (Q173 = 'Points-Table'!$A$6), 'Points-Table'!$C$6,
                (Q173 = 'Points-Table'!$A$7), 'Points-Table'!$C$7,
                (Q173 = 'Points-Table'!$A$8), 'Points-Table'!$C$8,
                (Q173 = 'Points-Table'!$A$9), 'Points-Table'!$C$9,
                (Q173 = 'Points-Table'!$A$10), 'Points-Table'!$C$10,
                (Q173 = 'Points-Table'!$A$11), 'Points-Table'!$C$11,
                (Q173 = 'Points-Table'!$A$12), 'Points-Table'!$C$12,
                (Q173 = 'Points-Table'!$A$13), 'Points-Table'!$C$13,
                true, 0
              )
            </f>
        <v>0</v>
      </c>
      <c r="S173" s="6">
        <v>0.0</v>
      </c>
      <c r="T173" s="6">
        <f>
              Ifs(
                (S173 = 'Points-Table'!$A$4), 'Points-Table'!$C$4,
                (S173 = 'Points-Table'!$A$5), 'Points-Table'!$C$5,
                (S173 = 'Points-Table'!$A$6), 'Points-Table'!$C$6,
                (S173 = 'Points-Table'!$A$7), 'Points-Table'!$C$7,
                (S173 = 'Points-Table'!$A$8), 'Points-Table'!$C$8,
                (S173 = 'Points-Table'!$A$9), 'Points-Table'!$C$9,
                (S173 = 'Points-Table'!$A$10), 'Points-Table'!$C$10,
                (S173 = 'Points-Table'!$A$11), 'Points-Table'!$C$11,
                (S173 = 'Points-Table'!$A$12), 'Points-Table'!$C$12,
                (S173 = 'Points-Table'!$A$13), 'Points-Table'!$C$13,
                true, 0
              )
            </f>
        <v>0</v>
      </c>
      <c r="U173" s="6">
        <v>2.0</v>
      </c>
      <c r="V173" s="6">
        <f>
              Ifs(
                (U173 = 'Points-Table'!$A$4), 'Points-Table'!$C$4,
                (U173 = 'Points-Table'!$A$5), 'Points-Table'!$C$5,
                (U173 = 'Points-Table'!$A$6), 'Points-Table'!$C$6,
                (U173 = 'Points-Table'!$A$7), 'Points-Table'!$C$7,
                (U173 = 'Points-Table'!$A$8), 'Points-Table'!$C$8,
                (U173 = 'Points-Table'!$A$9), 'Points-Table'!$C$9,
                (U173 = 'Points-Table'!$A$10), 'Points-Table'!$C$10,
                (U173 = 'Points-Table'!$A$11), 'Points-Table'!$C$11,
                (U173 = 'Points-Table'!$A$12), 'Points-Table'!$C$12,
                (U173 = 'Points-Table'!$A$13), 'Points-Table'!$C$13,
                true, 0
              )
            </f>
        <v>1</v>
      </c>
      <c r="W173" s="6">
        <v>3.0</v>
      </c>
      <c r="X173" s="6">
        <f>
              Ifs(
                (W173 = 'Points-Table'!$A$4), 'Points-Table'!$C$4,
                (W173 = 'Points-Table'!$A$5), 'Points-Table'!$C$5,
                (W173 = 'Points-Table'!$A$6), 'Points-Table'!$C$6,
                (W173 = 'Points-Table'!$A$7), 'Points-Table'!$C$7,
                (W173 = 'Points-Table'!$A$8), 'Points-Table'!$C$8,
                (W173 = 'Points-Table'!$A$9), 'Points-Table'!$C$9,
                (W173 = 'Points-Table'!$A$10), 'Points-Table'!$C$10,
                (W173 = 'Points-Table'!$A$11), 'Points-Table'!$C$11,
                (W173 = 'Points-Table'!$A$12), 'Points-Table'!$C$12,
                (W173 = 'Points-Table'!$A$13), 'Points-Table'!$C$13,
                true, 0
              )
            </f>
        <v>2</v>
      </c>
      <c r="Y173" s="6">
        <v>2.0</v>
      </c>
      <c r="Z173" s="6">
        <f>
              Ifs(
                (Y173 = 'Points-Table'!$A$4), 'Points-Table'!$C$4,
                (Y173 = 'Points-Table'!$A$5), 'Points-Table'!$C$5,
                (Y173 = 'Points-Table'!$A$6), 'Points-Table'!$C$6,
                (Y173 = 'Points-Table'!$A$7), 'Points-Table'!$C$7,
                (Y173 = 'Points-Table'!$A$8), 'Points-Table'!$C$8,
                (Y173 = 'Points-Table'!$A$9), 'Points-Table'!$C$9,
                (Y173 = 'Points-Table'!$A$10), 'Points-Table'!$C$10,
                (Y173 = 'Points-Table'!$A$11), 'Points-Table'!$C$11,
                (Y173 = 'Points-Table'!$A$12), 'Points-Table'!$C$12,
                (Y173 = 'Points-Table'!$A$13), 'Points-Table'!$C$13,
                true, 0
              )
            </f>
        <v>1</v>
      </c>
      <c r="AA173" s="6">
        <f t="shared" si="2"/>
        <v>4</v>
      </c>
      <c r="AB173" s="6" t="str">
        <f>IFERROR(__xludf.DUMMYFUNCTION("
      Ifs( 
        ISBETWEEN(AA173, 0, 'Points-Table'!C$20, TRUE, False), 'Points-Table'!A$20,
        ISBETWEEN(AA173, 'Points-Table'!C$20, 'Points-Table'!C$21, TRUE, False), 'Points-Table'!A$21,
        ISBETWEEN(AA173, 'Points-Table'!C$22, 10000, TRU"&amp;"E, TRUE), 'Points-Table'!A$22,
        true, 
        0)
      "),"S")</f>
        <v>S</v>
      </c>
      <c r="AC173" s="6" t="s">
        <v>29</v>
      </c>
      <c r="AD173" s="6" t="s">
        <v>29</v>
      </c>
      <c r="AE173" s="6" t="s">
        <v>29</v>
      </c>
    </row>
    <row r="174" ht="24.75" customHeight="1">
      <c r="A174" s="3" t="s">
        <v>379</v>
      </c>
      <c r="B174" s="3" t="s">
        <v>381</v>
      </c>
      <c r="C174" s="3"/>
      <c r="D174" s="3"/>
      <c r="E174" s="3"/>
      <c r="F174" s="3"/>
      <c r="G174" s="3"/>
      <c r="H174" s="3"/>
      <c r="I174" s="3"/>
      <c r="J174" s="3"/>
      <c r="K174" s="3" t="s">
        <v>27</v>
      </c>
      <c r="L174" s="3" t="s">
        <v>28</v>
      </c>
      <c r="M174" s="3"/>
      <c r="N174" s="3"/>
      <c r="O174" s="3"/>
      <c r="P174" s="3"/>
      <c r="Q174" s="4"/>
      <c r="R174" s="5">
        <f>
              Ifs(
                (Q174 = 'Points-Table'!$A$4), 'Points-Table'!$C$4,
                (Q174 = 'Points-Table'!$A$5), 'Points-Table'!$C$5,
                (Q174 = 'Points-Table'!$A$6), 'Points-Table'!$C$6,
                (Q174 = 'Points-Table'!$A$7), 'Points-Table'!$C$7,
                (Q174 = 'Points-Table'!$A$8), 'Points-Table'!$C$8,
                (Q174 = 'Points-Table'!$A$9), 'Points-Table'!$C$9,
                (Q174 = 'Points-Table'!$A$10), 'Points-Table'!$C$10,
                (Q174 = 'Points-Table'!$A$11), 'Points-Table'!$C$11,
                (Q174 = 'Points-Table'!$A$12), 'Points-Table'!$C$12,
                (Q174 = 'Points-Table'!$A$13), 'Points-Table'!$C$13,
                true, 0
              )
            </f>
        <v>0</v>
      </c>
      <c r="S174" s="4"/>
      <c r="T174" s="5">
        <f>
              Ifs(
                (S174 = 'Points-Table'!$A$4), 'Points-Table'!$C$4,
                (S174 = 'Points-Table'!$A$5), 'Points-Table'!$C$5,
                (S174 = 'Points-Table'!$A$6), 'Points-Table'!$C$6,
                (S174 = 'Points-Table'!$A$7), 'Points-Table'!$C$7,
                (S174 = 'Points-Table'!$A$8), 'Points-Table'!$C$8,
                (S174 = 'Points-Table'!$A$9), 'Points-Table'!$C$9,
                (S174 = 'Points-Table'!$A$10), 'Points-Table'!$C$10,
                (S174 = 'Points-Table'!$A$11), 'Points-Table'!$C$11,
                (S174 = 'Points-Table'!$A$12), 'Points-Table'!$C$12,
                (S174 = 'Points-Table'!$A$13), 'Points-Table'!$C$13,
                true, 0
              )
            </f>
        <v>0</v>
      </c>
      <c r="U174" s="4">
        <v>5.0</v>
      </c>
      <c r="V174" s="5">
        <f>
              Ifs(
                (U174 = 'Points-Table'!$A$4), 'Points-Table'!$C$4,
                (U174 = 'Points-Table'!$A$5), 'Points-Table'!$C$5,
                (U174 = 'Points-Table'!$A$6), 'Points-Table'!$C$6,
                (U174 = 'Points-Table'!$A$7), 'Points-Table'!$C$7,
                (U174 = 'Points-Table'!$A$8), 'Points-Table'!$C$8,
                (U174 = 'Points-Table'!$A$9), 'Points-Table'!$C$9,
                (U174 = 'Points-Table'!$A$10), 'Points-Table'!$C$10,
                (U174 = 'Points-Table'!$A$11), 'Points-Table'!$C$11,
                (U174 = 'Points-Table'!$A$12), 'Points-Table'!$C$12,
                (U174 = 'Points-Table'!$A$13), 'Points-Table'!$C$13,
                true, 0
              )
            </f>
        <v>4</v>
      </c>
      <c r="W174" s="4">
        <v>2.0</v>
      </c>
      <c r="X174" s="5">
        <f>
              Ifs(
                (W174 = 'Points-Table'!$A$4), 'Points-Table'!$C$4,
                (W174 = 'Points-Table'!$A$5), 'Points-Table'!$C$5,
                (W174 = 'Points-Table'!$A$6), 'Points-Table'!$C$6,
                (W174 = 'Points-Table'!$A$7), 'Points-Table'!$C$7,
                (W174 = 'Points-Table'!$A$8), 'Points-Table'!$C$8,
                (W174 = 'Points-Table'!$A$9), 'Points-Table'!$C$9,
                (W174 = 'Points-Table'!$A$10), 'Points-Table'!$C$10,
                (W174 = 'Points-Table'!$A$11), 'Points-Table'!$C$11,
                (W174 = 'Points-Table'!$A$12), 'Points-Table'!$C$12,
                (W174 = 'Points-Table'!$A$13), 'Points-Table'!$C$13,
                true, 0
              )
            </f>
        <v>1</v>
      </c>
      <c r="Y174" s="4">
        <v>3.0</v>
      </c>
      <c r="Z174" s="5">
        <f>
              Ifs(
                (Y174 = 'Points-Table'!$A$4), 'Points-Table'!$C$4,
                (Y174 = 'Points-Table'!$A$5), 'Points-Table'!$C$5,
                (Y174 = 'Points-Table'!$A$6), 'Points-Table'!$C$6,
                (Y174 = 'Points-Table'!$A$7), 'Points-Table'!$C$7,
                (Y174 = 'Points-Table'!$A$8), 'Points-Table'!$C$8,
                (Y174 = 'Points-Table'!$A$9), 'Points-Table'!$C$9,
                (Y174 = 'Points-Table'!$A$10), 'Points-Table'!$C$10,
                (Y174 = 'Points-Table'!$A$11), 'Points-Table'!$C$11,
                (Y174 = 'Points-Table'!$A$12), 'Points-Table'!$C$12,
                (Y174 = 'Points-Table'!$A$13), 'Points-Table'!$C$13,
                true, 0
              )
            </f>
        <v>2</v>
      </c>
      <c r="AA174" s="3">
        <f t="shared" si="2"/>
        <v>7</v>
      </c>
      <c r="AB174" s="3" t="str">
        <f>IFERROR(__xludf.DUMMYFUNCTION("
      Ifs( 
        ISBETWEEN(AA174, 0, 'Points-Table'!C$20, TRUE, False), 'Points-Table'!A$20,
        ISBETWEEN(AA174, 'Points-Table'!C$20, 'Points-Table'!C$21, TRUE, False), 'Points-Table'!A$21,
        ISBETWEEN(AA174, 'Points-Table'!C$22, 10000, TRU"&amp;"E, TRUE), 'Points-Table'!A$22,
        true, 
        0)
      "),"S")</f>
        <v>S</v>
      </c>
      <c r="AC174" s="3" t="s">
        <v>29</v>
      </c>
      <c r="AD174" s="3" t="s">
        <v>29</v>
      </c>
      <c r="AE174" s="3" t="s">
        <v>29</v>
      </c>
    </row>
    <row r="175" ht="24.75" customHeight="1">
      <c r="A175" s="3" t="s">
        <v>379</v>
      </c>
      <c r="B175" s="3" t="s">
        <v>382</v>
      </c>
      <c r="C175" s="3" t="s">
        <v>383</v>
      </c>
      <c r="D175" s="3"/>
      <c r="E175" s="3"/>
      <c r="F175" s="3"/>
      <c r="G175" s="3"/>
      <c r="H175" s="3"/>
      <c r="I175" s="3"/>
      <c r="J175" s="3"/>
      <c r="K175" s="3" t="s">
        <v>27</v>
      </c>
      <c r="L175" s="3" t="s">
        <v>28</v>
      </c>
      <c r="M175" s="3"/>
      <c r="N175" s="3"/>
      <c r="O175" s="3"/>
      <c r="P175" s="3"/>
      <c r="Q175" s="4"/>
      <c r="R175" s="5">
        <f>
              Ifs(
                (Q175 = 'Points-Table'!$A$4), 'Points-Table'!$C$4,
                (Q175 = 'Points-Table'!$A$5), 'Points-Table'!$C$5,
                (Q175 = 'Points-Table'!$A$6), 'Points-Table'!$C$6,
                (Q175 = 'Points-Table'!$A$7), 'Points-Table'!$C$7,
                (Q175 = 'Points-Table'!$A$8), 'Points-Table'!$C$8,
                (Q175 = 'Points-Table'!$A$9), 'Points-Table'!$C$9,
                (Q175 = 'Points-Table'!$A$10), 'Points-Table'!$C$10,
                (Q175 = 'Points-Table'!$A$11), 'Points-Table'!$C$11,
                (Q175 = 'Points-Table'!$A$12), 'Points-Table'!$C$12,
                (Q175 = 'Points-Table'!$A$13), 'Points-Table'!$C$13,
                true, 0
              )
            </f>
        <v>0</v>
      </c>
      <c r="S175" s="4"/>
      <c r="T175" s="5">
        <f>
              Ifs(
                (S175 = 'Points-Table'!$A$4), 'Points-Table'!$C$4,
                (S175 = 'Points-Table'!$A$5), 'Points-Table'!$C$5,
                (S175 = 'Points-Table'!$A$6), 'Points-Table'!$C$6,
                (S175 = 'Points-Table'!$A$7), 'Points-Table'!$C$7,
                (S175 = 'Points-Table'!$A$8), 'Points-Table'!$C$8,
                (S175 = 'Points-Table'!$A$9), 'Points-Table'!$C$9,
                (S175 = 'Points-Table'!$A$10), 'Points-Table'!$C$10,
                (S175 = 'Points-Table'!$A$11), 'Points-Table'!$C$11,
                (S175 = 'Points-Table'!$A$12), 'Points-Table'!$C$12,
                (S175 = 'Points-Table'!$A$13), 'Points-Table'!$C$13,
                true, 0
              )
            </f>
        <v>0</v>
      </c>
      <c r="U175" s="4">
        <v>8.0</v>
      </c>
      <c r="V175" s="5">
        <f>
              Ifs(
                (U175 = 'Points-Table'!$A$4), 'Points-Table'!$C$4,
                (U175 = 'Points-Table'!$A$5), 'Points-Table'!$C$5,
                (U175 = 'Points-Table'!$A$6), 'Points-Table'!$C$6,
                (U175 = 'Points-Table'!$A$7), 'Points-Table'!$C$7,
                (U175 = 'Points-Table'!$A$8), 'Points-Table'!$C$8,
                (U175 = 'Points-Table'!$A$9), 'Points-Table'!$C$9,
                (U175 = 'Points-Table'!$A$10), 'Points-Table'!$C$10,
                (U175 = 'Points-Table'!$A$11), 'Points-Table'!$C$11,
                (U175 = 'Points-Table'!$A$12), 'Points-Table'!$C$12,
                (U175 = 'Points-Table'!$A$13), 'Points-Table'!$C$13,
                true, 0
              )
            </f>
        <v>7</v>
      </c>
      <c r="W175" s="4">
        <v>0.0</v>
      </c>
      <c r="X175" s="5">
        <f>
              Ifs(
                (W175 = 'Points-Table'!$A$4), 'Points-Table'!$C$4,
                (W175 = 'Points-Table'!$A$5), 'Points-Table'!$C$5,
                (W175 = 'Points-Table'!$A$6), 'Points-Table'!$C$6,
                (W175 = 'Points-Table'!$A$7), 'Points-Table'!$C$7,
                (W175 = 'Points-Table'!$A$8), 'Points-Table'!$C$8,
                (W175 = 'Points-Table'!$A$9), 'Points-Table'!$C$9,
                (W175 = 'Points-Table'!$A$10), 'Points-Table'!$C$10,
                (W175 = 'Points-Table'!$A$11), 'Points-Table'!$C$11,
                (W175 = 'Points-Table'!$A$12), 'Points-Table'!$C$12,
                (W175 = 'Points-Table'!$A$13), 'Points-Table'!$C$13,
                true, 0
              )
            </f>
        <v>0</v>
      </c>
      <c r="Y175" s="4">
        <v>0.0</v>
      </c>
      <c r="Z175" s="5">
        <f>
              Ifs(
                (Y175 = 'Points-Table'!$A$4), 'Points-Table'!$C$4,
                (Y175 = 'Points-Table'!$A$5), 'Points-Table'!$C$5,
                (Y175 = 'Points-Table'!$A$6), 'Points-Table'!$C$6,
                (Y175 = 'Points-Table'!$A$7), 'Points-Table'!$C$7,
                (Y175 = 'Points-Table'!$A$8), 'Points-Table'!$C$8,
                (Y175 = 'Points-Table'!$A$9), 'Points-Table'!$C$9,
                (Y175 = 'Points-Table'!$A$10), 'Points-Table'!$C$10,
                (Y175 = 'Points-Table'!$A$11), 'Points-Table'!$C$11,
                (Y175 = 'Points-Table'!$A$12), 'Points-Table'!$C$12,
                (Y175 = 'Points-Table'!$A$13), 'Points-Table'!$C$13,
                true, 0
              )
            </f>
        <v>0</v>
      </c>
      <c r="AA175" s="3">
        <f t="shared" si="2"/>
        <v>7</v>
      </c>
      <c r="AB175" s="3" t="str">
        <f>IFERROR(__xludf.DUMMYFUNCTION("
      Ifs( 
        ISBETWEEN(AA175, 0, 'Points-Table'!C$20, TRUE, False), 'Points-Table'!A$20,
        ISBETWEEN(AA175, 'Points-Table'!C$20, 'Points-Table'!C$21, TRUE, False), 'Points-Table'!A$21,
        ISBETWEEN(AA175, 'Points-Table'!C$22, 10000, TRU"&amp;"E, TRUE), 'Points-Table'!A$22,
        true, 
        0)
      "),"S")</f>
        <v>S</v>
      </c>
      <c r="AC175" s="3" t="s">
        <v>29</v>
      </c>
      <c r="AD175" s="3" t="s">
        <v>29</v>
      </c>
      <c r="AE175" s="3" t="s">
        <v>29</v>
      </c>
    </row>
    <row r="176" ht="24.75" customHeight="1">
      <c r="A176" s="3" t="s">
        <v>379</v>
      </c>
      <c r="B176" s="3" t="s">
        <v>382</v>
      </c>
      <c r="C176" s="3" t="s">
        <v>384</v>
      </c>
      <c r="D176" s="3"/>
      <c r="E176" s="3"/>
      <c r="F176" s="3" t="s">
        <v>71</v>
      </c>
      <c r="G176" s="3"/>
      <c r="H176" s="3"/>
      <c r="I176" s="3"/>
      <c r="J176" s="3"/>
      <c r="K176" s="3" t="s">
        <v>27</v>
      </c>
      <c r="L176" s="3" t="s">
        <v>28</v>
      </c>
      <c r="M176" s="3"/>
      <c r="N176" s="3"/>
      <c r="O176" s="3"/>
      <c r="P176" s="3"/>
      <c r="Q176" s="4"/>
      <c r="R176" s="5">
        <f>
              Ifs(
                (Q176 = 'Points-Table'!$A$4), 'Points-Table'!$C$4,
                (Q176 = 'Points-Table'!$A$5), 'Points-Table'!$C$5,
                (Q176 = 'Points-Table'!$A$6), 'Points-Table'!$C$6,
                (Q176 = 'Points-Table'!$A$7), 'Points-Table'!$C$7,
                (Q176 = 'Points-Table'!$A$8), 'Points-Table'!$C$8,
                (Q176 = 'Points-Table'!$A$9), 'Points-Table'!$C$9,
                (Q176 = 'Points-Table'!$A$10), 'Points-Table'!$C$10,
                (Q176 = 'Points-Table'!$A$11), 'Points-Table'!$C$11,
                (Q176 = 'Points-Table'!$A$12), 'Points-Table'!$C$12,
                (Q176 = 'Points-Table'!$A$13), 'Points-Table'!$C$13,
                true, 0
              )
            </f>
        <v>0</v>
      </c>
      <c r="S176" s="4"/>
      <c r="T176" s="5">
        <f>
              Ifs(
                (S176 = 'Points-Table'!$A$4), 'Points-Table'!$C$4,
                (S176 = 'Points-Table'!$A$5), 'Points-Table'!$C$5,
                (S176 = 'Points-Table'!$A$6), 'Points-Table'!$C$6,
                (S176 = 'Points-Table'!$A$7), 'Points-Table'!$C$7,
                (S176 = 'Points-Table'!$A$8), 'Points-Table'!$C$8,
                (S176 = 'Points-Table'!$A$9), 'Points-Table'!$C$9,
                (S176 = 'Points-Table'!$A$10), 'Points-Table'!$C$10,
                (S176 = 'Points-Table'!$A$11), 'Points-Table'!$C$11,
                (S176 = 'Points-Table'!$A$12), 'Points-Table'!$C$12,
                (S176 = 'Points-Table'!$A$13), 'Points-Table'!$C$13,
                true, 0
              )
            </f>
        <v>0</v>
      </c>
      <c r="U176" s="4">
        <v>3.0</v>
      </c>
      <c r="V176" s="5">
        <f>
              Ifs(
                (U176 = 'Points-Table'!$A$4), 'Points-Table'!$C$4,
                (U176 = 'Points-Table'!$A$5), 'Points-Table'!$C$5,
                (U176 = 'Points-Table'!$A$6), 'Points-Table'!$C$6,
                (U176 = 'Points-Table'!$A$7), 'Points-Table'!$C$7,
                (U176 = 'Points-Table'!$A$8), 'Points-Table'!$C$8,
                (U176 = 'Points-Table'!$A$9), 'Points-Table'!$C$9,
                (U176 = 'Points-Table'!$A$10), 'Points-Table'!$C$10,
                (U176 = 'Points-Table'!$A$11), 'Points-Table'!$C$11,
                (U176 = 'Points-Table'!$A$12), 'Points-Table'!$C$12,
                (U176 = 'Points-Table'!$A$13), 'Points-Table'!$C$13,
                true, 0
              )
            </f>
        <v>2</v>
      </c>
      <c r="W176" s="4">
        <v>0.0</v>
      </c>
      <c r="X176" s="5">
        <f>
              Ifs(
                (W176 = 'Points-Table'!$A$4), 'Points-Table'!$C$4,
                (W176 = 'Points-Table'!$A$5), 'Points-Table'!$C$5,
                (W176 = 'Points-Table'!$A$6), 'Points-Table'!$C$6,
                (W176 = 'Points-Table'!$A$7), 'Points-Table'!$C$7,
                (W176 = 'Points-Table'!$A$8), 'Points-Table'!$C$8,
                (W176 = 'Points-Table'!$A$9), 'Points-Table'!$C$9,
                (W176 = 'Points-Table'!$A$10), 'Points-Table'!$C$10,
                (W176 = 'Points-Table'!$A$11), 'Points-Table'!$C$11,
                (W176 = 'Points-Table'!$A$12), 'Points-Table'!$C$12,
                (W176 = 'Points-Table'!$A$13), 'Points-Table'!$C$13,
                true, 0
              )
            </f>
        <v>0</v>
      </c>
      <c r="Y176" s="4">
        <v>0.0</v>
      </c>
      <c r="Z176" s="5">
        <f>
              Ifs(
                (Y176 = 'Points-Table'!$A$4), 'Points-Table'!$C$4,
                (Y176 = 'Points-Table'!$A$5), 'Points-Table'!$C$5,
                (Y176 = 'Points-Table'!$A$6), 'Points-Table'!$C$6,
                (Y176 = 'Points-Table'!$A$7), 'Points-Table'!$C$7,
                (Y176 = 'Points-Table'!$A$8), 'Points-Table'!$C$8,
                (Y176 = 'Points-Table'!$A$9), 'Points-Table'!$C$9,
                (Y176 = 'Points-Table'!$A$10), 'Points-Table'!$C$10,
                (Y176 = 'Points-Table'!$A$11), 'Points-Table'!$C$11,
                (Y176 = 'Points-Table'!$A$12), 'Points-Table'!$C$12,
                (Y176 = 'Points-Table'!$A$13), 'Points-Table'!$C$13,
                true, 0
              )
            </f>
        <v>0</v>
      </c>
      <c r="AA176" s="3">
        <f t="shared" si="2"/>
        <v>2</v>
      </c>
      <c r="AB176" s="3" t="str">
        <f>IFERROR(__xludf.DUMMYFUNCTION("
      Ifs( 
        ISBETWEEN(AA176, 0, 'Points-Table'!C$20, TRUE, False), 'Points-Table'!A$20,
        ISBETWEEN(AA176, 'Points-Table'!C$20, 'Points-Table'!C$21, TRUE, False), 'Points-Table'!A$21,
        ISBETWEEN(AA176, 'Points-Table'!C$22, 10000, TRU"&amp;"E, TRUE), 'Points-Table'!A$22,
        true, 
        0)
      "),"S")</f>
        <v>S</v>
      </c>
      <c r="AC176" s="3" t="s">
        <v>29</v>
      </c>
      <c r="AD176" s="3" t="s">
        <v>29</v>
      </c>
      <c r="AE176" s="3" t="s">
        <v>29</v>
      </c>
    </row>
    <row r="177" ht="24.75" customHeight="1">
      <c r="A177" s="3" t="s">
        <v>379</v>
      </c>
      <c r="B177" s="3" t="s">
        <v>382</v>
      </c>
      <c r="C177" s="3" t="s">
        <v>385</v>
      </c>
      <c r="D177" s="3"/>
      <c r="E177" s="3"/>
      <c r="F177" s="3"/>
      <c r="G177" s="3"/>
      <c r="H177" s="3"/>
      <c r="I177" s="3"/>
      <c r="J177" s="3"/>
      <c r="K177" s="3" t="s">
        <v>27</v>
      </c>
      <c r="L177" s="3" t="s">
        <v>28</v>
      </c>
      <c r="M177" s="3"/>
      <c r="N177" s="3"/>
      <c r="O177" s="3"/>
      <c r="P177" s="3"/>
      <c r="Q177" s="4"/>
      <c r="R177" s="5">
        <f>
              Ifs(
                (Q177 = 'Points-Table'!$A$4), 'Points-Table'!$C$4,
                (Q177 = 'Points-Table'!$A$5), 'Points-Table'!$C$5,
                (Q177 = 'Points-Table'!$A$6), 'Points-Table'!$C$6,
                (Q177 = 'Points-Table'!$A$7), 'Points-Table'!$C$7,
                (Q177 = 'Points-Table'!$A$8), 'Points-Table'!$C$8,
                (Q177 = 'Points-Table'!$A$9), 'Points-Table'!$C$9,
                (Q177 = 'Points-Table'!$A$10), 'Points-Table'!$C$10,
                (Q177 = 'Points-Table'!$A$11), 'Points-Table'!$C$11,
                (Q177 = 'Points-Table'!$A$12), 'Points-Table'!$C$12,
                (Q177 = 'Points-Table'!$A$13), 'Points-Table'!$C$13,
                true, 0
              )
            </f>
        <v>0</v>
      </c>
      <c r="S177" s="4"/>
      <c r="T177" s="5">
        <f>
              Ifs(
                (S177 = 'Points-Table'!$A$4), 'Points-Table'!$C$4,
                (S177 = 'Points-Table'!$A$5), 'Points-Table'!$C$5,
                (S177 = 'Points-Table'!$A$6), 'Points-Table'!$C$6,
                (S177 = 'Points-Table'!$A$7), 'Points-Table'!$C$7,
                (S177 = 'Points-Table'!$A$8), 'Points-Table'!$C$8,
                (S177 = 'Points-Table'!$A$9), 'Points-Table'!$C$9,
                (S177 = 'Points-Table'!$A$10), 'Points-Table'!$C$10,
                (S177 = 'Points-Table'!$A$11), 'Points-Table'!$C$11,
                (S177 = 'Points-Table'!$A$12), 'Points-Table'!$C$12,
                (S177 = 'Points-Table'!$A$13), 'Points-Table'!$C$13,
                true, 0
              )
            </f>
        <v>0</v>
      </c>
      <c r="U177" s="4">
        <v>2.0</v>
      </c>
      <c r="V177" s="5">
        <f>
              Ifs(
                (U177 = 'Points-Table'!$A$4), 'Points-Table'!$C$4,
                (U177 = 'Points-Table'!$A$5), 'Points-Table'!$C$5,
                (U177 = 'Points-Table'!$A$6), 'Points-Table'!$C$6,
                (U177 = 'Points-Table'!$A$7), 'Points-Table'!$C$7,
                (U177 = 'Points-Table'!$A$8), 'Points-Table'!$C$8,
                (U177 = 'Points-Table'!$A$9), 'Points-Table'!$C$9,
                (U177 = 'Points-Table'!$A$10), 'Points-Table'!$C$10,
                (U177 = 'Points-Table'!$A$11), 'Points-Table'!$C$11,
                (U177 = 'Points-Table'!$A$12), 'Points-Table'!$C$12,
                (U177 = 'Points-Table'!$A$13), 'Points-Table'!$C$13,
                true, 0
              )
            </f>
        <v>1</v>
      </c>
      <c r="W177" s="4">
        <v>0.0</v>
      </c>
      <c r="X177" s="5">
        <f>
              Ifs(
                (W177 = 'Points-Table'!$A$4), 'Points-Table'!$C$4,
                (W177 = 'Points-Table'!$A$5), 'Points-Table'!$C$5,
                (W177 = 'Points-Table'!$A$6), 'Points-Table'!$C$6,
                (W177 = 'Points-Table'!$A$7), 'Points-Table'!$C$7,
                (W177 = 'Points-Table'!$A$8), 'Points-Table'!$C$8,
                (W177 = 'Points-Table'!$A$9), 'Points-Table'!$C$9,
                (W177 = 'Points-Table'!$A$10), 'Points-Table'!$C$10,
                (W177 = 'Points-Table'!$A$11), 'Points-Table'!$C$11,
                (W177 = 'Points-Table'!$A$12), 'Points-Table'!$C$12,
                (W177 = 'Points-Table'!$A$13), 'Points-Table'!$C$13,
                true, 0
              )
            </f>
        <v>0</v>
      </c>
      <c r="Y177" s="4">
        <v>5.0</v>
      </c>
      <c r="Z177" s="5">
        <f>
              Ifs(
                (Y177 = 'Points-Table'!$A$4), 'Points-Table'!$C$4,
                (Y177 = 'Points-Table'!$A$5), 'Points-Table'!$C$5,
                (Y177 = 'Points-Table'!$A$6), 'Points-Table'!$C$6,
                (Y177 = 'Points-Table'!$A$7), 'Points-Table'!$C$7,
                (Y177 = 'Points-Table'!$A$8), 'Points-Table'!$C$8,
                (Y177 = 'Points-Table'!$A$9), 'Points-Table'!$C$9,
                (Y177 = 'Points-Table'!$A$10), 'Points-Table'!$C$10,
                (Y177 = 'Points-Table'!$A$11), 'Points-Table'!$C$11,
                (Y177 = 'Points-Table'!$A$12), 'Points-Table'!$C$12,
                (Y177 = 'Points-Table'!$A$13), 'Points-Table'!$C$13,
                true, 0
              )
            </f>
        <v>4</v>
      </c>
      <c r="AA177" s="3">
        <f t="shared" si="2"/>
        <v>5</v>
      </c>
      <c r="AB177" s="3" t="str">
        <f>IFERROR(__xludf.DUMMYFUNCTION("
      Ifs( 
        ISBETWEEN(AA177, 0, 'Points-Table'!C$20, TRUE, False), 'Points-Table'!A$20,
        ISBETWEEN(AA177, 'Points-Table'!C$20, 'Points-Table'!C$21, TRUE, False), 'Points-Table'!A$21,
        ISBETWEEN(AA177, 'Points-Table'!C$22, 10000, TRU"&amp;"E, TRUE), 'Points-Table'!A$22,
        true, 
        0)
      "),"S")</f>
        <v>S</v>
      </c>
      <c r="AC177" s="3" t="s">
        <v>29</v>
      </c>
      <c r="AD177" s="3" t="s">
        <v>29</v>
      </c>
      <c r="AE177" s="3" t="s">
        <v>29</v>
      </c>
    </row>
    <row r="178" ht="24.75" customHeight="1">
      <c r="A178" s="3" t="s">
        <v>379</v>
      </c>
      <c r="B178" s="3" t="s">
        <v>386</v>
      </c>
      <c r="C178" s="3"/>
      <c r="D178" s="3"/>
      <c r="E178" s="3"/>
      <c r="F178" s="3" t="s">
        <v>387</v>
      </c>
      <c r="G178" s="3"/>
      <c r="H178" s="3"/>
      <c r="I178" s="3"/>
      <c r="J178" s="3"/>
      <c r="K178" s="3" t="s">
        <v>27</v>
      </c>
      <c r="L178" s="3" t="s">
        <v>28</v>
      </c>
      <c r="M178" s="3"/>
      <c r="N178" s="3"/>
      <c r="O178" s="3"/>
      <c r="P178" s="3"/>
      <c r="Q178" s="4"/>
      <c r="R178" s="5">
        <f>
              Ifs(
                (Q178 = 'Points-Table'!$A$4), 'Points-Table'!$C$4,
                (Q178 = 'Points-Table'!$A$5), 'Points-Table'!$C$5,
                (Q178 = 'Points-Table'!$A$6), 'Points-Table'!$C$6,
                (Q178 = 'Points-Table'!$A$7), 'Points-Table'!$C$7,
                (Q178 = 'Points-Table'!$A$8), 'Points-Table'!$C$8,
                (Q178 = 'Points-Table'!$A$9), 'Points-Table'!$C$9,
                (Q178 = 'Points-Table'!$A$10), 'Points-Table'!$C$10,
                (Q178 = 'Points-Table'!$A$11), 'Points-Table'!$C$11,
                (Q178 = 'Points-Table'!$A$12), 'Points-Table'!$C$12,
                (Q178 = 'Points-Table'!$A$13), 'Points-Table'!$C$13,
                true, 0
              )
            </f>
        <v>0</v>
      </c>
      <c r="S178" s="4"/>
      <c r="T178" s="5">
        <f>
              Ifs(
                (S178 = 'Points-Table'!$A$4), 'Points-Table'!$C$4,
                (S178 = 'Points-Table'!$A$5), 'Points-Table'!$C$5,
                (S178 = 'Points-Table'!$A$6), 'Points-Table'!$C$6,
                (S178 = 'Points-Table'!$A$7), 'Points-Table'!$C$7,
                (S178 = 'Points-Table'!$A$8), 'Points-Table'!$C$8,
                (S178 = 'Points-Table'!$A$9), 'Points-Table'!$C$9,
                (S178 = 'Points-Table'!$A$10), 'Points-Table'!$C$10,
                (S178 = 'Points-Table'!$A$11), 'Points-Table'!$C$11,
                (S178 = 'Points-Table'!$A$12), 'Points-Table'!$C$12,
                (S178 = 'Points-Table'!$A$13), 'Points-Table'!$C$13,
                true, 0
              )
            </f>
        <v>0</v>
      </c>
      <c r="U178" s="4">
        <v>2.0</v>
      </c>
      <c r="V178" s="5">
        <f>
              Ifs(
                (U178 = 'Points-Table'!$A$4), 'Points-Table'!$C$4,
                (U178 = 'Points-Table'!$A$5), 'Points-Table'!$C$5,
                (U178 = 'Points-Table'!$A$6), 'Points-Table'!$C$6,
                (U178 = 'Points-Table'!$A$7), 'Points-Table'!$C$7,
                (U178 = 'Points-Table'!$A$8), 'Points-Table'!$C$8,
                (U178 = 'Points-Table'!$A$9), 'Points-Table'!$C$9,
                (U178 = 'Points-Table'!$A$10), 'Points-Table'!$C$10,
                (U178 = 'Points-Table'!$A$11), 'Points-Table'!$C$11,
                (U178 = 'Points-Table'!$A$12), 'Points-Table'!$C$12,
                (U178 = 'Points-Table'!$A$13), 'Points-Table'!$C$13,
                true, 0
              )
            </f>
        <v>1</v>
      </c>
      <c r="W178" s="4">
        <v>0.0</v>
      </c>
      <c r="X178" s="5">
        <f>
              Ifs(
                (W178 = 'Points-Table'!$A$4), 'Points-Table'!$C$4,
                (W178 = 'Points-Table'!$A$5), 'Points-Table'!$C$5,
                (W178 = 'Points-Table'!$A$6), 'Points-Table'!$C$6,
                (W178 = 'Points-Table'!$A$7), 'Points-Table'!$C$7,
                (W178 = 'Points-Table'!$A$8), 'Points-Table'!$C$8,
                (W178 = 'Points-Table'!$A$9), 'Points-Table'!$C$9,
                (W178 = 'Points-Table'!$A$10), 'Points-Table'!$C$10,
                (W178 = 'Points-Table'!$A$11), 'Points-Table'!$C$11,
                (W178 = 'Points-Table'!$A$12), 'Points-Table'!$C$12,
                (W178 = 'Points-Table'!$A$13), 'Points-Table'!$C$13,
                true, 0
              )
            </f>
        <v>0</v>
      </c>
      <c r="Y178" s="4">
        <v>3.0</v>
      </c>
      <c r="Z178" s="5">
        <f>
              Ifs(
                (Y178 = 'Points-Table'!$A$4), 'Points-Table'!$C$4,
                (Y178 = 'Points-Table'!$A$5), 'Points-Table'!$C$5,
                (Y178 = 'Points-Table'!$A$6), 'Points-Table'!$C$6,
                (Y178 = 'Points-Table'!$A$7), 'Points-Table'!$C$7,
                (Y178 = 'Points-Table'!$A$8), 'Points-Table'!$C$8,
                (Y178 = 'Points-Table'!$A$9), 'Points-Table'!$C$9,
                (Y178 = 'Points-Table'!$A$10), 'Points-Table'!$C$10,
                (Y178 = 'Points-Table'!$A$11), 'Points-Table'!$C$11,
                (Y178 = 'Points-Table'!$A$12), 'Points-Table'!$C$12,
                (Y178 = 'Points-Table'!$A$13), 'Points-Table'!$C$13,
                true, 0
              )
            </f>
        <v>2</v>
      </c>
      <c r="AA178" s="3">
        <f t="shared" si="2"/>
        <v>3</v>
      </c>
      <c r="AB178" s="3" t="str">
        <f>IFERROR(__xludf.DUMMYFUNCTION("
      Ifs( 
        ISBETWEEN(AA178, 0, 'Points-Table'!C$20, TRUE, False), 'Points-Table'!A$20,
        ISBETWEEN(AA178, 'Points-Table'!C$20, 'Points-Table'!C$21, TRUE, False), 'Points-Table'!A$21,
        ISBETWEEN(AA178, 'Points-Table'!C$22, 10000, TRU"&amp;"E, TRUE), 'Points-Table'!A$22,
        true, 
        0)
      "),"S")</f>
        <v>S</v>
      </c>
      <c r="AC178" s="3" t="s">
        <v>29</v>
      </c>
      <c r="AD178" s="3" t="s">
        <v>29</v>
      </c>
      <c r="AE178" s="3" t="s">
        <v>29</v>
      </c>
    </row>
    <row r="179" ht="24.75" customHeight="1">
      <c r="A179" s="3" t="s">
        <v>379</v>
      </c>
      <c r="B179" s="3" t="s">
        <v>388</v>
      </c>
      <c r="C179" s="3"/>
      <c r="D179" s="3"/>
      <c r="E179" s="3"/>
      <c r="F179" s="3"/>
      <c r="G179" s="3"/>
      <c r="H179" s="3"/>
      <c r="I179" s="3"/>
      <c r="J179" s="3"/>
      <c r="K179" s="3" t="s">
        <v>27</v>
      </c>
      <c r="L179" s="3" t="s">
        <v>216</v>
      </c>
      <c r="M179" s="3"/>
      <c r="N179" s="3"/>
      <c r="O179" s="3"/>
      <c r="P179" s="3"/>
      <c r="Q179" s="4">
        <v>0.0</v>
      </c>
      <c r="R179" s="5">
        <f>
              Ifs(
                (Q179 = 'Points-Table'!$A$4), 'Points-Table'!$C$4,
                (Q179 = 'Points-Table'!$A$5), 'Points-Table'!$C$5,
                (Q179 = 'Points-Table'!$A$6), 'Points-Table'!$C$6,
                (Q179 = 'Points-Table'!$A$7), 'Points-Table'!$C$7,
                (Q179 = 'Points-Table'!$A$8), 'Points-Table'!$C$8,
                (Q179 = 'Points-Table'!$A$9), 'Points-Table'!$C$9,
                (Q179 = 'Points-Table'!$A$10), 'Points-Table'!$C$10,
                (Q179 = 'Points-Table'!$A$11), 'Points-Table'!$C$11,
                (Q179 = 'Points-Table'!$A$12), 'Points-Table'!$C$12,
                (Q179 = 'Points-Table'!$A$13), 'Points-Table'!$C$13,
                true, 0
              )
            </f>
        <v>0</v>
      </c>
      <c r="S179" s="4">
        <v>0.0</v>
      </c>
      <c r="T179" s="5">
        <f>
              Ifs(
                (S179 = 'Points-Table'!$A$4), 'Points-Table'!$C$4,
                (S179 = 'Points-Table'!$A$5), 'Points-Table'!$C$5,
                (S179 = 'Points-Table'!$A$6), 'Points-Table'!$C$6,
                (S179 = 'Points-Table'!$A$7), 'Points-Table'!$C$7,
                (S179 = 'Points-Table'!$A$8), 'Points-Table'!$C$8,
                (S179 = 'Points-Table'!$A$9), 'Points-Table'!$C$9,
                (S179 = 'Points-Table'!$A$10), 'Points-Table'!$C$10,
                (S179 = 'Points-Table'!$A$11), 'Points-Table'!$C$11,
                (S179 = 'Points-Table'!$A$12), 'Points-Table'!$C$12,
                (S179 = 'Points-Table'!$A$13), 'Points-Table'!$C$13,
                true, 0
              )
            </f>
        <v>0</v>
      </c>
      <c r="U179" s="4">
        <v>2.0</v>
      </c>
      <c r="V179" s="5">
        <f>
              Ifs(
                (U179 = 'Points-Table'!$A$4), 'Points-Table'!$C$4,
                (U179 = 'Points-Table'!$A$5), 'Points-Table'!$C$5,
                (U179 = 'Points-Table'!$A$6), 'Points-Table'!$C$6,
                (U179 = 'Points-Table'!$A$7), 'Points-Table'!$C$7,
                (U179 = 'Points-Table'!$A$8), 'Points-Table'!$C$8,
                (U179 = 'Points-Table'!$A$9), 'Points-Table'!$C$9,
                (U179 = 'Points-Table'!$A$10), 'Points-Table'!$C$10,
                (U179 = 'Points-Table'!$A$11), 'Points-Table'!$C$11,
                (U179 = 'Points-Table'!$A$12), 'Points-Table'!$C$12,
                (U179 = 'Points-Table'!$A$13), 'Points-Table'!$C$13,
                true, 0
              )
            </f>
        <v>1</v>
      </c>
      <c r="W179" s="4">
        <v>0.0</v>
      </c>
      <c r="X179" s="5">
        <f>
              Ifs(
                (W179 = 'Points-Table'!$A$4), 'Points-Table'!$C$4,
                (W179 = 'Points-Table'!$A$5), 'Points-Table'!$C$5,
                (W179 = 'Points-Table'!$A$6), 'Points-Table'!$C$6,
                (W179 = 'Points-Table'!$A$7), 'Points-Table'!$C$7,
                (W179 = 'Points-Table'!$A$8), 'Points-Table'!$C$8,
                (W179 = 'Points-Table'!$A$9), 'Points-Table'!$C$9,
                (W179 = 'Points-Table'!$A$10), 'Points-Table'!$C$10,
                (W179 = 'Points-Table'!$A$11), 'Points-Table'!$C$11,
                (W179 = 'Points-Table'!$A$12), 'Points-Table'!$C$12,
                (W179 = 'Points-Table'!$A$13), 'Points-Table'!$C$13,
                true, 0
              )
            </f>
        <v>0</v>
      </c>
      <c r="Y179" s="4">
        <v>3.0</v>
      </c>
      <c r="Z179" s="5">
        <f>
              Ifs(
                (Y179 = 'Points-Table'!$A$4), 'Points-Table'!$C$4,
                (Y179 = 'Points-Table'!$A$5), 'Points-Table'!$C$5,
                (Y179 = 'Points-Table'!$A$6), 'Points-Table'!$C$6,
                (Y179 = 'Points-Table'!$A$7), 'Points-Table'!$C$7,
                (Y179 = 'Points-Table'!$A$8), 'Points-Table'!$C$8,
                (Y179 = 'Points-Table'!$A$9), 'Points-Table'!$C$9,
                (Y179 = 'Points-Table'!$A$10), 'Points-Table'!$C$10,
                (Y179 = 'Points-Table'!$A$11), 'Points-Table'!$C$11,
                (Y179 = 'Points-Table'!$A$12), 'Points-Table'!$C$12,
                (Y179 = 'Points-Table'!$A$13), 'Points-Table'!$C$13,
                true, 0
              )
            </f>
        <v>2</v>
      </c>
      <c r="AA179" s="3">
        <f t="shared" si="2"/>
        <v>3</v>
      </c>
      <c r="AB179" s="3" t="str">
        <f>IFERROR(__xludf.DUMMYFUNCTION("
      Ifs( 
        ISBETWEEN(AA179, 0, 'Points-Table'!C$20, TRUE, False), 'Points-Table'!A$20,
        ISBETWEEN(AA179, 'Points-Table'!C$20, 'Points-Table'!C$21, TRUE, False), 'Points-Table'!A$21,
        ISBETWEEN(AA179, 'Points-Table'!C$22, 10000, TRU"&amp;"E, TRUE), 'Points-Table'!A$22,
        true, 
        0)
      "),"S")</f>
        <v>S</v>
      </c>
      <c r="AC179" s="3" t="s">
        <v>29</v>
      </c>
      <c r="AD179" s="3" t="s">
        <v>29</v>
      </c>
      <c r="AE179" s="3" t="s">
        <v>29</v>
      </c>
    </row>
    <row r="180" ht="24.75" customHeight="1">
      <c r="A180" s="6" t="s">
        <v>379</v>
      </c>
      <c r="B180" s="6" t="s">
        <v>389</v>
      </c>
      <c r="C180" s="6" t="s">
        <v>390</v>
      </c>
      <c r="D180" s="6"/>
      <c r="E180" s="6"/>
      <c r="F180" s="6"/>
      <c r="G180" s="6"/>
      <c r="H180" s="6"/>
      <c r="I180" s="6"/>
      <c r="J180" s="6"/>
      <c r="K180" s="6" t="s">
        <v>27</v>
      </c>
      <c r="L180" s="6" t="s">
        <v>28</v>
      </c>
      <c r="M180" s="6"/>
      <c r="N180" s="6"/>
      <c r="O180" s="6"/>
      <c r="P180" s="6"/>
      <c r="Q180" s="6">
        <v>2.0</v>
      </c>
      <c r="R180" s="6">
        <f>
              Ifs(
                (Q180 = 'Points-Table'!$A$4), 'Points-Table'!$C$4,
                (Q180 = 'Points-Table'!$A$5), 'Points-Table'!$C$5,
                (Q180 = 'Points-Table'!$A$6), 'Points-Table'!$C$6,
                (Q180 = 'Points-Table'!$A$7), 'Points-Table'!$C$7,
                (Q180 = 'Points-Table'!$A$8), 'Points-Table'!$C$8,
                (Q180 = 'Points-Table'!$A$9), 'Points-Table'!$C$9,
                (Q180 = 'Points-Table'!$A$10), 'Points-Table'!$C$10,
                (Q180 = 'Points-Table'!$A$11), 'Points-Table'!$C$11,
                (Q180 = 'Points-Table'!$A$12), 'Points-Table'!$C$12,
                (Q180 = 'Points-Table'!$A$13), 'Points-Table'!$C$13,
                true, 0
              )
            </f>
        <v>1</v>
      </c>
      <c r="S180" s="6">
        <v>2.0</v>
      </c>
      <c r="T180" s="6">
        <f>
              Ifs(
                (S180 = 'Points-Table'!$A$4), 'Points-Table'!$C$4,
                (S180 = 'Points-Table'!$A$5), 'Points-Table'!$C$5,
                (S180 = 'Points-Table'!$A$6), 'Points-Table'!$C$6,
                (S180 = 'Points-Table'!$A$7), 'Points-Table'!$C$7,
                (S180 = 'Points-Table'!$A$8), 'Points-Table'!$C$8,
                (S180 = 'Points-Table'!$A$9), 'Points-Table'!$C$9,
                (S180 = 'Points-Table'!$A$10), 'Points-Table'!$C$10,
                (S180 = 'Points-Table'!$A$11), 'Points-Table'!$C$11,
                (S180 = 'Points-Table'!$A$12), 'Points-Table'!$C$12,
                (S180 = 'Points-Table'!$A$13), 'Points-Table'!$C$13,
                true, 0
              )
            </f>
        <v>1</v>
      </c>
      <c r="U180" s="6">
        <v>5.0</v>
      </c>
      <c r="V180" s="6">
        <f>
              Ifs(
                (U180 = 'Points-Table'!$A$4), 'Points-Table'!$C$4,
                (U180 = 'Points-Table'!$A$5), 'Points-Table'!$C$5,
                (U180 = 'Points-Table'!$A$6), 'Points-Table'!$C$6,
                (U180 = 'Points-Table'!$A$7), 'Points-Table'!$C$7,
                (U180 = 'Points-Table'!$A$8), 'Points-Table'!$C$8,
                (U180 = 'Points-Table'!$A$9), 'Points-Table'!$C$9,
                (U180 = 'Points-Table'!$A$10), 'Points-Table'!$C$10,
                (U180 = 'Points-Table'!$A$11), 'Points-Table'!$C$11,
                (U180 = 'Points-Table'!$A$12), 'Points-Table'!$C$12,
                (U180 = 'Points-Table'!$A$13), 'Points-Table'!$C$13,
                true, 0
              )
            </f>
        <v>4</v>
      </c>
      <c r="W180" s="6">
        <v>3.0</v>
      </c>
      <c r="X180" s="6">
        <f>
              Ifs(
                (W180 = 'Points-Table'!$A$4), 'Points-Table'!$C$4,
                (W180 = 'Points-Table'!$A$5), 'Points-Table'!$C$5,
                (W180 = 'Points-Table'!$A$6), 'Points-Table'!$C$6,
                (W180 = 'Points-Table'!$A$7), 'Points-Table'!$C$7,
                (W180 = 'Points-Table'!$A$8), 'Points-Table'!$C$8,
                (W180 = 'Points-Table'!$A$9), 'Points-Table'!$C$9,
                (W180 = 'Points-Table'!$A$10), 'Points-Table'!$C$10,
                (W180 = 'Points-Table'!$A$11), 'Points-Table'!$C$11,
                (W180 = 'Points-Table'!$A$12), 'Points-Table'!$C$12,
                (W180 = 'Points-Table'!$A$13), 'Points-Table'!$C$13,
                true, 0
              )
            </f>
        <v>2</v>
      </c>
      <c r="Y180" s="6">
        <v>3.0</v>
      </c>
      <c r="Z180" s="6">
        <f>
              Ifs(
                (Y180 = 'Points-Table'!$A$4), 'Points-Table'!$C$4,
                (Y180 = 'Points-Table'!$A$5), 'Points-Table'!$C$5,
                (Y180 = 'Points-Table'!$A$6), 'Points-Table'!$C$6,
                (Y180 = 'Points-Table'!$A$7), 'Points-Table'!$C$7,
                (Y180 = 'Points-Table'!$A$8), 'Points-Table'!$C$8,
                (Y180 = 'Points-Table'!$A$9), 'Points-Table'!$C$9,
                (Y180 = 'Points-Table'!$A$10), 'Points-Table'!$C$10,
                (Y180 = 'Points-Table'!$A$11), 'Points-Table'!$C$11,
                (Y180 = 'Points-Table'!$A$12), 'Points-Table'!$C$12,
                (Y180 = 'Points-Table'!$A$13), 'Points-Table'!$C$13,
                true, 0
              )
            </f>
        <v>2</v>
      </c>
      <c r="AA180" s="6">
        <f t="shared" si="2"/>
        <v>8</v>
      </c>
      <c r="AB180" s="6" t="str">
        <f>IFERROR(__xludf.DUMMYFUNCTION("
      Ifs( 
        ISBETWEEN(AA180, 0, 'Points-Table'!C$20, TRUE, False), 'Points-Table'!A$20,
        ISBETWEEN(AA180, 'Points-Table'!C$20, 'Points-Table'!C$21, TRUE, False), 'Points-Table'!A$21,
        ISBETWEEN(AA180, 'Points-Table'!C$22, 10000, TRU"&amp;"E, TRUE), 'Points-Table'!A$22,
        true, 
        0)
      "),"S")</f>
        <v>S</v>
      </c>
      <c r="AC180" s="6" t="s">
        <v>29</v>
      </c>
      <c r="AD180" s="6" t="s">
        <v>29</v>
      </c>
      <c r="AE180" s="6" t="s">
        <v>29</v>
      </c>
    </row>
    <row r="181" ht="24.75" customHeight="1">
      <c r="A181" s="6" t="s">
        <v>379</v>
      </c>
      <c r="B181" s="6" t="s">
        <v>389</v>
      </c>
      <c r="C181" s="6" t="s">
        <v>391</v>
      </c>
      <c r="D181" s="6"/>
      <c r="E181" s="6"/>
      <c r="F181" s="6"/>
      <c r="G181" s="6"/>
      <c r="H181" s="6"/>
      <c r="I181" s="6"/>
      <c r="J181" s="6"/>
      <c r="K181" s="6" t="s">
        <v>27</v>
      </c>
      <c r="L181" s="6" t="s">
        <v>28</v>
      </c>
      <c r="M181" s="6"/>
      <c r="N181" s="6"/>
      <c r="O181" s="6"/>
      <c r="P181" s="6"/>
      <c r="Q181" s="6"/>
      <c r="R181" s="6">
        <f>
              Ifs(
                (Q181 = 'Points-Table'!$A$4), 'Points-Table'!$C$4,
                (Q181 = 'Points-Table'!$A$5), 'Points-Table'!$C$5,
                (Q181 = 'Points-Table'!$A$6), 'Points-Table'!$C$6,
                (Q181 = 'Points-Table'!$A$7), 'Points-Table'!$C$7,
                (Q181 = 'Points-Table'!$A$8), 'Points-Table'!$C$8,
                (Q181 = 'Points-Table'!$A$9), 'Points-Table'!$C$9,
                (Q181 = 'Points-Table'!$A$10), 'Points-Table'!$C$10,
                (Q181 = 'Points-Table'!$A$11), 'Points-Table'!$C$11,
                (Q181 = 'Points-Table'!$A$12), 'Points-Table'!$C$12,
                (Q181 = 'Points-Table'!$A$13), 'Points-Table'!$C$13,
                true, 0
              )
            </f>
        <v>0</v>
      </c>
      <c r="S181" s="6"/>
      <c r="T181" s="6">
        <f>
              Ifs(
                (S181 = 'Points-Table'!$A$4), 'Points-Table'!$C$4,
                (S181 = 'Points-Table'!$A$5), 'Points-Table'!$C$5,
                (S181 = 'Points-Table'!$A$6), 'Points-Table'!$C$6,
                (S181 = 'Points-Table'!$A$7), 'Points-Table'!$C$7,
                (S181 = 'Points-Table'!$A$8), 'Points-Table'!$C$8,
                (S181 = 'Points-Table'!$A$9), 'Points-Table'!$C$9,
                (S181 = 'Points-Table'!$A$10), 'Points-Table'!$C$10,
                (S181 = 'Points-Table'!$A$11), 'Points-Table'!$C$11,
                (S181 = 'Points-Table'!$A$12), 'Points-Table'!$C$12,
                (S181 = 'Points-Table'!$A$13), 'Points-Table'!$C$13,
                true, 0
              )
            </f>
        <v>0</v>
      </c>
      <c r="U181" s="6">
        <v>13.0</v>
      </c>
      <c r="V181" s="6">
        <f>
              Ifs(
                (U181 = 'Points-Table'!$A$4), 'Points-Table'!$C$4,
                (U181 = 'Points-Table'!$A$5), 'Points-Table'!$C$5,
                (U181 = 'Points-Table'!$A$6), 'Points-Table'!$C$6,
                (U181 = 'Points-Table'!$A$7), 'Points-Table'!$C$7,
                (U181 = 'Points-Table'!$A$8), 'Points-Table'!$C$8,
                (U181 = 'Points-Table'!$A$9), 'Points-Table'!$C$9,
                (U181 = 'Points-Table'!$A$10), 'Points-Table'!$C$10,
                (U181 = 'Points-Table'!$A$11), 'Points-Table'!$C$11,
                (U181 = 'Points-Table'!$A$12), 'Points-Table'!$C$12,
                (U181 = 'Points-Table'!$A$13), 'Points-Table'!$C$13,
                true, 0
              )
            </f>
        <v>11</v>
      </c>
      <c r="W181" s="6">
        <v>5.0</v>
      </c>
      <c r="X181" s="6">
        <f>
              Ifs(
                (W181 = 'Points-Table'!$A$4), 'Points-Table'!$C$4,
                (W181 = 'Points-Table'!$A$5), 'Points-Table'!$C$5,
                (W181 = 'Points-Table'!$A$6), 'Points-Table'!$C$6,
                (W181 = 'Points-Table'!$A$7), 'Points-Table'!$C$7,
                (W181 = 'Points-Table'!$A$8), 'Points-Table'!$C$8,
                (W181 = 'Points-Table'!$A$9), 'Points-Table'!$C$9,
                (W181 = 'Points-Table'!$A$10), 'Points-Table'!$C$10,
                (W181 = 'Points-Table'!$A$11), 'Points-Table'!$C$11,
                (W181 = 'Points-Table'!$A$12), 'Points-Table'!$C$12,
                (W181 = 'Points-Table'!$A$13), 'Points-Table'!$C$13,
                true, 0
              )
            </f>
        <v>4</v>
      </c>
      <c r="Y181" s="6">
        <v>8.0</v>
      </c>
      <c r="Z181" s="6">
        <f>
              Ifs(
                (Y181 = 'Points-Table'!$A$4), 'Points-Table'!$C$4,
                (Y181 = 'Points-Table'!$A$5), 'Points-Table'!$C$5,
                (Y181 = 'Points-Table'!$A$6), 'Points-Table'!$C$6,
                (Y181 = 'Points-Table'!$A$7), 'Points-Table'!$C$7,
                (Y181 = 'Points-Table'!$A$8), 'Points-Table'!$C$8,
                (Y181 = 'Points-Table'!$A$9), 'Points-Table'!$C$9,
                (Y181 = 'Points-Table'!$A$10), 'Points-Table'!$C$10,
                (Y181 = 'Points-Table'!$A$11), 'Points-Table'!$C$11,
                (Y181 = 'Points-Table'!$A$12), 'Points-Table'!$C$12,
                (Y181 = 'Points-Table'!$A$13), 'Points-Table'!$C$13,
                true, 0
              )
            </f>
        <v>7</v>
      </c>
      <c r="AA181" s="6">
        <f t="shared" si="2"/>
        <v>22</v>
      </c>
      <c r="AB181" s="6" t="str">
        <f>IFERROR(__xludf.DUMMYFUNCTION("
      Ifs( 
        ISBETWEEN(AA181, 0, 'Points-Table'!C$20, TRUE, False), 'Points-Table'!A$20,
        ISBETWEEN(AA181, 'Points-Table'!C$20, 'Points-Table'!C$21, TRUE, False), 'Points-Table'!A$21,
        ISBETWEEN(AA181, 'Points-Table'!C$22, 10000, TRU"&amp;"E, TRUE), 'Points-Table'!A$22,
        true, 
        0)
      "),"S")</f>
        <v>S</v>
      </c>
      <c r="AC181" s="6" t="s">
        <v>29</v>
      </c>
      <c r="AD181" s="6" t="s">
        <v>29</v>
      </c>
      <c r="AE181" s="6" t="s">
        <v>29</v>
      </c>
    </row>
    <row r="182" ht="24.75" customHeight="1">
      <c r="A182" s="6" t="s">
        <v>379</v>
      </c>
      <c r="B182" s="6" t="s">
        <v>392</v>
      </c>
      <c r="C182" s="6"/>
      <c r="D182" s="6"/>
      <c r="E182" s="6"/>
      <c r="F182" s="6"/>
      <c r="G182" s="6"/>
      <c r="H182" s="6"/>
      <c r="I182" s="6"/>
      <c r="J182" s="6"/>
      <c r="K182" s="6" t="s">
        <v>27</v>
      </c>
      <c r="L182" s="6" t="s">
        <v>216</v>
      </c>
      <c r="M182" s="6"/>
      <c r="N182" s="6"/>
      <c r="O182" s="6"/>
      <c r="P182" s="6"/>
      <c r="Q182" s="6">
        <v>0.0</v>
      </c>
      <c r="R182" s="6">
        <f>
              Ifs(
                (Q182 = 'Points-Table'!$A$4), 'Points-Table'!$C$4,
                (Q182 = 'Points-Table'!$A$5), 'Points-Table'!$C$5,
                (Q182 = 'Points-Table'!$A$6), 'Points-Table'!$C$6,
                (Q182 = 'Points-Table'!$A$7), 'Points-Table'!$C$7,
                (Q182 = 'Points-Table'!$A$8), 'Points-Table'!$C$8,
                (Q182 = 'Points-Table'!$A$9), 'Points-Table'!$C$9,
                (Q182 = 'Points-Table'!$A$10), 'Points-Table'!$C$10,
                (Q182 = 'Points-Table'!$A$11), 'Points-Table'!$C$11,
                (Q182 = 'Points-Table'!$A$12), 'Points-Table'!$C$12,
                (Q182 = 'Points-Table'!$A$13), 'Points-Table'!$C$13,
                true, 0
              )
            </f>
        <v>0</v>
      </c>
      <c r="S182" s="6">
        <v>0.0</v>
      </c>
      <c r="T182" s="6">
        <f>
              Ifs(
                (S182 = 'Points-Table'!$A$4), 'Points-Table'!$C$4,
                (S182 = 'Points-Table'!$A$5), 'Points-Table'!$C$5,
                (S182 = 'Points-Table'!$A$6), 'Points-Table'!$C$6,
                (S182 = 'Points-Table'!$A$7), 'Points-Table'!$C$7,
                (S182 = 'Points-Table'!$A$8), 'Points-Table'!$C$8,
                (S182 = 'Points-Table'!$A$9), 'Points-Table'!$C$9,
                (S182 = 'Points-Table'!$A$10), 'Points-Table'!$C$10,
                (S182 = 'Points-Table'!$A$11), 'Points-Table'!$C$11,
                (S182 = 'Points-Table'!$A$12), 'Points-Table'!$C$12,
                (S182 = 'Points-Table'!$A$13), 'Points-Table'!$C$13,
                true, 0
              )
            </f>
        <v>0</v>
      </c>
      <c r="U182" s="6">
        <v>0.0</v>
      </c>
      <c r="V182" s="6">
        <f>
              Ifs(
                (U182 = 'Points-Table'!$A$4), 'Points-Table'!$C$4,
                (U182 = 'Points-Table'!$A$5), 'Points-Table'!$C$5,
                (U182 = 'Points-Table'!$A$6), 'Points-Table'!$C$6,
                (U182 = 'Points-Table'!$A$7), 'Points-Table'!$C$7,
                (U182 = 'Points-Table'!$A$8), 'Points-Table'!$C$8,
                (U182 = 'Points-Table'!$A$9), 'Points-Table'!$C$9,
                (U182 = 'Points-Table'!$A$10), 'Points-Table'!$C$10,
                (U182 = 'Points-Table'!$A$11), 'Points-Table'!$C$11,
                (U182 = 'Points-Table'!$A$12), 'Points-Table'!$C$12,
                (U182 = 'Points-Table'!$A$13), 'Points-Table'!$C$13,
                true, 0
              )
            </f>
        <v>0</v>
      </c>
      <c r="W182" s="6">
        <v>0.0</v>
      </c>
      <c r="X182" s="6">
        <f>
              Ifs(
                (W182 = 'Points-Table'!$A$4), 'Points-Table'!$C$4,
                (W182 = 'Points-Table'!$A$5), 'Points-Table'!$C$5,
                (W182 = 'Points-Table'!$A$6), 'Points-Table'!$C$6,
                (W182 = 'Points-Table'!$A$7), 'Points-Table'!$C$7,
                (W182 = 'Points-Table'!$A$8), 'Points-Table'!$C$8,
                (W182 = 'Points-Table'!$A$9), 'Points-Table'!$C$9,
                (W182 = 'Points-Table'!$A$10), 'Points-Table'!$C$10,
                (W182 = 'Points-Table'!$A$11), 'Points-Table'!$C$11,
                (W182 = 'Points-Table'!$A$12), 'Points-Table'!$C$12,
                (W182 = 'Points-Table'!$A$13), 'Points-Table'!$C$13,
                true, 0
              )
            </f>
        <v>0</v>
      </c>
      <c r="Y182" s="6">
        <v>0.0</v>
      </c>
      <c r="Z182" s="6">
        <f>
              Ifs(
                (Y182 = 'Points-Table'!$A$4), 'Points-Table'!$C$4,
                (Y182 = 'Points-Table'!$A$5), 'Points-Table'!$C$5,
                (Y182 = 'Points-Table'!$A$6), 'Points-Table'!$C$6,
                (Y182 = 'Points-Table'!$A$7), 'Points-Table'!$C$7,
                (Y182 = 'Points-Table'!$A$8), 'Points-Table'!$C$8,
                (Y182 = 'Points-Table'!$A$9), 'Points-Table'!$C$9,
                (Y182 = 'Points-Table'!$A$10), 'Points-Table'!$C$10,
                (Y182 = 'Points-Table'!$A$11), 'Points-Table'!$C$11,
                (Y182 = 'Points-Table'!$A$12), 'Points-Table'!$C$12,
                (Y182 = 'Points-Table'!$A$13), 'Points-Table'!$C$13,
                true, 0
              )
            </f>
        <v>0</v>
      </c>
      <c r="AA182" s="6">
        <f t="shared" si="2"/>
        <v>0</v>
      </c>
      <c r="AB182" s="6" t="str">
        <f>IFERROR(__xludf.DUMMYFUNCTION("
      Ifs( 
        ISBETWEEN(AA182, 0, 'Points-Table'!C$20, TRUE, False), 'Points-Table'!A$20,
        ISBETWEEN(AA182, 'Points-Table'!C$20, 'Points-Table'!C$21, TRUE, False), 'Points-Table'!A$21,
        ISBETWEEN(AA182, 'Points-Table'!C$22, 10000, TRU"&amp;"E, TRUE), 'Points-Table'!A$22,
        true, 
        0)
      "),"S")</f>
        <v>S</v>
      </c>
      <c r="AC182" s="6" t="s">
        <v>29</v>
      </c>
      <c r="AD182" s="6" t="s">
        <v>29</v>
      </c>
      <c r="AE182" s="6" t="s">
        <v>29</v>
      </c>
    </row>
    <row r="183" ht="24.75" customHeight="1">
      <c r="A183" s="6" t="s">
        <v>379</v>
      </c>
      <c r="B183" s="6" t="s">
        <v>393</v>
      </c>
      <c r="C183" s="6"/>
      <c r="D183" s="6"/>
      <c r="E183" s="6"/>
      <c r="F183" s="6"/>
      <c r="G183" s="6"/>
      <c r="H183" s="6"/>
      <c r="I183" s="6"/>
      <c r="J183" s="6"/>
      <c r="K183" s="6" t="s">
        <v>27</v>
      </c>
      <c r="L183" s="6" t="s">
        <v>216</v>
      </c>
      <c r="M183" s="6"/>
      <c r="N183" s="6"/>
      <c r="O183" s="6"/>
      <c r="P183" s="6"/>
      <c r="Q183" s="6">
        <v>0.0</v>
      </c>
      <c r="R183" s="6">
        <f>
              Ifs(
                (Q183 = 'Points-Table'!$A$4), 'Points-Table'!$C$4,
                (Q183 = 'Points-Table'!$A$5), 'Points-Table'!$C$5,
                (Q183 = 'Points-Table'!$A$6), 'Points-Table'!$C$6,
                (Q183 = 'Points-Table'!$A$7), 'Points-Table'!$C$7,
                (Q183 = 'Points-Table'!$A$8), 'Points-Table'!$C$8,
                (Q183 = 'Points-Table'!$A$9), 'Points-Table'!$C$9,
                (Q183 = 'Points-Table'!$A$10), 'Points-Table'!$C$10,
                (Q183 = 'Points-Table'!$A$11), 'Points-Table'!$C$11,
                (Q183 = 'Points-Table'!$A$12), 'Points-Table'!$C$12,
                (Q183 = 'Points-Table'!$A$13), 'Points-Table'!$C$13,
                true, 0
              )
            </f>
        <v>0</v>
      </c>
      <c r="S183" s="6">
        <v>0.0</v>
      </c>
      <c r="T183" s="6">
        <f>
              Ifs(
                (S183 = 'Points-Table'!$A$4), 'Points-Table'!$C$4,
                (S183 = 'Points-Table'!$A$5), 'Points-Table'!$C$5,
                (S183 = 'Points-Table'!$A$6), 'Points-Table'!$C$6,
                (S183 = 'Points-Table'!$A$7), 'Points-Table'!$C$7,
                (S183 = 'Points-Table'!$A$8), 'Points-Table'!$C$8,
                (S183 = 'Points-Table'!$A$9), 'Points-Table'!$C$9,
                (S183 = 'Points-Table'!$A$10), 'Points-Table'!$C$10,
                (S183 = 'Points-Table'!$A$11), 'Points-Table'!$C$11,
                (S183 = 'Points-Table'!$A$12), 'Points-Table'!$C$12,
                (S183 = 'Points-Table'!$A$13), 'Points-Table'!$C$13,
                true, 0
              )
            </f>
        <v>0</v>
      </c>
      <c r="U183" s="6">
        <v>0.0</v>
      </c>
      <c r="V183" s="6">
        <f>
              Ifs(
                (U183 = 'Points-Table'!$A$4), 'Points-Table'!$C$4,
                (U183 = 'Points-Table'!$A$5), 'Points-Table'!$C$5,
                (U183 = 'Points-Table'!$A$6), 'Points-Table'!$C$6,
                (U183 = 'Points-Table'!$A$7), 'Points-Table'!$C$7,
                (U183 = 'Points-Table'!$A$8), 'Points-Table'!$C$8,
                (U183 = 'Points-Table'!$A$9), 'Points-Table'!$C$9,
                (U183 = 'Points-Table'!$A$10), 'Points-Table'!$C$10,
                (U183 = 'Points-Table'!$A$11), 'Points-Table'!$C$11,
                (U183 = 'Points-Table'!$A$12), 'Points-Table'!$C$12,
                (U183 = 'Points-Table'!$A$13), 'Points-Table'!$C$13,
                true, 0
              )
            </f>
        <v>0</v>
      </c>
      <c r="W183" s="6">
        <v>0.0</v>
      </c>
      <c r="X183" s="6">
        <f>
              Ifs(
                (W183 = 'Points-Table'!$A$4), 'Points-Table'!$C$4,
                (W183 = 'Points-Table'!$A$5), 'Points-Table'!$C$5,
                (W183 = 'Points-Table'!$A$6), 'Points-Table'!$C$6,
                (W183 = 'Points-Table'!$A$7), 'Points-Table'!$C$7,
                (W183 = 'Points-Table'!$A$8), 'Points-Table'!$C$8,
                (W183 = 'Points-Table'!$A$9), 'Points-Table'!$C$9,
                (W183 = 'Points-Table'!$A$10), 'Points-Table'!$C$10,
                (W183 = 'Points-Table'!$A$11), 'Points-Table'!$C$11,
                (W183 = 'Points-Table'!$A$12), 'Points-Table'!$C$12,
                (W183 = 'Points-Table'!$A$13), 'Points-Table'!$C$13,
                true, 0
              )
            </f>
        <v>0</v>
      </c>
      <c r="Y183" s="6">
        <v>0.0</v>
      </c>
      <c r="Z183" s="6">
        <f>
              Ifs(
                (Y183 = 'Points-Table'!$A$4), 'Points-Table'!$C$4,
                (Y183 = 'Points-Table'!$A$5), 'Points-Table'!$C$5,
                (Y183 = 'Points-Table'!$A$6), 'Points-Table'!$C$6,
                (Y183 = 'Points-Table'!$A$7), 'Points-Table'!$C$7,
                (Y183 = 'Points-Table'!$A$8), 'Points-Table'!$C$8,
                (Y183 = 'Points-Table'!$A$9), 'Points-Table'!$C$9,
                (Y183 = 'Points-Table'!$A$10), 'Points-Table'!$C$10,
                (Y183 = 'Points-Table'!$A$11), 'Points-Table'!$C$11,
                (Y183 = 'Points-Table'!$A$12), 'Points-Table'!$C$12,
                (Y183 = 'Points-Table'!$A$13), 'Points-Table'!$C$13,
                true, 0
              )
            </f>
        <v>0</v>
      </c>
      <c r="AA183" s="6">
        <f t="shared" si="2"/>
        <v>0</v>
      </c>
      <c r="AB183" s="6" t="str">
        <f>IFERROR(__xludf.DUMMYFUNCTION("
      Ifs( 
        ISBETWEEN(AA183, 0, 'Points-Table'!C$20, TRUE, False), 'Points-Table'!A$20,
        ISBETWEEN(AA183, 'Points-Table'!C$20, 'Points-Table'!C$21, TRUE, False), 'Points-Table'!A$21,
        ISBETWEEN(AA183, 'Points-Table'!C$22, 10000, TRU"&amp;"E, TRUE), 'Points-Table'!A$22,
        true, 
        0)
      "),"S")</f>
        <v>S</v>
      </c>
      <c r="AC183" s="6" t="s">
        <v>29</v>
      </c>
      <c r="AD183" s="6" t="s">
        <v>29</v>
      </c>
      <c r="AE183" s="6" t="s">
        <v>29</v>
      </c>
    </row>
    <row r="184" ht="24.75" customHeight="1">
      <c r="A184" s="3" t="s">
        <v>108</v>
      </c>
      <c r="B184" s="3" t="s">
        <v>394</v>
      </c>
      <c r="C184" s="3"/>
      <c r="D184" s="3"/>
      <c r="E184" s="3"/>
      <c r="F184" s="3"/>
      <c r="G184" s="3"/>
      <c r="H184" s="3"/>
      <c r="I184" s="3"/>
      <c r="J184" s="3"/>
      <c r="K184" s="3" t="s">
        <v>27</v>
      </c>
      <c r="L184" s="3" t="s">
        <v>28</v>
      </c>
      <c r="M184" s="3"/>
      <c r="N184" s="3"/>
      <c r="O184" s="3"/>
      <c r="P184" s="3"/>
      <c r="Q184" s="4">
        <v>2.0</v>
      </c>
      <c r="R184" s="5">
        <f>
              Ifs(
                (Q184 = 'Points-Table'!$A$4), 'Points-Table'!$C$4,
                (Q184 = 'Points-Table'!$A$5), 'Points-Table'!$C$5,
                (Q184 = 'Points-Table'!$A$6), 'Points-Table'!$C$6,
                (Q184 = 'Points-Table'!$A$7), 'Points-Table'!$C$7,
                (Q184 = 'Points-Table'!$A$8), 'Points-Table'!$C$8,
                (Q184 = 'Points-Table'!$A$9), 'Points-Table'!$C$9,
                (Q184 = 'Points-Table'!$A$10), 'Points-Table'!$C$10,
                (Q184 = 'Points-Table'!$A$11), 'Points-Table'!$C$11,
                (Q184 = 'Points-Table'!$A$12), 'Points-Table'!$C$12,
                (Q184 = 'Points-Table'!$A$13), 'Points-Table'!$C$13,
                true, 0
              )
            </f>
        <v>1</v>
      </c>
      <c r="S184" s="4">
        <v>2.0</v>
      </c>
      <c r="T184" s="5">
        <f>
              Ifs(
                (S184 = 'Points-Table'!$A$4), 'Points-Table'!$C$4,
                (S184 = 'Points-Table'!$A$5), 'Points-Table'!$C$5,
                (S184 = 'Points-Table'!$A$6), 'Points-Table'!$C$6,
                (S184 = 'Points-Table'!$A$7), 'Points-Table'!$C$7,
                (S184 = 'Points-Table'!$A$8), 'Points-Table'!$C$8,
                (S184 = 'Points-Table'!$A$9), 'Points-Table'!$C$9,
                (S184 = 'Points-Table'!$A$10), 'Points-Table'!$C$10,
                (S184 = 'Points-Table'!$A$11), 'Points-Table'!$C$11,
                (S184 = 'Points-Table'!$A$12), 'Points-Table'!$C$12,
                (S184 = 'Points-Table'!$A$13), 'Points-Table'!$C$13,
                true, 0
              )
            </f>
        <v>1</v>
      </c>
      <c r="U184" s="4">
        <v>3.0</v>
      </c>
      <c r="V184" s="5">
        <f>
              Ifs(
                (U184 = 'Points-Table'!$A$4), 'Points-Table'!$C$4,
                (U184 = 'Points-Table'!$A$5), 'Points-Table'!$C$5,
                (U184 = 'Points-Table'!$A$6), 'Points-Table'!$C$6,
                (U184 = 'Points-Table'!$A$7), 'Points-Table'!$C$7,
                (U184 = 'Points-Table'!$A$8), 'Points-Table'!$C$8,
                (U184 = 'Points-Table'!$A$9), 'Points-Table'!$C$9,
                (U184 = 'Points-Table'!$A$10), 'Points-Table'!$C$10,
                (U184 = 'Points-Table'!$A$11), 'Points-Table'!$C$11,
                (U184 = 'Points-Table'!$A$12), 'Points-Table'!$C$12,
                (U184 = 'Points-Table'!$A$13), 'Points-Table'!$C$13,
                true, 0
              )
            </f>
        <v>2</v>
      </c>
      <c r="W184" s="4">
        <v>2.0</v>
      </c>
      <c r="X184" s="5">
        <f>
              Ifs(
                (W184 = 'Points-Table'!$A$4), 'Points-Table'!$C$4,
                (W184 = 'Points-Table'!$A$5), 'Points-Table'!$C$5,
                (W184 = 'Points-Table'!$A$6), 'Points-Table'!$C$6,
                (W184 = 'Points-Table'!$A$7), 'Points-Table'!$C$7,
                (W184 = 'Points-Table'!$A$8), 'Points-Table'!$C$8,
                (W184 = 'Points-Table'!$A$9), 'Points-Table'!$C$9,
                (W184 = 'Points-Table'!$A$10), 'Points-Table'!$C$10,
                (W184 = 'Points-Table'!$A$11), 'Points-Table'!$C$11,
                (W184 = 'Points-Table'!$A$12), 'Points-Table'!$C$12,
                (W184 = 'Points-Table'!$A$13), 'Points-Table'!$C$13,
                true, 0
              )
            </f>
        <v>1</v>
      </c>
      <c r="Y184" s="4">
        <v>5.0</v>
      </c>
      <c r="Z184" s="5">
        <f>
              Ifs(
                (Y184 = 'Points-Table'!$A$4), 'Points-Table'!$C$4,
                (Y184 = 'Points-Table'!$A$5), 'Points-Table'!$C$5,
                (Y184 = 'Points-Table'!$A$6), 'Points-Table'!$C$6,
                (Y184 = 'Points-Table'!$A$7), 'Points-Table'!$C$7,
                (Y184 = 'Points-Table'!$A$8), 'Points-Table'!$C$8,
                (Y184 = 'Points-Table'!$A$9), 'Points-Table'!$C$9,
                (Y184 = 'Points-Table'!$A$10), 'Points-Table'!$C$10,
                (Y184 = 'Points-Table'!$A$11), 'Points-Table'!$C$11,
                (Y184 = 'Points-Table'!$A$12), 'Points-Table'!$C$12,
                (Y184 = 'Points-Table'!$A$13), 'Points-Table'!$C$13,
                true, 0
              )
            </f>
        <v>4</v>
      </c>
      <c r="AA184" s="3">
        <f t="shared" si="2"/>
        <v>7</v>
      </c>
      <c r="AB184" s="3" t="str">
        <f>IFERROR(__xludf.DUMMYFUNCTION("
      Ifs( 
        ISBETWEEN(AA184, 0, 'Points-Table'!C$20, TRUE, False), 'Points-Table'!A$20,
        ISBETWEEN(AA184, 'Points-Table'!C$20, 'Points-Table'!C$21, TRUE, False), 'Points-Table'!A$21,
        ISBETWEEN(AA184, 'Points-Table'!C$22, 10000, TRU"&amp;"E, TRUE), 'Points-Table'!A$22,
        true, 
        0)
      "),"S")</f>
        <v>S</v>
      </c>
      <c r="AC184" s="3" t="s">
        <v>29</v>
      </c>
      <c r="AD184" s="3" t="s">
        <v>29</v>
      </c>
      <c r="AE184" s="3" t="s">
        <v>29</v>
      </c>
    </row>
    <row r="185" ht="24.75" customHeight="1">
      <c r="A185" s="6" t="s">
        <v>108</v>
      </c>
      <c r="B185" s="6" t="s">
        <v>395</v>
      </c>
      <c r="C185" s="6"/>
      <c r="D185" s="6"/>
      <c r="E185" s="6"/>
      <c r="F185" s="6"/>
      <c r="G185" s="6"/>
      <c r="H185" s="6"/>
      <c r="I185" s="6"/>
      <c r="J185" s="6"/>
      <c r="K185" s="6" t="s">
        <v>27</v>
      </c>
      <c r="L185" s="6" t="s">
        <v>28</v>
      </c>
      <c r="M185" s="6"/>
      <c r="N185" s="6"/>
      <c r="O185" s="6"/>
      <c r="P185" s="6"/>
      <c r="Q185" s="6">
        <v>0.0</v>
      </c>
      <c r="R185" s="6">
        <f>
              Ifs(
                (Q185 = 'Points-Table'!$A$4), 'Points-Table'!$C$4,
                (Q185 = 'Points-Table'!$A$5), 'Points-Table'!$C$5,
                (Q185 = 'Points-Table'!$A$6), 'Points-Table'!$C$6,
                (Q185 = 'Points-Table'!$A$7), 'Points-Table'!$C$7,
                (Q185 = 'Points-Table'!$A$8), 'Points-Table'!$C$8,
                (Q185 = 'Points-Table'!$A$9), 'Points-Table'!$C$9,
                (Q185 = 'Points-Table'!$A$10), 'Points-Table'!$C$10,
                (Q185 = 'Points-Table'!$A$11), 'Points-Table'!$C$11,
                (Q185 = 'Points-Table'!$A$12), 'Points-Table'!$C$12,
                (Q185 = 'Points-Table'!$A$13), 'Points-Table'!$C$13,
                true, 0
              )
            </f>
        <v>0</v>
      </c>
      <c r="S185" s="6">
        <v>0.0</v>
      </c>
      <c r="T185" s="6">
        <f>
              Ifs(
                (S185 = 'Points-Table'!$A$4), 'Points-Table'!$C$4,
                (S185 = 'Points-Table'!$A$5), 'Points-Table'!$C$5,
                (S185 = 'Points-Table'!$A$6), 'Points-Table'!$C$6,
                (S185 = 'Points-Table'!$A$7), 'Points-Table'!$C$7,
                (S185 = 'Points-Table'!$A$8), 'Points-Table'!$C$8,
                (S185 = 'Points-Table'!$A$9), 'Points-Table'!$C$9,
                (S185 = 'Points-Table'!$A$10), 'Points-Table'!$C$10,
                (S185 = 'Points-Table'!$A$11), 'Points-Table'!$C$11,
                (S185 = 'Points-Table'!$A$12), 'Points-Table'!$C$12,
                (S185 = 'Points-Table'!$A$13), 'Points-Table'!$C$13,
                true, 0
              )
            </f>
        <v>0</v>
      </c>
      <c r="U185" s="6">
        <v>2.0</v>
      </c>
      <c r="V185" s="6">
        <f>
              Ifs(
                (U185 = 'Points-Table'!$A$4), 'Points-Table'!$C$4,
                (U185 = 'Points-Table'!$A$5), 'Points-Table'!$C$5,
                (U185 = 'Points-Table'!$A$6), 'Points-Table'!$C$6,
                (U185 = 'Points-Table'!$A$7), 'Points-Table'!$C$7,
                (U185 = 'Points-Table'!$A$8), 'Points-Table'!$C$8,
                (U185 = 'Points-Table'!$A$9), 'Points-Table'!$C$9,
                (U185 = 'Points-Table'!$A$10), 'Points-Table'!$C$10,
                (U185 = 'Points-Table'!$A$11), 'Points-Table'!$C$11,
                (U185 = 'Points-Table'!$A$12), 'Points-Table'!$C$12,
                (U185 = 'Points-Table'!$A$13), 'Points-Table'!$C$13,
                true, 0
              )
            </f>
        <v>1</v>
      </c>
      <c r="W185" s="6">
        <v>1.0</v>
      </c>
      <c r="X185" s="6">
        <f>
              Ifs(
                (W185 = 'Points-Table'!$A$4), 'Points-Table'!$C$4,
                (W185 = 'Points-Table'!$A$5), 'Points-Table'!$C$5,
                (W185 = 'Points-Table'!$A$6), 'Points-Table'!$C$6,
                (W185 = 'Points-Table'!$A$7), 'Points-Table'!$C$7,
                (W185 = 'Points-Table'!$A$8), 'Points-Table'!$C$8,
                (W185 = 'Points-Table'!$A$9), 'Points-Table'!$C$9,
                (W185 = 'Points-Table'!$A$10), 'Points-Table'!$C$10,
                (W185 = 'Points-Table'!$A$11), 'Points-Table'!$C$11,
                (W185 = 'Points-Table'!$A$12), 'Points-Table'!$C$12,
                (W185 = 'Points-Table'!$A$13), 'Points-Table'!$C$13,
                true, 0
              )
            </f>
        <v>0.5</v>
      </c>
      <c r="Y185" s="6">
        <v>1.0</v>
      </c>
      <c r="Z185" s="6">
        <f>
              Ifs(
                (Y185 = 'Points-Table'!$A$4), 'Points-Table'!$C$4,
                (Y185 = 'Points-Table'!$A$5), 'Points-Table'!$C$5,
                (Y185 = 'Points-Table'!$A$6), 'Points-Table'!$C$6,
                (Y185 = 'Points-Table'!$A$7), 'Points-Table'!$C$7,
                (Y185 = 'Points-Table'!$A$8), 'Points-Table'!$C$8,
                (Y185 = 'Points-Table'!$A$9), 'Points-Table'!$C$9,
                (Y185 = 'Points-Table'!$A$10), 'Points-Table'!$C$10,
                (Y185 = 'Points-Table'!$A$11), 'Points-Table'!$C$11,
                (Y185 = 'Points-Table'!$A$12), 'Points-Table'!$C$12,
                (Y185 = 'Points-Table'!$A$13), 'Points-Table'!$C$13,
                true, 0
              )
            </f>
        <v>0.5</v>
      </c>
      <c r="AA185" s="6">
        <f t="shared" si="2"/>
        <v>2</v>
      </c>
      <c r="AB185" s="6" t="str">
        <f>IFERROR(__xludf.DUMMYFUNCTION("
      Ifs( 
        ISBETWEEN(AA185, 0, 'Points-Table'!C$20, TRUE, False), 'Points-Table'!A$20,
        ISBETWEEN(AA185, 'Points-Table'!C$20, 'Points-Table'!C$21, TRUE, False), 'Points-Table'!A$21,
        ISBETWEEN(AA185, 'Points-Table'!C$22, 10000, TRU"&amp;"E, TRUE), 'Points-Table'!A$22,
        true, 
        0)
      "),"S")</f>
        <v>S</v>
      </c>
      <c r="AC185" s="6" t="s">
        <v>29</v>
      </c>
      <c r="AD185" s="6" t="s">
        <v>29</v>
      </c>
      <c r="AE185" s="6" t="s">
        <v>29</v>
      </c>
    </row>
    <row r="186" ht="24.75" customHeight="1">
      <c r="A186" s="3" t="s">
        <v>396</v>
      </c>
      <c r="B186" s="3" t="s">
        <v>397</v>
      </c>
      <c r="C186" s="3" t="s">
        <v>197</v>
      </c>
      <c r="D186" s="3"/>
      <c r="E186" s="3"/>
      <c r="F186" s="3"/>
      <c r="G186" s="3"/>
      <c r="H186" s="3"/>
      <c r="I186" s="3"/>
      <c r="J186" s="3"/>
      <c r="K186" s="3" t="s">
        <v>27</v>
      </c>
      <c r="L186" s="3" t="s">
        <v>216</v>
      </c>
      <c r="M186" s="3"/>
      <c r="N186" s="3"/>
      <c r="O186" s="3"/>
      <c r="P186" s="3"/>
      <c r="Q186" s="4">
        <v>0.0</v>
      </c>
      <c r="R186" s="5">
        <f>
              Ifs(
                (Q186 = 'Points-Table'!$A$4), 'Points-Table'!$C$4,
                (Q186 = 'Points-Table'!$A$5), 'Points-Table'!$C$5,
                (Q186 = 'Points-Table'!$A$6), 'Points-Table'!$C$6,
                (Q186 = 'Points-Table'!$A$7), 'Points-Table'!$C$7,
                (Q186 = 'Points-Table'!$A$8), 'Points-Table'!$C$8,
                (Q186 = 'Points-Table'!$A$9), 'Points-Table'!$C$9,
                (Q186 = 'Points-Table'!$A$10), 'Points-Table'!$C$10,
                (Q186 = 'Points-Table'!$A$11), 'Points-Table'!$C$11,
                (Q186 = 'Points-Table'!$A$12), 'Points-Table'!$C$12,
                (Q186 = 'Points-Table'!$A$13), 'Points-Table'!$C$13,
                true, 0
              )
            </f>
        <v>0</v>
      </c>
      <c r="S186" s="4">
        <v>0.0</v>
      </c>
      <c r="T186" s="5">
        <f>
              Ifs(
                (S186 = 'Points-Table'!$A$4), 'Points-Table'!$C$4,
                (S186 = 'Points-Table'!$A$5), 'Points-Table'!$C$5,
                (S186 = 'Points-Table'!$A$6), 'Points-Table'!$C$6,
                (S186 = 'Points-Table'!$A$7), 'Points-Table'!$C$7,
                (S186 = 'Points-Table'!$A$8), 'Points-Table'!$C$8,
                (S186 = 'Points-Table'!$A$9), 'Points-Table'!$C$9,
                (S186 = 'Points-Table'!$A$10), 'Points-Table'!$C$10,
                (S186 = 'Points-Table'!$A$11), 'Points-Table'!$C$11,
                (S186 = 'Points-Table'!$A$12), 'Points-Table'!$C$12,
                (S186 = 'Points-Table'!$A$13), 'Points-Table'!$C$13,
                true, 0
              )
            </f>
        <v>0</v>
      </c>
      <c r="U186" s="4">
        <v>3.0</v>
      </c>
      <c r="V186" s="5">
        <f>
              Ifs(
                (U186 = 'Points-Table'!$A$4), 'Points-Table'!$C$4,
                (U186 = 'Points-Table'!$A$5), 'Points-Table'!$C$5,
                (U186 = 'Points-Table'!$A$6), 'Points-Table'!$C$6,
                (U186 = 'Points-Table'!$A$7), 'Points-Table'!$C$7,
                (U186 = 'Points-Table'!$A$8), 'Points-Table'!$C$8,
                (U186 = 'Points-Table'!$A$9), 'Points-Table'!$C$9,
                (U186 = 'Points-Table'!$A$10), 'Points-Table'!$C$10,
                (U186 = 'Points-Table'!$A$11), 'Points-Table'!$C$11,
                (U186 = 'Points-Table'!$A$12), 'Points-Table'!$C$12,
                (U186 = 'Points-Table'!$A$13), 'Points-Table'!$C$13,
                true, 0
              )
            </f>
        <v>2</v>
      </c>
      <c r="W186" s="4">
        <v>2.0</v>
      </c>
      <c r="X186" s="5">
        <f>
              Ifs(
                (W186 = 'Points-Table'!$A$4), 'Points-Table'!$C$4,
                (W186 = 'Points-Table'!$A$5), 'Points-Table'!$C$5,
                (W186 = 'Points-Table'!$A$6), 'Points-Table'!$C$6,
                (W186 = 'Points-Table'!$A$7), 'Points-Table'!$C$7,
                (W186 = 'Points-Table'!$A$8), 'Points-Table'!$C$8,
                (W186 = 'Points-Table'!$A$9), 'Points-Table'!$C$9,
                (W186 = 'Points-Table'!$A$10), 'Points-Table'!$C$10,
                (W186 = 'Points-Table'!$A$11), 'Points-Table'!$C$11,
                (W186 = 'Points-Table'!$A$12), 'Points-Table'!$C$12,
                (W186 = 'Points-Table'!$A$13), 'Points-Table'!$C$13,
                true, 0
              )
            </f>
        <v>1</v>
      </c>
      <c r="Y186" s="4">
        <v>3.0</v>
      </c>
      <c r="Z186" s="5">
        <f>
              Ifs(
                (Y186 = 'Points-Table'!$A$4), 'Points-Table'!$C$4,
                (Y186 = 'Points-Table'!$A$5), 'Points-Table'!$C$5,
                (Y186 = 'Points-Table'!$A$6), 'Points-Table'!$C$6,
                (Y186 = 'Points-Table'!$A$7), 'Points-Table'!$C$7,
                (Y186 = 'Points-Table'!$A$8), 'Points-Table'!$C$8,
                (Y186 = 'Points-Table'!$A$9), 'Points-Table'!$C$9,
                (Y186 = 'Points-Table'!$A$10), 'Points-Table'!$C$10,
                (Y186 = 'Points-Table'!$A$11), 'Points-Table'!$C$11,
                (Y186 = 'Points-Table'!$A$12), 'Points-Table'!$C$12,
                (Y186 = 'Points-Table'!$A$13), 'Points-Table'!$C$13,
                true, 0
              )
            </f>
        <v>2</v>
      </c>
      <c r="AA186" s="3">
        <f t="shared" si="2"/>
        <v>5</v>
      </c>
      <c r="AB186" s="3" t="str">
        <f>IFERROR(__xludf.DUMMYFUNCTION("
      Ifs( 
        ISBETWEEN(AA186, 0, 'Points-Table'!C$20, TRUE, False), 'Points-Table'!A$20,
        ISBETWEEN(AA186, 'Points-Table'!C$20, 'Points-Table'!C$21, TRUE, False), 'Points-Table'!A$21,
        ISBETWEEN(AA186, 'Points-Table'!C$22, 10000, TRU"&amp;"E, TRUE), 'Points-Table'!A$22,
        true, 
        0)
      "),"S")</f>
        <v>S</v>
      </c>
      <c r="AC186" s="3" t="s">
        <v>29</v>
      </c>
      <c r="AD186" s="3" t="s">
        <v>29</v>
      </c>
      <c r="AE186" s="3" t="s">
        <v>29</v>
      </c>
    </row>
    <row r="187" ht="24.75" customHeight="1">
      <c r="A187" s="3" t="s">
        <v>396</v>
      </c>
      <c r="B187" s="3" t="s">
        <v>397</v>
      </c>
      <c r="C187" s="3" t="s">
        <v>217</v>
      </c>
      <c r="D187" s="3"/>
      <c r="E187" s="3"/>
      <c r="F187" s="3"/>
      <c r="G187" s="3"/>
      <c r="H187" s="3"/>
      <c r="I187" s="3"/>
      <c r="J187" s="3"/>
      <c r="K187" s="3" t="s">
        <v>27</v>
      </c>
      <c r="L187" s="3" t="s">
        <v>216</v>
      </c>
      <c r="M187" s="3"/>
      <c r="N187" s="3"/>
      <c r="O187" s="3"/>
      <c r="P187" s="3"/>
      <c r="Q187" s="4">
        <v>0.0</v>
      </c>
      <c r="R187" s="5">
        <f>
              Ifs(
                (Q187 = 'Points-Table'!$A$4), 'Points-Table'!$C$4,
                (Q187 = 'Points-Table'!$A$5), 'Points-Table'!$C$5,
                (Q187 = 'Points-Table'!$A$6), 'Points-Table'!$C$6,
                (Q187 = 'Points-Table'!$A$7), 'Points-Table'!$C$7,
                (Q187 = 'Points-Table'!$A$8), 'Points-Table'!$C$8,
                (Q187 = 'Points-Table'!$A$9), 'Points-Table'!$C$9,
                (Q187 = 'Points-Table'!$A$10), 'Points-Table'!$C$10,
                (Q187 = 'Points-Table'!$A$11), 'Points-Table'!$C$11,
                (Q187 = 'Points-Table'!$A$12), 'Points-Table'!$C$12,
                (Q187 = 'Points-Table'!$A$13), 'Points-Table'!$C$13,
                true, 0
              )
            </f>
        <v>0</v>
      </c>
      <c r="S187" s="4">
        <v>0.0</v>
      </c>
      <c r="T187" s="5">
        <f>
              Ifs(
                (S187 = 'Points-Table'!$A$4), 'Points-Table'!$C$4,
                (S187 = 'Points-Table'!$A$5), 'Points-Table'!$C$5,
                (S187 = 'Points-Table'!$A$6), 'Points-Table'!$C$6,
                (S187 = 'Points-Table'!$A$7), 'Points-Table'!$C$7,
                (S187 = 'Points-Table'!$A$8), 'Points-Table'!$C$8,
                (S187 = 'Points-Table'!$A$9), 'Points-Table'!$C$9,
                (S187 = 'Points-Table'!$A$10), 'Points-Table'!$C$10,
                (S187 = 'Points-Table'!$A$11), 'Points-Table'!$C$11,
                (S187 = 'Points-Table'!$A$12), 'Points-Table'!$C$12,
                (S187 = 'Points-Table'!$A$13), 'Points-Table'!$C$13,
                true, 0
              )
            </f>
        <v>0</v>
      </c>
      <c r="U187" s="4">
        <v>2.0</v>
      </c>
      <c r="V187" s="5">
        <f>
              Ifs(
                (U187 = 'Points-Table'!$A$4), 'Points-Table'!$C$4,
                (U187 = 'Points-Table'!$A$5), 'Points-Table'!$C$5,
                (U187 = 'Points-Table'!$A$6), 'Points-Table'!$C$6,
                (U187 = 'Points-Table'!$A$7), 'Points-Table'!$C$7,
                (U187 = 'Points-Table'!$A$8), 'Points-Table'!$C$8,
                (U187 = 'Points-Table'!$A$9), 'Points-Table'!$C$9,
                (U187 = 'Points-Table'!$A$10), 'Points-Table'!$C$10,
                (U187 = 'Points-Table'!$A$11), 'Points-Table'!$C$11,
                (U187 = 'Points-Table'!$A$12), 'Points-Table'!$C$12,
                (U187 = 'Points-Table'!$A$13), 'Points-Table'!$C$13,
                true, 0
              )
            </f>
        <v>1</v>
      </c>
      <c r="W187" s="4">
        <v>2.0</v>
      </c>
      <c r="X187" s="5">
        <f>
              Ifs(
                (W187 = 'Points-Table'!$A$4), 'Points-Table'!$C$4,
                (W187 = 'Points-Table'!$A$5), 'Points-Table'!$C$5,
                (W187 = 'Points-Table'!$A$6), 'Points-Table'!$C$6,
                (W187 = 'Points-Table'!$A$7), 'Points-Table'!$C$7,
                (W187 = 'Points-Table'!$A$8), 'Points-Table'!$C$8,
                (W187 = 'Points-Table'!$A$9), 'Points-Table'!$C$9,
                (W187 = 'Points-Table'!$A$10), 'Points-Table'!$C$10,
                (W187 = 'Points-Table'!$A$11), 'Points-Table'!$C$11,
                (W187 = 'Points-Table'!$A$12), 'Points-Table'!$C$12,
                (W187 = 'Points-Table'!$A$13), 'Points-Table'!$C$13,
                true, 0
              )
            </f>
        <v>1</v>
      </c>
      <c r="Y187" s="4">
        <v>2.0</v>
      </c>
      <c r="Z187" s="5">
        <f>
              Ifs(
                (Y187 = 'Points-Table'!$A$4), 'Points-Table'!$C$4,
                (Y187 = 'Points-Table'!$A$5), 'Points-Table'!$C$5,
                (Y187 = 'Points-Table'!$A$6), 'Points-Table'!$C$6,
                (Y187 = 'Points-Table'!$A$7), 'Points-Table'!$C$7,
                (Y187 = 'Points-Table'!$A$8), 'Points-Table'!$C$8,
                (Y187 = 'Points-Table'!$A$9), 'Points-Table'!$C$9,
                (Y187 = 'Points-Table'!$A$10), 'Points-Table'!$C$10,
                (Y187 = 'Points-Table'!$A$11), 'Points-Table'!$C$11,
                (Y187 = 'Points-Table'!$A$12), 'Points-Table'!$C$12,
                (Y187 = 'Points-Table'!$A$13), 'Points-Table'!$C$13,
                true, 0
              )
            </f>
        <v>1</v>
      </c>
      <c r="AA187" s="3">
        <f t="shared" si="2"/>
        <v>3</v>
      </c>
      <c r="AB187" s="3" t="str">
        <f>IFERROR(__xludf.DUMMYFUNCTION("
      Ifs( 
        ISBETWEEN(AA187, 0, 'Points-Table'!C$20, TRUE, False), 'Points-Table'!A$20,
        ISBETWEEN(AA187, 'Points-Table'!C$20, 'Points-Table'!C$21, TRUE, False), 'Points-Table'!A$21,
        ISBETWEEN(AA187, 'Points-Table'!C$22, 10000, TRU"&amp;"E, TRUE), 'Points-Table'!A$22,
        true, 
        0)
      "),"S")</f>
        <v>S</v>
      </c>
      <c r="AC187" s="3" t="s">
        <v>29</v>
      </c>
      <c r="AD187" s="3" t="s">
        <v>29</v>
      </c>
      <c r="AE187" s="3" t="s">
        <v>29</v>
      </c>
    </row>
    <row r="188" ht="24.75" customHeight="1">
      <c r="A188" s="3" t="s">
        <v>396</v>
      </c>
      <c r="B188" s="3" t="s">
        <v>397</v>
      </c>
      <c r="C188" s="3" t="s">
        <v>398</v>
      </c>
      <c r="D188" s="3"/>
      <c r="E188" s="3"/>
      <c r="F188" s="3"/>
      <c r="G188" s="3"/>
      <c r="H188" s="3"/>
      <c r="I188" s="3"/>
      <c r="J188" s="3"/>
      <c r="K188" s="3" t="s">
        <v>27</v>
      </c>
      <c r="L188" s="3" t="s">
        <v>216</v>
      </c>
      <c r="M188" s="3"/>
      <c r="N188" s="3"/>
      <c r="O188" s="3"/>
      <c r="P188" s="3"/>
      <c r="Q188" s="4">
        <v>0.0</v>
      </c>
      <c r="R188" s="5">
        <f>
              Ifs(
                (Q188 = 'Points-Table'!$A$4), 'Points-Table'!$C$4,
                (Q188 = 'Points-Table'!$A$5), 'Points-Table'!$C$5,
                (Q188 = 'Points-Table'!$A$6), 'Points-Table'!$C$6,
                (Q188 = 'Points-Table'!$A$7), 'Points-Table'!$C$7,
                (Q188 = 'Points-Table'!$A$8), 'Points-Table'!$C$8,
                (Q188 = 'Points-Table'!$A$9), 'Points-Table'!$C$9,
                (Q188 = 'Points-Table'!$A$10), 'Points-Table'!$C$10,
                (Q188 = 'Points-Table'!$A$11), 'Points-Table'!$C$11,
                (Q188 = 'Points-Table'!$A$12), 'Points-Table'!$C$12,
                (Q188 = 'Points-Table'!$A$13), 'Points-Table'!$C$13,
                true, 0
              )
            </f>
        <v>0</v>
      </c>
      <c r="S188" s="4">
        <v>0.0</v>
      </c>
      <c r="T188" s="5">
        <f>
              Ifs(
                (S188 = 'Points-Table'!$A$4), 'Points-Table'!$C$4,
                (S188 = 'Points-Table'!$A$5), 'Points-Table'!$C$5,
                (S188 = 'Points-Table'!$A$6), 'Points-Table'!$C$6,
                (S188 = 'Points-Table'!$A$7), 'Points-Table'!$C$7,
                (S188 = 'Points-Table'!$A$8), 'Points-Table'!$C$8,
                (S188 = 'Points-Table'!$A$9), 'Points-Table'!$C$9,
                (S188 = 'Points-Table'!$A$10), 'Points-Table'!$C$10,
                (S188 = 'Points-Table'!$A$11), 'Points-Table'!$C$11,
                (S188 = 'Points-Table'!$A$12), 'Points-Table'!$C$12,
                (S188 = 'Points-Table'!$A$13), 'Points-Table'!$C$13,
                true, 0
              )
            </f>
        <v>0</v>
      </c>
      <c r="U188" s="4">
        <v>2.0</v>
      </c>
      <c r="V188" s="5">
        <f>
              Ifs(
                (U188 = 'Points-Table'!$A$4), 'Points-Table'!$C$4,
                (U188 = 'Points-Table'!$A$5), 'Points-Table'!$C$5,
                (U188 = 'Points-Table'!$A$6), 'Points-Table'!$C$6,
                (U188 = 'Points-Table'!$A$7), 'Points-Table'!$C$7,
                (U188 = 'Points-Table'!$A$8), 'Points-Table'!$C$8,
                (U188 = 'Points-Table'!$A$9), 'Points-Table'!$C$9,
                (U188 = 'Points-Table'!$A$10), 'Points-Table'!$C$10,
                (U188 = 'Points-Table'!$A$11), 'Points-Table'!$C$11,
                (U188 = 'Points-Table'!$A$12), 'Points-Table'!$C$12,
                (U188 = 'Points-Table'!$A$13), 'Points-Table'!$C$13,
                true, 0
              )
            </f>
        <v>1</v>
      </c>
      <c r="W188" s="4">
        <v>2.0</v>
      </c>
      <c r="X188" s="5">
        <f>
              Ifs(
                (W188 = 'Points-Table'!$A$4), 'Points-Table'!$C$4,
                (W188 = 'Points-Table'!$A$5), 'Points-Table'!$C$5,
                (W188 = 'Points-Table'!$A$6), 'Points-Table'!$C$6,
                (W188 = 'Points-Table'!$A$7), 'Points-Table'!$C$7,
                (W188 = 'Points-Table'!$A$8), 'Points-Table'!$C$8,
                (W188 = 'Points-Table'!$A$9), 'Points-Table'!$C$9,
                (W188 = 'Points-Table'!$A$10), 'Points-Table'!$C$10,
                (W188 = 'Points-Table'!$A$11), 'Points-Table'!$C$11,
                (W188 = 'Points-Table'!$A$12), 'Points-Table'!$C$12,
                (W188 = 'Points-Table'!$A$13), 'Points-Table'!$C$13,
                true, 0
              )
            </f>
        <v>1</v>
      </c>
      <c r="Y188" s="4">
        <v>5.0</v>
      </c>
      <c r="Z188" s="5">
        <f>
              Ifs(
                (Y188 = 'Points-Table'!$A$4), 'Points-Table'!$C$4,
                (Y188 = 'Points-Table'!$A$5), 'Points-Table'!$C$5,
                (Y188 = 'Points-Table'!$A$6), 'Points-Table'!$C$6,
                (Y188 = 'Points-Table'!$A$7), 'Points-Table'!$C$7,
                (Y188 = 'Points-Table'!$A$8), 'Points-Table'!$C$8,
                (Y188 = 'Points-Table'!$A$9), 'Points-Table'!$C$9,
                (Y188 = 'Points-Table'!$A$10), 'Points-Table'!$C$10,
                (Y188 = 'Points-Table'!$A$11), 'Points-Table'!$C$11,
                (Y188 = 'Points-Table'!$A$12), 'Points-Table'!$C$12,
                (Y188 = 'Points-Table'!$A$13), 'Points-Table'!$C$13,
                true, 0
              )
            </f>
        <v>4</v>
      </c>
      <c r="AA188" s="3">
        <f t="shared" si="2"/>
        <v>6</v>
      </c>
      <c r="AB188" s="3" t="str">
        <f>IFERROR(__xludf.DUMMYFUNCTION("
      Ifs( 
        ISBETWEEN(AA188, 0, 'Points-Table'!C$20, TRUE, False), 'Points-Table'!A$20,
        ISBETWEEN(AA188, 'Points-Table'!C$20, 'Points-Table'!C$21, TRUE, False), 'Points-Table'!A$21,
        ISBETWEEN(AA188, 'Points-Table'!C$22, 10000, TRU"&amp;"E, TRUE), 'Points-Table'!A$22,
        true, 
        0)
      "),"S")</f>
        <v>S</v>
      </c>
      <c r="AC188" s="3" t="s">
        <v>29</v>
      </c>
      <c r="AD188" s="3" t="s">
        <v>29</v>
      </c>
      <c r="AE188" s="3" t="s">
        <v>29</v>
      </c>
    </row>
    <row r="189" ht="24.75" customHeight="1">
      <c r="A189" s="3" t="s">
        <v>396</v>
      </c>
      <c r="B189" s="3" t="s">
        <v>397</v>
      </c>
      <c r="C189" s="3" t="s">
        <v>399</v>
      </c>
      <c r="D189" s="3"/>
      <c r="E189" s="3"/>
      <c r="F189" s="3" t="s">
        <v>400</v>
      </c>
      <c r="G189" s="3"/>
      <c r="H189" s="3"/>
      <c r="I189" s="3"/>
      <c r="J189" s="3"/>
      <c r="K189" s="3" t="s">
        <v>27</v>
      </c>
      <c r="L189" s="3" t="s">
        <v>28</v>
      </c>
      <c r="M189" s="3"/>
      <c r="N189" s="3"/>
      <c r="O189" s="3"/>
      <c r="P189" s="3"/>
      <c r="Q189" s="4">
        <v>5.0</v>
      </c>
      <c r="R189" s="5">
        <f>
              Ifs(
                (Q189 = 'Points-Table'!$A$4), 'Points-Table'!$C$4,
                (Q189 = 'Points-Table'!$A$5), 'Points-Table'!$C$5,
                (Q189 = 'Points-Table'!$A$6), 'Points-Table'!$C$6,
                (Q189 = 'Points-Table'!$A$7), 'Points-Table'!$C$7,
                (Q189 = 'Points-Table'!$A$8), 'Points-Table'!$C$8,
                (Q189 = 'Points-Table'!$A$9), 'Points-Table'!$C$9,
                (Q189 = 'Points-Table'!$A$10), 'Points-Table'!$C$10,
                (Q189 = 'Points-Table'!$A$11), 'Points-Table'!$C$11,
                (Q189 = 'Points-Table'!$A$12), 'Points-Table'!$C$12,
                (Q189 = 'Points-Table'!$A$13), 'Points-Table'!$C$13,
                true, 0
              )
            </f>
        <v>4</v>
      </c>
      <c r="S189" s="4">
        <v>5.0</v>
      </c>
      <c r="T189" s="5">
        <f>
              Ifs(
                (S189 = 'Points-Table'!$A$4), 'Points-Table'!$C$4,
                (S189 = 'Points-Table'!$A$5), 'Points-Table'!$C$5,
                (S189 = 'Points-Table'!$A$6), 'Points-Table'!$C$6,
                (S189 = 'Points-Table'!$A$7), 'Points-Table'!$C$7,
                (S189 = 'Points-Table'!$A$8), 'Points-Table'!$C$8,
                (S189 = 'Points-Table'!$A$9), 'Points-Table'!$C$9,
                (S189 = 'Points-Table'!$A$10), 'Points-Table'!$C$10,
                (S189 = 'Points-Table'!$A$11), 'Points-Table'!$C$11,
                (S189 = 'Points-Table'!$A$12), 'Points-Table'!$C$12,
                (S189 = 'Points-Table'!$A$13), 'Points-Table'!$C$13,
                true, 0
              )
            </f>
        <v>4</v>
      </c>
      <c r="U189" s="4">
        <v>5.0</v>
      </c>
      <c r="V189" s="5">
        <f>
              Ifs(
                (U189 = 'Points-Table'!$A$4), 'Points-Table'!$C$4,
                (U189 = 'Points-Table'!$A$5), 'Points-Table'!$C$5,
                (U189 = 'Points-Table'!$A$6), 'Points-Table'!$C$6,
                (U189 = 'Points-Table'!$A$7), 'Points-Table'!$C$7,
                (U189 = 'Points-Table'!$A$8), 'Points-Table'!$C$8,
                (U189 = 'Points-Table'!$A$9), 'Points-Table'!$C$9,
                (U189 = 'Points-Table'!$A$10), 'Points-Table'!$C$10,
                (U189 = 'Points-Table'!$A$11), 'Points-Table'!$C$11,
                (U189 = 'Points-Table'!$A$12), 'Points-Table'!$C$12,
                (U189 = 'Points-Table'!$A$13), 'Points-Table'!$C$13,
                true, 0
              )
            </f>
        <v>4</v>
      </c>
      <c r="W189" s="4">
        <v>5.0</v>
      </c>
      <c r="X189" s="5">
        <f>
              Ifs(
                (W189 = 'Points-Table'!$A$4), 'Points-Table'!$C$4,
                (W189 = 'Points-Table'!$A$5), 'Points-Table'!$C$5,
                (W189 = 'Points-Table'!$A$6), 'Points-Table'!$C$6,
                (W189 = 'Points-Table'!$A$7), 'Points-Table'!$C$7,
                (W189 = 'Points-Table'!$A$8), 'Points-Table'!$C$8,
                (W189 = 'Points-Table'!$A$9), 'Points-Table'!$C$9,
                (W189 = 'Points-Table'!$A$10), 'Points-Table'!$C$10,
                (W189 = 'Points-Table'!$A$11), 'Points-Table'!$C$11,
                (W189 = 'Points-Table'!$A$12), 'Points-Table'!$C$12,
                (W189 = 'Points-Table'!$A$13), 'Points-Table'!$C$13,
                true, 0
              )
            </f>
        <v>4</v>
      </c>
      <c r="Y189" s="4">
        <v>21.0</v>
      </c>
      <c r="Z189" s="5">
        <f>
              Ifs(
                (Y189 = 'Points-Table'!$A$4), 'Points-Table'!$C$4,
                (Y189 = 'Points-Table'!$A$5), 'Points-Table'!$C$5,
                (Y189 = 'Points-Table'!$A$6), 'Points-Table'!$C$6,
                (Y189 = 'Points-Table'!$A$7), 'Points-Table'!$C$7,
                (Y189 = 'Points-Table'!$A$8), 'Points-Table'!$C$8,
                (Y189 = 'Points-Table'!$A$9), 'Points-Table'!$C$9,
                (Y189 = 'Points-Table'!$A$10), 'Points-Table'!$C$10,
                (Y189 = 'Points-Table'!$A$11), 'Points-Table'!$C$11,
                (Y189 = 'Points-Table'!$A$12), 'Points-Table'!$C$12,
                (Y189 = 'Points-Table'!$A$13), 'Points-Table'!$C$13,
                true, 0
              )
            </f>
        <v>16</v>
      </c>
      <c r="AA189" s="3">
        <f t="shared" si="2"/>
        <v>24</v>
      </c>
      <c r="AB189" s="3" t="str">
        <f>IFERROR(__xludf.DUMMYFUNCTION("
      Ifs( 
        ISBETWEEN(AA189, 0, 'Points-Table'!C$20, TRUE, False), 'Points-Table'!A$20,
        ISBETWEEN(AA189, 'Points-Table'!C$20, 'Points-Table'!C$21, TRUE, False), 'Points-Table'!A$21,
        ISBETWEEN(AA189, 'Points-Table'!C$22, 10000, TRU"&amp;"E, TRUE), 'Points-Table'!A$22,
        true, 
        0)
      "),"S")</f>
        <v>S</v>
      </c>
      <c r="AC189" s="3" t="s">
        <v>29</v>
      </c>
      <c r="AD189" s="3" t="s">
        <v>29</v>
      </c>
      <c r="AE189" s="3" t="s">
        <v>29</v>
      </c>
    </row>
    <row r="190" ht="24.75" customHeight="1">
      <c r="A190" s="3" t="s">
        <v>396</v>
      </c>
      <c r="B190" s="3" t="s">
        <v>401</v>
      </c>
      <c r="C190" s="3" t="s">
        <v>402</v>
      </c>
      <c r="D190" s="3"/>
      <c r="E190" s="3"/>
      <c r="F190" s="3"/>
      <c r="G190" s="3"/>
      <c r="H190" s="3"/>
      <c r="I190" s="3"/>
      <c r="J190" s="3"/>
      <c r="K190" s="3" t="s">
        <v>27</v>
      </c>
      <c r="L190" s="3" t="s">
        <v>28</v>
      </c>
      <c r="M190" s="3"/>
      <c r="N190" s="3"/>
      <c r="O190" s="3"/>
      <c r="P190" s="3"/>
      <c r="Q190" s="4">
        <v>2.0</v>
      </c>
      <c r="R190" s="5">
        <f>
              Ifs(
                (Q190 = 'Points-Table'!$A$4), 'Points-Table'!$C$4,
                (Q190 = 'Points-Table'!$A$5), 'Points-Table'!$C$5,
                (Q190 = 'Points-Table'!$A$6), 'Points-Table'!$C$6,
                (Q190 = 'Points-Table'!$A$7), 'Points-Table'!$C$7,
                (Q190 = 'Points-Table'!$A$8), 'Points-Table'!$C$8,
                (Q190 = 'Points-Table'!$A$9), 'Points-Table'!$C$9,
                (Q190 = 'Points-Table'!$A$10), 'Points-Table'!$C$10,
                (Q190 = 'Points-Table'!$A$11), 'Points-Table'!$C$11,
                (Q190 = 'Points-Table'!$A$12), 'Points-Table'!$C$12,
                (Q190 = 'Points-Table'!$A$13), 'Points-Table'!$C$13,
                true, 0
              )
            </f>
        <v>1</v>
      </c>
      <c r="S190" s="4">
        <v>2.0</v>
      </c>
      <c r="T190" s="5">
        <f>
              Ifs(
                (S190 = 'Points-Table'!$A$4), 'Points-Table'!$C$4,
                (S190 = 'Points-Table'!$A$5), 'Points-Table'!$C$5,
                (S190 = 'Points-Table'!$A$6), 'Points-Table'!$C$6,
                (S190 = 'Points-Table'!$A$7), 'Points-Table'!$C$7,
                (S190 = 'Points-Table'!$A$8), 'Points-Table'!$C$8,
                (S190 = 'Points-Table'!$A$9), 'Points-Table'!$C$9,
                (S190 = 'Points-Table'!$A$10), 'Points-Table'!$C$10,
                (S190 = 'Points-Table'!$A$11), 'Points-Table'!$C$11,
                (S190 = 'Points-Table'!$A$12), 'Points-Table'!$C$12,
                (S190 = 'Points-Table'!$A$13), 'Points-Table'!$C$13,
                true, 0
              )
            </f>
        <v>1</v>
      </c>
      <c r="U190" s="4">
        <v>5.0</v>
      </c>
      <c r="V190" s="5">
        <f>
              Ifs(
                (U190 = 'Points-Table'!$A$4), 'Points-Table'!$C$4,
                (U190 = 'Points-Table'!$A$5), 'Points-Table'!$C$5,
                (U190 = 'Points-Table'!$A$6), 'Points-Table'!$C$6,
                (U190 = 'Points-Table'!$A$7), 'Points-Table'!$C$7,
                (U190 = 'Points-Table'!$A$8), 'Points-Table'!$C$8,
                (U190 = 'Points-Table'!$A$9), 'Points-Table'!$C$9,
                (U190 = 'Points-Table'!$A$10), 'Points-Table'!$C$10,
                (U190 = 'Points-Table'!$A$11), 'Points-Table'!$C$11,
                (U190 = 'Points-Table'!$A$12), 'Points-Table'!$C$12,
                (U190 = 'Points-Table'!$A$13), 'Points-Table'!$C$13,
                true, 0
              )
            </f>
        <v>4</v>
      </c>
      <c r="W190" s="4">
        <v>2.0</v>
      </c>
      <c r="X190" s="5">
        <f>
              Ifs(
                (W190 = 'Points-Table'!$A$4), 'Points-Table'!$C$4,
                (W190 = 'Points-Table'!$A$5), 'Points-Table'!$C$5,
                (W190 = 'Points-Table'!$A$6), 'Points-Table'!$C$6,
                (W190 = 'Points-Table'!$A$7), 'Points-Table'!$C$7,
                (W190 = 'Points-Table'!$A$8), 'Points-Table'!$C$8,
                (W190 = 'Points-Table'!$A$9), 'Points-Table'!$C$9,
                (W190 = 'Points-Table'!$A$10), 'Points-Table'!$C$10,
                (W190 = 'Points-Table'!$A$11), 'Points-Table'!$C$11,
                (W190 = 'Points-Table'!$A$12), 'Points-Table'!$C$12,
                (W190 = 'Points-Table'!$A$13), 'Points-Table'!$C$13,
                true, 0
              )
            </f>
        <v>1</v>
      </c>
      <c r="Y190" s="4">
        <v>5.0</v>
      </c>
      <c r="Z190" s="5">
        <f>
              Ifs(
                (Y190 = 'Points-Table'!$A$4), 'Points-Table'!$C$4,
                (Y190 = 'Points-Table'!$A$5), 'Points-Table'!$C$5,
                (Y190 = 'Points-Table'!$A$6), 'Points-Table'!$C$6,
                (Y190 = 'Points-Table'!$A$7), 'Points-Table'!$C$7,
                (Y190 = 'Points-Table'!$A$8), 'Points-Table'!$C$8,
                (Y190 = 'Points-Table'!$A$9), 'Points-Table'!$C$9,
                (Y190 = 'Points-Table'!$A$10), 'Points-Table'!$C$10,
                (Y190 = 'Points-Table'!$A$11), 'Points-Table'!$C$11,
                (Y190 = 'Points-Table'!$A$12), 'Points-Table'!$C$12,
                (Y190 = 'Points-Table'!$A$13), 'Points-Table'!$C$13,
                true, 0
              )
            </f>
        <v>4</v>
      </c>
      <c r="AA190" s="3">
        <f t="shared" si="2"/>
        <v>9</v>
      </c>
      <c r="AB190" s="3" t="str">
        <f>IFERROR(__xludf.DUMMYFUNCTION("
      Ifs( 
        ISBETWEEN(AA190, 0, 'Points-Table'!C$20, TRUE, False), 'Points-Table'!A$20,
        ISBETWEEN(AA190, 'Points-Table'!C$20, 'Points-Table'!C$21, TRUE, False), 'Points-Table'!A$21,
        ISBETWEEN(AA190, 'Points-Table'!C$22, 10000, TRU"&amp;"E, TRUE), 'Points-Table'!A$22,
        true, 
        0)
      "),"S")</f>
        <v>S</v>
      </c>
      <c r="AC190" s="3" t="s">
        <v>29</v>
      </c>
      <c r="AD190" s="3" t="s">
        <v>29</v>
      </c>
      <c r="AE190" s="3" t="s">
        <v>29</v>
      </c>
    </row>
    <row r="191" ht="24.75" customHeight="1">
      <c r="A191" s="3" t="s">
        <v>396</v>
      </c>
      <c r="B191" s="3" t="s">
        <v>403</v>
      </c>
      <c r="C191" s="3" t="s">
        <v>404</v>
      </c>
      <c r="D191" s="3"/>
      <c r="E191" s="3"/>
      <c r="F191" s="3"/>
      <c r="G191" s="3"/>
      <c r="H191" s="3"/>
      <c r="I191" s="3"/>
      <c r="J191" s="3"/>
      <c r="K191" s="3" t="s">
        <v>27</v>
      </c>
      <c r="L191" s="3" t="s">
        <v>28</v>
      </c>
      <c r="M191" s="3"/>
      <c r="N191" s="3"/>
      <c r="O191" s="3"/>
      <c r="P191" s="3"/>
      <c r="Q191" s="4">
        <v>2.0</v>
      </c>
      <c r="R191" s="5">
        <f>
              Ifs(
                (Q191 = 'Points-Table'!$A$4), 'Points-Table'!$C$4,
                (Q191 = 'Points-Table'!$A$5), 'Points-Table'!$C$5,
                (Q191 = 'Points-Table'!$A$6), 'Points-Table'!$C$6,
                (Q191 = 'Points-Table'!$A$7), 'Points-Table'!$C$7,
                (Q191 = 'Points-Table'!$A$8), 'Points-Table'!$C$8,
                (Q191 = 'Points-Table'!$A$9), 'Points-Table'!$C$9,
                (Q191 = 'Points-Table'!$A$10), 'Points-Table'!$C$10,
                (Q191 = 'Points-Table'!$A$11), 'Points-Table'!$C$11,
                (Q191 = 'Points-Table'!$A$12), 'Points-Table'!$C$12,
                (Q191 = 'Points-Table'!$A$13), 'Points-Table'!$C$13,
                true, 0
              )
            </f>
        <v>1</v>
      </c>
      <c r="S191" s="4">
        <v>2.0</v>
      </c>
      <c r="T191" s="5">
        <f>
              Ifs(
                (S191 = 'Points-Table'!$A$4), 'Points-Table'!$C$4,
                (S191 = 'Points-Table'!$A$5), 'Points-Table'!$C$5,
                (S191 = 'Points-Table'!$A$6), 'Points-Table'!$C$6,
                (S191 = 'Points-Table'!$A$7), 'Points-Table'!$C$7,
                (S191 = 'Points-Table'!$A$8), 'Points-Table'!$C$8,
                (S191 = 'Points-Table'!$A$9), 'Points-Table'!$C$9,
                (S191 = 'Points-Table'!$A$10), 'Points-Table'!$C$10,
                (S191 = 'Points-Table'!$A$11), 'Points-Table'!$C$11,
                (S191 = 'Points-Table'!$A$12), 'Points-Table'!$C$12,
                (S191 = 'Points-Table'!$A$13), 'Points-Table'!$C$13,
                true, 0
              )
            </f>
        <v>1</v>
      </c>
      <c r="U191" s="4">
        <v>5.0</v>
      </c>
      <c r="V191" s="5">
        <f>
              Ifs(
                (U191 = 'Points-Table'!$A$4), 'Points-Table'!$C$4,
                (U191 = 'Points-Table'!$A$5), 'Points-Table'!$C$5,
                (U191 = 'Points-Table'!$A$6), 'Points-Table'!$C$6,
                (U191 = 'Points-Table'!$A$7), 'Points-Table'!$C$7,
                (U191 = 'Points-Table'!$A$8), 'Points-Table'!$C$8,
                (U191 = 'Points-Table'!$A$9), 'Points-Table'!$C$9,
                (U191 = 'Points-Table'!$A$10), 'Points-Table'!$C$10,
                (U191 = 'Points-Table'!$A$11), 'Points-Table'!$C$11,
                (U191 = 'Points-Table'!$A$12), 'Points-Table'!$C$12,
                (U191 = 'Points-Table'!$A$13), 'Points-Table'!$C$13,
                true, 0
              )
            </f>
        <v>4</v>
      </c>
      <c r="W191" s="4">
        <v>3.0</v>
      </c>
      <c r="X191" s="5">
        <f>
              Ifs(
                (W191 = 'Points-Table'!$A$4), 'Points-Table'!$C$4,
                (W191 = 'Points-Table'!$A$5), 'Points-Table'!$C$5,
                (W191 = 'Points-Table'!$A$6), 'Points-Table'!$C$6,
                (W191 = 'Points-Table'!$A$7), 'Points-Table'!$C$7,
                (W191 = 'Points-Table'!$A$8), 'Points-Table'!$C$8,
                (W191 = 'Points-Table'!$A$9), 'Points-Table'!$C$9,
                (W191 = 'Points-Table'!$A$10), 'Points-Table'!$C$10,
                (W191 = 'Points-Table'!$A$11), 'Points-Table'!$C$11,
                (W191 = 'Points-Table'!$A$12), 'Points-Table'!$C$12,
                (W191 = 'Points-Table'!$A$13), 'Points-Table'!$C$13,
                true, 0
              )
            </f>
        <v>2</v>
      </c>
      <c r="Y191" s="4">
        <v>8.0</v>
      </c>
      <c r="Z191" s="5">
        <f>
              Ifs(
                (Y191 = 'Points-Table'!$A$4), 'Points-Table'!$C$4,
                (Y191 = 'Points-Table'!$A$5), 'Points-Table'!$C$5,
                (Y191 = 'Points-Table'!$A$6), 'Points-Table'!$C$6,
                (Y191 = 'Points-Table'!$A$7), 'Points-Table'!$C$7,
                (Y191 = 'Points-Table'!$A$8), 'Points-Table'!$C$8,
                (Y191 = 'Points-Table'!$A$9), 'Points-Table'!$C$9,
                (Y191 = 'Points-Table'!$A$10), 'Points-Table'!$C$10,
                (Y191 = 'Points-Table'!$A$11), 'Points-Table'!$C$11,
                (Y191 = 'Points-Table'!$A$12), 'Points-Table'!$C$12,
                (Y191 = 'Points-Table'!$A$13), 'Points-Table'!$C$13,
                true, 0
              )
            </f>
        <v>7</v>
      </c>
      <c r="AA191" s="3">
        <f t="shared" si="2"/>
        <v>13</v>
      </c>
      <c r="AB191" s="3" t="str">
        <f>IFERROR(__xludf.DUMMYFUNCTION("
      Ifs( 
        ISBETWEEN(AA191, 0, 'Points-Table'!C$20, TRUE, False), 'Points-Table'!A$20,
        ISBETWEEN(AA191, 'Points-Table'!C$20, 'Points-Table'!C$21, TRUE, False), 'Points-Table'!A$21,
        ISBETWEEN(AA191, 'Points-Table'!C$22, 10000, TRU"&amp;"E, TRUE), 'Points-Table'!A$22,
        true, 
        0)
      "),"S")</f>
        <v>S</v>
      </c>
      <c r="AC191" s="3" t="s">
        <v>29</v>
      </c>
      <c r="AD191" s="3" t="s">
        <v>29</v>
      </c>
      <c r="AE191" s="3" t="s">
        <v>29</v>
      </c>
    </row>
    <row r="192" ht="24.75" customHeight="1">
      <c r="A192" s="3" t="s">
        <v>396</v>
      </c>
      <c r="B192" s="3" t="s">
        <v>403</v>
      </c>
      <c r="C192" s="3" t="s">
        <v>405</v>
      </c>
      <c r="D192" s="3"/>
      <c r="E192" s="3"/>
      <c r="F192" s="3" t="s">
        <v>406</v>
      </c>
      <c r="G192" s="3"/>
      <c r="H192" s="3"/>
      <c r="I192" s="3"/>
      <c r="J192" s="3"/>
      <c r="K192" s="3" t="s">
        <v>27</v>
      </c>
      <c r="L192" s="3" t="s">
        <v>28</v>
      </c>
      <c r="M192" s="3"/>
      <c r="N192" s="3"/>
      <c r="O192" s="3"/>
      <c r="P192" s="3"/>
      <c r="Q192" s="4"/>
      <c r="R192" s="5">
        <f>
              Ifs(
                (Q192 = 'Points-Table'!$A$4), 'Points-Table'!$C$4,
                (Q192 = 'Points-Table'!$A$5), 'Points-Table'!$C$5,
                (Q192 = 'Points-Table'!$A$6), 'Points-Table'!$C$6,
                (Q192 = 'Points-Table'!$A$7), 'Points-Table'!$C$7,
                (Q192 = 'Points-Table'!$A$8), 'Points-Table'!$C$8,
                (Q192 = 'Points-Table'!$A$9), 'Points-Table'!$C$9,
                (Q192 = 'Points-Table'!$A$10), 'Points-Table'!$C$10,
                (Q192 = 'Points-Table'!$A$11), 'Points-Table'!$C$11,
                (Q192 = 'Points-Table'!$A$12), 'Points-Table'!$C$12,
                (Q192 = 'Points-Table'!$A$13), 'Points-Table'!$C$13,
                true, 0
              )
            </f>
        <v>0</v>
      </c>
      <c r="S192" s="4"/>
      <c r="T192" s="5">
        <f>
              Ifs(
                (S192 = 'Points-Table'!$A$4), 'Points-Table'!$C$4,
                (S192 = 'Points-Table'!$A$5), 'Points-Table'!$C$5,
                (S192 = 'Points-Table'!$A$6), 'Points-Table'!$C$6,
                (S192 = 'Points-Table'!$A$7), 'Points-Table'!$C$7,
                (S192 = 'Points-Table'!$A$8), 'Points-Table'!$C$8,
                (S192 = 'Points-Table'!$A$9), 'Points-Table'!$C$9,
                (S192 = 'Points-Table'!$A$10), 'Points-Table'!$C$10,
                (S192 = 'Points-Table'!$A$11), 'Points-Table'!$C$11,
                (S192 = 'Points-Table'!$A$12), 'Points-Table'!$C$12,
                (S192 = 'Points-Table'!$A$13), 'Points-Table'!$C$13,
                true, 0
              )
            </f>
        <v>0</v>
      </c>
      <c r="U192" s="4">
        <v>5.0</v>
      </c>
      <c r="V192" s="5">
        <f>
              Ifs(
                (U192 = 'Points-Table'!$A$4), 'Points-Table'!$C$4,
                (U192 = 'Points-Table'!$A$5), 'Points-Table'!$C$5,
                (U192 = 'Points-Table'!$A$6), 'Points-Table'!$C$6,
                (U192 = 'Points-Table'!$A$7), 'Points-Table'!$C$7,
                (U192 = 'Points-Table'!$A$8), 'Points-Table'!$C$8,
                (U192 = 'Points-Table'!$A$9), 'Points-Table'!$C$9,
                (U192 = 'Points-Table'!$A$10), 'Points-Table'!$C$10,
                (U192 = 'Points-Table'!$A$11), 'Points-Table'!$C$11,
                (U192 = 'Points-Table'!$A$12), 'Points-Table'!$C$12,
                (U192 = 'Points-Table'!$A$13), 'Points-Table'!$C$13,
                true, 0
              )
            </f>
        <v>4</v>
      </c>
      <c r="W192" s="4">
        <v>3.0</v>
      </c>
      <c r="X192" s="5">
        <f>
              Ifs(
                (W192 = 'Points-Table'!$A$4), 'Points-Table'!$C$4,
                (W192 = 'Points-Table'!$A$5), 'Points-Table'!$C$5,
                (W192 = 'Points-Table'!$A$6), 'Points-Table'!$C$6,
                (W192 = 'Points-Table'!$A$7), 'Points-Table'!$C$7,
                (W192 = 'Points-Table'!$A$8), 'Points-Table'!$C$8,
                (W192 = 'Points-Table'!$A$9), 'Points-Table'!$C$9,
                (W192 = 'Points-Table'!$A$10), 'Points-Table'!$C$10,
                (W192 = 'Points-Table'!$A$11), 'Points-Table'!$C$11,
                (W192 = 'Points-Table'!$A$12), 'Points-Table'!$C$12,
                (W192 = 'Points-Table'!$A$13), 'Points-Table'!$C$13,
                true, 0
              )
            </f>
        <v>2</v>
      </c>
      <c r="Y192" s="4">
        <v>13.0</v>
      </c>
      <c r="Z192" s="5">
        <f>
              Ifs(
                (Y192 = 'Points-Table'!$A$4), 'Points-Table'!$C$4,
                (Y192 = 'Points-Table'!$A$5), 'Points-Table'!$C$5,
                (Y192 = 'Points-Table'!$A$6), 'Points-Table'!$C$6,
                (Y192 = 'Points-Table'!$A$7), 'Points-Table'!$C$7,
                (Y192 = 'Points-Table'!$A$8), 'Points-Table'!$C$8,
                (Y192 = 'Points-Table'!$A$9), 'Points-Table'!$C$9,
                (Y192 = 'Points-Table'!$A$10), 'Points-Table'!$C$10,
                (Y192 = 'Points-Table'!$A$11), 'Points-Table'!$C$11,
                (Y192 = 'Points-Table'!$A$12), 'Points-Table'!$C$12,
                (Y192 = 'Points-Table'!$A$13), 'Points-Table'!$C$13,
                true, 0
              )
            </f>
        <v>11</v>
      </c>
      <c r="AA192" s="3">
        <f t="shared" si="2"/>
        <v>17</v>
      </c>
      <c r="AB192" s="3" t="str">
        <f>IFERROR(__xludf.DUMMYFUNCTION("
      Ifs( 
        ISBETWEEN(AA192, 0, 'Points-Table'!C$20, TRUE, False), 'Points-Table'!A$20,
        ISBETWEEN(AA192, 'Points-Table'!C$20, 'Points-Table'!C$21, TRUE, False), 'Points-Table'!A$21,
        ISBETWEEN(AA192, 'Points-Table'!C$22, 10000, TRU"&amp;"E, TRUE), 'Points-Table'!A$22,
        true, 
        0)
      "),"S")</f>
        <v>S</v>
      </c>
      <c r="AC192" s="3" t="s">
        <v>29</v>
      </c>
      <c r="AD192" s="3" t="s">
        <v>29</v>
      </c>
      <c r="AE192" s="3" t="s">
        <v>29</v>
      </c>
    </row>
    <row r="193" ht="24.75" customHeight="1">
      <c r="A193" s="3" t="s">
        <v>396</v>
      </c>
      <c r="B193" s="3" t="s">
        <v>403</v>
      </c>
      <c r="C193" s="3" t="s">
        <v>407</v>
      </c>
      <c r="D193" s="3"/>
      <c r="E193" s="3"/>
      <c r="F193" s="3"/>
      <c r="G193" s="3"/>
      <c r="H193" s="3"/>
      <c r="I193" s="3"/>
      <c r="J193" s="3"/>
      <c r="K193" s="3" t="s">
        <v>27</v>
      </c>
      <c r="L193" s="3" t="s">
        <v>28</v>
      </c>
      <c r="M193" s="3"/>
      <c r="N193" s="3"/>
      <c r="O193" s="3"/>
      <c r="P193" s="3"/>
      <c r="Q193" s="4"/>
      <c r="R193" s="5">
        <f>
              Ifs(
                (Q193 = 'Points-Table'!$A$4), 'Points-Table'!$C$4,
                (Q193 = 'Points-Table'!$A$5), 'Points-Table'!$C$5,
                (Q193 = 'Points-Table'!$A$6), 'Points-Table'!$C$6,
                (Q193 = 'Points-Table'!$A$7), 'Points-Table'!$C$7,
                (Q193 = 'Points-Table'!$A$8), 'Points-Table'!$C$8,
                (Q193 = 'Points-Table'!$A$9), 'Points-Table'!$C$9,
                (Q193 = 'Points-Table'!$A$10), 'Points-Table'!$C$10,
                (Q193 = 'Points-Table'!$A$11), 'Points-Table'!$C$11,
                (Q193 = 'Points-Table'!$A$12), 'Points-Table'!$C$12,
                (Q193 = 'Points-Table'!$A$13), 'Points-Table'!$C$13,
                true, 0
              )
            </f>
        <v>0</v>
      </c>
      <c r="S193" s="4"/>
      <c r="T193" s="5">
        <f>
              Ifs(
                (S193 = 'Points-Table'!$A$4), 'Points-Table'!$C$4,
                (S193 = 'Points-Table'!$A$5), 'Points-Table'!$C$5,
                (S193 = 'Points-Table'!$A$6), 'Points-Table'!$C$6,
                (S193 = 'Points-Table'!$A$7), 'Points-Table'!$C$7,
                (S193 = 'Points-Table'!$A$8), 'Points-Table'!$C$8,
                (S193 = 'Points-Table'!$A$9), 'Points-Table'!$C$9,
                (S193 = 'Points-Table'!$A$10), 'Points-Table'!$C$10,
                (S193 = 'Points-Table'!$A$11), 'Points-Table'!$C$11,
                (S193 = 'Points-Table'!$A$12), 'Points-Table'!$C$12,
                (S193 = 'Points-Table'!$A$13), 'Points-Table'!$C$13,
                true, 0
              )
            </f>
        <v>0</v>
      </c>
      <c r="U193" s="4">
        <v>5.0</v>
      </c>
      <c r="V193" s="5">
        <f>
              Ifs(
                (U193 = 'Points-Table'!$A$4), 'Points-Table'!$C$4,
                (U193 = 'Points-Table'!$A$5), 'Points-Table'!$C$5,
                (U193 = 'Points-Table'!$A$6), 'Points-Table'!$C$6,
                (U193 = 'Points-Table'!$A$7), 'Points-Table'!$C$7,
                (U193 = 'Points-Table'!$A$8), 'Points-Table'!$C$8,
                (U193 = 'Points-Table'!$A$9), 'Points-Table'!$C$9,
                (U193 = 'Points-Table'!$A$10), 'Points-Table'!$C$10,
                (U193 = 'Points-Table'!$A$11), 'Points-Table'!$C$11,
                (U193 = 'Points-Table'!$A$12), 'Points-Table'!$C$12,
                (U193 = 'Points-Table'!$A$13), 'Points-Table'!$C$13,
                true, 0
              )
            </f>
        <v>4</v>
      </c>
      <c r="W193" s="4">
        <v>2.0</v>
      </c>
      <c r="X193" s="5">
        <f>
              Ifs(
                (W193 = 'Points-Table'!$A$4), 'Points-Table'!$C$4,
                (W193 = 'Points-Table'!$A$5), 'Points-Table'!$C$5,
                (W193 = 'Points-Table'!$A$6), 'Points-Table'!$C$6,
                (W193 = 'Points-Table'!$A$7), 'Points-Table'!$C$7,
                (W193 = 'Points-Table'!$A$8), 'Points-Table'!$C$8,
                (W193 = 'Points-Table'!$A$9), 'Points-Table'!$C$9,
                (W193 = 'Points-Table'!$A$10), 'Points-Table'!$C$10,
                (W193 = 'Points-Table'!$A$11), 'Points-Table'!$C$11,
                (W193 = 'Points-Table'!$A$12), 'Points-Table'!$C$12,
                (W193 = 'Points-Table'!$A$13), 'Points-Table'!$C$13,
                true, 0
              )
            </f>
        <v>1</v>
      </c>
      <c r="Y193" s="4">
        <v>13.0</v>
      </c>
      <c r="Z193" s="5">
        <f>
              Ifs(
                (Y193 = 'Points-Table'!$A$4), 'Points-Table'!$C$4,
                (Y193 = 'Points-Table'!$A$5), 'Points-Table'!$C$5,
                (Y193 = 'Points-Table'!$A$6), 'Points-Table'!$C$6,
                (Y193 = 'Points-Table'!$A$7), 'Points-Table'!$C$7,
                (Y193 = 'Points-Table'!$A$8), 'Points-Table'!$C$8,
                (Y193 = 'Points-Table'!$A$9), 'Points-Table'!$C$9,
                (Y193 = 'Points-Table'!$A$10), 'Points-Table'!$C$10,
                (Y193 = 'Points-Table'!$A$11), 'Points-Table'!$C$11,
                (Y193 = 'Points-Table'!$A$12), 'Points-Table'!$C$12,
                (Y193 = 'Points-Table'!$A$13), 'Points-Table'!$C$13,
                true, 0
              )
            </f>
        <v>11</v>
      </c>
      <c r="AA193" s="3">
        <f t="shared" si="2"/>
        <v>16</v>
      </c>
      <c r="AB193" s="3" t="str">
        <f>IFERROR(__xludf.DUMMYFUNCTION("
      Ifs( 
        ISBETWEEN(AA193, 0, 'Points-Table'!C$20, TRUE, False), 'Points-Table'!A$20,
        ISBETWEEN(AA193, 'Points-Table'!C$20, 'Points-Table'!C$21, TRUE, False), 'Points-Table'!A$21,
        ISBETWEEN(AA193, 'Points-Table'!C$22, 10000, TRU"&amp;"E, TRUE), 'Points-Table'!A$22,
        true, 
        0)
      "),"S")</f>
        <v>S</v>
      </c>
      <c r="AC193" s="3" t="s">
        <v>29</v>
      </c>
      <c r="AD193" s="3" t="s">
        <v>29</v>
      </c>
      <c r="AE193" s="3" t="s">
        <v>29</v>
      </c>
    </row>
    <row r="194" ht="24.75" customHeight="1">
      <c r="A194" s="3" t="s">
        <v>396</v>
      </c>
      <c r="B194" s="3" t="s">
        <v>403</v>
      </c>
      <c r="C194" s="3" t="s">
        <v>408</v>
      </c>
      <c r="D194" s="3"/>
      <c r="E194" s="3"/>
      <c r="F194" s="3"/>
      <c r="G194" s="3"/>
      <c r="H194" s="3"/>
      <c r="I194" s="3"/>
      <c r="J194" s="3"/>
      <c r="K194" s="3" t="s">
        <v>27</v>
      </c>
      <c r="L194" s="3" t="s">
        <v>28</v>
      </c>
      <c r="M194" s="3"/>
      <c r="N194" s="3"/>
      <c r="O194" s="3"/>
      <c r="P194" s="3"/>
      <c r="Q194" s="4"/>
      <c r="R194" s="5">
        <f>
              Ifs(
                (Q194 = 'Points-Table'!$A$4), 'Points-Table'!$C$4,
                (Q194 = 'Points-Table'!$A$5), 'Points-Table'!$C$5,
                (Q194 = 'Points-Table'!$A$6), 'Points-Table'!$C$6,
                (Q194 = 'Points-Table'!$A$7), 'Points-Table'!$C$7,
                (Q194 = 'Points-Table'!$A$8), 'Points-Table'!$C$8,
                (Q194 = 'Points-Table'!$A$9), 'Points-Table'!$C$9,
                (Q194 = 'Points-Table'!$A$10), 'Points-Table'!$C$10,
                (Q194 = 'Points-Table'!$A$11), 'Points-Table'!$C$11,
                (Q194 = 'Points-Table'!$A$12), 'Points-Table'!$C$12,
                (Q194 = 'Points-Table'!$A$13), 'Points-Table'!$C$13,
                true, 0
              )
            </f>
        <v>0</v>
      </c>
      <c r="S194" s="4"/>
      <c r="T194" s="5">
        <f>
              Ifs(
                (S194 = 'Points-Table'!$A$4), 'Points-Table'!$C$4,
                (S194 = 'Points-Table'!$A$5), 'Points-Table'!$C$5,
                (S194 = 'Points-Table'!$A$6), 'Points-Table'!$C$6,
                (S194 = 'Points-Table'!$A$7), 'Points-Table'!$C$7,
                (S194 = 'Points-Table'!$A$8), 'Points-Table'!$C$8,
                (S194 = 'Points-Table'!$A$9), 'Points-Table'!$C$9,
                (S194 = 'Points-Table'!$A$10), 'Points-Table'!$C$10,
                (S194 = 'Points-Table'!$A$11), 'Points-Table'!$C$11,
                (S194 = 'Points-Table'!$A$12), 'Points-Table'!$C$12,
                (S194 = 'Points-Table'!$A$13), 'Points-Table'!$C$13,
                true, 0
              )
            </f>
        <v>0</v>
      </c>
      <c r="U194" s="4">
        <v>3.0</v>
      </c>
      <c r="V194" s="5">
        <f>
              Ifs(
                (U194 = 'Points-Table'!$A$4), 'Points-Table'!$C$4,
                (U194 = 'Points-Table'!$A$5), 'Points-Table'!$C$5,
                (U194 = 'Points-Table'!$A$6), 'Points-Table'!$C$6,
                (U194 = 'Points-Table'!$A$7), 'Points-Table'!$C$7,
                (U194 = 'Points-Table'!$A$8), 'Points-Table'!$C$8,
                (U194 = 'Points-Table'!$A$9), 'Points-Table'!$C$9,
                (U194 = 'Points-Table'!$A$10), 'Points-Table'!$C$10,
                (U194 = 'Points-Table'!$A$11), 'Points-Table'!$C$11,
                (U194 = 'Points-Table'!$A$12), 'Points-Table'!$C$12,
                (U194 = 'Points-Table'!$A$13), 'Points-Table'!$C$13,
                true, 0
              )
            </f>
        <v>2</v>
      </c>
      <c r="W194" s="4">
        <v>3.0</v>
      </c>
      <c r="X194" s="5">
        <f>
              Ifs(
                (W194 = 'Points-Table'!$A$4), 'Points-Table'!$C$4,
                (W194 = 'Points-Table'!$A$5), 'Points-Table'!$C$5,
                (W194 = 'Points-Table'!$A$6), 'Points-Table'!$C$6,
                (W194 = 'Points-Table'!$A$7), 'Points-Table'!$C$7,
                (W194 = 'Points-Table'!$A$8), 'Points-Table'!$C$8,
                (W194 = 'Points-Table'!$A$9), 'Points-Table'!$C$9,
                (W194 = 'Points-Table'!$A$10), 'Points-Table'!$C$10,
                (W194 = 'Points-Table'!$A$11), 'Points-Table'!$C$11,
                (W194 = 'Points-Table'!$A$12), 'Points-Table'!$C$12,
                (W194 = 'Points-Table'!$A$13), 'Points-Table'!$C$13,
                true, 0
              )
            </f>
        <v>2</v>
      </c>
      <c r="Y194" s="4">
        <v>3.0</v>
      </c>
      <c r="Z194" s="5">
        <f>
              Ifs(
                (Y194 = 'Points-Table'!$A$4), 'Points-Table'!$C$4,
                (Y194 = 'Points-Table'!$A$5), 'Points-Table'!$C$5,
                (Y194 = 'Points-Table'!$A$6), 'Points-Table'!$C$6,
                (Y194 = 'Points-Table'!$A$7), 'Points-Table'!$C$7,
                (Y194 = 'Points-Table'!$A$8), 'Points-Table'!$C$8,
                (Y194 = 'Points-Table'!$A$9), 'Points-Table'!$C$9,
                (Y194 = 'Points-Table'!$A$10), 'Points-Table'!$C$10,
                (Y194 = 'Points-Table'!$A$11), 'Points-Table'!$C$11,
                (Y194 = 'Points-Table'!$A$12), 'Points-Table'!$C$12,
                (Y194 = 'Points-Table'!$A$13), 'Points-Table'!$C$13,
                true, 0
              )
            </f>
        <v>2</v>
      </c>
      <c r="AA194" s="3">
        <f t="shared" si="2"/>
        <v>6</v>
      </c>
      <c r="AB194" s="3" t="str">
        <f>IFERROR(__xludf.DUMMYFUNCTION("
      Ifs( 
        ISBETWEEN(AA194, 0, 'Points-Table'!C$20, TRUE, False), 'Points-Table'!A$20,
        ISBETWEEN(AA194, 'Points-Table'!C$20, 'Points-Table'!C$21, TRUE, False), 'Points-Table'!A$21,
        ISBETWEEN(AA194, 'Points-Table'!C$22, 10000, TRU"&amp;"E, TRUE), 'Points-Table'!A$22,
        true, 
        0)
      "),"S")</f>
        <v>S</v>
      </c>
      <c r="AC194" s="3" t="s">
        <v>29</v>
      </c>
      <c r="AD194" s="3" t="s">
        <v>29</v>
      </c>
      <c r="AE194" s="3" t="s">
        <v>29</v>
      </c>
    </row>
    <row r="195" ht="24.75" customHeight="1">
      <c r="A195" s="3" t="s">
        <v>396</v>
      </c>
      <c r="B195" s="3" t="s">
        <v>403</v>
      </c>
      <c r="C195" s="3" t="s">
        <v>409</v>
      </c>
      <c r="D195" s="3"/>
      <c r="E195" s="3"/>
      <c r="F195" s="3"/>
      <c r="G195" s="3"/>
      <c r="H195" s="3"/>
      <c r="I195" s="3"/>
      <c r="J195" s="3"/>
      <c r="K195" s="3" t="s">
        <v>27</v>
      </c>
      <c r="L195" s="3" t="s">
        <v>28</v>
      </c>
      <c r="M195" s="3"/>
      <c r="N195" s="3"/>
      <c r="O195" s="3"/>
      <c r="P195" s="3"/>
      <c r="Q195" s="4"/>
      <c r="R195" s="5">
        <f>
              Ifs(
                (Q195 = 'Points-Table'!$A$4), 'Points-Table'!$C$4,
                (Q195 = 'Points-Table'!$A$5), 'Points-Table'!$C$5,
                (Q195 = 'Points-Table'!$A$6), 'Points-Table'!$C$6,
                (Q195 = 'Points-Table'!$A$7), 'Points-Table'!$C$7,
                (Q195 = 'Points-Table'!$A$8), 'Points-Table'!$C$8,
                (Q195 = 'Points-Table'!$A$9), 'Points-Table'!$C$9,
                (Q195 = 'Points-Table'!$A$10), 'Points-Table'!$C$10,
                (Q195 = 'Points-Table'!$A$11), 'Points-Table'!$C$11,
                (Q195 = 'Points-Table'!$A$12), 'Points-Table'!$C$12,
                (Q195 = 'Points-Table'!$A$13), 'Points-Table'!$C$13,
                true, 0
              )
            </f>
        <v>0</v>
      </c>
      <c r="S195" s="4"/>
      <c r="T195" s="5">
        <f>
              Ifs(
                (S195 = 'Points-Table'!$A$4), 'Points-Table'!$C$4,
                (S195 = 'Points-Table'!$A$5), 'Points-Table'!$C$5,
                (S195 = 'Points-Table'!$A$6), 'Points-Table'!$C$6,
                (S195 = 'Points-Table'!$A$7), 'Points-Table'!$C$7,
                (S195 = 'Points-Table'!$A$8), 'Points-Table'!$C$8,
                (S195 = 'Points-Table'!$A$9), 'Points-Table'!$C$9,
                (S195 = 'Points-Table'!$A$10), 'Points-Table'!$C$10,
                (S195 = 'Points-Table'!$A$11), 'Points-Table'!$C$11,
                (S195 = 'Points-Table'!$A$12), 'Points-Table'!$C$12,
                (S195 = 'Points-Table'!$A$13), 'Points-Table'!$C$13,
                true, 0
              )
            </f>
        <v>0</v>
      </c>
      <c r="U195" s="4">
        <v>3.0</v>
      </c>
      <c r="V195" s="5">
        <f>
              Ifs(
                (U195 = 'Points-Table'!$A$4), 'Points-Table'!$C$4,
                (U195 = 'Points-Table'!$A$5), 'Points-Table'!$C$5,
                (U195 = 'Points-Table'!$A$6), 'Points-Table'!$C$6,
                (U195 = 'Points-Table'!$A$7), 'Points-Table'!$C$7,
                (U195 = 'Points-Table'!$A$8), 'Points-Table'!$C$8,
                (U195 = 'Points-Table'!$A$9), 'Points-Table'!$C$9,
                (U195 = 'Points-Table'!$A$10), 'Points-Table'!$C$10,
                (U195 = 'Points-Table'!$A$11), 'Points-Table'!$C$11,
                (U195 = 'Points-Table'!$A$12), 'Points-Table'!$C$12,
                (U195 = 'Points-Table'!$A$13), 'Points-Table'!$C$13,
                true, 0
              )
            </f>
        <v>2</v>
      </c>
      <c r="W195" s="4">
        <v>3.0</v>
      </c>
      <c r="X195" s="5">
        <f>
              Ifs(
                (W195 = 'Points-Table'!$A$4), 'Points-Table'!$C$4,
                (W195 = 'Points-Table'!$A$5), 'Points-Table'!$C$5,
                (W195 = 'Points-Table'!$A$6), 'Points-Table'!$C$6,
                (W195 = 'Points-Table'!$A$7), 'Points-Table'!$C$7,
                (W195 = 'Points-Table'!$A$8), 'Points-Table'!$C$8,
                (W195 = 'Points-Table'!$A$9), 'Points-Table'!$C$9,
                (W195 = 'Points-Table'!$A$10), 'Points-Table'!$C$10,
                (W195 = 'Points-Table'!$A$11), 'Points-Table'!$C$11,
                (W195 = 'Points-Table'!$A$12), 'Points-Table'!$C$12,
                (W195 = 'Points-Table'!$A$13), 'Points-Table'!$C$13,
                true, 0
              )
            </f>
        <v>2</v>
      </c>
      <c r="Y195" s="4">
        <v>5.0</v>
      </c>
      <c r="Z195" s="5">
        <f>
              Ifs(
                (Y195 = 'Points-Table'!$A$4), 'Points-Table'!$C$4,
                (Y195 = 'Points-Table'!$A$5), 'Points-Table'!$C$5,
                (Y195 = 'Points-Table'!$A$6), 'Points-Table'!$C$6,
                (Y195 = 'Points-Table'!$A$7), 'Points-Table'!$C$7,
                (Y195 = 'Points-Table'!$A$8), 'Points-Table'!$C$8,
                (Y195 = 'Points-Table'!$A$9), 'Points-Table'!$C$9,
                (Y195 = 'Points-Table'!$A$10), 'Points-Table'!$C$10,
                (Y195 = 'Points-Table'!$A$11), 'Points-Table'!$C$11,
                (Y195 = 'Points-Table'!$A$12), 'Points-Table'!$C$12,
                (Y195 = 'Points-Table'!$A$13), 'Points-Table'!$C$13,
                true, 0
              )
            </f>
        <v>4</v>
      </c>
      <c r="AA195" s="3">
        <f t="shared" si="2"/>
        <v>8</v>
      </c>
      <c r="AB195" s="3" t="str">
        <f>IFERROR(__xludf.DUMMYFUNCTION("
      Ifs( 
        ISBETWEEN(AA195, 0, 'Points-Table'!C$20, TRUE, False), 'Points-Table'!A$20,
        ISBETWEEN(AA195, 'Points-Table'!C$20, 'Points-Table'!C$21, TRUE, False), 'Points-Table'!A$21,
        ISBETWEEN(AA195, 'Points-Table'!C$22, 10000, TRU"&amp;"E, TRUE), 'Points-Table'!A$22,
        true, 
        0)
      "),"S")</f>
        <v>S</v>
      </c>
      <c r="AC195" s="3" t="s">
        <v>29</v>
      </c>
      <c r="AD195" s="3" t="s">
        <v>29</v>
      </c>
      <c r="AE195" s="3" t="s">
        <v>29</v>
      </c>
    </row>
    <row r="196" ht="24.75" customHeight="1">
      <c r="A196" s="3" t="s">
        <v>396</v>
      </c>
      <c r="B196" s="3" t="s">
        <v>403</v>
      </c>
      <c r="C196" s="3" t="s">
        <v>410</v>
      </c>
      <c r="D196" s="3"/>
      <c r="E196" s="3"/>
      <c r="F196" s="3" t="s">
        <v>411</v>
      </c>
      <c r="G196" s="3"/>
      <c r="H196" s="3"/>
      <c r="I196" s="3"/>
      <c r="J196" s="3"/>
      <c r="K196" s="3" t="s">
        <v>27</v>
      </c>
      <c r="L196" s="3" t="s">
        <v>28</v>
      </c>
      <c r="M196" s="3"/>
      <c r="N196" s="3"/>
      <c r="O196" s="3"/>
      <c r="P196" s="3"/>
      <c r="Q196" s="4"/>
      <c r="R196" s="5">
        <f>
              Ifs(
                (Q196 = 'Points-Table'!$A$4), 'Points-Table'!$C$4,
                (Q196 = 'Points-Table'!$A$5), 'Points-Table'!$C$5,
                (Q196 = 'Points-Table'!$A$6), 'Points-Table'!$C$6,
                (Q196 = 'Points-Table'!$A$7), 'Points-Table'!$C$7,
                (Q196 = 'Points-Table'!$A$8), 'Points-Table'!$C$8,
                (Q196 = 'Points-Table'!$A$9), 'Points-Table'!$C$9,
                (Q196 = 'Points-Table'!$A$10), 'Points-Table'!$C$10,
                (Q196 = 'Points-Table'!$A$11), 'Points-Table'!$C$11,
                (Q196 = 'Points-Table'!$A$12), 'Points-Table'!$C$12,
                (Q196 = 'Points-Table'!$A$13), 'Points-Table'!$C$13,
                true, 0
              )
            </f>
        <v>0</v>
      </c>
      <c r="S196" s="4"/>
      <c r="T196" s="5">
        <f>
              Ifs(
                (S196 = 'Points-Table'!$A$4), 'Points-Table'!$C$4,
                (S196 = 'Points-Table'!$A$5), 'Points-Table'!$C$5,
                (S196 = 'Points-Table'!$A$6), 'Points-Table'!$C$6,
                (S196 = 'Points-Table'!$A$7), 'Points-Table'!$C$7,
                (S196 = 'Points-Table'!$A$8), 'Points-Table'!$C$8,
                (S196 = 'Points-Table'!$A$9), 'Points-Table'!$C$9,
                (S196 = 'Points-Table'!$A$10), 'Points-Table'!$C$10,
                (S196 = 'Points-Table'!$A$11), 'Points-Table'!$C$11,
                (S196 = 'Points-Table'!$A$12), 'Points-Table'!$C$12,
                (S196 = 'Points-Table'!$A$13), 'Points-Table'!$C$13,
                true, 0
              )
            </f>
        <v>0</v>
      </c>
      <c r="U196" s="4">
        <v>2.0</v>
      </c>
      <c r="V196" s="5">
        <f>
              Ifs(
                (U196 = 'Points-Table'!$A$4), 'Points-Table'!$C$4,
                (U196 = 'Points-Table'!$A$5), 'Points-Table'!$C$5,
                (U196 = 'Points-Table'!$A$6), 'Points-Table'!$C$6,
                (U196 = 'Points-Table'!$A$7), 'Points-Table'!$C$7,
                (U196 = 'Points-Table'!$A$8), 'Points-Table'!$C$8,
                (U196 = 'Points-Table'!$A$9), 'Points-Table'!$C$9,
                (U196 = 'Points-Table'!$A$10), 'Points-Table'!$C$10,
                (U196 = 'Points-Table'!$A$11), 'Points-Table'!$C$11,
                (U196 = 'Points-Table'!$A$12), 'Points-Table'!$C$12,
                (U196 = 'Points-Table'!$A$13), 'Points-Table'!$C$13,
                true, 0
              )
            </f>
        <v>1</v>
      </c>
      <c r="W196" s="4">
        <v>0.0</v>
      </c>
      <c r="X196" s="5">
        <f>
              Ifs(
                (W196 = 'Points-Table'!$A$4), 'Points-Table'!$C$4,
                (W196 = 'Points-Table'!$A$5), 'Points-Table'!$C$5,
                (W196 = 'Points-Table'!$A$6), 'Points-Table'!$C$6,
                (W196 = 'Points-Table'!$A$7), 'Points-Table'!$C$7,
                (W196 = 'Points-Table'!$A$8), 'Points-Table'!$C$8,
                (W196 = 'Points-Table'!$A$9), 'Points-Table'!$C$9,
                (W196 = 'Points-Table'!$A$10), 'Points-Table'!$C$10,
                (W196 = 'Points-Table'!$A$11), 'Points-Table'!$C$11,
                (W196 = 'Points-Table'!$A$12), 'Points-Table'!$C$12,
                (W196 = 'Points-Table'!$A$13), 'Points-Table'!$C$13,
                true, 0
              )
            </f>
        <v>0</v>
      </c>
      <c r="Y196" s="4">
        <v>21.0</v>
      </c>
      <c r="Z196" s="5">
        <f>
              Ifs(
                (Y196 = 'Points-Table'!$A$4), 'Points-Table'!$C$4,
                (Y196 = 'Points-Table'!$A$5), 'Points-Table'!$C$5,
                (Y196 = 'Points-Table'!$A$6), 'Points-Table'!$C$6,
                (Y196 = 'Points-Table'!$A$7), 'Points-Table'!$C$7,
                (Y196 = 'Points-Table'!$A$8), 'Points-Table'!$C$8,
                (Y196 = 'Points-Table'!$A$9), 'Points-Table'!$C$9,
                (Y196 = 'Points-Table'!$A$10), 'Points-Table'!$C$10,
                (Y196 = 'Points-Table'!$A$11), 'Points-Table'!$C$11,
                (Y196 = 'Points-Table'!$A$12), 'Points-Table'!$C$12,
                (Y196 = 'Points-Table'!$A$13), 'Points-Table'!$C$13,
                true, 0
              )
            </f>
        <v>16</v>
      </c>
      <c r="AA196" s="3">
        <f t="shared" si="2"/>
        <v>17</v>
      </c>
      <c r="AB196" s="3" t="str">
        <f>IFERROR(__xludf.DUMMYFUNCTION("
      Ifs( 
        ISBETWEEN(AA196, 0, 'Points-Table'!C$20, TRUE, False), 'Points-Table'!A$20,
        ISBETWEEN(AA196, 'Points-Table'!C$20, 'Points-Table'!C$21, TRUE, False), 'Points-Table'!A$21,
        ISBETWEEN(AA196, 'Points-Table'!C$22, 10000, TRU"&amp;"E, TRUE), 'Points-Table'!A$22,
        true, 
        0)
      "),"S")</f>
        <v>S</v>
      </c>
      <c r="AC196" s="3" t="s">
        <v>29</v>
      </c>
      <c r="AD196" s="3" t="s">
        <v>29</v>
      </c>
      <c r="AE196" s="3" t="s">
        <v>29</v>
      </c>
    </row>
    <row r="197" ht="24.75" customHeight="1">
      <c r="A197" s="3" t="s">
        <v>396</v>
      </c>
      <c r="B197" s="3" t="s">
        <v>97</v>
      </c>
      <c r="C197" s="3"/>
      <c r="D197" s="3"/>
      <c r="E197" s="3"/>
      <c r="F197" s="3"/>
      <c r="G197" s="3"/>
      <c r="H197" s="3"/>
      <c r="I197" s="3"/>
      <c r="J197" s="3"/>
      <c r="K197" s="3" t="s">
        <v>27</v>
      </c>
      <c r="L197" s="3" t="s">
        <v>412</v>
      </c>
      <c r="M197" s="3"/>
      <c r="N197" s="3"/>
      <c r="O197" s="3"/>
      <c r="P197" s="3"/>
      <c r="Q197" s="4">
        <v>0.0</v>
      </c>
      <c r="R197" s="5">
        <f>
              Ifs(
                (Q197 = 'Points-Table'!$A$4), 'Points-Table'!$C$4,
                (Q197 = 'Points-Table'!$A$5), 'Points-Table'!$C$5,
                (Q197 = 'Points-Table'!$A$6), 'Points-Table'!$C$6,
                (Q197 = 'Points-Table'!$A$7), 'Points-Table'!$C$7,
                (Q197 = 'Points-Table'!$A$8), 'Points-Table'!$C$8,
                (Q197 = 'Points-Table'!$A$9), 'Points-Table'!$C$9,
                (Q197 = 'Points-Table'!$A$10), 'Points-Table'!$C$10,
                (Q197 = 'Points-Table'!$A$11), 'Points-Table'!$C$11,
                (Q197 = 'Points-Table'!$A$12), 'Points-Table'!$C$12,
                (Q197 = 'Points-Table'!$A$13), 'Points-Table'!$C$13,
                true, 0
              )
            </f>
        <v>0</v>
      </c>
      <c r="S197" s="4">
        <v>0.0</v>
      </c>
      <c r="T197" s="5">
        <f>
              Ifs(
                (S197 = 'Points-Table'!$A$4), 'Points-Table'!$C$4,
                (S197 = 'Points-Table'!$A$5), 'Points-Table'!$C$5,
                (S197 = 'Points-Table'!$A$6), 'Points-Table'!$C$6,
                (S197 = 'Points-Table'!$A$7), 'Points-Table'!$C$7,
                (S197 = 'Points-Table'!$A$8), 'Points-Table'!$C$8,
                (S197 = 'Points-Table'!$A$9), 'Points-Table'!$C$9,
                (S197 = 'Points-Table'!$A$10), 'Points-Table'!$C$10,
                (S197 = 'Points-Table'!$A$11), 'Points-Table'!$C$11,
                (S197 = 'Points-Table'!$A$12), 'Points-Table'!$C$12,
                (S197 = 'Points-Table'!$A$13), 'Points-Table'!$C$13,
                true, 0
              )
            </f>
        <v>0</v>
      </c>
      <c r="U197" s="4">
        <v>2.0</v>
      </c>
      <c r="V197" s="5">
        <f>
              Ifs(
                (U197 = 'Points-Table'!$A$4), 'Points-Table'!$C$4,
                (U197 = 'Points-Table'!$A$5), 'Points-Table'!$C$5,
                (U197 = 'Points-Table'!$A$6), 'Points-Table'!$C$6,
                (U197 = 'Points-Table'!$A$7), 'Points-Table'!$C$7,
                (U197 = 'Points-Table'!$A$8), 'Points-Table'!$C$8,
                (U197 = 'Points-Table'!$A$9), 'Points-Table'!$C$9,
                (U197 = 'Points-Table'!$A$10), 'Points-Table'!$C$10,
                (U197 = 'Points-Table'!$A$11), 'Points-Table'!$C$11,
                (U197 = 'Points-Table'!$A$12), 'Points-Table'!$C$12,
                (U197 = 'Points-Table'!$A$13), 'Points-Table'!$C$13,
                true, 0
              )
            </f>
        <v>1</v>
      </c>
      <c r="W197" s="4">
        <v>2.0</v>
      </c>
      <c r="X197" s="5">
        <f>
              Ifs(
                (W197 = 'Points-Table'!$A$4), 'Points-Table'!$C$4,
                (W197 = 'Points-Table'!$A$5), 'Points-Table'!$C$5,
                (W197 = 'Points-Table'!$A$6), 'Points-Table'!$C$6,
                (W197 = 'Points-Table'!$A$7), 'Points-Table'!$C$7,
                (W197 = 'Points-Table'!$A$8), 'Points-Table'!$C$8,
                (W197 = 'Points-Table'!$A$9), 'Points-Table'!$C$9,
                (W197 = 'Points-Table'!$A$10), 'Points-Table'!$C$10,
                (W197 = 'Points-Table'!$A$11), 'Points-Table'!$C$11,
                (W197 = 'Points-Table'!$A$12), 'Points-Table'!$C$12,
                (W197 = 'Points-Table'!$A$13), 'Points-Table'!$C$13,
                true, 0
              )
            </f>
        <v>1</v>
      </c>
      <c r="Y197" s="4">
        <v>5.0</v>
      </c>
      <c r="Z197" s="5">
        <f>
              Ifs(
                (Y197 = 'Points-Table'!$A$4), 'Points-Table'!$C$4,
                (Y197 = 'Points-Table'!$A$5), 'Points-Table'!$C$5,
                (Y197 = 'Points-Table'!$A$6), 'Points-Table'!$C$6,
                (Y197 = 'Points-Table'!$A$7), 'Points-Table'!$C$7,
                (Y197 = 'Points-Table'!$A$8), 'Points-Table'!$C$8,
                (Y197 = 'Points-Table'!$A$9), 'Points-Table'!$C$9,
                (Y197 = 'Points-Table'!$A$10), 'Points-Table'!$C$10,
                (Y197 = 'Points-Table'!$A$11), 'Points-Table'!$C$11,
                (Y197 = 'Points-Table'!$A$12), 'Points-Table'!$C$12,
                (Y197 = 'Points-Table'!$A$13), 'Points-Table'!$C$13,
                true, 0
              )
            </f>
        <v>4</v>
      </c>
      <c r="AA197" s="3">
        <f t="shared" si="2"/>
        <v>6</v>
      </c>
      <c r="AB197" s="3" t="str">
        <f>IFERROR(__xludf.DUMMYFUNCTION("
      Ifs( 
        ISBETWEEN(AA197, 0, 'Points-Table'!C$20, TRUE, False), 'Points-Table'!A$20,
        ISBETWEEN(AA197, 'Points-Table'!C$20, 'Points-Table'!C$21, TRUE, False), 'Points-Table'!A$21,
        ISBETWEEN(AA197, 'Points-Table'!C$22, 10000, TRU"&amp;"E, TRUE), 'Points-Table'!A$22,
        true, 
        0)
      "),"S")</f>
        <v>S</v>
      </c>
      <c r="AC197" s="3" t="s">
        <v>29</v>
      </c>
      <c r="AD197" s="3" t="s">
        <v>29</v>
      </c>
      <c r="AE197" s="3" t="s">
        <v>29</v>
      </c>
    </row>
    <row r="198" ht="24.75" customHeight="1">
      <c r="A198" s="3" t="s">
        <v>396</v>
      </c>
      <c r="B198" s="3" t="s">
        <v>413</v>
      </c>
      <c r="C198" s="3" t="s">
        <v>414</v>
      </c>
      <c r="D198" s="3"/>
      <c r="E198" s="3"/>
      <c r="F198" s="3"/>
      <c r="G198" s="3"/>
      <c r="H198" s="3"/>
      <c r="I198" s="3"/>
      <c r="J198" s="3"/>
      <c r="K198" s="3" t="s">
        <v>27</v>
      </c>
      <c r="L198" s="3" t="s">
        <v>28</v>
      </c>
      <c r="M198" s="3"/>
      <c r="N198" s="3"/>
      <c r="O198" s="3"/>
      <c r="P198" s="3"/>
      <c r="Q198" s="4">
        <v>2.0</v>
      </c>
      <c r="R198" s="5">
        <f>
              Ifs(
                (Q198 = 'Points-Table'!$A$4), 'Points-Table'!$C$4,
                (Q198 = 'Points-Table'!$A$5), 'Points-Table'!$C$5,
                (Q198 = 'Points-Table'!$A$6), 'Points-Table'!$C$6,
                (Q198 = 'Points-Table'!$A$7), 'Points-Table'!$C$7,
                (Q198 = 'Points-Table'!$A$8), 'Points-Table'!$C$8,
                (Q198 = 'Points-Table'!$A$9), 'Points-Table'!$C$9,
                (Q198 = 'Points-Table'!$A$10), 'Points-Table'!$C$10,
                (Q198 = 'Points-Table'!$A$11), 'Points-Table'!$C$11,
                (Q198 = 'Points-Table'!$A$12), 'Points-Table'!$C$12,
                (Q198 = 'Points-Table'!$A$13), 'Points-Table'!$C$13,
                true, 0
              )
            </f>
        <v>1</v>
      </c>
      <c r="S198" s="4">
        <v>2.0</v>
      </c>
      <c r="T198" s="5">
        <f>
              Ifs(
                (S198 = 'Points-Table'!$A$4), 'Points-Table'!$C$4,
                (S198 = 'Points-Table'!$A$5), 'Points-Table'!$C$5,
                (S198 = 'Points-Table'!$A$6), 'Points-Table'!$C$6,
                (S198 = 'Points-Table'!$A$7), 'Points-Table'!$C$7,
                (S198 = 'Points-Table'!$A$8), 'Points-Table'!$C$8,
                (S198 = 'Points-Table'!$A$9), 'Points-Table'!$C$9,
                (S198 = 'Points-Table'!$A$10), 'Points-Table'!$C$10,
                (S198 = 'Points-Table'!$A$11), 'Points-Table'!$C$11,
                (S198 = 'Points-Table'!$A$12), 'Points-Table'!$C$12,
                (S198 = 'Points-Table'!$A$13), 'Points-Table'!$C$13,
                true, 0
              )
            </f>
        <v>1</v>
      </c>
      <c r="U198" s="4">
        <v>5.0</v>
      </c>
      <c r="V198" s="5">
        <f>
              Ifs(
                (U198 = 'Points-Table'!$A$4), 'Points-Table'!$C$4,
                (U198 = 'Points-Table'!$A$5), 'Points-Table'!$C$5,
                (U198 = 'Points-Table'!$A$6), 'Points-Table'!$C$6,
                (U198 = 'Points-Table'!$A$7), 'Points-Table'!$C$7,
                (U198 = 'Points-Table'!$A$8), 'Points-Table'!$C$8,
                (U198 = 'Points-Table'!$A$9), 'Points-Table'!$C$9,
                (U198 = 'Points-Table'!$A$10), 'Points-Table'!$C$10,
                (U198 = 'Points-Table'!$A$11), 'Points-Table'!$C$11,
                (U198 = 'Points-Table'!$A$12), 'Points-Table'!$C$12,
                (U198 = 'Points-Table'!$A$13), 'Points-Table'!$C$13,
                true, 0
              )
            </f>
        <v>4</v>
      </c>
      <c r="W198" s="4">
        <v>3.0</v>
      </c>
      <c r="X198" s="5">
        <f>
              Ifs(
                (W198 = 'Points-Table'!$A$4), 'Points-Table'!$C$4,
                (W198 = 'Points-Table'!$A$5), 'Points-Table'!$C$5,
                (W198 = 'Points-Table'!$A$6), 'Points-Table'!$C$6,
                (W198 = 'Points-Table'!$A$7), 'Points-Table'!$C$7,
                (W198 = 'Points-Table'!$A$8), 'Points-Table'!$C$8,
                (W198 = 'Points-Table'!$A$9), 'Points-Table'!$C$9,
                (W198 = 'Points-Table'!$A$10), 'Points-Table'!$C$10,
                (W198 = 'Points-Table'!$A$11), 'Points-Table'!$C$11,
                (W198 = 'Points-Table'!$A$12), 'Points-Table'!$C$12,
                (W198 = 'Points-Table'!$A$13), 'Points-Table'!$C$13,
                true, 0
              )
            </f>
        <v>2</v>
      </c>
      <c r="Y198" s="4">
        <v>8.0</v>
      </c>
      <c r="Z198" s="5">
        <f>
              Ifs(
                (Y198 = 'Points-Table'!$A$4), 'Points-Table'!$C$4,
                (Y198 = 'Points-Table'!$A$5), 'Points-Table'!$C$5,
                (Y198 = 'Points-Table'!$A$6), 'Points-Table'!$C$6,
                (Y198 = 'Points-Table'!$A$7), 'Points-Table'!$C$7,
                (Y198 = 'Points-Table'!$A$8), 'Points-Table'!$C$8,
                (Y198 = 'Points-Table'!$A$9), 'Points-Table'!$C$9,
                (Y198 = 'Points-Table'!$A$10), 'Points-Table'!$C$10,
                (Y198 = 'Points-Table'!$A$11), 'Points-Table'!$C$11,
                (Y198 = 'Points-Table'!$A$12), 'Points-Table'!$C$12,
                (Y198 = 'Points-Table'!$A$13), 'Points-Table'!$C$13,
                true, 0
              )
            </f>
        <v>7</v>
      </c>
      <c r="AA198" s="3">
        <f t="shared" si="2"/>
        <v>13</v>
      </c>
      <c r="AB198" s="3" t="str">
        <f>IFERROR(__xludf.DUMMYFUNCTION("
      Ifs( 
        ISBETWEEN(AA198, 0, 'Points-Table'!C$20, TRUE, False), 'Points-Table'!A$20,
        ISBETWEEN(AA198, 'Points-Table'!C$20, 'Points-Table'!C$21, TRUE, False), 'Points-Table'!A$21,
        ISBETWEEN(AA198, 'Points-Table'!C$22, 10000, TRU"&amp;"E, TRUE), 'Points-Table'!A$22,
        true, 
        0)
      "),"S")</f>
        <v>S</v>
      </c>
      <c r="AC198" s="3" t="s">
        <v>29</v>
      </c>
      <c r="AD198" s="3" t="s">
        <v>29</v>
      </c>
      <c r="AE198" s="3" t="s">
        <v>29</v>
      </c>
    </row>
    <row r="199" ht="24.75" customHeight="1">
      <c r="A199" s="3" t="s">
        <v>396</v>
      </c>
      <c r="B199" s="3" t="s">
        <v>415</v>
      </c>
      <c r="C199" s="3" t="s">
        <v>416</v>
      </c>
      <c r="D199" s="3"/>
      <c r="E199" s="3"/>
      <c r="F199" s="3"/>
      <c r="G199" s="3"/>
      <c r="H199" s="3"/>
      <c r="I199" s="3"/>
      <c r="J199" s="3"/>
      <c r="K199" s="3" t="s">
        <v>27</v>
      </c>
      <c r="L199" s="3" t="s">
        <v>28</v>
      </c>
      <c r="M199" s="3"/>
      <c r="N199" s="3"/>
      <c r="O199" s="3"/>
      <c r="P199" s="3"/>
      <c r="Q199" s="4"/>
      <c r="R199" s="5">
        <f>
              Ifs(
                (Q199 = 'Points-Table'!$A$4), 'Points-Table'!$C$4,
                (Q199 = 'Points-Table'!$A$5), 'Points-Table'!$C$5,
                (Q199 = 'Points-Table'!$A$6), 'Points-Table'!$C$6,
                (Q199 = 'Points-Table'!$A$7), 'Points-Table'!$C$7,
                (Q199 = 'Points-Table'!$A$8), 'Points-Table'!$C$8,
                (Q199 = 'Points-Table'!$A$9), 'Points-Table'!$C$9,
                (Q199 = 'Points-Table'!$A$10), 'Points-Table'!$C$10,
                (Q199 = 'Points-Table'!$A$11), 'Points-Table'!$C$11,
                (Q199 = 'Points-Table'!$A$12), 'Points-Table'!$C$12,
                (Q199 = 'Points-Table'!$A$13), 'Points-Table'!$C$13,
                true, 0
              )
            </f>
        <v>0</v>
      </c>
      <c r="S199" s="4"/>
      <c r="T199" s="5">
        <f>
              Ifs(
                (S199 = 'Points-Table'!$A$4), 'Points-Table'!$C$4,
                (S199 = 'Points-Table'!$A$5), 'Points-Table'!$C$5,
                (S199 = 'Points-Table'!$A$6), 'Points-Table'!$C$6,
                (S199 = 'Points-Table'!$A$7), 'Points-Table'!$C$7,
                (S199 = 'Points-Table'!$A$8), 'Points-Table'!$C$8,
                (S199 = 'Points-Table'!$A$9), 'Points-Table'!$C$9,
                (S199 = 'Points-Table'!$A$10), 'Points-Table'!$C$10,
                (S199 = 'Points-Table'!$A$11), 'Points-Table'!$C$11,
                (S199 = 'Points-Table'!$A$12), 'Points-Table'!$C$12,
                (S199 = 'Points-Table'!$A$13), 'Points-Table'!$C$13,
                true, 0
              )
            </f>
        <v>0</v>
      </c>
      <c r="U199" s="4">
        <v>2.0</v>
      </c>
      <c r="V199" s="5">
        <f>
              Ifs(
                (U199 = 'Points-Table'!$A$4), 'Points-Table'!$C$4,
                (U199 = 'Points-Table'!$A$5), 'Points-Table'!$C$5,
                (U199 = 'Points-Table'!$A$6), 'Points-Table'!$C$6,
                (U199 = 'Points-Table'!$A$7), 'Points-Table'!$C$7,
                (U199 = 'Points-Table'!$A$8), 'Points-Table'!$C$8,
                (U199 = 'Points-Table'!$A$9), 'Points-Table'!$C$9,
                (U199 = 'Points-Table'!$A$10), 'Points-Table'!$C$10,
                (U199 = 'Points-Table'!$A$11), 'Points-Table'!$C$11,
                (U199 = 'Points-Table'!$A$12), 'Points-Table'!$C$12,
                (U199 = 'Points-Table'!$A$13), 'Points-Table'!$C$13,
                true, 0
              )
            </f>
        <v>1</v>
      </c>
      <c r="W199" s="4">
        <v>1.0</v>
      </c>
      <c r="X199" s="5">
        <f>
              Ifs(
                (W199 = 'Points-Table'!$A$4), 'Points-Table'!$C$4,
                (W199 = 'Points-Table'!$A$5), 'Points-Table'!$C$5,
                (W199 = 'Points-Table'!$A$6), 'Points-Table'!$C$6,
                (W199 = 'Points-Table'!$A$7), 'Points-Table'!$C$7,
                (W199 = 'Points-Table'!$A$8), 'Points-Table'!$C$8,
                (W199 = 'Points-Table'!$A$9), 'Points-Table'!$C$9,
                (W199 = 'Points-Table'!$A$10), 'Points-Table'!$C$10,
                (W199 = 'Points-Table'!$A$11), 'Points-Table'!$C$11,
                (W199 = 'Points-Table'!$A$12), 'Points-Table'!$C$12,
                (W199 = 'Points-Table'!$A$13), 'Points-Table'!$C$13,
                true, 0
              )
            </f>
        <v>0.5</v>
      </c>
      <c r="Y199" s="4">
        <v>0.0</v>
      </c>
      <c r="Z199" s="5">
        <f>
              Ifs(
                (Y199 = 'Points-Table'!$A$4), 'Points-Table'!$C$4,
                (Y199 = 'Points-Table'!$A$5), 'Points-Table'!$C$5,
                (Y199 = 'Points-Table'!$A$6), 'Points-Table'!$C$6,
                (Y199 = 'Points-Table'!$A$7), 'Points-Table'!$C$7,
                (Y199 = 'Points-Table'!$A$8), 'Points-Table'!$C$8,
                (Y199 = 'Points-Table'!$A$9), 'Points-Table'!$C$9,
                (Y199 = 'Points-Table'!$A$10), 'Points-Table'!$C$10,
                (Y199 = 'Points-Table'!$A$11), 'Points-Table'!$C$11,
                (Y199 = 'Points-Table'!$A$12), 'Points-Table'!$C$12,
                (Y199 = 'Points-Table'!$A$13), 'Points-Table'!$C$13,
                true, 0
              )
            </f>
        <v>0</v>
      </c>
      <c r="AA199" s="3">
        <f t="shared" si="2"/>
        <v>1.5</v>
      </c>
      <c r="AB199" s="3" t="str">
        <f>IFERROR(__xludf.DUMMYFUNCTION("
      Ifs( 
        ISBETWEEN(AA199, 0, 'Points-Table'!C$20, TRUE, False), 'Points-Table'!A$20,
        ISBETWEEN(AA199, 'Points-Table'!C$20, 'Points-Table'!C$21, TRUE, False), 'Points-Table'!A$21,
        ISBETWEEN(AA199, 'Points-Table'!C$22, 10000, TRU"&amp;"E, TRUE), 'Points-Table'!A$22,
        true, 
        0)
      "),"S")</f>
        <v>S</v>
      </c>
      <c r="AC199" s="3" t="s">
        <v>29</v>
      </c>
      <c r="AD199" s="3" t="s">
        <v>29</v>
      </c>
      <c r="AE199" s="3" t="s">
        <v>29</v>
      </c>
    </row>
    <row r="200" ht="24.75" customHeight="1">
      <c r="A200" s="3" t="s">
        <v>396</v>
      </c>
      <c r="B200" s="3" t="s">
        <v>415</v>
      </c>
      <c r="C200" s="3" t="s">
        <v>417</v>
      </c>
      <c r="D200" s="3"/>
      <c r="E200" s="3"/>
      <c r="F200" s="3"/>
      <c r="G200" s="3"/>
      <c r="H200" s="3"/>
      <c r="I200" s="3"/>
      <c r="J200" s="3"/>
      <c r="K200" s="3" t="s">
        <v>27</v>
      </c>
      <c r="L200" s="3" t="s">
        <v>28</v>
      </c>
      <c r="M200" s="3"/>
      <c r="N200" s="3"/>
      <c r="O200" s="3"/>
      <c r="P200" s="3"/>
      <c r="Q200" s="4"/>
      <c r="R200" s="5">
        <f>
              Ifs(
                (Q200 = 'Points-Table'!$A$4), 'Points-Table'!$C$4,
                (Q200 = 'Points-Table'!$A$5), 'Points-Table'!$C$5,
                (Q200 = 'Points-Table'!$A$6), 'Points-Table'!$C$6,
                (Q200 = 'Points-Table'!$A$7), 'Points-Table'!$C$7,
                (Q200 = 'Points-Table'!$A$8), 'Points-Table'!$C$8,
                (Q200 = 'Points-Table'!$A$9), 'Points-Table'!$C$9,
                (Q200 = 'Points-Table'!$A$10), 'Points-Table'!$C$10,
                (Q200 = 'Points-Table'!$A$11), 'Points-Table'!$C$11,
                (Q200 = 'Points-Table'!$A$12), 'Points-Table'!$C$12,
                (Q200 = 'Points-Table'!$A$13), 'Points-Table'!$C$13,
                true, 0
              )
            </f>
        <v>0</v>
      </c>
      <c r="S200" s="4"/>
      <c r="T200" s="5">
        <f>
              Ifs(
                (S200 = 'Points-Table'!$A$4), 'Points-Table'!$C$4,
                (S200 = 'Points-Table'!$A$5), 'Points-Table'!$C$5,
                (S200 = 'Points-Table'!$A$6), 'Points-Table'!$C$6,
                (S200 = 'Points-Table'!$A$7), 'Points-Table'!$C$7,
                (S200 = 'Points-Table'!$A$8), 'Points-Table'!$C$8,
                (S200 = 'Points-Table'!$A$9), 'Points-Table'!$C$9,
                (S200 = 'Points-Table'!$A$10), 'Points-Table'!$C$10,
                (S200 = 'Points-Table'!$A$11), 'Points-Table'!$C$11,
                (S200 = 'Points-Table'!$A$12), 'Points-Table'!$C$12,
                (S200 = 'Points-Table'!$A$13), 'Points-Table'!$C$13,
                true, 0
              )
            </f>
        <v>0</v>
      </c>
      <c r="U200" s="4">
        <v>1.0</v>
      </c>
      <c r="V200" s="5">
        <f>
              Ifs(
                (U200 = 'Points-Table'!$A$4), 'Points-Table'!$C$4,
                (U200 = 'Points-Table'!$A$5), 'Points-Table'!$C$5,
                (U200 = 'Points-Table'!$A$6), 'Points-Table'!$C$6,
                (U200 = 'Points-Table'!$A$7), 'Points-Table'!$C$7,
                (U200 = 'Points-Table'!$A$8), 'Points-Table'!$C$8,
                (U200 = 'Points-Table'!$A$9), 'Points-Table'!$C$9,
                (U200 = 'Points-Table'!$A$10), 'Points-Table'!$C$10,
                (U200 = 'Points-Table'!$A$11), 'Points-Table'!$C$11,
                (U200 = 'Points-Table'!$A$12), 'Points-Table'!$C$12,
                (U200 = 'Points-Table'!$A$13), 'Points-Table'!$C$13,
                true, 0
              )
            </f>
        <v>0.5</v>
      </c>
      <c r="W200" s="4">
        <v>0.0</v>
      </c>
      <c r="X200" s="5">
        <f>
              Ifs(
                (W200 = 'Points-Table'!$A$4), 'Points-Table'!$C$4,
                (W200 = 'Points-Table'!$A$5), 'Points-Table'!$C$5,
                (W200 = 'Points-Table'!$A$6), 'Points-Table'!$C$6,
                (W200 = 'Points-Table'!$A$7), 'Points-Table'!$C$7,
                (W200 = 'Points-Table'!$A$8), 'Points-Table'!$C$8,
                (W200 = 'Points-Table'!$A$9), 'Points-Table'!$C$9,
                (W200 = 'Points-Table'!$A$10), 'Points-Table'!$C$10,
                (W200 = 'Points-Table'!$A$11), 'Points-Table'!$C$11,
                (W200 = 'Points-Table'!$A$12), 'Points-Table'!$C$12,
                (W200 = 'Points-Table'!$A$13), 'Points-Table'!$C$13,
                true, 0
              )
            </f>
        <v>0</v>
      </c>
      <c r="Y200" s="4">
        <v>3.0</v>
      </c>
      <c r="Z200" s="5">
        <f>
              Ifs(
                (Y200 = 'Points-Table'!$A$4), 'Points-Table'!$C$4,
                (Y200 = 'Points-Table'!$A$5), 'Points-Table'!$C$5,
                (Y200 = 'Points-Table'!$A$6), 'Points-Table'!$C$6,
                (Y200 = 'Points-Table'!$A$7), 'Points-Table'!$C$7,
                (Y200 = 'Points-Table'!$A$8), 'Points-Table'!$C$8,
                (Y200 = 'Points-Table'!$A$9), 'Points-Table'!$C$9,
                (Y200 = 'Points-Table'!$A$10), 'Points-Table'!$C$10,
                (Y200 = 'Points-Table'!$A$11), 'Points-Table'!$C$11,
                (Y200 = 'Points-Table'!$A$12), 'Points-Table'!$C$12,
                (Y200 = 'Points-Table'!$A$13), 'Points-Table'!$C$13,
                true, 0
              )
            </f>
        <v>2</v>
      </c>
      <c r="AA200" s="3">
        <f t="shared" si="2"/>
        <v>2.5</v>
      </c>
      <c r="AB200" s="3" t="str">
        <f>IFERROR(__xludf.DUMMYFUNCTION("
      Ifs( 
        ISBETWEEN(AA200, 0, 'Points-Table'!C$20, TRUE, False), 'Points-Table'!A$20,
        ISBETWEEN(AA200, 'Points-Table'!C$20, 'Points-Table'!C$21, TRUE, False), 'Points-Table'!A$21,
        ISBETWEEN(AA200, 'Points-Table'!C$22, 10000, TRU"&amp;"E, TRUE), 'Points-Table'!A$22,
        true, 
        0)
      "),"S")</f>
        <v>S</v>
      </c>
      <c r="AC200" s="3" t="s">
        <v>29</v>
      </c>
      <c r="AD200" s="3" t="s">
        <v>29</v>
      </c>
      <c r="AE200" s="3" t="s">
        <v>29</v>
      </c>
    </row>
    <row r="201" ht="24.75" customHeight="1">
      <c r="A201" s="6" t="s">
        <v>396</v>
      </c>
      <c r="B201" s="6" t="s">
        <v>418</v>
      </c>
      <c r="C201" s="6" t="s">
        <v>419</v>
      </c>
      <c r="D201" s="6"/>
      <c r="E201" s="6"/>
      <c r="F201" s="6"/>
      <c r="G201" s="6"/>
      <c r="H201" s="6"/>
      <c r="I201" s="6"/>
      <c r="J201" s="6"/>
      <c r="K201" s="6" t="s">
        <v>27</v>
      </c>
      <c r="L201" s="6" t="s">
        <v>28</v>
      </c>
      <c r="M201" s="6"/>
      <c r="N201" s="6"/>
      <c r="O201" s="6"/>
      <c r="P201" s="6"/>
      <c r="Q201" s="6">
        <v>2.0</v>
      </c>
      <c r="R201" s="6">
        <f>
              Ifs(
                (Q201 = 'Points-Table'!$A$4), 'Points-Table'!$C$4,
                (Q201 = 'Points-Table'!$A$5), 'Points-Table'!$C$5,
                (Q201 = 'Points-Table'!$A$6), 'Points-Table'!$C$6,
                (Q201 = 'Points-Table'!$A$7), 'Points-Table'!$C$7,
                (Q201 = 'Points-Table'!$A$8), 'Points-Table'!$C$8,
                (Q201 = 'Points-Table'!$A$9), 'Points-Table'!$C$9,
                (Q201 = 'Points-Table'!$A$10), 'Points-Table'!$C$10,
                (Q201 = 'Points-Table'!$A$11), 'Points-Table'!$C$11,
                (Q201 = 'Points-Table'!$A$12), 'Points-Table'!$C$12,
                (Q201 = 'Points-Table'!$A$13), 'Points-Table'!$C$13,
                true, 0
              )
            </f>
        <v>1</v>
      </c>
      <c r="S201" s="6">
        <v>2.0</v>
      </c>
      <c r="T201" s="6">
        <f>
              Ifs(
                (S201 = 'Points-Table'!$A$4), 'Points-Table'!$C$4,
                (S201 = 'Points-Table'!$A$5), 'Points-Table'!$C$5,
                (S201 = 'Points-Table'!$A$6), 'Points-Table'!$C$6,
                (S201 = 'Points-Table'!$A$7), 'Points-Table'!$C$7,
                (S201 = 'Points-Table'!$A$8), 'Points-Table'!$C$8,
                (S201 = 'Points-Table'!$A$9), 'Points-Table'!$C$9,
                (S201 = 'Points-Table'!$A$10), 'Points-Table'!$C$10,
                (S201 = 'Points-Table'!$A$11), 'Points-Table'!$C$11,
                (S201 = 'Points-Table'!$A$12), 'Points-Table'!$C$12,
                (S201 = 'Points-Table'!$A$13), 'Points-Table'!$C$13,
                true, 0
              )
            </f>
        <v>1</v>
      </c>
      <c r="U201" s="6">
        <v>2.0</v>
      </c>
      <c r="V201" s="6">
        <f>
              Ifs(
                (U201 = 'Points-Table'!$A$4), 'Points-Table'!$C$4,
                (U201 = 'Points-Table'!$A$5), 'Points-Table'!$C$5,
                (U201 = 'Points-Table'!$A$6), 'Points-Table'!$C$6,
                (U201 = 'Points-Table'!$A$7), 'Points-Table'!$C$7,
                (U201 = 'Points-Table'!$A$8), 'Points-Table'!$C$8,
                (U201 = 'Points-Table'!$A$9), 'Points-Table'!$C$9,
                (U201 = 'Points-Table'!$A$10), 'Points-Table'!$C$10,
                (U201 = 'Points-Table'!$A$11), 'Points-Table'!$C$11,
                (U201 = 'Points-Table'!$A$12), 'Points-Table'!$C$12,
                (U201 = 'Points-Table'!$A$13), 'Points-Table'!$C$13,
                true, 0
              )
            </f>
        <v>1</v>
      </c>
      <c r="W201" s="6">
        <v>3.0</v>
      </c>
      <c r="X201" s="6">
        <f>
              Ifs(
                (W201 = 'Points-Table'!$A$4), 'Points-Table'!$C$4,
                (W201 = 'Points-Table'!$A$5), 'Points-Table'!$C$5,
                (W201 = 'Points-Table'!$A$6), 'Points-Table'!$C$6,
                (W201 = 'Points-Table'!$A$7), 'Points-Table'!$C$7,
                (W201 = 'Points-Table'!$A$8), 'Points-Table'!$C$8,
                (W201 = 'Points-Table'!$A$9), 'Points-Table'!$C$9,
                (W201 = 'Points-Table'!$A$10), 'Points-Table'!$C$10,
                (W201 = 'Points-Table'!$A$11), 'Points-Table'!$C$11,
                (W201 = 'Points-Table'!$A$12), 'Points-Table'!$C$12,
                (W201 = 'Points-Table'!$A$13), 'Points-Table'!$C$13,
                true, 0
              )
            </f>
        <v>2</v>
      </c>
      <c r="Y201" s="6">
        <v>3.0</v>
      </c>
      <c r="Z201" s="6">
        <f>
              Ifs(
                (Y201 = 'Points-Table'!$A$4), 'Points-Table'!$C$4,
                (Y201 = 'Points-Table'!$A$5), 'Points-Table'!$C$5,
                (Y201 = 'Points-Table'!$A$6), 'Points-Table'!$C$6,
                (Y201 = 'Points-Table'!$A$7), 'Points-Table'!$C$7,
                (Y201 = 'Points-Table'!$A$8), 'Points-Table'!$C$8,
                (Y201 = 'Points-Table'!$A$9), 'Points-Table'!$C$9,
                (Y201 = 'Points-Table'!$A$10), 'Points-Table'!$C$10,
                (Y201 = 'Points-Table'!$A$11), 'Points-Table'!$C$11,
                (Y201 = 'Points-Table'!$A$12), 'Points-Table'!$C$12,
                (Y201 = 'Points-Table'!$A$13), 'Points-Table'!$C$13,
                true, 0
              )
            </f>
        <v>2</v>
      </c>
      <c r="AA201" s="6">
        <f t="shared" si="2"/>
        <v>5</v>
      </c>
      <c r="AB201" s="6" t="str">
        <f>IFERROR(__xludf.DUMMYFUNCTION("
      Ifs( 
        ISBETWEEN(AA201, 0, 'Points-Table'!C$20, TRUE, False), 'Points-Table'!A$20,
        ISBETWEEN(AA201, 'Points-Table'!C$20, 'Points-Table'!C$21, TRUE, False), 'Points-Table'!A$21,
        ISBETWEEN(AA201, 'Points-Table'!C$22, 10000, TRU"&amp;"E, TRUE), 'Points-Table'!A$22,
        true, 
        0)
      "),"S")</f>
        <v>S</v>
      </c>
      <c r="AC201" s="6" t="s">
        <v>29</v>
      </c>
      <c r="AD201" s="6" t="s">
        <v>29</v>
      </c>
      <c r="AE201" s="6" t="s">
        <v>29</v>
      </c>
    </row>
    <row r="202" ht="24.75" customHeight="1">
      <c r="A202" s="6" t="s">
        <v>396</v>
      </c>
      <c r="B202" s="6" t="s">
        <v>418</v>
      </c>
      <c r="C202" s="6" t="s">
        <v>420</v>
      </c>
      <c r="D202" s="6"/>
      <c r="E202" s="6"/>
      <c r="F202" s="6"/>
      <c r="G202" s="6"/>
      <c r="H202" s="6"/>
      <c r="I202" s="6"/>
      <c r="J202" s="6"/>
      <c r="K202" s="6" t="s">
        <v>27</v>
      </c>
      <c r="L202" s="6" t="s">
        <v>28</v>
      </c>
      <c r="M202" s="6"/>
      <c r="N202" s="6"/>
      <c r="O202" s="6"/>
      <c r="P202" s="6"/>
      <c r="Q202" s="6"/>
      <c r="R202" s="6">
        <f>
              Ifs(
                (Q202 = 'Points-Table'!$A$4), 'Points-Table'!$C$4,
                (Q202 = 'Points-Table'!$A$5), 'Points-Table'!$C$5,
                (Q202 = 'Points-Table'!$A$6), 'Points-Table'!$C$6,
                (Q202 = 'Points-Table'!$A$7), 'Points-Table'!$C$7,
                (Q202 = 'Points-Table'!$A$8), 'Points-Table'!$C$8,
                (Q202 = 'Points-Table'!$A$9), 'Points-Table'!$C$9,
                (Q202 = 'Points-Table'!$A$10), 'Points-Table'!$C$10,
                (Q202 = 'Points-Table'!$A$11), 'Points-Table'!$C$11,
                (Q202 = 'Points-Table'!$A$12), 'Points-Table'!$C$12,
                (Q202 = 'Points-Table'!$A$13), 'Points-Table'!$C$13,
                true, 0
              )
            </f>
        <v>0</v>
      </c>
      <c r="S202" s="6"/>
      <c r="T202" s="6">
        <f>
              Ifs(
                (S202 = 'Points-Table'!$A$4), 'Points-Table'!$C$4,
                (S202 = 'Points-Table'!$A$5), 'Points-Table'!$C$5,
                (S202 = 'Points-Table'!$A$6), 'Points-Table'!$C$6,
                (S202 = 'Points-Table'!$A$7), 'Points-Table'!$C$7,
                (S202 = 'Points-Table'!$A$8), 'Points-Table'!$C$8,
                (S202 = 'Points-Table'!$A$9), 'Points-Table'!$C$9,
                (S202 = 'Points-Table'!$A$10), 'Points-Table'!$C$10,
                (S202 = 'Points-Table'!$A$11), 'Points-Table'!$C$11,
                (S202 = 'Points-Table'!$A$12), 'Points-Table'!$C$12,
                (S202 = 'Points-Table'!$A$13), 'Points-Table'!$C$13,
                true, 0
              )
            </f>
        <v>0</v>
      </c>
      <c r="U202" s="6">
        <v>2.0</v>
      </c>
      <c r="V202" s="6">
        <f>
              Ifs(
                (U202 = 'Points-Table'!$A$4), 'Points-Table'!$C$4,
                (U202 = 'Points-Table'!$A$5), 'Points-Table'!$C$5,
                (U202 = 'Points-Table'!$A$6), 'Points-Table'!$C$6,
                (U202 = 'Points-Table'!$A$7), 'Points-Table'!$C$7,
                (U202 = 'Points-Table'!$A$8), 'Points-Table'!$C$8,
                (U202 = 'Points-Table'!$A$9), 'Points-Table'!$C$9,
                (U202 = 'Points-Table'!$A$10), 'Points-Table'!$C$10,
                (U202 = 'Points-Table'!$A$11), 'Points-Table'!$C$11,
                (U202 = 'Points-Table'!$A$12), 'Points-Table'!$C$12,
                (U202 = 'Points-Table'!$A$13), 'Points-Table'!$C$13,
                true, 0
              )
            </f>
        <v>1</v>
      </c>
      <c r="W202" s="6">
        <v>0.0</v>
      </c>
      <c r="X202" s="6">
        <f>
              Ifs(
                (W202 = 'Points-Table'!$A$4), 'Points-Table'!$C$4,
                (W202 = 'Points-Table'!$A$5), 'Points-Table'!$C$5,
                (W202 = 'Points-Table'!$A$6), 'Points-Table'!$C$6,
                (W202 = 'Points-Table'!$A$7), 'Points-Table'!$C$7,
                (W202 = 'Points-Table'!$A$8), 'Points-Table'!$C$8,
                (W202 = 'Points-Table'!$A$9), 'Points-Table'!$C$9,
                (W202 = 'Points-Table'!$A$10), 'Points-Table'!$C$10,
                (W202 = 'Points-Table'!$A$11), 'Points-Table'!$C$11,
                (W202 = 'Points-Table'!$A$12), 'Points-Table'!$C$12,
                (W202 = 'Points-Table'!$A$13), 'Points-Table'!$C$13,
                true, 0
              )
            </f>
        <v>0</v>
      </c>
      <c r="Y202" s="6">
        <v>0.0</v>
      </c>
      <c r="Z202" s="6">
        <f>
              Ifs(
                (Y202 = 'Points-Table'!$A$4), 'Points-Table'!$C$4,
                (Y202 = 'Points-Table'!$A$5), 'Points-Table'!$C$5,
                (Y202 = 'Points-Table'!$A$6), 'Points-Table'!$C$6,
                (Y202 = 'Points-Table'!$A$7), 'Points-Table'!$C$7,
                (Y202 = 'Points-Table'!$A$8), 'Points-Table'!$C$8,
                (Y202 = 'Points-Table'!$A$9), 'Points-Table'!$C$9,
                (Y202 = 'Points-Table'!$A$10), 'Points-Table'!$C$10,
                (Y202 = 'Points-Table'!$A$11), 'Points-Table'!$C$11,
                (Y202 = 'Points-Table'!$A$12), 'Points-Table'!$C$12,
                (Y202 = 'Points-Table'!$A$13), 'Points-Table'!$C$13,
                true, 0
              )
            </f>
        <v>0</v>
      </c>
      <c r="AA202" s="6">
        <f t="shared" si="2"/>
        <v>1</v>
      </c>
      <c r="AB202" s="6" t="str">
        <f>IFERROR(__xludf.DUMMYFUNCTION("
      Ifs( 
        ISBETWEEN(AA202, 0, 'Points-Table'!C$20, TRUE, False), 'Points-Table'!A$20,
        ISBETWEEN(AA202, 'Points-Table'!C$20, 'Points-Table'!C$21, TRUE, False), 'Points-Table'!A$21,
        ISBETWEEN(AA202, 'Points-Table'!C$22, 10000, TRU"&amp;"E, TRUE), 'Points-Table'!A$22,
        true, 
        0)
      "),"S")</f>
        <v>S</v>
      </c>
      <c r="AC202" s="6" t="s">
        <v>29</v>
      </c>
      <c r="AD202" s="6" t="s">
        <v>29</v>
      </c>
      <c r="AE202" s="6" t="s">
        <v>29</v>
      </c>
    </row>
    <row r="203" ht="24.75" customHeight="1">
      <c r="A203" s="6" t="s">
        <v>396</v>
      </c>
      <c r="B203" s="6" t="s">
        <v>418</v>
      </c>
      <c r="C203" s="6" t="s">
        <v>421</v>
      </c>
      <c r="D203" s="6"/>
      <c r="E203" s="6"/>
      <c r="F203" s="6"/>
      <c r="G203" s="6"/>
      <c r="H203" s="6"/>
      <c r="I203" s="6"/>
      <c r="J203" s="6"/>
      <c r="K203" s="6" t="s">
        <v>27</v>
      </c>
      <c r="L203" s="6" t="s">
        <v>28</v>
      </c>
      <c r="M203" s="6"/>
      <c r="N203" s="6"/>
      <c r="O203" s="6"/>
      <c r="P203" s="6"/>
      <c r="Q203" s="6"/>
      <c r="R203" s="6">
        <f>
              Ifs(
                (Q203 = 'Points-Table'!$A$4), 'Points-Table'!$C$4,
                (Q203 = 'Points-Table'!$A$5), 'Points-Table'!$C$5,
                (Q203 = 'Points-Table'!$A$6), 'Points-Table'!$C$6,
                (Q203 = 'Points-Table'!$A$7), 'Points-Table'!$C$7,
                (Q203 = 'Points-Table'!$A$8), 'Points-Table'!$C$8,
                (Q203 = 'Points-Table'!$A$9), 'Points-Table'!$C$9,
                (Q203 = 'Points-Table'!$A$10), 'Points-Table'!$C$10,
                (Q203 = 'Points-Table'!$A$11), 'Points-Table'!$C$11,
                (Q203 = 'Points-Table'!$A$12), 'Points-Table'!$C$12,
                (Q203 = 'Points-Table'!$A$13), 'Points-Table'!$C$13,
                true, 0
              )
            </f>
        <v>0</v>
      </c>
      <c r="S203" s="6"/>
      <c r="T203" s="6">
        <f>
              Ifs(
                (S203 = 'Points-Table'!$A$4), 'Points-Table'!$C$4,
                (S203 = 'Points-Table'!$A$5), 'Points-Table'!$C$5,
                (S203 = 'Points-Table'!$A$6), 'Points-Table'!$C$6,
                (S203 = 'Points-Table'!$A$7), 'Points-Table'!$C$7,
                (S203 = 'Points-Table'!$A$8), 'Points-Table'!$C$8,
                (S203 = 'Points-Table'!$A$9), 'Points-Table'!$C$9,
                (S203 = 'Points-Table'!$A$10), 'Points-Table'!$C$10,
                (S203 = 'Points-Table'!$A$11), 'Points-Table'!$C$11,
                (S203 = 'Points-Table'!$A$12), 'Points-Table'!$C$12,
                (S203 = 'Points-Table'!$A$13), 'Points-Table'!$C$13,
                true, 0
              )
            </f>
        <v>0</v>
      </c>
      <c r="U203" s="6">
        <v>2.0</v>
      </c>
      <c r="V203" s="6">
        <f>
              Ifs(
                (U203 = 'Points-Table'!$A$4), 'Points-Table'!$C$4,
                (U203 = 'Points-Table'!$A$5), 'Points-Table'!$C$5,
                (U203 = 'Points-Table'!$A$6), 'Points-Table'!$C$6,
                (U203 = 'Points-Table'!$A$7), 'Points-Table'!$C$7,
                (U203 = 'Points-Table'!$A$8), 'Points-Table'!$C$8,
                (U203 = 'Points-Table'!$A$9), 'Points-Table'!$C$9,
                (U203 = 'Points-Table'!$A$10), 'Points-Table'!$C$10,
                (U203 = 'Points-Table'!$A$11), 'Points-Table'!$C$11,
                (U203 = 'Points-Table'!$A$12), 'Points-Table'!$C$12,
                (U203 = 'Points-Table'!$A$13), 'Points-Table'!$C$13,
                true, 0
              )
            </f>
        <v>1</v>
      </c>
      <c r="W203" s="6">
        <v>0.0</v>
      </c>
      <c r="X203" s="6">
        <f>
              Ifs(
                (W203 = 'Points-Table'!$A$4), 'Points-Table'!$C$4,
                (W203 = 'Points-Table'!$A$5), 'Points-Table'!$C$5,
                (W203 = 'Points-Table'!$A$6), 'Points-Table'!$C$6,
                (W203 = 'Points-Table'!$A$7), 'Points-Table'!$C$7,
                (W203 = 'Points-Table'!$A$8), 'Points-Table'!$C$8,
                (W203 = 'Points-Table'!$A$9), 'Points-Table'!$C$9,
                (W203 = 'Points-Table'!$A$10), 'Points-Table'!$C$10,
                (W203 = 'Points-Table'!$A$11), 'Points-Table'!$C$11,
                (W203 = 'Points-Table'!$A$12), 'Points-Table'!$C$12,
                (W203 = 'Points-Table'!$A$13), 'Points-Table'!$C$13,
                true, 0
              )
            </f>
        <v>0</v>
      </c>
      <c r="Y203" s="6">
        <v>0.0</v>
      </c>
      <c r="Z203" s="6">
        <f>
              Ifs(
                (Y203 = 'Points-Table'!$A$4), 'Points-Table'!$C$4,
                (Y203 = 'Points-Table'!$A$5), 'Points-Table'!$C$5,
                (Y203 = 'Points-Table'!$A$6), 'Points-Table'!$C$6,
                (Y203 = 'Points-Table'!$A$7), 'Points-Table'!$C$7,
                (Y203 = 'Points-Table'!$A$8), 'Points-Table'!$C$8,
                (Y203 = 'Points-Table'!$A$9), 'Points-Table'!$C$9,
                (Y203 = 'Points-Table'!$A$10), 'Points-Table'!$C$10,
                (Y203 = 'Points-Table'!$A$11), 'Points-Table'!$C$11,
                (Y203 = 'Points-Table'!$A$12), 'Points-Table'!$C$12,
                (Y203 = 'Points-Table'!$A$13), 'Points-Table'!$C$13,
                true, 0
              )
            </f>
        <v>0</v>
      </c>
      <c r="AA203" s="6">
        <f t="shared" si="2"/>
        <v>1</v>
      </c>
      <c r="AB203" s="6" t="str">
        <f>IFERROR(__xludf.DUMMYFUNCTION("
      Ifs( 
        ISBETWEEN(AA203, 0, 'Points-Table'!C$20, TRUE, False), 'Points-Table'!A$20,
        ISBETWEEN(AA203, 'Points-Table'!C$20, 'Points-Table'!C$21, TRUE, False), 'Points-Table'!A$21,
        ISBETWEEN(AA203, 'Points-Table'!C$22, 10000, TRU"&amp;"E, TRUE), 'Points-Table'!A$22,
        true, 
        0)
      "),"S")</f>
        <v>S</v>
      </c>
      <c r="AC203" s="6" t="s">
        <v>29</v>
      </c>
      <c r="AD203" s="6" t="s">
        <v>29</v>
      </c>
      <c r="AE203" s="6" t="s">
        <v>29</v>
      </c>
    </row>
    <row r="204" ht="24.75" customHeight="1">
      <c r="A204" s="6" t="s">
        <v>396</v>
      </c>
      <c r="B204" s="6" t="s">
        <v>418</v>
      </c>
      <c r="C204" s="6" t="s">
        <v>422</v>
      </c>
      <c r="D204" s="6"/>
      <c r="E204" s="6"/>
      <c r="F204" s="6"/>
      <c r="G204" s="6"/>
      <c r="H204" s="6"/>
      <c r="I204" s="6"/>
      <c r="J204" s="6"/>
      <c r="K204" s="6" t="s">
        <v>27</v>
      </c>
      <c r="L204" s="6" t="s">
        <v>28</v>
      </c>
      <c r="M204" s="6"/>
      <c r="N204" s="6"/>
      <c r="O204" s="6"/>
      <c r="P204" s="6"/>
      <c r="Q204" s="6"/>
      <c r="R204" s="6">
        <f>
              Ifs(
                (Q204 = 'Points-Table'!$A$4), 'Points-Table'!$C$4,
                (Q204 = 'Points-Table'!$A$5), 'Points-Table'!$C$5,
                (Q204 = 'Points-Table'!$A$6), 'Points-Table'!$C$6,
                (Q204 = 'Points-Table'!$A$7), 'Points-Table'!$C$7,
                (Q204 = 'Points-Table'!$A$8), 'Points-Table'!$C$8,
                (Q204 = 'Points-Table'!$A$9), 'Points-Table'!$C$9,
                (Q204 = 'Points-Table'!$A$10), 'Points-Table'!$C$10,
                (Q204 = 'Points-Table'!$A$11), 'Points-Table'!$C$11,
                (Q204 = 'Points-Table'!$A$12), 'Points-Table'!$C$12,
                (Q204 = 'Points-Table'!$A$13), 'Points-Table'!$C$13,
                true, 0
              )
            </f>
        <v>0</v>
      </c>
      <c r="S204" s="6"/>
      <c r="T204" s="6">
        <f>
              Ifs(
                (S204 = 'Points-Table'!$A$4), 'Points-Table'!$C$4,
                (S204 = 'Points-Table'!$A$5), 'Points-Table'!$C$5,
                (S204 = 'Points-Table'!$A$6), 'Points-Table'!$C$6,
                (S204 = 'Points-Table'!$A$7), 'Points-Table'!$C$7,
                (S204 = 'Points-Table'!$A$8), 'Points-Table'!$C$8,
                (S204 = 'Points-Table'!$A$9), 'Points-Table'!$C$9,
                (S204 = 'Points-Table'!$A$10), 'Points-Table'!$C$10,
                (S204 = 'Points-Table'!$A$11), 'Points-Table'!$C$11,
                (S204 = 'Points-Table'!$A$12), 'Points-Table'!$C$12,
                (S204 = 'Points-Table'!$A$13), 'Points-Table'!$C$13,
                true, 0
              )
            </f>
        <v>0</v>
      </c>
      <c r="U204" s="6">
        <v>2.0</v>
      </c>
      <c r="V204" s="6">
        <f>
              Ifs(
                (U204 = 'Points-Table'!$A$4), 'Points-Table'!$C$4,
                (U204 = 'Points-Table'!$A$5), 'Points-Table'!$C$5,
                (U204 = 'Points-Table'!$A$6), 'Points-Table'!$C$6,
                (U204 = 'Points-Table'!$A$7), 'Points-Table'!$C$7,
                (U204 = 'Points-Table'!$A$8), 'Points-Table'!$C$8,
                (U204 = 'Points-Table'!$A$9), 'Points-Table'!$C$9,
                (U204 = 'Points-Table'!$A$10), 'Points-Table'!$C$10,
                (U204 = 'Points-Table'!$A$11), 'Points-Table'!$C$11,
                (U204 = 'Points-Table'!$A$12), 'Points-Table'!$C$12,
                (U204 = 'Points-Table'!$A$13), 'Points-Table'!$C$13,
                true, 0
              )
            </f>
        <v>1</v>
      </c>
      <c r="W204" s="6">
        <v>0.0</v>
      </c>
      <c r="X204" s="6">
        <f>
              Ifs(
                (W204 = 'Points-Table'!$A$4), 'Points-Table'!$C$4,
                (W204 = 'Points-Table'!$A$5), 'Points-Table'!$C$5,
                (W204 = 'Points-Table'!$A$6), 'Points-Table'!$C$6,
                (W204 = 'Points-Table'!$A$7), 'Points-Table'!$C$7,
                (W204 = 'Points-Table'!$A$8), 'Points-Table'!$C$8,
                (W204 = 'Points-Table'!$A$9), 'Points-Table'!$C$9,
                (W204 = 'Points-Table'!$A$10), 'Points-Table'!$C$10,
                (W204 = 'Points-Table'!$A$11), 'Points-Table'!$C$11,
                (W204 = 'Points-Table'!$A$12), 'Points-Table'!$C$12,
                (W204 = 'Points-Table'!$A$13), 'Points-Table'!$C$13,
                true, 0
              )
            </f>
        <v>0</v>
      </c>
      <c r="Y204" s="6">
        <v>0.0</v>
      </c>
      <c r="Z204" s="6">
        <f>
              Ifs(
                (Y204 = 'Points-Table'!$A$4), 'Points-Table'!$C$4,
                (Y204 = 'Points-Table'!$A$5), 'Points-Table'!$C$5,
                (Y204 = 'Points-Table'!$A$6), 'Points-Table'!$C$6,
                (Y204 = 'Points-Table'!$A$7), 'Points-Table'!$C$7,
                (Y204 = 'Points-Table'!$A$8), 'Points-Table'!$C$8,
                (Y204 = 'Points-Table'!$A$9), 'Points-Table'!$C$9,
                (Y204 = 'Points-Table'!$A$10), 'Points-Table'!$C$10,
                (Y204 = 'Points-Table'!$A$11), 'Points-Table'!$C$11,
                (Y204 = 'Points-Table'!$A$12), 'Points-Table'!$C$12,
                (Y204 = 'Points-Table'!$A$13), 'Points-Table'!$C$13,
                true, 0
              )
            </f>
        <v>0</v>
      </c>
      <c r="AA204" s="6">
        <f t="shared" si="2"/>
        <v>1</v>
      </c>
      <c r="AB204" s="6" t="str">
        <f>IFERROR(__xludf.DUMMYFUNCTION("
      Ifs( 
        ISBETWEEN(AA204, 0, 'Points-Table'!C$20, TRUE, False), 'Points-Table'!A$20,
        ISBETWEEN(AA204, 'Points-Table'!C$20, 'Points-Table'!C$21, TRUE, False), 'Points-Table'!A$21,
        ISBETWEEN(AA204, 'Points-Table'!C$22, 10000, TRU"&amp;"E, TRUE), 'Points-Table'!A$22,
        true, 
        0)
      "),"S")</f>
        <v>S</v>
      </c>
      <c r="AC204" s="6" t="s">
        <v>29</v>
      </c>
      <c r="AD204" s="6" t="s">
        <v>29</v>
      </c>
      <c r="AE204" s="6" t="s">
        <v>29</v>
      </c>
    </row>
    <row r="205" ht="24.75" customHeight="1">
      <c r="A205" s="3" t="s">
        <v>111</v>
      </c>
      <c r="B205" s="3"/>
      <c r="C205" s="3"/>
      <c r="D205" s="3"/>
      <c r="E205" s="3"/>
      <c r="F205" s="3"/>
      <c r="G205" s="3"/>
      <c r="H205" s="3"/>
      <c r="I205" s="3"/>
      <c r="J205" s="3"/>
      <c r="K205" s="3" t="s">
        <v>27</v>
      </c>
      <c r="L205" s="3" t="s">
        <v>28</v>
      </c>
      <c r="M205" s="3"/>
      <c r="N205" s="3"/>
      <c r="O205" s="3"/>
      <c r="P205" s="3"/>
      <c r="Q205" s="4">
        <v>0.0</v>
      </c>
      <c r="R205" s="5">
        <f>
              Ifs(
                (Q205 = 'Points-Table'!$A$4), 'Points-Table'!$C$4,
                (Q205 = 'Points-Table'!$A$5), 'Points-Table'!$C$5,
                (Q205 = 'Points-Table'!$A$6), 'Points-Table'!$C$6,
                (Q205 = 'Points-Table'!$A$7), 'Points-Table'!$C$7,
                (Q205 = 'Points-Table'!$A$8), 'Points-Table'!$C$8,
                (Q205 = 'Points-Table'!$A$9), 'Points-Table'!$C$9,
                (Q205 = 'Points-Table'!$A$10), 'Points-Table'!$C$10,
                (Q205 = 'Points-Table'!$A$11), 'Points-Table'!$C$11,
                (Q205 = 'Points-Table'!$A$12), 'Points-Table'!$C$12,
                (Q205 = 'Points-Table'!$A$13), 'Points-Table'!$C$13,
                true, 0
              )
            </f>
        <v>0</v>
      </c>
      <c r="S205" s="4">
        <v>0.0</v>
      </c>
      <c r="T205" s="5">
        <f>
              Ifs(
                (S205 = 'Points-Table'!$A$4), 'Points-Table'!$C$4,
                (S205 = 'Points-Table'!$A$5), 'Points-Table'!$C$5,
                (S205 = 'Points-Table'!$A$6), 'Points-Table'!$C$6,
                (S205 = 'Points-Table'!$A$7), 'Points-Table'!$C$7,
                (S205 = 'Points-Table'!$A$8), 'Points-Table'!$C$8,
                (S205 = 'Points-Table'!$A$9), 'Points-Table'!$C$9,
                (S205 = 'Points-Table'!$A$10), 'Points-Table'!$C$10,
                (S205 = 'Points-Table'!$A$11), 'Points-Table'!$C$11,
                (S205 = 'Points-Table'!$A$12), 'Points-Table'!$C$12,
                (S205 = 'Points-Table'!$A$13), 'Points-Table'!$C$13,
                true, 0
              )
            </f>
        <v>0</v>
      </c>
      <c r="U205" s="4">
        <v>1.0</v>
      </c>
      <c r="V205" s="5">
        <f>
              Ifs(
                (U205 = 'Points-Table'!$A$4), 'Points-Table'!$C$4,
                (U205 = 'Points-Table'!$A$5), 'Points-Table'!$C$5,
                (U205 = 'Points-Table'!$A$6), 'Points-Table'!$C$6,
                (U205 = 'Points-Table'!$A$7), 'Points-Table'!$C$7,
                (U205 = 'Points-Table'!$A$8), 'Points-Table'!$C$8,
                (U205 = 'Points-Table'!$A$9), 'Points-Table'!$C$9,
                (U205 = 'Points-Table'!$A$10), 'Points-Table'!$C$10,
                (U205 = 'Points-Table'!$A$11), 'Points-Table'!$C$11,
                (U205 = 'Points-Table'!$A$12), 'Points-Table'!$C$12,
                (U205 = 'Points-Table'!$A$13), 'Points-Table'!$C$13,
                true, 0
              )
            </f>
        <v>0.5</v>
      </c>
      <c r="W205" s="4">
        <v>1.0</v>
      </c>
      <c r="X205" s="5">
        <f>
              Ifs(
                (W205 = 'Points-Table'!$A$4), 'Points-Table'!$C$4,
                (W205 = 'Points-Table'!$A$5), 'Points-Table'!$C$5,
                (W205 = 'Points-Table'!$A$6), 'Points-Table'!$C$6,
                (W205 = 'Points-Table'!$A$7), 'Points-Table'!$C$7,
                (W205 = 'Points-Table'!$A$8), 'Points-Table'!$C$8,
                (W205 = 'Points-Table'!$A$9), 'Points-Table'!$C$9,
                (W205 = 'Points-Table'!$A$10), 'Points-Table'!$C$10,
                (W205 = 'Points-Table'!$A$11), 'Points-Table'!$C$11,
                (W205 = 'Points-Table'!$A$12), 'Points-Table'!$C$12,
                (W205 = 'Points-Table'!$A$13), 'Points-Table'!$C$13,
                true, 0
              )
            </f>
        <v>0.5</v>
      </c>
      <c r="Y205" s="4">
        <v>0.0</v>
      </c>
      <c r="Z205" s="5">
        <f>
              Ifs(
                (Y205 = 'Points-Table'!$A$4), 'Points-Table'!$C$4,
                (Y205 = 'Points-Table'!$A$5), 'Points-Table'!$C$5,
                (Y205 = 'Points-Table'!$A$6), 'Points-Table'!$C$6,
                (Y205 = 'Points-Table'!$A$7), 'Points-Table'!$C$7,
                (Y205 = 'Points-Table'!$A$8), 'Points-Table'!$C$8,
                (Y205 = 'Points-Table'!$A$9), 'Points-Table'!$C$9,
                (Y205 = 'Points-Table'!$A$10), 'Points-Table'!$C$10,
                (Y205 = 'Points-Table'!$A$11), 'Points-Table'!$C$11,
                (Y205 = 'Points-Table'!$A$12), 'Points-Table'!$C$12,
                (Y205 = 'Points-Table'!$A$13), 'Points-Table'!$C$13,
                true, 0
              )
            </f>
        <v>0</v>
      </c>
      <c r="AA205" s="3">
        <f t="shared" si="2"/>
        <v>1</v>
      </c>
      <c r="AB205" s="3" t="str">
        <f>IFERROR(__xludf.DUMMYFUNCTION("
      Ifs( 
        ISBETWEEN(AA205, 0, 'Points-Table'!C$20, TRUE, False), 'Points-Table'!A$20,
        ISBETWEEN(AA205, 'Points-Table'!C$20, 'Points-Table'!C$21, TRUE, False), 'Points-Table'!A$21,
        ISBETWEEN(AA205, 'Points-Table'!C$22, 10000, TRU"&amp;"E, TRUE), 'Points-Table'!A$22,
        true, 
        0)
      "),"S")</f>
        <v>S</v>
      </c>
      <c r="AC205" s="3" t="s">
        <v>29</v>
      </c>
      <c r="AD205" s="3" t="s">
        <v>29</v>
      </c>
      <c r="AE205" s="3" t="s">
        <v>29</v>
      </c>
    </row>
    <row r="206" ht="24.75" customHeight="1">
      <c r="A206" s="3" t="s">
        <v>114</v>
      </c>
      <c r="B206" s="3"/>
      <c r="C206" s="3"/>
      <c r="D206" s="3"/>
      <c r="E206" s="3"/>
      <c r="F206" s="3"/>
      <c r="G206" s="3"/>
      <c r="H206" s="3"/>
      <c r="I206" s="3"/>
      <c r="J206" s="3"/>
      <c r="K206" s="3" t="s">
        <v>27</v>
      </c>
      <c r="L206" s="3" t="s">
        <v>28</v>
      </c>
      <c r="M206" s="3"/>
      <c r="N206" s="3"/>
      <c r="O206" s="3"/>
      <c r="P206" s="3"/>
      <c r="Q206" s="4">
        <v>8.0</v>
      </c>
      <c r="R206" s="5">
        <f>
              Ifs(
                (Q206 = 'Points-Table'!$A$4), 'Points-Table'!$C$4,
                (Q206 = 'Points-Table'!$A$5), 'Points-Table'!$C$5,
                (Q206 = 'Points-Table'!$A$6), 'Points-Table'!$C$6,
                (Q206 = 'Points-Table'!$A$7), 'Points-Table'!$C$7,
                (Q206 = 'Points-Table'!$A$8), 'Points-Table'!$C$8,
                (Q206 = 'Points-Table'!$A$9), 'Points-Table'!$C$9,
                (Q206 = 'Points-Table'!$A$10), 'Points-Table'!$C$10,
                (Q206 = 'Points-Table'!$A$11), 'Points-Table'!$C$11,
                (Q206 = 'Points-Table'!$A$12), 'Points-Table'!$C$12,
                (Q206 = 'Points-Table'!$A$13), 'Points-Table'!$C$13,
                true, 0
              )
            </f>
        <v>7</v>
      </c>
      <c r="S206" s="4">
        <v>55.0</v>
      </c>
      <c r="T206" s="5">
        <f>
              Ifs(
                (S206 = 'Points-Table'!$A$4), 'Points-Table'!$C$4,
                (S206 = 'Points-Table'!$A$5), 'Points-Table'!$C$5,
                (S206 = 'Points-Table'!$A$6), 'Points-Table'!$C$6,
                (S206 = 'Points-Table'!$A$7), 'Points-Table'!$C$7,
                (S206 = 'Points-Table'!$A$8), 'Points-Table'!$C$8,
                (S206 = 'Points-Table'!$A$9), 'Points-Table'!$C$9,
                (S206 = 'Points-Table'!$A$10), 'Points-Table'!$C$10,
                (S206 = 'Points-Table'!$A$11), 'Points-Table'!$C$11,
                (S206 = 'Points-Table'!$A$12), 'Points-Table'!$C$12,
                (S206 = 'Points-Table'!$A$13), 'Points-Table'!$C$13,
                true, 0
              )
            </f>
        <v>40</v>
      </c>
      <c r="U206" s="4">
        <v>21.0</v>
      </c>
      <c r="V206" s="5">
        <f>
              Ifs(
                (U206 = 'Points-Table'!$A$4), 'Points-Table'!$C$4,
                (U206 = 'Points-Table'!$A$5), 'Points-Table'!$C$5,
                (U206 = 'Points-Table'!$A$6), 'Points-Table'!$C$6,
                (U206 = 'Points-Table'!$A$7), 'Points-Table'!$C$7,
                (U206 = 'Points-Table'!$A$8), 'Points-Table'!$C$8,
                (U206 = 'Points-Table'!$A$9), 'Points-Table'!$C$9,
                (U206 = 'Points-Table'!$A$10), 'Points-Table'!$C$10,
                (U206 = 'Points-Table'!$A$11), 'Points-Table'!$C$11,
                (U206 = 'Points-Table'!$A$12), 'Points-Table'!$C$12,
                (U206 = 'Points-Table'!$A$13), 'Points-Table'!$C$13,
                true, 0
              )
            </f>
        <v>16</v>
      </c>
      <c r="W206" s="4">
        <v>0.0</v>
      </c>
      <c r="X206" s="5">
        <f>
              Ifs(
                (W206 = 'Points-Table'!$A$4), 'Points-Table'!$C$4,
                (W206 = 'Points-Table'!$A$5), 'Points-Table'!$C$5,
                (W206 = 'Points-Table'!$A$6), 'Points-Table'!$C$6,
                (W206 = 'Points-Table'!$A$7), 'Points-Table'!$C$7,
                (W206 = 'Points-Table'!$A$8), 'Points-Table'!$C$8,
                (W206 = 'Points-Table'!$A$9), 'Points-Table'!$C$9,
                (W206 = 'Points-Table'!$A$10), 'Points-Table'!$C$10,
                (W206 = 'Points-Table'!$A$11), 'Points-Table'!$C$11,
                (W206 = 'Points-Table'!$A$12), 'Points-Table'!$C$12,
                (W206 = 'Points-Table'!$A$13), 'Points-Table'!$C$13,
                true, 0
              )
            </f>
        <v>0</v>
      </c>
      <c r="Y206" s="4">
        <v>0.0</v>
      </c>
      <c r="Z206" s="5">
        <f>
              Ifs(
                (Y206 = 'Points-Table'!$A$4), 'Points-Table'!$C$4,
                (Y206 = 'Points-Table'!$A$5), 'Points-Table'!$C$5,
                (Y206 = 'Points-Table'!$A$6), 'Points-Table'!$C$6,
                (Y206 = 'Points-Table'!$A$7), 'Points-Table'!$C$7,
                (Y206 = 'Points-Table'!$A$8), 'Points-Table'!$C$8,
                (Y206 = 'Points-Table'!$A$9), 'Points-Table'!$C$9,
                (Y206 = 'Points-Table'!$A$10), 'Points-Table'!$C$10,
                (Y206 = 'Points-Table'!$A$11), 'Points-Table'!$C$11,
                (Y206 = 'Points-Table'!$A$12), 'Points-Table'!$C$12,
                (Y206 = 'Points-Table'!$A$13), 'Points-Table'!$C$13,
                true, 0
              )
            </f>
        <v>0</v>
      </c>
      <c r="AA206" s="3">
        <f t="shared" si="2"/>
        <v>16</v>
      </c>
      <c r="AB206" s="3" t="str">
        <f>IFERROR(__xludf.DUMMYFUNCTION("
      Ifs( 
        ISBETWEEN(AA206, 0, 'Points-Table'!C$20, TRUE, False), 'Points-Table'!A$20,
        ISBETWEEN(AA206, 'Points-Table'!C$20, 'Points-Table'!C$21, TRUE, False), 'Points-Table'!A$21,
        ISBETWEEN(AA206, 'Points-Table'!C$22, 10000, TRU"&amp;"E, TRUE), 'Points-Table'!A$22,
        true, 
        0)
      "),"S")</f>
        <v>S</v>
      </c>
      <c r="AC206" s="3" t="s">
        <v>29</v>
      </c>
      <c r="AD206" s="3" t="s">
        <v>29</v>
      </c>
      <c r="AE206" s="3" t="s">
        <v>29</v>
      </c>
    </row>
    <row r="207" ht="24.75" customHeight="1">
      <c r="A207" s="3" t="s">
        <v>115</v>
      </c>
      <c r="B207" s="3"/>
      <c r="C207" s="3"/>
      <c r="D207" s="3"/>
      <c r="E207" s="3"/>
      <c r="F207" s="3"/>
      <c r="G207" s="3"/>
      <c r="H207" s="3"/>
      <c r="I207" s="3"/>
      <c r="J207" s="3"/>
      <c r="K207" s="3" t="s">
        <v>27</v>
      </c>
      <c r="L207" s="3" t="s">
        <v>28</v>
      </c>
      <c r="M207" s="3"/>
      <c r="N207" s="3"/>
      <c r="O207" s="3"/>
      <c r="P207" s="3"/>
      <c r="Q207" s="4">
        <v>13.0</v>
      </c>
      <c r="R207" s="5">
        <f>
              Ifs(
                (Q207 = 'Points-Table'!$A$4), 'Points-Table'!$C$4,
                (Q207 = 'Points-Table'!$A$5), 'Points-Table'!$C$5,
                (Q207 = 'Points-Table'!$A$6), 'Points-Table'!$C$6,
                (Q207 = 'Points-Table'!$A$7), 'Points-Table'!$C$7,
                (Q207 = 'Points-Table'!$A$8), 'Points-Table'!$C$8,
                (Q207 = 'Points-Table'!$A$9), 'Points-Table'!$C$9,
                (Q207 = 'Points-Table'!$A$10), 'Points-Table'!$C$10,
                (Q207 = 'Points-Table'!$A$11), 'Points-Table'!$C$11,
                (Q207 = 'Points-Table'!$A$12), 'Points-Table'!$C$12,
                (Q207 = 'Points-Table'!$A$13), 'Points-Table'!$C$13,
                true, 0
              )
            </f>
        <v>11</v>
      </c>
      <c r="S207" s="4">
        <v>89.0</v>
      </c>
      <c r="T207" s="5">
        <f>
              Ifs(
                (S207 = 'Points-Table'!$A$4), 'Points-Table'!$C$4,
                (S207 = 'Points-Table'!$A$5), 'Points-Table'!$C$5,
                (S207 = 'Points-Table'!$A$6), 'Points-Table'!$C$6,
                (S207 = 'Points-Table'!$A$7), 'Points-Table'!$C$7,
                (S207 = 'Points-Table'!$A$8), 'Points-Table'!$C$8,
                (S207 = 'Points-Table'!$A$9), 'Points-Table'!$C$9,
                (S207 = 'Points-Table'!$A$10), 'Points-Table'!$C$10,
                (S207 = 'Points-Table'!$A$11), 'Points-Table'!$C$11,
                (S207 = 'Points-Table'!$A$12), 'Points-Table'!$C$12,
                (S207 = 'Points-Table'!$A$13), 'Points-Table'!$C$13,
                true, 0
              )
            </f>
        <v>60</v>
      </c>
      <c r="U207" s="4">
        <v>34.0</v>
      </c>
      <c r="V207" s="5">
        <f>
              Ifs(
                (U207 = 'Points-Table'!$A$4), 'Points-Table'!$C$4,
                (U207 = 'Points-Table'!$A$5), 'Points-Table'!$C$5,
                (U207 = 'Points-Table'!$A$6), 'Points-Table'!$C$6,
                (U207 = 'Points-Table'!$A$7), 'Points-Table'!$C$7,
                (U207 = 'Points-Table'!$A$8), 'Points-Table'!$C$8,
                (U207 = 'Points-Table'!$A$9), 'Points-Table'!$C$9,
                (U207 = 'Points-Table'!$A$10), 'Points-Table'!$C$10,
                (U207 = 'Points-Table'!$A$11), 'Points-Table'!$C$11,
                (U207 = 'Points-Table'!$A$12), 'Points-Table'!$C$12,
                (U207 = 'Points-Table'!$A$13), 'Points-Table'!$C$13,
                true, 0
              )
            </f>
        <v>24</v>
      </c>
      <c r="W207" s="4">
        <v>0.0</v>
      </c>
      <c r="X207" s="5">
        <f>
              Ifs(
                (W207 = 'Points-Table'!$A$4), 'Points-Table'!$C$4,
                (W207 = 'Points-Table'!$A$5), 'Points-Table'!$C$5,
                (W207 = 'Points-Table'!$A$6), 'Points-Table'!$C$6,
                (W207 = 'Points-Table'!$A$7), 'Points-Table'!$C$7,
                (W207 = 'Points-Table'!$A$8), 'Points-Table'!$C$8,
                (W207 = 'Points-Table'!$A$9), 'Points-Table'!$C$9,
                (W207 = 'Points-Table'!$A$10), 'Points-Table'!$C$10,
                (W207 = 'Points-Table'!$A$11), 'Points-Table'!$C$11,
                (W207 = 'Points-Table'!$A$12), 'Points-Table'!$C$12,
                (W207 = 'Points-Table'!$A$13), 'Points-Table'!$C$13,
                true, 0
              )
            </f>
        <v>0</v>
      </c>
      <c r="Y207" s="4">
        <v>0.0</v>
      </c>
      <c r="Z207" s="5">
        <f>
              Ifs(
                (Y207 = 'Points-Table'!$A$4), 'Points-Table'!$C$4,
                (Y207 = 'Points-Table'!$A$5), 'Points-Table'!$C$5,
                (Y207 = 'Points-Table'!$A$6), 'Points-Table'!$C$6,
                (Y207 = 'Points-Table'!$A$7), 'Points-Table'!$C$7,
                (Y207 = 'Points-Table'!$A$8), 'Points-Table'!$C$8,
                (Y207 = 'Points-Table'!$A$9), 'Points-Table'!$C$9,
                (Y207 = 'Points-Table'!$A$10), 'Points-Table'!$C$10,
                (Y207 = 'Points-Table'!$A$11), 'Points-Table'!$C$11,
                (Y207 = 'Points-Table'!$A$12), 'Points-Table'!$C$12,
                (Y207 = 'Points-Table'!$A$13), 'Points-Table'!$C$13,
                true, 0
              )
            </f>
        <v>0</v>
      </c>
      <c r="AA207" s="3">
        <f t="shared" si="2"/>
        <v>24</v>
      </c>
      <c r="AB207" s="3" t="str">
        <f>IFERROR(__xludf.DUMMYFUNCTION("
      Ifs( 
        ISBETWEEN(AA207, 0, 'Points-Table'!C$20, TRUE, False), 'Points-Table'!A$20,
        ISBETWEEN(AA207, 'Points-Table'!C$20, 'Points-Table'!C$21, TRUE, False), 'Points-Table'!A$21,
        ISBETWEEN(AA207, 'Points-Table'!C$22, 10000, TRU"&amp;"E, TRUE), 'Points-Table'!A$22,
        true, 
        0)
      "),"S")</f>
        <v>S</v>
      </c>
      <c r="AC207" s="3" t="s">
        <v>29</v>
      </c>
      <c r="AD207" s="3" t="s">
        <v>29</v>
      </c>
      <c r="AE207" s="3" t="s">
        <v>29</v>
      </c>
    </row>
    <row r="208" ht="24.75" customHeight="1">
      <c r="A208" s="6" t="s">
        <v>423</v>
      </c>
      <c r="B208" s="6" t="s">
        <v>424</v>
      </c>
      <c r="C208" s="6" t="s">
        <v>425</v>
      </c>
      <c r="D208" s="6" t="s">
        <v>426</v>
      </c>
      <c r="E208" s="6"/>
      <c r="F208" s="6"/>
      <c r="G208" s="6"/>
      <c r="H208" s="6"/>
      <c r="I208" s="6"/>
      <c r="J208" s="6"/>
      <c r="K208" s="6" t="s">
        <v>27</v>
      </c>
      <c r="L208" s="6" t="s">
        <v>28</v>
      </c>
      <c r="M208" s="6"/>
      <c r="N208" s="6"/>
      <c r="O208" s="6"/>
      <c r="P208" s="6"/>
      <c r="Q208" s="6">
        <v>1.0</v>
      </c>
      <c r="R208" s="6">
        <f>
              Ifs(
                (Q208 = 'Points-Table'!$A$4), 'Points-Table'!$C$4,
                (Q208 = 'Points-Table'!$A$5), 'Points-Table'!$C$5,
                (Q208 = 'Points-Table'!$A$6), 'Points-Table'!$C$6,
                (Q208 = 'Points-Table'!$A$7), 'Points-Table'!$C$7,
                (Q208 = 'Points-Table'!$A$8), 'Points-Table'!$C$8,
                (Q208 = 'Points-Table'!$A$9), 'Points-Table'!$C$9,
                (Q208 = 'Points-Table'!$A$10), 'Points-Table'!$C$10,
                (Q208 = 'Points-Table'!$A$11), 'Points-Table'!$C$11,
                (Q208 = 'Points-Table'!$A$12), 'Points-Table'!$C$12,
                (Q208 = 'Points-Table'!$A$13), 'Points-Table'!$C$13,
                true, 0
              )
            </f>
        <v>0.5</v>
      </c>
      <c r="S208" s="6">
        <v>2.0</v>
      </c>
      <c r="T208" s="6">
        <f>
              Ifs(
                (S208 = 'Points-Table'!$A$4), 'Points-Table'!$C$4,
                (S208 = 'Points-Table'!$A$5), 'Points-Table'!$C$5,
                (S208 = 'Points-Table'!$A$6), 'Points-Table'!$C$6,
                (S208 = 'Points-Table'!$A$7), 'Points-Table'!$C$7,
                (S208 = 'Points-Table'!$A$8), 'Points-Table'!$C$8,
                (S208 = 'Points-Table'!$A$9), 'Points-Table'!$C$9,
                (S208 = 'Points-Table'!$A$10), 'Points-Table'!$C$10,
                (S208 = 'Points-Table'!$A$11), 'Points-Table'!$C$11,
                (S208 = 'Points-Table'!$A$12), 'Points-Table'!$C$12,
                (S208 = 'Points-Table'!$A$13), 'Points-Table'!$C$13,
                true, 0
              )
            </f>
        <v>1</v>
      </c>
      <c r="U208" s="6">
        <v>5.0</v>
      </c>
      <c r="V208" s="6">
        <f>
              Ifs(
                (U208 = 'Points-Table'!$A$4), 'Points-Table'!$C$4,
                (U208 = 'Points-Table'!$A$5), 'Points-Table'!$C$5,
                (U208 = 'Points-Table'!$A$6), 'Points-Table'!$C$6,
                (U208 = 'Points-Table'!$A$7), 'Points-Table'!$C$7,
                (U208 = 'Points-Table'!$A$8), 'Points-Table'!$C$8,
                (U208 = 'Points-Table'!$A$9), 'Points-Table'!$C$9,
                (U208 = 'Points-Table'!$A$10), 'Points-Table'!$C$10,
                (U208 = 'Points-Table'!$A$11), 'Points-Table'!$C$11,
                (U208 = 'Points-Table'!$A$12), 'Points-Table'!$C$12,
                (U208 = 'Points-Table'!$A$13), 'Points-Table'!$C$13,
                true, 0
              )
            </f>
        <v>4</v>
      </c>
      <c r="W208" s="6">
        <v>0.0</v>
      </c>
      <c r="X208" s="6">
        <f>
              Ifs(
                (W208 = 'Points-Table'!$A$4), 'Points-Table'!$C$4,
                (W208 = 'Points-Table'!$A$5), 'Points-Table'!$C$5,
                (W208 = 'Points-Table'!$A$6), 'Points-Table'!$C$6,
                (W208 = 'Points-Table'!$A$7), 'Points-Table'!$C$7,
                (W208 = 'Points-Table'!$A$8), 'Points-Table'!$C$8,
                (W208 = 'Points-Table'!$A$9), 'Points-Table'!$C$9,
                (W208 = 'Points-Table'!$A$10), 'Points-Table'!$C$10,
                (W208 = 'Points-Table'!$A$11), 'Points-Table'!$C$11,
                (W208 = 'Points-Table'!$A$12), 'Points-Table'!$C$12,
                (W208 = 'Points-Table'!$A$13), 'Points-Table'!$C$13,
                true, 0
              )
            </f>
        <v>0</v>
      </c>
      <c r="Y208" s="6">
        <v>8.0</v>
      </c>
      <c r="Z208" s="6">
        <f>
              Ifs(
                (Y208 = 'Points-Table'!$A$4), 'Points-Table'!$C$4,
                (Y208 = 'Points-Table'!$A$5), 'Points-Table'!$C$5,
                (Y208 = 'Points-Table'!$A$6), 'Points-Table'!$C$6,
                (Y208 = 'Points-Table'!$A$7), 'Points-Table'!$C$7,
                (Y208 = 'Points-Table'!$A$8), 'Points-Table'!$C$8,
                (Y208 = 'Points-Table'!$A$9), 'Points-Table'!$C$9,
                (Y208 = 'Points-Table'!$A$10), 'Points-Table'!$C$10,
                (Y208 = 'Points-Table'!$A$11), 'Points-Table'!$C$11,
                (Y208 = 'Points-Table'!$A$12), 'Points-Table'!$C$12,
                (Y208 = 'Points-Table'!$A$13), 'Points-Table'!$C$13,
                true, 0
              )
            </f>
        <v>7</v>
      </c>
      <c r="AA208" s="6">
        <f t="shared" si="2"/>
        <v>11</v>
      </c>
      <c r="AB208" s="6" t="str">
        <f>IFERROR(__xludf.DUMMYFUNCTION("
      Ifs( 
        ISBETWEEN(AA208, 0, 'Points-Table'!C$20, TRUE, False), 'Points-Table'!A$20,
        ISBETWEEN(AA208, 'Points-Table'!C$20, 'Points-Table'!C$21, TRUE, False), 'Points-Table'!A$21,
        ISBETWEEN(AA208, 'Points-Table'!C$22, 10000, TRU"&amp;"E, TRUE), 'Points-Table'!A$22,
        true, 
        0)
      "),"S")</f>
        <v>S</v>
      </c>
      <c r="AC208" s="6" t="s">
        <v>29</v>
      </c>
      <c r="AD208" s="6" t="s">
        <v>29</v>
      </c>
      <c r="AE208" s="6" t="s">
        <v>29</v>
      </c>
    </row>
    <row r="209" ht="24.75" customHeight="1">
      <c r="A209" s="6" t="s">
        <v>423</v>
      </c>
      <c r="B209" s="6" t="s">
        <v>424</v>
      </c>
      <c r="C209" s="6" t="s">
        <v>82</v>
      </c>
      <c r="D209" s="6"/>
      <c r="E209" s="6"/>
      <c r="F209" s="6"/>
      <c r="G209" s="6"/>
      <c r="H209" s="6"/>
      <c r="I209" s="6"/>
      <c r="J209" s="6"/>
      <c r="K209" s="6" t="s">
        <v>27</v>
      </c>
      <c r="L209" s="6" t="s">
        <v>28</v>
      </c>
      <c r="M209" s="6"/>
      <c r="N209" s="6"/>
      <c r="O209" s="6"/>
      <c r="P209" s="6"/>
      <c r="Q209" s="6">
        <v>1.0</v>
      </c>
      <c r="R209" s="6">
        <f>
              Ifs(
                (Q209 = 'Points-Table'!$A$4), 'Points-Table'!$C$4,
                (Q209 = 'Points-Table'!$A$5), 'Points-Table'!$C$5,
                (Q209 = 'Points-Table'!$A$6), 'Points-Table'!$C$6,
                (Q209 = 'Points-Table'!$A$7), 'Points-Table'!$C$7,
                (Q209 = 'Points-Table'!$A$8), 'Points-Table'!$C$8,
                (Q209 = 'Points-Table'!$A$9), 'Points-Table'!$C$9,
                (Q209 = 'Points-Table'!$A$10), 'Points-Table'!$C$10,
                (Q209 = 'Points-Table'!$A$11), 'Points-Table'!$C$11,
                (Q209 = 'Points-Table'!$A$12), 'Points-Table'!$C$12,
                (Q209 = 'Points-Table'!$A$13), 'Points-Table'!$C$13,
                true, 0
              )
            </f>
        <v>0.5</v>
      </c>
      <c r="S209" s="6">
        <v>2.0</v>
      </c>
      <c r="T209" s="6">
        <f>
              Ifs(
                (S209 = 'Points-Table'!$A$4), 'Points-Table'!$C$4,
                (S209 = 'Points-Table'!$A$5), 'Points-Table'!$C$5,
                (S209 = 'Points-Table'!$A$6), 'Points-Table'!$C$6,
                (S209 = 'Points-Table'!$A$7), 'Points-Table'!$C$7,
                (S209 = 'Points-Table'!$A$8), 'Points-Table'!$C$8,
                (S209 = 'Points-Table'!$A$9), 'Points-Table'!$C$9,
                (S209 = 'Points-Table'!$A$10), 'Points-Table'!$C$10,
                (S209 = 'Points-Table'!$A$11), 'Points-Table'!$C$11,
                (S209 = 'Points-Table'!$A$12), 'Points-Table'!$C$12,
                (S209 = 'Points-Table'!$A$13), 'Points-Table'!$C$13,
                true, 0
              )
            </f>
        <v>1</v>
      </c>
      <c r="U209" s="6">
        <v>3.0</v>
      </c>
      <c r="V209" s="6">
        <f>
              Ifs(
                (U209 = 'Points-Table'!$A$4), 'Points-Table'!$C$4,
                (U209 = 'Points-Table'!$A$5), 'Points-Table'!$C$5,
                (U209 = 'Points-Table'!$A$6), 'Points-Table'!$C$6,
                (U209 = 'Points-Table'!$A$7), 'Points-Table'!$C$7,
                (U209 = 'Points-Table'!$A$8), 'Points-Table'!$C$8,
                (U209 = 'Points-Table'!$A$9), 'Points-Table'!$C$9,
                (U209 = 'Points-Table'!$A$10), 'Points-Table'!$C$10,
                (U209 = 'Points-Table'!$A$11), 'Points-Table'!$C$11,
                (U209 = 'Points-Table'!$A$12), 'Points-Table'!$C$12,
                (U209 = 'Points-Table'!$A$13), 'Points-Table'!$C$13,
                true, 0
              )
            </f>
        <v>2</v>
      </c>
      <c r="W209" s="6">
        <v>2.0</v>
      </c>
      <c r="X209" s="6">
        <f>
              Ifs(
                (W209 = 'Points-Table'!$A$4), 'Points-Table'!$C$4,
                (W209 = 'Points-Table'!$A$5), 'Points-Table'!$C$5,
                (W209 = 'Points-Table'!$A$6), 'Points-Table'!$C$6,
                (W209 = 'Points-Table'!$A$7), 'Points-Table'!$C$7,
                (W209 = 'Points-Table'!$A$8), 'Points-Table'!$C$8,
                (W209 = 'Points-Table'!$A$9), 'Points-Table'!$C$9,
                (W209 = 'Points-Table'!$A$10), 'Points-Table'!$C$10,
                (W209 = 'Points-Table'!$A$11), 'Points-Table'!$C$11,
                (W209 = 'Points-Table'!$A$12), 'Points-Table'!$C$12,
                (W209 = 'Points-Table'!$A$13), 'Points-Table'!$C$13,
                true, 0
              )
            </f>
        <v>1</v>
      </c>
      <c r="Y209" s="6">
        <v>3.0</v>
      </c>
      <c r="Z209" s="6">
        <f>
              Ifs(
                (Y209 = 'Points-Table'!$A$4), 'Points-Table'!$C$4,
                (Y209 = 'Points-Table'!$A$5), 'Points-Table'!$C$5,
                (Y209 = 'Points-Table'!$A$6), 'Points-Table'!$C$6,
                (Y209 = 'Points-Table'!$A$7), 'Points-Table'!$C$7,
                (Y209 = 'Points-Table'!$A$8), 'Points-Table'!$C$8,
                (Y209 = 'Points-Table'!$A$9), 'Points-Table'!$C$9,
                (Y209 = 'Points-Table'!$A$10), 'Points-Table'!$C$10,
                (Y209 = 'Points-Table'!$A$11), 'Points-Table'!$C$11,
                (Y209 = 'Points-Table'!$A$12), 'Points-Table'!$C$12,
                (Y209 = 'Points-Table'!$A$13), 'Points-Table'!$C$13,
                true, 0
              )
            </f>
        <v>2</v>
      </c>
      <c r="AA209" s="6">
        <f t="shared" si="2"/>
        <v>5</v>
      </c>
      <c r="AB209" s="6" t="str">
        <f>IFERROR(__xludf.DUMMYFUNCTION("
      Ifs( 
        ISBETWEEN(AA209, 0, 'Points-Table'!C$20, TRUE, False), 'Points-Table'!A$20,
        ISBETWEEN(AA209, 'Points-Table'!C$20, 'Points-Table'!C$21, TRUE, False), 'Points-Table'!A$21,
        ISBETWEEN(AA209, 'Points-Table'!C$22, 10000, TRU"&amp;"E, TRUE), 'Points-Table'!A$22,
        true, 
        0)
      "),"S")</f>
        <v>S</v>
      </c>
      <c r="AC209" s="6" t="s">
        <v>29</v>
      </c>
      <c r="AD209" s="6" t="s">
        <v>29</v>
      </c>
      <c r="AE209" s="6" t="s">
        <v>29</v>
      </c>
    </row>
    <row r="210" ht="24.75" customHeight="1">
      <c r="A210" s="6" t="s">
        <v>423</v>
      </c>
      <c r="B210" s="6" t="s">
        <v>424</v>
      </c>
      <c r="C210" s="6" t="s">
        <v>427</v>
      </c>
      <c r="D210" s="6"/>
      <c r="E210" s="6"/>
      <c r="F210" s="6"/>
      <c r="G210" s="6"/>
      <c r="H210" s="6"/>
      <c r="I210" s="6"/>
      <c r="J210" s="6"/>
      <c r="K210" s="6" t="s">
        <v>27</v>
      </c>
      <c r="L210" s="6" t="s">
        <v>28</v>
      </c>
      <c r="M210" s="6"/>
      <c r="N210" s="6"/>
      <c r="O210" s="6"/>
      <c r="P210" s="6"/>
      <c r="Q210" s="6">
        <v>2.0</v>
      </c>
      <c r="R210" s="6">
        <f>
              Ifs(
                (Q210 = 'Points-Table'!$A$4), 'Points-Table'!$C$4,
                (Q210 = 'Points-Table'!$A$5), 'Points-Table'!$C$5,
                (Q210 = 'Points-Table'!$A$6), 'Points-Table'!$C$6,
                (Q210 = 'Points-Table'!$A$7), 'Points-Table'!$C$7,
                (Q210 = 'Points-Table'!$A$8), 'Points-Table'!$C$8,
                (Q210 = 'Points-Table'!$A$9), 'Points-Table'!$C$9,
                (Q210 = 'Points-Table'!$A$10), 'Points-Table'!$C$10,
                (Q210 = 'Points-Table'!$A$11), 'Points-Table'!$C$11,
                (Q210 = 'Points-Table'!$A$12), 'Points-Table'!$C$12,
                (Q210 = 'Points-Table'!$A$13), 'Points-Table'!$C$13,
                true, 0
              )
            </f>
        <v>1</v>
      </c>
      <c r="S210" s="6">
        <v>2.0</v>
      </c>
      <c r="T210" s="6">
        <f>
              Ifs(
                (S210 = 'Points-Table'!$A$4), 'Points-Table'!$C$4,
                (S210 = 'Points-Table'!$A$5), 'Points-Table'!$C$5,
                (S210 = 'Points-Table'!$A$6), 'Points-Table'!$C$6,
                (S210 = 'Points-Table'!$A$7), 'Points-Table'!$C$7,
                (S210 = 'Points-Table'!$A$8), 'Points-Table'!$C$8,
                (S210 = 'Points-Table'!$A$9), 'Points-Table'!$C$9,
                (S210 = 'Points-Table'!$A$10), 'Points-Table'!$C$10,
                (S210 = 'Points-Table'!$A$11), 'Points-Table'!$C$11,
                (S210 = 'Points-Table'!$A$12), 'Points-Table'!$C$12,
                (S210 = 'Points-Table'!$A$13), 'Points-Table'!$C$13,
                true, 0
              )
            </f>
        <v>1</v>
      </c>
      <c r="U210" s="6">
        <v>3.0</v>
      </c>
      <c r="V210" s="6">
        <f>
              Ifs(
                (U210 = 'Points-Table'!$A$4), 'Points-Table'!$C$4,
                (U210 = 'Points-Table'!$A$5), 'Points-Table'!$C$5,
                (U210 = 'Points-Table'!$A$6), 'Points-Table'!$C$6,
                (U210 = 'Points-Table'!$A$7), 'Points-Table'!$C$7,
                (U210 = 'Points-Table'!$A$8), 'Points-Table'!$C$8,
                (U210 = 'Points-Table'!$A$9), 'Points-Table'!$C$9,
                (U210 = 'Points-Table'!$A$10), 'Points-Table'!$C$10,
                (U210 = 'Points-Table'!$A$11), 'Points-Table'!$C$11,
                (U210 = 'Points-Table'!$A$12), 'Points-Table'!$C$12,
                (U210 = 'Points-Table'!$A$13), 'Points-Table'!$C$13,
                true, 0
              )
            </f>
        <v>2</v>
      </c>
      <c r="W210" s="6">
        <v>2.0</v>
      </c>
      <c r="X210" s="6">
        <f>
              Ifs(
                (W210 = 'Points-Table'!$A$4), 'Points-Table'!$C$4,
                (W210 = 'Points-Table'!$A$5), 'Points-Table'!$C$5,
                (W210 = 'Points-Table'!$A$6), 'Points-Table'!$C$6,
                (W210 = 'Points-Table'!$A$7), 'Points-Table'!$C$7,
                (W210 = 'Points-Table'!$A$8), 'Points-Table'!$C$8,
                (W210 = 'Points-Table'!$A$9), 'Points-Table'!$C$9,
                (W210 = 'Points-Table'!$A$10), 'Points-Table'!$C$10,
                (W210 = 'Points-Table'!$A$11), 'Points-Table'!$C$11,
                (W210 = 'Points-Table'!$A$12), 'Points-Table'!$C$12,
                (W210 = 'Points-Table'!$A$13), 'Points-Table'!$C$13,
                true, 0
              )
            </f>
        <v>1</v>
      </c>
      <c r="Y210" s="6">
        <v>5.0</v>
      </c>
      <c r="Z210" s="6">
        <f>
              Ifs(
                (Y210 = 'Points-Table'!$A$4), 'Points-Table'!$C$4,
                (Y210 = 'Points-Table'!$A$5), 'Points-Table'!$C$5,
                (Y210 = 'Points-Table'!$A$6), 'Points-Table'!$C$6,
                (Y210 = 'Points-Table'!$A$7), 'Points-Table'!$C$7,
                (Y210 = 'Points-Table'!$A$8), 'Points-Table'!$C$8,
                (Y210 = 'Points-Table'!$A$9), 'Points-Table'!$C$9,
                (Y210 = 'Points-Table'!$A$10), 'Points-Table'!$C$10,
                (Y210 = 'Points-Table'!$A$11), 'Points-Table'!$C$11,
                (Y210 = 'Points-Table'!$A$12), 'Points-Table'!$C$12,
                (Y210 = 'Points-Table'!$A$13), 'Points-Table'!$C$13,
                true, 0
              )
            </f>
        <v>4</v>
      </c>
      <c r="AA210" s="6">
        <f t="shared" si="2"/>
        <v>7</v>
      </c>
      <c r="AB210" s="6" t="str">
        <f>IFERROR(__xludf.DUMMYFUNCTION("
      Ifs( 
        ISBETWEEN(AA210, 0, 'Points-Table'!C$20, TRUE, False), 'Points-Table'!A$20,
        ISBETWEEN(AA210, 'Points-Table'!C$20, 'Points-Table'!C$21, TRUE, False), 'Points-Table'!A$21,
        ISBETWEEN(AA210, 'Points-Table'!C$22, 10000, TRU"&amp;"E, TRUE), 'Points-Table'!A$22,
        true, 
        0)
      "),"S")</f>
        <v>S</v>
      </c>
      <c r="AC210" s="6" t="s">
        <v>29</v>
      </c>
      <c r="AD210" s="6" t="s">
        <v>29</v>
      </c>
      <c r="AE210" s="6" t="s">
        <v>29</v>
      </c>
    </row>
    <row r="211" ht="24.75" customHeight="1">
      <c r="A211" s="6" t="s">
        <v>428</v>
      </c>
      <c r="B211" s="6"/>
      <c r="C211" s="6"/>
      <c r="D211" s="6" t="s">
        <v>426</v>
      </c>
      <c r="E211" s="6"/>
      <c r="F211" s="6"/>
      <c r="G211" s="6"/>
      <c r="H211" s="6"/>
      <c r="I211" s="6"/>
      <c r="J211" s="6"/>
      <c r="K211" s="6" t="s">
        <v>27</v>
      </c>
      <c r="L211" s="6" t="s">
        <v>28</v>
      </c>
      <c r="M211" s="6"/>
      <c r="N211" s="6"/>
      <c r="O211" s="6"/>
      <c r="P211" s="6"/>
      <c r="Q211" s="6"/>
      <c r="R211" s="6">
        <f>
              Ifs(
                (Q211 = 'Points-Table'!$A$4), 'Points-Table'!$C$4,
                (Q211 = 'Points-Table'!$A$5), 'Points-Table'!$C$5,
                (Q211 = 'Points-Table'!$A$6), 'Points-Table'!$C$6,
                (Q211 = 'Points-Table'!$A$7), 'Points-Table'!$C$7,
                (Q211 = 'Points-Table'!$A$8), 'Points-Table'!$C$8,
                (Q211 = 'Points-Table'!$A$9), 'Points-Table'!$C$9,
                (Q211 = 'Points-Table'!$A$10), 'Points-Table'!$C$10,
                (Q211 = 'Points-Table'!$A$11), 'Points-Table'!$C$11,
                (Q211 = 'Points-Table'!$A$12), 'Points-Table'!$C$12,
                (Q211 = 'Points-Table'!$A$13), 'Points-Table'!$C$13,
                true, 0
              )
            </f>
        <v>0</v>
      </c>
      <c r="S211" s="6"/>
      <c r="T211" s="6">
        <f>
              Ifs(
                (S211 = 'Points-Table'!$A$4), 'Points-Table'!$C$4,
                (S211 = 'Points-Table'!$A$5), 'Points-Table'!$C$5,
                (S211 = 'Points-Table'!$A$6), 'Points-Table'!$C$6,
                (S211 = 'Points-Table'!$A$7), 'Points-Table'!$C$7,
                (S211 = 'Points-Table'!$A$8), 'Points-Table'!$C$8,
                (S211 = 'Points-Table'!$A$9), 'Points-Table'!$C$9,
                (S211 = 'Points-Table'!$A$10), 'Points-Table'!$C$10,
                (S211 = 'Points-Table'!$A$11), 'Points-Table'!$C$11,
                (S211 = 'Points-Table'!$A$12), 'Points-Table'!$C$12,
                (S211 = 'Points-Table'!$A$13), 'Points-Table'!$C$13,
                true, 0
              )
            </f>
        <v>0</v>
      </c>
      <c r="U211" s="6"/>
      <c r="V211" s="6">
        <f>
              Ifs(
                (U211 = 'Points-Table'!$A$4), 'Points-Table'!$C$4,
                (U211 = 'Points-Table'!$A$5), 'Points-Table'!$C$5,
                (U211 = 'Points-Table'!$A$6), 'Points-Table'!$C$6,
                (U211 = 'Points-Table'!$A$7), 'Points-Table'!$C$7,
                (U211 = 'Points-Table'!$A$8), 'Points-Table'!$C$8,
                (U211 = 'Points-Table'!$A$9), 'Points-Table'!$C$9,
                (U211 = 'Points-Table'!$A$10), 'Points-Table'!$C$10,
                (U211 = 'Points-Table'!$A$11), 'Points-Table'!$C$11,
                (U211 = 'Points-Table'!$A$12), 'Points-Table'!$C$12,
                (U211 = 'Points-Table'!$A$13), 'Points-Table'!$C$13,
                true, 0
              )
            </f>
        <v>0</v>
      </c>
      <c r="W211" s="6"/>
      <c r="X211" s="6">
        <f>
              Ifs(
                (W211 = 'Points-Table'!$A$4), 'Points-Table'!$C$4,
                (W211 = 'Points-Table'!$A$5), 'Points-Table'!$C$5,
                (W211 = 'Points-Table'!$A$6), 'Points-Table'!$C$6,
                (W211 = 'Points-Table'!$A$7), 'Points-Table'!$C$7,
                (W211 = 'Points-Table'!$A$8), 'Points-Table'!$C$8,
                (W211 = 'Points-Table'!$A$9), 'Points-Table'!$C$9,
                (W211 = 'Points-Table'!$A$10), 'Points-Table'!$C$10,
                (W211 = 'Points-Table'!$A$11), 'Points-Table'!$C$11,
                (W211 = 'Points-Table'!$A$12), 'Points-Table'!$C$12,
                (W211 = 'Points-Table'!$A$13), 'Points-Table'!$C$13,
                true, 0
              )
            </f>
        <v>0</v>
      </c>
      <c r="Y211" s="6"/>
      <c r="Z211" s="6">
        <f>
              Ifs(
                (Y211 = 'Points-Table'!$A$4), 'Points-Table'!$C$4,
                (Y211 = 'Points-Table'!$A$5), 'Points-Table'!$C$5,
                (Y211 = 'Points-Table'!$A$6), 'Points-Table'!$C$6,
                (Y211 = 'Points-Table'!$A$7), 'Points-Table'!$C$7,
                (Y211 = 'Points-Table'!$A$8), 'Points-Table'!$C$8,
                (Y211 = 'Points-Table'!$A$9), 'Points-Table'!$C$9,
                (Y211 = 'Points-Table'!$A$10), 'Points-Table'!$C$10,
                (Y211 = 'Points-Table'!$A$11), 'Points-Table'!$C$11,
                (Y211 = 'Points-Table'!$A$12), 'Points-Table'!$C$12,
                (Y211 = 'Points-Table'!$A$13), 'Points-Table'!$C$13,
                true, 0
              )
            </f>
        <v>0</v>
      </c>
      <c r="AA211" s="6">
        <f t="shared" si="2"/>
        <v>0</v>
      </c>
      <c r="AB211" s="6" t="str">
        <f>IFERROR(__xludf.DUMMYFUNCTION("
      Ifs( 
        ISBETWEEN(AA211, 0, 'Points-Table'!C$20, TRUE, False), 'Points-Table'!A$20,
        ISBETWEEN(AA211, 'Points-Table'!C$20, 'Points-Table'!C$21, TRUE, False), 'Points-Table'!A$21,
        ISBETWEEN(AA211, 'Points-Table'!C$22, 10000, TRU"&amp;"E, TRUE), 'Points-Table'!A$22,
        true, 
        0)
      "),"S")</f>
        <v>S</v>
      </c>
      <c r="AC211" s="6" t="s">
        <v>29</v>
      </c>
      <c r="AD211" s="6" t="s">
        <v>29</v>
      </c>
      <c r="AE211" s="6" t="s">
        <v>29</v>
      </c>
    </row>
    <row r="212" ht="24.75" customHeight="1">
      <c r="A212" s="6" t="s">
        <v>429</v>
      </c>
      <c r="B212" s="6" t="s">
        <v>430</v>
      </c>
      <c r="C212" s="6"/>
      <c r="D212" s="6"/>
      <c r="E212" s="6"/>
      <c r="F212" s="6"/>
      <c r="G212" s="6"/>
      <c r="H212" s="6"/>
      <c r="I212" s="6"/>
      <c r="J212" s="6"/>
      <c r="K212" s="6" t="s">
        <v>27</v>
      </c>
      <c r="L212" s="6" t="s">
        <v>28</v>
      </c>
      <c r="M212" s="6"/>
      <c r="N212" s="6"/>
      <c r="O212" s="6"/>
      <c r="P212" s="6"/>
      <c r="Q212" s="6">
        <v>3.0</v>
      </c>
      <c r="R212" s="6">
        <f>
              Ifs(
                (Q212 = 'Points-Table'!$A$4), 'Points-Table'!$C$4,
                (Q212 = 'Points-Table'!$A$5), 'Points-Table'!$C$5,
                (Q212 = 'Points-Table'!$A$6), 'Points-Table'!$C$6,
                (Q212 = 'Points-Table'!$A$7), 'Points-Table'!$C$7,
                (Q212 = 'Points-Table'!$A$8), 'Points-Table'!$C$8,
                (Q212 = 'Points-Table'!$A$9), 'Points-Table'!$C$9,
                (Q212 = 'Points-Table'!$A$10), 'Points-Table'!$C$10,
                (Q212 = 'Points-Table'!$A$11), 'Points-Table'!$C$11,
                (Q212 = 'Points-Table'!$A$12), 'Points-Table'!$C$12,
                (Q212 = 'Points-Table'!$A$13), 'Points-Table'!$C$13,
                true, 0
              )
            </f>
        <v>2</v>
      </c>
      <c r="S212" s="6">
        <v>3.0</v>
      </c>
      <c r="T212" s="6">
        <f>
              Ifs(
                (S212 = 'Points-Table'!$A$4), 'Points-Table'!$C$4,
                (S212 = 'Points-Table'!$A$5), 'Points-Table'!$C$5,
                (S212 = 'Points-Table'!$A$6), 'Points-Table'!$C$6,
                (S212 = 'Points-Table'!$A$7), 'Points-Table'!$C$7,
                (S212 = 'Points-Table'!$A$8), 'Points-Table'!$C$8,
                (S212 = 'Points-Table'!$A$9), 'Points-Table'!$C$9,
                (S212 = 'Points-Table'!$A$10), 'Points-Table'!$C$10,
                (S212 = 'Points-Table'!$A$11), 'Points-Table'!$C$11,
                (S212 = 'Points-Table'!$A$12), 'Points-Table'!$C$12,
                (S212 = 'Points-Table'!$A$13), 'Points-Table'!$C$13,
                true, 0
              )
            </f>
        <v>2</v>
      </c>
      <c r="U212" s="6">
        <v>3.0</v>
      </c>
      <c r="V212" s="6">
        <f>
              Ifs(
                (U212 = 'Points-Table'!$A$4), 'Points-Table'!$C$4,
                (U212 = 'Points-Table'!$A$5), 'Points-Table'!$C$5,
                (U212 = 'Points-Table'!$A$6), 'Points-Table'!$C$6,
                (U212 = 'Points-Table'!$A$7), 'Points-Table'!$C$7,
                (U212 = 'Points-Table'!$A$8), 'Points-Table'!$C$8,
                (U212 = 'Points-Table'!$A$9), 'Points-Table'!$C$9,
                (U212 = 'Points-Table'!$A$10), 'Points-Table'!$C$10,
                (U212 = 'Points-Table'!$A$11), 'Points-Table'!$C$11,
                (U212 = 'Points-Table'!$A$12), 'Points-Table'!$C$12,
                (U212 = 'Points-Table'!$A$13), 'Points-Table'!$C$13,
                true, 0
              )
            </f>
        <v>2</v>
      </c>
      <c r="W212" s="6">
        <v>5.0</v>
      </c>
      <c r="X212" s="6">
        <f>
              Ifs(
                (W212 = 'Points-Table'!$A$4), 'Points-Table'!$C$4,
                (W212 = 'Points-Table'!$A$5), 'Points-Table'!$C$5,
                (W212 = 'Points-Table'!$A$6), 'Points-Table'!$C$6,
                (W212 = 'Points-Table'!$A$7), 'Points-Table'!$C$7,
                (W212 = 'Points-Table'!$A$8), 'Points-Table'!$C$8,
                (W212 = 'Points-Table'!$A$9), 'Points-Table'!$C$9,
                (W212 = 'Points-Table'!$A$10), 'Points-Table'!$C$10,
                (W212 = 'Points-Table'!$A$11), 'Points-Table'!$C$11,
                (W212 = 'Points-Table'!$A$12), 'Points-Table'!$C$12,
                (W212 = 'Points-Table'!$A$13), 'Points-Table'!$C$13,
                true, 0
              )
            </f>
        <v>4</v>
      </c>
      <c r="Y212" s="6">
        <v>21.0</v>
      </c>
      <c r="Z212" s="6">
        <f>
              Ifs(
                (Y212 = 'Points-Table'!$A$4), 'Points-Table'!$C$4,
                (Y212 = 'Points-Table'!$A$5), 'Points-Table'!$C$5,
                (Y212 = 'Points-Table'!$A$6), 'Points-Table'!$C$6,
                (Y212 = 'Points-Table'!$A$7), 'Points-Table'!$C$7,
                (Y212 = 'Points-Table'!$A$8), 'Points-Table'!$C$8,
                (Y212 = 'Points-Table'!$A$9), 'Points-Table'!$C$9,
                (Y212 = 'Points-Table'!$A$10), 'Points-Table'!$C$10,
                (Y212 = 'Points-Table'!$A$11), 'Points-Table'!$C$11,
                (Y212 = 'Points-Table'!$A$12), 'Points-Table'!$C$12,
                (Y212 = 'Points-Table'!$A$13), 'Points-Table'!$C$13,
                true, 0
              )
            </f>
        <v>16</v>
      </c>
      <c r="AA212" s="6">
        <f t="shared" si="2"/>
        <v>22</v>
      </c>
      <c r="AB212" s="6" t="str">
        <f>IFERROR(__xludf.DUMMYFUNCTION("
      Ifs( 
        ISBETWEEN(AA212, 0, 'Points-Table'!C$20, TRUE, False), 'Points-Table'!A$20,
        ISBETWEEN(AA212, 'Points-Table'!C$20, 'Points-Table'!C$21, TRUE, False), 'Points-Table'!A$21,
        ISBETWEEN(AA212, 'Points-Table'!C$22, 10000, TRU"&amp;"E, TRUE), 'Points-Table'!A$22,
        true, 
        0)
      "),"S")</f>
        <v>S</v>
      </c>
      <c r="AC212" s="6" t="s">
        <v>29</v>
      </c>
      <c r="AD212" s="6" t="s">
        <v>29</v>
      </c>
      <c r="AE212" s="6" t="s">
        <v>29</v>
      </c>
    </row>
    <row r="213" ht="24.75" customHeight="1">
      <c r="A213" s="6" t="s">
        <v>429</v>
      </c>
      <c r="B213" s="6" t="s">
        <v>431</v>
      </c>
      <c r="C213" s="6"/>
      <c r="D213" s="6"/>
      <c r="E213" s="6"/>
      <c r="F213" s="6"/>
      <c r="G213" s="6"/>
      <c r="H213" s="6"/>
      <c r="I213" s="6"/>
      <c r="J213" s="6"/>
      <c r="K213" s="6" t="s">
        <v>27</v>
      </c>
      <c r="L213" s="6" t="s">
        <v>28</v>
      </c>
      <c r="M213" s="6"/>
      <c r="N213" s="6"/>
      <c r="O213" s="6"/>
      <c r="P213" s="6"/>
      <c r="Q213" s="6"/>
      <c r="R213" s="6">
        <f>
              Ifs(
                (Q213 = 'Points-Table'!$A$4), 'Points-Table'!$C$4,
                (Q213 = 'Points-Table'!$A$5), 'Points-Table'!$C$5,
                (Q213 = 'Points-Table'!$A$6), 'Points-Table'!$C$6,
                (Q213 = 'Points-Table'!$A$7), 'Points-Table'!$C$7,
                (Q213 = 'Points-Table'!$A$8), 'Points-Table'!$C$8,
                (Q213 = 'Points-Table'!$A$9), 'Points-Table'!$C$9,
                (Q213 = 'Points-Table'!$A$10), 'Points-Table'!$C$10,
                (Q213 = 'Points-Table'!$A$11), 'Points-Table'!$C$11,
                (Q213 = 'Points-Table'!$A$12), 'Points-Table'!$C$12,
                (Q213 = 'Points-Table'!$A$13), 'Points-Table'!$C$13,
                true, 0
              )
            </f>
        <v>0</v>
      </c>
      <c r="S213" s="6"/>
      <c r="T213" s="6">
        <f>
              Ifs(
                (S213 = 'Points-Table'!$A$4), 'Points-Table'!$C$4,
                (S213 = 'Points-Table'!$A$5), 'Points-Table'!$C$5,
                (S213 = 'Points-Table'!$A$6), 'Points-Table'!$C$6,
                (S213 = 'Points-Table'!$A$7), 'Points-Table'!$C$7,
                (S213 = 'Points-Table'!$A$8), 'Points-Table'!$C$8,
                (S213 = 'Points-Table'!$A$9), 'Points-Table'!$C$9,
                (S213 = 'Points-Table'!$A$10), 'Points-Table'!$C$10,
                (S213 = 'Points-Table'!$A$11), 'Points-Table'!$C$11,
                (S213 = 'Points-Table'!$A$12), 'Points-Table'!$C$12,
                (S213 = 'Points-Table'!$A$13), 'Points-Table'!$C$13,
                true, 0
              )
            </f>
        <v>0</v>
      </c>
      <c r="U213" s="6">
        <v>2.0</v>
      </c>
      <c r="V213" s="6">
        <f>
              Ifs(
                (U213 = 'Points-Table'!$A$4), 'Points-Table'!$C$4,
                (U213 = 'Points-Table'!$A$5), 'Points-Table'!$C$5,
                (U213 = 'Points-Table'!$A$6), 'Points-Table'!$C$6,
                (U213 = 'Points-Table'!$A$7), 'Points-Table'!$C$7,
                (U213 = 'Points-Table'!$A$8), 'Points-Table'!$C$8,
                (U213 = 'Points-Table'!$A$9), 'Points-Table'!$C$9,
                (U213 = 'Points-Table'!$A$10), 'Points-Table'!$C$10,
                (U213 = 'Points-Table'!$A$11), 'Points-Table'!$C$11,
                (U213 = 'Points-Table'!$A$12), 'Points-Table'!$C$12,
                (U213 = 'Points-Table'!$A$13), 'Points-Table'!$C$13,
                true, 0
              )
            </f>
        <v>1</v>
      </c>
      <c r="W213" s="6">
        <v>0.0</v>
      </c>
      <c r="X213" s="6">
        <f>
              Ifs(
                (W213 = 'Points-Table'!$A$4), 'Points-Table'!$C$4,
                (W213 = 'Points-Table'!$A$5), 'Points-Table'!$C$5,
                (W213 = 'Points-Table'!$A$6), 'Points-Table'!$C$6,
                (W213 = 'Points-Table'!$A$7), 'Points-Table'!$C$7,
                (W213 = 'Points-Table'!$A$8), 'Points-Table'!$C$8,
                (W213 = 'Points-Table'!$A$9), 'Points-Table'!$C$9,
                (W213 = 'Points-Table'!$A$10), 'Points-Table'!$C$10,
                (W213 = 'Points-Table'!$A$11), 'Points-Table'!$C$11,
                (W213 = 'Points-Table'!$A$12), 'Points-Table'!$C$12,
                (W213 = 'Points-Table'!$A$13), 'Points-Table'!$C$13,
                true, 0
              )
            </f>
        <v>0</v>
      </c>
      <c r="Y213" s="6">
        <v>0.0</v>
      </c>
      <c r="Z213" s="6">
        <f>
              Ifs(
                (Y213 = 'Points-Table'!$A$4), 'Points-Table'!$C$4,
                (Y213 = 'Points-Table'!$A$5), 'Points-Table'!$C$5,
                (Y213 = 'Points-Table'!$A$6), 'Points-Table'!$C$6,
                (Y213 = 'Points-Table'!$A$7), 'Points-Table'!$C$7,
                (Y213 = 'Points-Table'!$A$8), 'Points-Table'!$C$8,
                (Y213 = 'Points-Table'!$A$9), 'Points-Table'!$C$9,
                (Y213 = 'Points-Table'!$A$10), 'Points-Table'!$C$10,
                (Y213 = 'Points-Table'!$A$11), 'Points-Table'!$C$11,
                (Y213 = 'Points-Table'!$A$12), 'Points-Table'!$C$12,
                (Y213 = 'Points-Table'!$A$13), 'Points-Table'!$C$13,
                true, 0
              )
            </f>
        <v>0</v>
      </c>
      <c r="AA213" s="6">
        <f t="shared" si="2"/>
        <v>1</v>
      </c>
      <c r="AB213" s="6" t="str">
        <f>IFERROR(__xludf.DUMMYFUNCTION("
      Ifs( 
        ISBETWEEN(AA213, 0, 'Points-Table'!C$20, TRUE, False), 'Points-Table'!A$20,
        ISBETWEEN(AA213, 'Points-Table'!C$20, 'Points-Table'!C$21, TRUE, False), 'Points-Table'!A$21,
        ISBETWEEN(AA213, 'Points-Table'!C$22, 10000, TRU"&amp;"E, TRUE), 'Points-Table'!A$22,
        true, 
        0)
      "),"S")</f>
        <v>S</v>
      </c>
      <c r="AC213" s="6" t="s">
        <v>29</v>
      </c>
      <c r="AD213" s="6" t="s">
        <v>29</v>
      </c>
      <c r="AE213" s="6" t="s">
        <v>29</v>
      </c>
    </row>
    <row r="214" ht="24.75" customHeight="1">
      <c r="A214" s="6" t="s">
        <v>429</v>
      </c>
      <c r="B214" s="6" t="s">
        <v>432</v>
      </c>
      <c r="C214" s="6"/>
      <c r="D214" s="6"/>
      <c r="E214" s="6"/>
      <c r="F214" s="6"/>
      <c r="G214" s="6"/>
      <c r="H214" s="6"/>
      <c r="I214" s="6"/>
      <c r="J214" s="6"/>
      <c r="K214" s="6" t="s">
        <v>27</v>
      </c>
      <c r="L214" s="6" t="s">
        <v>28</v>
      </c>
      <c r="M214" s="6"/>
      <c r="N214" s="6"/>
      <c r="O214" s="6"/>
      <c r="P214" s="6"/>
      <c r="Q214" s="6"/>
      <c r="R214" s="6">
        <f>
              Ifs(
                (Q214 = 'Points-Table'!$A$4), 'Points-Table'!$C$4,
                (Q214 = 'Points-Table'!$A$5), 'Points-Table'!$C$5,
                (Q214 = 'Points-Table'!$A$6), 'Points-Table'!$C$6,
                (Q214 = 'Points-Table'!$A$7), 'Points-Table'!$C$7,
                (Q214 = 'Points-Table'!$A$8), 'Points-Table'!$C$8,
                (Q214 = 'Points-Table'!$A$9), 'Points-Table'!$C$9,
                (Q214 = 'Points-Table'!$A$10), 'Points-Table'!$C$10,
                (Q214 = 'Points-Table'!$A$11), 'Points-Table'!$C$11,
                (Q214 = 'Points-Table'!$A$12), 'Points-Table'!$C$12,
                (Q214 = 'Points-Table'!$A$13), 'Points-Table'!$C$13,
                true, 0
              )
            </f>
        <v>0</v>
      </c>
      <c r="S214" s="6"/>
      <c r="T214" s="6">
        <f>
              Ifs(
                (S214 = 'Points-Table'!$A$4), 'Points-Table'!$C$4,
                (S214 = 'Points-Table'!$A$5), 'Points-Table'!$C$5,
                (S214 = 'Points-Table'!$A$6), 'Points-Table'!$C$6,
                (S214 = 'Points-Table'!$A$7), 'Points-Table'!$C$7,
                (S214 = 'Points-Table'!$A$8), 'Points-Table'!$C$8,
                (S214 = 'Points-Table'!$A$9), 'Points-Table'!$C$9,
                (S214 = 'Points-Table'!$A$10), 'Points-Table'!$C$10,
                (S214 = 'Points-Table'!$A$11), 'Points-Table'!$C$11,
                (S214 = 'Points-Table'!$A$12), 'Points-Table'!$C$12,
                (S214 = 'Points-Table'!$A$13), 'Points-Table'!$C$13,
                true, 0
              )
            </f>
        <v>0</v>
      </c>
      <c r="U214" s="6">
        <v>3.0</v>
      </c>
      <c r="V214" s="6">
        <f>
              Ifs(
                (U214 = 'Points-Table'!$A$4), 'Points-Table'!$C$4,
                (U214 = 'Points-Table'!$A$5), 'Points-Table'!$C$5,
                (U214 = 'Points-Table'!$A$6), 'Points-Table'!$C$6,
                (U214 = 'Points-Table'!$A$7), 'Points-Table'!$C$7,
                (U214 = 'Points-Table'!$A$8), 'Points-Table'!$C$8,
                (U214 = 'Points-Table'!$A$9), 'Points-Table'!$C$9,
                (U214 = 'Points-Table'!$A$10), 'Points-Table'!$C$10,
                (U214 = 'Points-Table'!$A$11), 'Points-Table'!$C$11,
                (U214 = 'Points-Table'!$A$12), 'Points-Table'!$C$12,
                (U214 = 'Points-Table'!$A$13), 'Points-Table'!$C$13,
                true, 0
              )
            </f>
        <v>2</v>
      </c>
      <c r="W214" s="6">
        <v>0.0</v>
      </c>
      <c r="X214" s="6">
        <f>
              Ifs(
                (W214 = 'Points-Table'!$A$4), 'Points-Table'!$C$4,
                (W214 = 'Points-Table'!$A$5), 'Points-Table'!$C$5,
                (W214 = 'Points-Table'!$A$6), 'Points-Table'!$C$6,
                (W214 = 'Points-Table'!$A$7), 'Points-Table'!$C$7,
                (W214 = 'Points-Table'!$A$8), 'Points-Table'!$C$8,
                (W214 = 'Points-Table'!$A$9), 'Points-Table'!$C$9,
                (W214 = 'Points-Table'!$A$10), 'Points-Table'!$C$10,
                (W214 = 'Points-Table'!$A$11), 'Points-Table'!$C$11,
                (W214 = 'Points-Table'!$A$12), 'Points-Table'!$C$12,
                (W214 = 'Points-Table'!$A$13), 'Points-Table'!$C$13,
                true, 0
              )
            </f>
        <v>0</v>
      </c>
      <c r="Y214" s="6">
        <v>0.0</v>
      </c>
      <c r="Z214" s="6">
        <f>
              Ifs(
                (Y214 = 'Points-Table'!$A$4), 'Points-Table'!$C$4,
                (Y214 = 'Points-Table'!$A$5), 'Points-Table'!$C$5,
                (Y214 = 'Points-Table'!$A$6), 'Points-Table'!$C$6,
                (Y214 = 'Points-Table'!$A$7), 'Points-Table'!$C$7,
                (Y214 = 'Points-Table'!$A$8), 'Points-Table'!$C$8,
                (Y214 = 'Points-Table'!$A$9), 'Points-Table'!$C$9,
                (Y214 = 'Points-Table'!$A$10), 'Points-Table'!$C$10,
                (Y214 = 'Points-Table'!$A$11), 'Points-Table'!$C$11,
                (Y214 = 'Points-Table'!$A$12), 'Points-Table'!$C$12,
                (Y214 = 'Points-Table'!$A$13), 'Points-Table'!$C$13,
                true, 0
              )
            </f>
        <v>0</v>
      </c>
      <c r="AA214" s="6">
        <f t="shared" si="2"/>
        <v>2</v>
      </c>
      <c r="AB214" s="6" t="str">
        <f>IFERROR(__xludf.DUMMYFUNCTION("
      Ifs( 
        ISBETWEEN(AA214, 0, 'Points-Table'!C$20, TRUE, False), 'Points-Table'!A$20,
        ISBETWEEN(AA214, 'Points-Table'!C$20, 'Points-Table'!C$21, TRUE, False), 'Points-Table'!A$21,
        ISBETWEEN(AA214, 'Points-Table'!C$22, 10000, TRU"&amp;"E, TRUE), 'Points-Table'!A$22,
        true, 
        0)
      "),"S")</f>
        <v>S</v>
      </c>
      <c r="AC214" s="6" t="s">
        <v>29</v>
      </c>
      <c r="AD214" s="6" t="s">
        <v>29</v>
      </c>
      <c r="AE214" s="6" t="s">
        <v>29</v>
      </c>
    </row>
    <row r="215" ht="24.75" customHeight="1">
      <c r="A215" s="6" t="s">
        <v>429</v>
      </c>
      <c r="B215" s="6" t="s">
        <v>433</v>
      </c>
      <c r="C215" s="6"/>
      <c r="D215" s="6"/>
      <c r="E215" s="6"/>
      <c r="F215" s="6"/>
      <c r="G215" s="6"/>
      <c r="H215" s="6"/>
      <c r="I215" s="6"/>
      <c r="J215" s="6"/>
      <c r="K215" s="6" t="s">
        <v>27</v>
      </c>
      <c r="L215" s="6" t="s">
        <v>28</v>
      </c>
      <c r="M215" s="6"/>
      <c r="N215" s="6"/>
      <c r="O215" s="6"/>
      <c r="P215" s="6"/>
      <c r="Q215" s="6"/>
      <c r="R215" s="6">
        <f>
              Ifs(
                (Q215 = 'Points-Table'!$A$4), 'Points-Table'!$C$4,
                (Q215 = 'Points-Table'!$A$5), 'Points-Table'!$C$5,
                (Q215 = 'Points-Table'!$A$6), 'Points-Table'!$C$6,
                (Q215 = 'Points-Table'!$A$7), 'Points-Table'!$C$7,
                (Q215 = 'Points-Table'!$A$8), 'Points-Table'!$C$8,
                (Q215 = 'Points-Table'!$A$9), 'Points-Table'!$C$9,
                (Q215 = 'Points-Table'!$A$10), 'Points-Table'!$C$10,
                (Q215 = 'Points-Table'!$A$11), 'Points-Table'!$C$11,
                (Q215 = 'Points-Table'!$A$12), 'Points-Table'!$C$12,
                (Q215 = 'Points-Table'!$A$13), 'Points-Table'!$C$13,
                true, 0
              )
            </f>
        <v>0</v>
      </c>
      <c r="S215" s="6"/>
      <c r="T215" s="6">
        <f>
              Ifs(
                (S215 = 'Points-Table'!$A$4), 'Points-Table'!$C$4,
                (S215 = 'Points-Table'!$A$5), 'Points-Table'!$C$5,
                (S215 = 'Points-Table'!$A$6), 'Points-Table'!$C$6,
                (S215 = 'Points-Table'!$A$7), 'Points-Table'!$C$7,
                (S215 = 'Points-Table'!$A$8), 'Points-Table'!$C$8,
                (S215 = 'Points-Table'!$A$9), 'Points-Table'!$C$9,
                (S215 = 'Points-Table'!$A$10), 'Points-Table'!$C$10,
                (S215 = 'Points-Table'!$A$11), 'Points-Table'!$C$11,
                (S215 = 'Points-Table'!$A$12), 'Points-Table'!$C$12,
                (S215 = 'Points-Table'!$A$13), 'Points-Table'!$C$13,
                true, 0
              )
            </f>
        <v>0</v>
      </c>
      <c r="U215" s="6">
        <v>5.0</v>
      </c>
      <c r="V215" s="6">
        <f>
              Ifs(
                (U215 = 'Points-Table'!$A$4), 'Points-Table'!$C$4,
                (U215 = 'Points-Table'!$A$5), 'Points-Table'!$C$5,
                (U215 = 'Points-Table'!$A$6), 'Points-Table'!$C$6,
                (U215 = 'Points-Table'!$A$7), 'Points-Table'!$C$7,
                (U215 = 'Points-Table'!$A$8), 'Points-Table'!$C$8,
                (U215 = 'Points-Table'!$A$9), 'Points-Table'!$C$9,
                (U215 = 'Points-Table'!$A$10), 'Points-Table'!$C$10,
                (U215 = 'Points-Table'!$A$11), 'Points-Table'!$C$11,
                (U215 = 'Points-Table'!$A$12), 'Points-Table'!$C$12,
                (U215 = 'Points-Table'!$A$13), 'Points-Table'!$C$13,
                true, 0
              )
            </f>
        <v>4</v>
      </c>
      <c r="W215" s="6">
        <v>0.0</v>
      </c>
      <c r="X215" s="6">
        <f>
              Ifs(
                (W215 = 'Points-Table'!$A$4), 'Points-Table'!$C$4,
                (W215 = 'Points-Table'!$A$5), 'Points-Table'!$C$5,
                (W215 = 'Points-Table'!$A$6), 'Points-Table'!$C$6,
                (W215 = 'Points-Table'!$A$7), 'Points-Table'!$C$7,
                (W215 = 'Points-Table'!$A$8), 'Points-Table'!$C$8,
                (W215 = 'Points-Table'!$A$9), 'Points-Table'!$C$9,
                (W215 = 'Points-Table'!$A$10), 'Points-Table'!$C$10,
                (W215 = 'Points-Table'!$A$11), 'Points-Table'!$C$11,
                (W215 = 'Points-Table'!$A$12), 'Points-Table'!$C$12,
                (W215 = 'Points-Table'!$A$13), 'Points-Table'!$C$13,
                true, 0
              )
            </f>
        <v>0</v>
      </c>
      <c r="Y215" s="6">
        <v>0.0</v>
      </c>
      <c r="Z215" s="6">
        <f>
              Ifs(
                (Y215 = 'Points-Table'!$A$4), 'Points-Table'!$C$4,
                (Y215 = 'Points-Table'!$A$5), 'Points-Table'!$C$5,
                (Y215 = 'Points-Table'!$A$6), 'Points-Table'!$C$6,
                (Y215 = 'Points-Table'!$A$7), 'Points-Table'!$C$7,
                (Y215 = 'Points-Table'!$A$8), 'Points-Table'!$C$8,
                (Y215 = 'Points-Table'!$A$9), 'Points-Table'!$C$9,
                (Y215 = 'Points-Table'!$A$10), 'Points-Table'!$C$10,
                (Y215 = 'Points-Table'!$A$11), 'Points-Table'!$C$11,
                (Y215 = 'Points-Table'!$A$12), 'Points-Table'!$C$12,
                (Y215 = 'Points-Table'!$A$13), 'Points-Table'!$C$13,
                true, 0
              )
            </f>
        <v>0</v>
      </c>
      <c r="AA215" s="6">
        <f t="shared" si="2"/>
        <v>4</v>
      </c>
      <c r="AB215" s="6" t="str">
        <f>IFERROR(__xludf.DUMMYFUNCTION("
      Ifs( 
        ISBETWEEN(AA215, 0, 'Points-Table'!C$20, TRUE, False), 'Points-Table'!A$20,
        ISBETWEEN(AA215, 'Points-Table'!C$20, 'Points-Table'!C$21, TRUE, False), 'Points-Table'!A$21,
        ISBETWEEN(AA215, 'Points-Table'!C$22, 10000, TRU"&amp;"E, TRUE), 'Points-Table'!A$22,
        true, 
        0)
      "),"S")</f>
        <v>S</v>
      </c>
      <c r="AC215" s="6" t="s">
        <v>29</v>
      </c>
      <c r="AD215" s="6" t="s">
        <v>29</v>
      </c>
      <c r="AE215" s="6" t="s">
        <v>29</v>
      </c>
    </row>
    <row r="216" ht="24.75" customHeight="1">
      <c r="A216" s="6" t="s">
        <v>123</v>
      </c>
      <c r="B216" s="6"/>
      <c r="C216" s="6"/>
      <c r="D216" s="6"/>
      <c r="E216" s="6"/>
      <c r="F216" s="6"/>
      <c r="G216" s="6"/>
      <c r="H216" s="6"/>
      <c r="I216" s="6"/>
      <c r="J216" s="6"/>
      <c r="K216" s="6" t="s">
        <v>27</v>
      </c>
      <c r="L216" s="6" t="s">
        <v>28</v>
      </c>
      <c r="M216" s="6"/>
      <c r="N216" s="6"/>
      <c r="O216" s="6"/>
      <c r="P216" s="6"/>
      <c r="Q216" s="6">
        <v>8.0</v>
      </c>
      <c r="R216" s="6">
        <f>
              Ifs(
                (Q216 = 'Points-Table'!$A$4), 'Points-Table'!$C$4,
                (Q216 = 'Points-Table'!$A$5), 'Points-Table'!$C$5,
                (Q216 = 'Points-Table'!$A$6), 'Points-Table'!$C$6,
                (Q216 = 'Points-Table'!$A$7), 'Points-Table'!$C$7,
                (Q216 = 'Points-Table'!$A$8), 'Points-Table'!$C$8,
                (Q216 = 'Points-Table'!$A$9), 'Points-Table'!$C$9,
                (Q216 = 'Points-Table'!$A$10), 'Points-Table'!$C$10,
                (Q216 = 'Points-Table'!$A$11), 'Points-Table'!$C$11,
                (Q216 = 'Points-Table'!$A$12), 'Points-Table'!$C$12,
                (Q216 = 'Points-Table'!$A$13), 'Points-Table'!$C$13,
                true, 0
              )
            </f>
        <v>7</v>
      </c>
      <c r="S216" s="6">
        <v>34.0</v>
      </c>
      <c r="T216" s="6">
        <f>
              Ifs(
                (S216 = 'Points-Table'!$A$4), 'Points-Table'!$C$4,
                (S216 = 'Points-Table'!$A$5), 'Points-Table'!$C$5,
                (S216 = 'Points-Table'!$A$6), 'Points-Table'!$C$6,
                (S216 = 'Points-Table'!$A$7), 'Points-Table'!$C$7,
                (S216 = 'Points-Table'!$A$8), 'Points-Table'!$C$8,
                (S216 = 'Points-Table'!$A$9), 'Points-Table'!$C$9,
                (S216 = 'Points-Table'!$A$10), 'Points-Table'!$C$10,
                (S216 = 'Points-Table'!$A$11), 'Points-Table'!$C$11,
                (S216 = 'Points-Table'!$A$12), 'Points-Table'!$C$12,
                (S216 = 'Points-Table'!$A$13), 'Points-Table'!$C$13,
                true, 0
              )
            </f>
        <v>24</v>
      </c>
      <c r="U216" s="6">
        <v>0.0</v>
      </c>
      <c r="V216" s="6">
        <f>
              Ifs(
                (U216 = 'Points-Table'!$A$4), 'Points-Table'!$C$4,
                (U216 = 'Points-Table'!$A$5), 'Points-Table'!$C$5,
                (U216 = 'Points-Table'!$A$6), 'Points-Table'!$C$6,
                (U216 = 'Points-Table'!$A$7), 'Points-Table'!$C$7,
                (U216 = 'Points-Table'!$A$8), 'Points-Table'!$C$8,
                (U216 = 'Points-Table'!$A$9), 'Points-Table'!$C$9,
                (U216 = 'Points-Table'!$A$10), 'Points-Table'!$C$10,
                (U216 = 'Points-Table'!$A$11), 'Points-Table'!$C$11,
                (U216 = 'Points-Table'!$A$12), 'Points-Table'!$C$12,
                (U216 = 'Points-Table'!$A$13), 'Points-Table'!$C$13,
                true, 0
              )
            </f>
        <v>0</v>
      </c>
      <c r="W216" s="6">
        <v>0.0</v>
      </c>
      <c r="X216" s="6">
        <f>
              Ifs(
                (W216 = 'Points-Table'!$A$4), 'Points-Table'!$C$4,
                (W216 = 'Points-Table'!$A$5), 'Points-Table'!$C$5,
                (W216 = 'Points-Table'!$A$6), 'Points-Table'!$C$6,
                (W216 = 'Points-Table'!$A$7), 'Points-Table'!$C$7,
                (W216 = 'Points-Table'!$A$8), 'Points-Table'!$C$8,
                (W216 = 'Points-Table'!$A$9), 'Points-Table'!$C$9,
                (W216 = 'Points-Table'!$A$10), 'Points-Table'!$C$10,
                (W216 = 'Points-Table'!$A$11), 'Points-Table'!$C$11,
                (W216 = 'Points-Table'!$A$12), 'Points-Table'!$C$12,
                (W216 = 'Points-Table'!$A$13), 'Points-Table'!$C$13,
                true, 0
              )
            </f>
        <v>0</v>
      </c>
      <c r="Y216" s="6">
        <v>0.0</v>
      </c>
      <c r="Z216" s="6">
        <f>
              Ifs(
                (Y216 = 'Points-Table'!$A$4), 'Points-Table'!$C$4,
                (Y216 = 'Points-Table'!$A$5), 'Points-Table'!$C$5,
                (Y216 = 'Points-Table'!$A$6), 'Points-Table'!$C$6,
                (Y216 = 'Points-Table'!$A$7), 'Points-Table'!$C$7,
                (Y216 = 'Points-Table'!$A$8), 'Points-Table'!$C$8,
                (Y216 = 'Points-Table'!$A$9), 'Points-Table'!$C$9,
                (Y216 = 'Points-Table'!$A$10), 'Points-Table'!$C$10,
                (Y216 = 'Points-Table'!$A$11), 'Points-Table'!$C$11,
                (Y216 = 'Points-Table'!$A$12), 'Points-Table'!$C$12,
                (Y216 = 'Points-Table'!$A$13), 'Points-Table'!$C$13,
                true, 0
              )
            </f>
        <v>0</v>
      </c>
      <c r="AA216" s="6">
        <f t="shared" si="2"/>
        <v>0</v>
      </c>
      <c r="AB216" s="6" t="str">
        <f>IFERROR(__xludf.DUMMYFUNCTION("
      Ifs( 
        ISBETWEEN(AA216, 0, 'Points-Table'!C$20, TRUE, False), 'Points-Table'!A$20,
        ISBETWEEN(AA216, 'Points-Table'!C$20, 'Points-Table'!C$21, TRUE, False), 'Points-Table'!A$21,
        ISBETWEEN(AA216, 'Points-Table'!C$22, 10000, TRU"&amp;"E, TRUE), 'Points-Table'!A$22,
        true, 
        0)
      "),"S")</f>
        <v>S</v>
      </c>
      <c r="AC216" s="6" t="s">
        <v>29</v>
      </c>
      <c r="AD216" s="6" t="s">
        <v>29</v>
      </c>
      <c r="AE216" s="6" t="s">
        <v>29</v>
      </c>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8"/>
      <c r="R274" s="9"/>
      <c r="S274" s="8"/>
      <c r="T274" s="9"/>
      <c r="U274" s="8"/>
      <c r="V274" s="9"/>
      <c r="W274" s="8"/>
      <c r="X274" s="9"/>
      <c r="Y274" s="8"/>
      <c r="Z274" s="9"/>
    </row>
    <row r="275" ht="24.75" customHeight="1">
      <c r="L275" s="7"/>
      <c r="Q275" s="8"/>
      <c r="R275" s="9"/>
      <c r="S275" s="8"/>
      <c r="T275" s="9"/>
      <c r="U275" s="8"/>
      <c r="V275" s="9"/>
      <c r="W275" s="8"/>
      <c r="X275" s="9"/>
      <c r="Y275" s="8"/>
      <c r="Z275" s="9"/>
    </row>
    <row r="276" ht="24.75" customHeight="1">
      <c r="L276" s="7"/>
      <c r="Q276" s="8"/>
      <c r="R276" s="9"/>
      <c r="S276" s="8"/>
      <c r="T276" s="9"/>
      <c r="U276" s="8"/>
      <c r="V276" s="9"/>
      <c r="W276" s="8"/>
      <c r="X276" s="9"/>
      <c r="Y276" s="8"/>
      <c r="Z276" s="9"/>
    </row>
    <row r="277" ht="24.75" customHeight="1">
      <c r="L277" s="7"/>
      <c r="Q277" s="8"/>
      <c r="R277" s="9"/>
      <c r="S277" s="8"/>
      <c r="T277" s="9"/>
      <c r="U277" s="8"/>
      <c r="V277" s="9"/>
      <c r="W277" s="8"/>
      <c r="X277" s="9"/>
      <c r="Y277" s="8"/>
      <c r="Z277" s="9"/>
    </row>
    <row r="278" ht="24.75" customHeight="1">
      <c r="L278" s="7"/>
      <c r="Q278" s="8"/>
      <c r="R278" s="9"/>
      <c r="S278" s="8"/>
      <c r="T278" s="9"/>
      <c r="U278" s="8"/>
      <c r="V278" s="9"/>
      <c r="W278" s="8"/>
      <c r="X278" s="9"/>
      <c r="Y278" s="8"/>
      <c r="Z278" s="9"/>
    </row>
    <row r="279" ht="24.75" customHeight="1">
      <c r="L279" s="7"/>
      <c r="Q279" s="8"/>
      <c r="R279" s="9"/>
      <c r="S279" s="8"/>
      <c r="T279" s="9"/>
      <c r="U279" s="8"/>
      <c r="V279" s="9"/>
      <c r="W279" s="8"/>
      <c r="X279" s="9"/>
      <c r="Y279" s="8"/>
      <c r="Z279" s="9"/>
    </row>
    <row r="280" ht="24.75" customHeight="1">
      <c r="L280" s="7"/>
      <c r="Q280" s="8"/>
      <c r="R280" s="9"/>
      <c r="S280" s="8"/>
      <c r="T280" s="9"/>
      <c r="U280" s="8"/>
      <c r="V280" s="9"/>
      <c r="W280" s="8"/>
      <c r="X280" s="9"/>
      <c r="Y280" s="8"/>
      <c r="Z280" s="9"/>
    </row>
    <row r="281" ht="24.75" customHeight="1">
      <c r="L281" s="7"/>
      <c r="Q281" s="8"/>
      <c r="R281" s="9"/>
      <c r="S281" s="8"/>
      <c r="T281" s="9"/>
      <c r="U281" s="8"/>
      <c r="V281" s="9"/>
      <c r="W281" s="8"/>
      <c r="X281" s="9"/>
      <c r="Y281" s="8"/>
      <c r="Z281" s="9"/>
    </row>
    <row r="282" ht="24.75" customHeight="1">
      <c r="L282" s="7"/>
      <c r="Q282" s="8"/>
      <c r="R282" s="9"/>
      <c r="S282" s="8"/>
      <c r="T282" s="9"/>
      <c r="U282" s="8"/>
      <c r="V282" s="9"/>
      <c r="W282" s="8"/>
      <c r="X282" s="9"/>
      <c r="Y282" s="8"/>
      <c r="Z282" s="9"/>
    </row>
    <row r="283" ht="24.75" customHeight="1">
      <c r="L283" s="7"/>
      <c r="Q283" s="8"/>
      <c r="R283" s="9"/>
      <c r="S283" s="8"/>
      <c r="T283" s="9"/>
      <c r="U283" s="8"/>
      <c r="V283" s="9"/>
      <c r="W283" s="8"/>
      <c r="X283" s="9"/>
      <c r="Y283" s="8"/>
      <c r="Z283" s="9"/>
    </row>
    <row r="284" ht="24.75" customHeight="1">
      <c r="L284" s="7"/>
      <c r="Q284" s="8"/>
      <c r="R284" s="9"/>
      <c r="S284" s="8"/>
      <c r="T284" s="9"/>
      <c r="U284" s="8"/>
      <c r="V284" s="9"/>
      <c r="W284" s="8"/>
      <c r="X284" s="9"/>
      <c r="Y284" s="8"/>
      <c r="Z284" s="9"/>
    </row>
    <row r="285" ht="24.75" customHeight="1">
      <c r="L285" s="7"/>
      <c r="Q285" s="8"/>
      <c r="R285" s="9"/>
      <c r="S285" s="8"/>
      <c r="T285" s="9"/>
      <c r="U285" s="8"/>
      <c r="V285" s="9"/>
      <c r="W285" s="8"/>
      <c r="X285" s="9"/>
      <c r="Y285" s="8"/>
      <c r="Z285" s="9"/>
    </row>
    <row r="286" ht="24.75" customHeight="1">
      <c r="L286" s="7"/>
      <c r="Q286" s="8"/>
      <c r="R286" s="9"/>
      <c r="S286" s="8"/>
      <c r="T286" s="9"/>
      <c r="U286" s="8"/>
      <c r="V286" s="9"/>
      <c r="W286" s="8"/>
      <c r="X286" s="9"/>
      <c r="Y286" s="8"/>
      <c r="Z286" s="9"/>
    </row>
    <row r="287" ht="24.75" customHeight="1">
      <c r="L287" s="7"/>
      <c r="Q287" s="8"/>
      <c r="R287" s="9"/>
      <c r="S287" s="8"/>
      <c r="T287" s="9"/>
      <c r="U287" s="8"/>
      <c r="V287" s="9"/>
      <c r="W287" s="8"/>
      <c r="X287" s="9"/>
      <c r="Y287" s="8"/>
      <c r="Z287" s="9"/>
    </row>
    <row r="288" ht="24.75" customHeight="1">
      <c r="L288" s="7"/>
      <c r="Q288" s="8"/>
      <c r="R288" s="9"/>
      <c r="S288" s="8"/>
      <c r="T288" s="9"/>
      <c r="U288" s="8"/>
      <c r="V288" s="9"/>
      <c r="W288" s="8"/>
      <c r="X288" s="9"/>
      <c r="Y288" s="8"/>
      <c r="Z288" s="9"/>
    </row>
    <row r="289" ht="24.75" customHeight="1">
      <c r="L289" s="7"/>
      <c r="Q289" s="8"/>
      <c r="R289" s="9"/>
      <c r="S289" s="8"/>
      <c r="T289" s="9"/>
      <c r="U289" s="8"/>
      <c r="V289" s="9"/>
      <c r="W289" s="8"/>
      <c r="X289" s="9"/>
      <c r="Y289" s="8"/>
      <c r="Z289" s="9"/>
    </row>
    <row r="290" ht="24.75" customHeight="1">
      <c r="L290" s="7"/>
      <c r="Q290" s="8"/>
      <c r="R290" s="9"/>
      <c r="S290" s="8"/>
      <c r="T290" s="9"/>
      <c r="U290" s="8"/>
      <c r="V290" s="9"/>
      <c r="W290" s="8"/>
      <c r="X290" s="9"/>
      <c r="Y290" s="8"/>
      <c r="Z290" s="9"/>
    </row>
    <row r="291" ht="24.75" customHeight="1">
      <c r="L291" s="7"/>
      <c r="Q291" s="8"/>
      <c r="R291" s="9"/>
      <c r="S291" s="8"/>
      <c r="T291" s="9"/>
      <c r="U291" s="8"/>
      <c r="V291" s="9"/>
      <c r="W291" s="8"/>
      <c r="X291" s="9"/>
      <c r="Y291" s="8"/>
      <c r="Z291" s="9"/>
    </row>
    <row r="292" ht="24.75" customHeight="1">
      <c r="L292" s="7"/>
      <c r="Q292" s="8"/>
      <c r="R292" s="9"/>
      <c r="S292" s="8"/>
      <c r="T292" s="9"/>
      <c r="U292" s="8"/>
      <c r="V292" s="9"/>
      <c r="W292" s="8"/>
      <c r="X292" s="9"/>
      <c r="Y292" s="8"/>
      <c r="Z292" s="9"/>
    </row>
    <row r="293" ht="24.75" customHeight="1">
      <c r="L293" s="7"/>
      <c r="Q293" s="8"/>
      <c r="R293" s="9"/>
      <c r="S293" s="8"/>
      <c r="T293" s="9"/>
      <c r="U293" s="8"/>
      <c r="V293" s="9"/>
      <c r="W293" s="8"/>
      <c r="X293" s="9"/>
      <c r="Y293" s="8"/>
      <c r="Z293" s="9"/>
    </row>
    <row r="294" ht="24.75" customHeight="1">
      <c r="L294" s="7"/>
      <c r="Q294" s="8"/>
      <c r="R294" s="9"/>
      <c r="S294" s="8"/>
      <c r="T294" s="9"/>
      <c r="U294" s="8"/>
      <c r="V294" s="9"/>
      <c r="W294" s="8"/>
      <c r="X294" s="9"/>
      <c r="Y294" s="8"/>
      <c r="Z294" s="9"/>
    </row>
    <row r="295" ht="24.75" customHeight="1">
      <c r="L295" s="7"/>
      <c r="Q295" s="8"/>
      <c r="R295" s="9"/>
      <c r="S295" s="8"/>
      <c r="T295" s="9"/>
      <c r="U295" s="8"/>
      <c r="V295" s="9"/>
      <c r="W295" s="8"/>
      <c r="X295" s="9"/>
      <c r="Y295" s="8"/>
      <c r="Z295" s="9"/>
    </row>
    <row r="296" ht="24.75" customHeight="1">
      <c r="L296" s="7"/>
      <c r="Q296" s="8"/>
      <c r="R296" s="9"/>
      <c r="S296" s="8"/>
      <c r="T296" s="9"/>
      <c r="U296" s="8"/>
      <c r="V296" s="9"/>
      <c r="W296" s="8"/>
      <c r="X296" s="9"/>
      <c r="Y296" s="8"/>
      <c r="Z296" s="9"/>
    </row>
    <row r="297" ht="24.75" customHeight="1">
      <c r="L297" s="7"/>
      <c r="Q297" s="8"/>
      <c r="R297" s="9"/>
      <c r="S297" s="8"/>
      <c r="T297" s="9"/>
      <c r="U297" s="8"/>
      <c r="V297" s="9"/>
      <c r="W297" s="8"/>
      <c r="X297" s="9"/>
      <c r="Y297" s="8"/>
      <c r="Z297" s="9"/>
    </row>
    <row r="298" ht="24.75" customHeight="1">
      <c r="L298" s="7"/>
      <c r="Q298" s="8"/>
      <c r="R298" s="9"/>
      <c r="S298" s="8"/>
      <c r="T298" s="9"/>
      <c r="U298" s="8"/>
      <c r="V298" s="9"/>
      <c r="W298" s="8"/>
      <c r="X298" s="9"/>
      <c r="Y298" s="8"/>
      <c r="Z298" s="9"/>
    </row>
    <row r="299" ht="24.75" customHeight="1">
      <c r="L299" s="7"/>
      <c r="Q299" s="8"/>
      <c r="R299" s="9"/>
      <c r="S299" s="8"/>
      <c r="T299" s="9"/>
      <c r="U299" s="8"/>
      <c r="V299" s="9"/>
      <c r="W299" s="8"/>
      <c r="X299" s="9"/>
      <c r="Y299" s="8"/>
      <c r="Z299" s="9"/>
    </row>
    <row r="300" ht="24.75" customHeight="1">
      <c r="L300" s="7"/>
      <c r="Q300" s="8"/>
      <c r="R300" s="9"/>
      <c r="S300" s="8"/>
      <c r="T300" s="9"/>
      <c r="U300" s="8"/>
      <c r="V300" s="9"/>
      <c r="W300" s="8"/>
      <c r="X300" s="9"/>
      <c r="Y300" s="8"/>
      <c r="Z300" s="9"/>
    </row>
    <row r="301" ht="24.75" customHeight="1">
      <c r="L301" s="7"/>
      <c r="Q301" s="8"/>
      <c r="R301" s="9"/>
      <c r="S301" s="8"/>
      <c r="T301" s="9"/>
      <c r="U301" s="8"/>
      <c r="V301" s="9"/>
      <c r="W301" s="8"/>
      <c r="X301" s="9"/>
      <c r="Y301" s="8"/>
      <c r="Z301" s="9"/>
    </row>
    <row r="302" ht="24.75" customHeight="1">
      <c r="L302" s="7"/>
      <c r="Q302" s="8"/>
      <c r="R302" s="9"/>
      <c r="S302" s="8"/>
      <c r="T302" s="9"/>
      <c r="U302" s="8"/>
      <c r="V302" s="9"/>
      <c r="W302" s="8"/>
      <c r="X302" s="9"/>
      <c r="Y302" s="8"/>
      <c r="Z302" s="9"/>
    </row>
    <row r="303" ht="24.75" customHeight="1">
      <c r="L303" s="7"/>
      <c r="Q303" s="8"/>
      <c r="R303" s="9"/>
      <c r="S303" s="8"/>
      <c r="T303" s="9"/>
      <c r="U303" s="8"/>
      <c r="V303" s="9"/>
      <c r="W303" s="8"/>
      <c r="X303" s="9"/>
      <c r="Y303" s="8"/>
      <c r="Z303" s="9"/>
    </row>
    <row r="304" ht="24.75" customHeight="1">
      <c r="L304" s="7"/>
      <c r="Q304" s="8"/>
      <c r="R304" s="9"/>
      <c r="S304" s="8"/>
      <c r="T304" s="9"/>
      <c r="U304" s="8"/>
      <c r="V304" s="9"/>
      <c r="W304" s="8"/>
      <c r="X304" s="9"/>
      <c r="Y304" s="8"/>
      <c r="Z304" s="9"/>
    </row>
    <row r="305" ht="24.75" customHeight="1">
      <c r="L305" s="7"/>
      <c r="Q305" s="8"/>
      <c r="R305" s="9"/>
      <c r="S305" s="8"/>
      <c r="T305" s="9"/>
      <c r="U305" s="8"/>
      <c r="V305" s="9"/>
      <c r="W305" s="8"/>
      <c r="X305" s="9"/>
      <c r="Y305" s="8"/>
      <c r="Z305" s="9"/>
    </row>
    <row r="306" ht="24.75" customHeight="1">
      <c r="L306" s="7"/>
      <c r="Q306" s="8"/>
      <c r="R306" s="9"/>
      <c r="S306" s="8"/>
      <c r="T306" s="9"/>
      <c r="U306" s="8"/>
      <c r="V306" s="9"/>
      <c r="W306" s="8"/>
      <c r="X306" s="9"/>
      <c r="Y306" s="8"/>
      <c r="Z306" s="9"/>
    </row>
    <row r="307" ht="24.75" customHeight="1">
      <c r="L307" s="7"/>
      <c r="Q307" s="8"/>
      <c r="R307" s="9"/>
      <c r="S307" s="8"/>
      <c r="T307" s="9"/>
      <c r="U307" s="8"/>
      <c r="V307" s="9"/>
      <c r="W307" s="8"/>
      <c r="X307" s="9"/>
      <c r="Y307" s="8"/>
      <c r="Z307" s="9"/>
    </row>
    <row r="308" ht="24.75" customHeight="1">
      <c r="L308" s="7"/>
      <c r="Q308" s="8"/>
      <c r="R308" s="9"/>
      <c r="S308" s="8"/>
      <c r="T308" s="9"/>
      <c r="U308" s="8"/>
      <c r="V308" s="9"/>
      <c r="W308" s="8"/>
      <c r="X308" s="9"/>
      <c r="Y308" s="8"/>
      <c r="Z308" s="9"/>
    </row>
    <row r="309" ht="24.75" customHeight="1">
      <c r="L309" s="7"/>
      <c r="Q309" s="8"/>
      <c r="R309" s="9"/>
      <c r="S309" s="8"/>
      <c r="T309" s="9"/>
      <c r="U309" s="8"/>
      <c r="V309" s="9"/>
      <c r="W309" s="8"/>
      <c r="X309" s="9"/>
      <c r="Y309" s="8"/>
      <c r="Z309" s="9"/>
    </row>
    <row r="310" ht="24.75" customHeight="1">
      <c r="L310" s="7"/>
      <c r="Q310" s="8"/>
      <c r="R310" s="9"/>
      <c r="S310" s="8"/>
      <c r="T310" s="9"/>
      <c r="U310" s="8"/>
      <c r="V310" s="9"/>
      <c r="W310" s="8"/>
      <c r="X310" s="9"/>
      <c r="Y310" s="8"/>
      <c r="Z310" s="9"/>
    </row>
    <row r="311" ht="24.75" customHeight="1">
      <c r="L311" s="7"/>
      <c r="Q311" s="8"/>
      <c r="R311" s="9"/>
      <c r="S311" s="8"/>
      <c r="T311" s="9"/>
      <c r="U311" s="8"/>
      <c r="V311" s="9"/>
      <c r="W311" s="8"/>
      <c r="X311" s="9"/>
      <c r="Y311" s="8"/>
      <c r="Z311" s="9"/>
    </row>
    <row r="312" ht="24.75" customHeight="1">
      <c r="L312" s="7"/>
      <c r="Q312" s="8"/>
      <c r="R312" s="9"/>
      <c r="S312" s="8"/>
      <c r="T312" s="9"/>
      <c r="U312" s="8"/>
      <c r="V312" s="9"/>
      <c r="W312" s="8"/>
      <c r="X312" s="9"/>
      <c r="Y312" s="8"/>
      <c r="Z312" s="9"/>
    </row>
    <row r="313" ht="24.75" customHeight="1">
      <c r="L313" s="7"/>
      <c r="Q313" s="8"/>
      <c r="R313" s="9"/>
      <c r="S313" s="8"/>
      <c r="T313" s="9"/>
      <c r="U313" s="8"/>
      <c r="V313" s="9"/>
      <c r="W313" s="8"/>
      <c r="X313" s="9"/>
      <c r="Y313" s="8"/>
      <c r="Z313" s="9"/>
    </row>
    <row r="314" ht="24.75" customHeight="1">
      <c r="L314" s="7"/>
      <c r="Q314" s="8"/>
      <c r="R314" s="9"/>
      <c r="S314" s="8"/>
      <c r="T314" s="9"/>
      <c r="U314" s="8"/>
      <c r="V314" s="9"/>
      <c r="W314" s="8"/>
      <c r="X314" s="9"/>
      <c r="Y314" s="8"/>
      <c r="Z314" s="9"/>
    </row>
    <row r="315" ht="24.75" customHeight="1">
      <c r="L315" s="7"/>
      <c r="Q315" s="8"/>
      <c r="R315" s="9"/>
      <c r="S315" s="8"/>
      <c r="T315" s="9"/>
      <c r="U315" s="8"/>
      <c r="V315" s="9"/>
      <c r="W315" s="8"/>
      <c r="X315" s="9"/>
      <c r="Y315" s="8"/>
      <c r="Z315" s="9"/>
    </row>
    <row r="316" ht="24.75" customHeight="1">
      <c r="L316" s="7"/>
      <c r="Q316" s="8"/>
      <c r="R316" s="9"/>
      <c r="S316" s="8"/>
      <c r="T316" s="9"/>
      <c r="U316" s="8"/>
      <c r="V316" s="9"/>
      <c r="W316" s="8"/>
      <c r="X316" s="9"/>
      <c r="Y316" s="8"/>
      <c r="Z316" s="9"/>
    </row>
    <row r="317" ht="24.75" customHeight="1">
      <c r="L317" s="7"/>
      <c r="Q317" s="8"/>
      <c r="R317" s="9"/>
      <c r="S317" s="8"/>
      <c r="T317" s="9"/>
      <c r="U317" s="8"/>
      <c r="V317" s="9"/>
      <c r="W317" s="8"/>
      <c r="X317" s="9"/>
      <c r="Y317" s="8"/>
      <c r="Z317" s="9"/>
    </row>
    <row r="318" ht="24.75" customHeight="1">
      <c r="L318" s="7"/>
      <c r="Q318" s="8"/>
      <c r="R318" s="9"/>
      <c r="S318" s="8"/>
      <c r="T318" s="9"/>
      <c r="U318" s="8"/>
      <c r="V318" s="9"/>
      <c r="W318" s="8"/>
      <c r="X318" s="9"/>
      <c r="Y318" s="8"/>
      <c r="Z318" s="9"/>
    </row>
    <row r="319" ht="24.75" customHeight="1">
      <c r="L319" s="7"/>
      <c r="Q319" s="8"/>
      <c r="R319" s="9"/>
      <c r="S319" s="8"/>
      <c r="T319" s="9"/>
      <c r="U319" s="8"/>
      <c r="V319" s="9"/>
      <c r="W319" s="8"/>
      <c r="X319" s="9"/>
      <c r="Y319" s="8"/>
      <c r="Z319" s="9"/>
    </row>
    <row r="320" ht="24.75" customHeight="1">
      <c r="L320" s="7"/>
      <c r="Q320" s="8"/>
      <c r="R320" s="9"/>
      <c r="S320" s="8"/>
      <c r="T320" s="9"/>
      <c r="U320" s="8"/>
      <c r="V320" s="9"/>
      <c r="W320" s="8"/>
      <c r="X320" s="9"/>
      <c r="Y320" s="8"/>
      <c r="Z320" s="9"/>
    </row>
    <row r="321" ht="24.75" customHeight="1">
      <c r="L321" s="7"/>
      <c r="Q321" s="8"/>
      <c r="R321" s="9"/>
      <c r="S321" s="8"/>
      <c r="T321" s="9"/>
      <c r="U321" s="8"/>
      <c r="V321" s="9"/>
      <c r="W321" s="8"/>
      <c r="X321" s="9"/>
      <c r="Y321" s="8"/>
      <c r="Z321" s="9"/>
    </row>
    <row r="322" ht="24.75" customHeight="1">
      <c r="L322" s="7"/>
      <c r="Q322" s="8"/>
      <c r="R322" s="9"/>
      <c r="S322" s="8"/>
      <c r="T322" s="9"/>
      <c r="U322" s="8"/>
      <c r="V322" s="9"/>
      <c r="W322" s="8"/>
      <c r="X322" s="9"/>
      <c r="Y322" s="8"/>
      <c r="Z322" s="9"/>
    </row>
    <row r="323" ht="24.75" customHeight="1">
      <c r="L323" s="7"/>
      <c r="Q323" s="8"/>
      <c r="R323" s="9"/>
      <c r="S323" s="8"/>
      <c r="T323" s="9"/>
      <c r="U323" s="8"/>
      <c r="V323" s="9"/>
      <c r="W323" s="8"/>
      <c r="X323" s="9"/>
      <c r="Y323" s="8"/>
      <c r="Z323" s="9"/>
    </row>
    <row r="324" ht="24.75" customHeight="1">
      <c r="L324" s="7"/>
      <c r="Q324" s="8"/>
      <c r="R324" s="9"/>
      <c r="S324" s="8"/>
      <c r="T324" s="9"/>
      <c r="U324" s="8"/>
      <c r="V324" s="9"/>
      <c r="W324" s="8"/>
      <c r="X324" s="9"/>
      <c r="Y324" s="8"/>
      <c r="Z324" s="9"/>
    </row>
    <row r="325" ht="24.75" customHeight="1">
      <c r="L325" s="7"/>
      <c r="Q325" s="8"/>
      <c r="R325" s="9"/>
      <c r="S325" s="8"/>
      <c r="T325" s="9"/>
      <c r="U325" s="8"/>
      <c r="V325" s="9"/>
      <c r="W325" s="8"/>
      <c r="X325" s="9"/>
      <c r="Y325" s="8"/>
      <c r="Z325" s="9"/>
    </row>
    <row r="326" ht="24.75" customHeight="1">
      <c r="L326" s="7"/>
      <c r="Q326" s="8"/>
      <c r="R326" s="9"/>
      <c r="S326" s="8"/>
      <c r="T326" s="9"/>
      <c r="U326" s="8"/>
      <c r="V326" s="9"/>
      <c r="W326" s="8"/>
      <c r="X326" s="9"/>
      <c r="Y326" s="8"/>
      <c r="Z326" s="9"/>
    </row>
    <row r="327" ht="24.75" customHeight="1">
      <c r="L327" s="7"/>
      <c r="Q327" s="8"/>
      <c r="R327" s="9"/>
      <c r="S327" s="8"/>
      <c r="T327" s="9"/>
      <c r="U327" s="8"/>
      <c r="V327" s="9"/>
      <c r="W327" s="8"/>
      <c r="X327" s="9"/>
      <c r="Y327" s="8"/>
      <c r="Z327" s="9"/>
    </row>
    <row r="328" ht="24.75" customHeight="1">
      <c r="L328" s="7"/>
      <c r="Q328" s="8"/>
      <c r="R328" s="9"/>
      <c r="S328" s="8"/>
      <c r="T328" s="9"/>
      <c r="U328" s="8"/>
      <c r="V328" s="9"/>
      <c r="W328" s="8"/>
      <c r="X328" s="9"/>
      <c r="Y328" s="8"/>
      <c r="Z328" s="9"/>
    </row>
    <row r="329" ht="24.75" customHeight="1">
      <c r="L329" s="7"/>
      <c r="Q329" s="8"/>
      <c r="R329" s="9"/>
      <c r="S329" s="8"/>
      <c r="T329" s="9"/>
      <c r="U329" s="8"/>
      <c r="V329" s="9"/>
      <c r="W329" s="8"/>
      <c r="X329" s="9"/>
      <c r="Y329" s="8"/>
      <c r="Z329" s="9"/>
    </row>
    <row r="330" ht="24.75" customHeight="1">
      <c r="L330" s="7"/>
      <c r="Q330" s="8"/>
      <c r="R330" s="9"/>
      <c r="S330" s="8"/>
      <c r="T330" s="9"/>
      <c r="U330" s="8"/>
      <c r="V330" s="9"/>
      <c r="W330" s="8"/>
      <c r="X330" s="9"/>
      <c r="Y330" s="8"/>
      <c r="Z330" s="9"/>
    </row>
    <row r="331" ht="24.75" customHeight="1">
      <c r="L331" s="7"/>
      <c r="Q331" s="8"/>
      <c r="R331" s="9"/>
      <c r="S331" s="8"/>
      <c r="T331" s="9"/>
      <c r="U331" s="8"/>
      <c r="V331" s="9"/>
      <c r="W331" s="8"/>
      <c r="X331" s="9"/>
      <c r="Y331" s="8"/>
      <c r="Z331" s="9"/>
    </row>
    <row r="332" ht="24.75" customHeight="1">
      <c r="L332" s="7"/>
      <c r="Q332" s="8"/>
      <c r="R332" s="9"/>
      <c r="S332" s="8"/>
      <c r="T332" s="9"/>
      <c r="U332" s="8"/>
      <c r="V332" s="9"/>
      <c r="W332" s="8"/>
      <c r="X332" s="9"/>
      <c r="Y332" s="8"/>
      <c r="Z332" s="9"/>
    </row>
    <row r="333" ht="24.75" customHeight="1">
      <c r="L333" s="7"/>
      <c r="Q333" s="8"/>
      <c r="R333" s="9"/>
      <c r="S333" s="8"/>
      <c r="T333" s="9"/>
      <c r="U333" s="8"/>
      <c r="V333" s="9"/>
      <c r="W333" s="8"/>
      <c r="X333" s="9"/>
      <c r="Y333" s="8"/>
      <c r="Z333" s="9"/>
    </row>
    <row r="334" ht="24.75" customHeight="1">
      <c r="L334" s="7"/>
      <c r="Q334" s="8"/>
      <c r="R334" s="9"/>
      <c r="S334" s="8"/>
      <c r="T334" s="9"/>
      <c r="U334" s="8"/>
      <c r="V334" s="9"/>
      <c r="W334" s="8"/>
      <c r="X334" s="9"/>
      <c r="Y334" s="8"/>
      <c r="Z334" s="9"/>
    </row>
    <row r="335" ht="24.75" customHeight="1">
      <c r="L335" s="7"/>
      <c r="Q335" s="8"/>
      <c r="R335" s="9"/>
      <c r="S335" s="8"/>
      <c r="T335" s="9"/>
      <c r="U335" s="8"/>
      <c r="V335" s="9"/>
      <c r="W335" s="8"/>
      <c r="X335" s="9"/>
      <c r="Y335" s="8"/>
      <c r="Z335" s="9"/>
    </row>
    <row r="336" ht="24.75" customHeight="1">
      <c r="L336" s="7"/>
      <c r="Q336" s="8"/>
      <c r="R336" s="9"/>
      <c r="S336" s="8"/>
      <c r="T336" s="9"/>
      <c r="U336" s="8"/>
      <c r="V336" s="9"/>
      <c r="W336" s="8"/>
      <c r="X336" s="9"/>
      <c r="Y336" s="8"/>
      <c r="Z336" s="9"/>
    </row>
    <row r="337" ht="24.75" customHeight="1">
      <c r="L337" s="7"/>
      <c r="Q337" s="8"/>
      <c r="R337" s="9"/>
      <c r="S337" s="8"/>
      <c r="T337" s="9"/>
      <c r="U337" s="8"/>
      <c r="V337" s="9"/>
      <c r="W337" s="8"/>
      <c r="X337" s="9"/>
      <c r="Y337" s="8"/>
      <c r="Z337" s="9"/>
    </row>
    <row r="338" ht="24.75" customHeight="1">
      <c r="L338" s="7"/>
      <c r="Q338" s="8"/>
      <c r="R338" s="9"/>
      <c r="S338" s="8"/>
      <c r="T338" s="9"/>
      <c r="U338" s="8"/>
      <c r="V338" s="9"/>
      <c r="W338" s="8"/>
      <c r="X338" s="9"/>
      <c r="Y338" s="8"/>
      <c r="Z338" s="9"/>
    </row>
    <row r="339" ht="24.75" customHeight="1">
      <c r="L339" s="7"/>
      <c r="Q339" s="8"/>
      <c r="R339" s="9"/>
      <c r="S339" s="8"/>
      <c r="T339" s="9"/>
      <c r="U339" s="8"/>
      <c r="V339" s="9"/>
      <c r="W339" s="8"/>
      <c r="X339" s="9"/>
      <c r="Y339" s="8"/>
      <c r="Z339" s="9"/>
    </row>
    <row r="340" ht="24.75" customHeight="1">
      <c r="L340" s="7"/>
      <c r="Q340" s="8"/>
      <c r="R340" s="9"/>
      <c r="S340" s="8"/>
      <c r="T340" s="9"/>
      <c r="U340" s="8"/>
      <c r="V340" s="9"/>
      <c r="W340" s="8"/>
      <c r="X340" s="9"/>
      <c r="Y340" s="8"/>
      <c r="Z340" s="9"/>
    </row>
    <row r="341" ht="24.75" customHeight="1">
      <c r="L341" s="7"/>
      <c r="Q341" s="8"/>
      <c r="R341" s="9"/>
      <c r="S341" s="8"/>
      <c r="T341" s="9"/>
      <c r="U341" s="8"/>
      <c r="V341" s="9"/>
      <c r="W341" s="8"/>
      <c r="X341" s="9"/>
      <c r="Y341" s="8"/>
      <c r="Z341" s="9"/>
    </row>
    <row r="342" ht="24.75" customHeight="1">
      <c r="L342" s="7"/>
      <c r="Q342" s="8"/>
      <c r="R342" s="9"/>
      <c r="S342" s="8"/>
      <c r="T342" s="9"/>
      <c r="U342" s="8"/>
      <c r="V342" s="9"/>
      <c r="W342" s="8"/>
      <c r="X342" s="9"/>
      <c r="Y342" s="8"/>
      <c r="Z342" s="9"/>
    </row>
    <row r="343" ht="24.75" customHeight="1">
      <c r="L343" s="7"/>
      <c r="Q343" s="8"/>
      <c r="R343" s="9"/>
      <c r="S343" s="8"/>
      <c r="T343" s="9"/>
      <c r="U343" s="8"/>
      <c r="V343" s="9"/>
      <c r="W343" s="8"/>
      <c r="X343" s="9"/>
      <c r="Y343" s="8"/>
      <c r="Z343" s="9"/>
    </row>
    <row r="344" ht="24.75" customHeight="1">
      <c r="L344" s="7"/>
      <c r="Q344" s="8"/>
      <c r="R344" s="9"/>
      <c r="S344" s="8"/>
      <c r="T344" s="9"/>
      <c r="U344" s="8"/>
      <c r="V344" s="9"/>
      <c r="W344" s="8"/>
      <c r="X344" s="9"/>
      <c r="Y344" s="8"/>
      <c r="Z344" s="9"/>
    </row>
    <row r="345" ht="24.75" customHeight="1">
      <c r="L345" s="7"/>
      <c r="Q345" s="8"/>
      <c r="R345" s="9"/>
      <c r="S345" s="8"/>
      <c r="T345" s="9"/>
      <c r="U345" s="8"/>
      <c r="V345" s="9"/>
      <c r="W345" s="8"/>
      <c r="X345" s="9"/>
      <c r="Y345" s="8"/>
      <c r="Z345" s="9"/>
    </row>
    <row r="346" ht="24.75" customHeight="1">
      <c r="L346" s="7"/>
      <c r="Q346" s="8"/>
      <c r="R346" s="9"/>
      <c r="S346" s="8"/>
      <c r="T346" s="9"/>
      <c r="U346" s="8"/>
      <c r="V346" s="9"/>
      <c r="W346" s="8"/>
      <c r="X346" s="9"/>
      <c r="Y346" s="8"/>
      <c r="Z346" s="9"/>
    </row>
    <row r="347" ht="24.75" customHeight="1">
      <c r="L347" s="7"/>
      <c r="Q347" s="8"/>
      <c r="R347" s="9"/>
      <c r="S347" s="8"/>
      <c r="T347" s="9"/>
      <c r="U347" s="8"/>
      <c r="V347" s="9"/>
      <c r="W347" s="8"/>
      <c r="X347" s="9"/>
      <c r="Y347" s="8"/>
      <c r="Z347" s="9"/>
    </row>
    <row r="348" ht="24.75" customHeight="1">
      <c r="L348" s="7"/>
      <c r="Q348" s="8"/>
      <c r="R348" s="9"/>
      <c r="S348" s="8"/>
      <c r="T348" s="9"/>
      <c r="U348" s="8"/>
      <c r="V348" s="9"/>
      <c r="W348" s="8"/>
      <c r="X348" s="9"/>
      <c r="Y348" s="8"/>
      <c r="Z348" s="9"/>
    </row>
    <row r="349" ht="24.75" customHeight="1">
      <c r="L349" s="7"/>
      <c r="Q349" s="8"/>
      <c r="R349" s="9"/>
      <c r="S349" s="8"/>
      <c r="T349" s="9"/>
      <c r="U349" s="8"/>
      <c r="V349" s="9"/>
      <c r="W349" s="8"/>
      <c r="X349" s="9"/>
      <c r="Y349" s="8"/>
      <c r="Z349" s="9"/>
    </row>
    <row r="350" ht="24.75" customHeight="1">
      <c r="L350" s="7"/>
      <c r="Q350" s="8"/>
      <c r="R350" s="9"/>
      <c r="S350" s="8"/>
      <c r="T350" s="9"/>
      <c r="U350" s="8"/>
      <c r="V350" s="9"/>
      <c r="W350" s="8"/>
      <c r="X350" s="9"/>
      <c r="Y350" s="8"/>
      <c r="Z350" s="9"/>
    </row>
    <row r="351" ht="24.75" customHeight="1">
      <c r="L351" s="7"/>
      <c r="Q351" s="8"/>
      <c r="R351" s="9"/>
      <c r="S351" s="8"/>
      <c r="T351" s="9"/>
      <c r="U351" s="8"/>
      <c r="V351" s="9"/>
      <c r="W351" s="8"/>
      <c r="X351" s="9"/>
      <c r="Y351" s="8"/>
      <c r="Z351" s="9"/>
    </row>
    <row r="352" ht="24.75" customHeight="1">
      <c r="L352" s="7"/>
      <c r="Q352" s="8"/>
      <c r="R352" s="9"/>
      <c r="S352" s="8"/>
      <c r="T352" s="9"/>
      <c r="U352" s="8"/>
      <c r="V352" s="9"/>
      <c r="W352" s="8"/>
      <c r="X352" s="9"/>
      <c r="Y352" s="8"/>
      <c r="Z352" s="9"/>
    </row>
    <row r="353" ht="24.75" customHeight="1">
      <c r="L353" s="7"/>
      <c r="Q353" s="8"/>
      <c r="R353" s="9"/>
      <c r="S353" s="8"/>
      <c r="T353" s="9"/>
      <c r="U353" s="8"/>
      <c r="V353" s="9"/>
      <c r="W353" s="8"/>
      <c r="X353" s="9"/>
      <c r="Y353" s="8"/>
      <c r="Z353" s="9"/>
    </row>
    <row r="354" ht="24.75" customHeight="1">
      <c r="L354" s="7"/>
      <c r="Q354" s="8"/>
      <c r="R354" s="9"/>
      <c r="S354" s="8"/>
      <c r="T354" s="9"/>
      <c r="U354" s="8"/>
      <c r="V354" s="9"/>
      <c r="W354" s="8"/>
      <c r="X354" s="9"/>
      <c r="Y354" s="8"/>
      <c r="Z354" s="9"/>
    </row>
    <row r="355" ht="24.75" customHeight="1">
      <c r="L355" s="7"/>
      <c r="Q355" s="8"/>
      <c r="R355" s="9"/>
      <c r="S355" s="8"/>
      <c r="T355" s="9"/>
      <c r="U355" s="8"/>
      <c r="V355" s="9"/>
      <c r="W355" s="8"/>
      <c r="X355" s="9"/>
      <c r="Y355" s="8"/>
      <c r="Z355" s="9"/>
    </row>
    <row r="356" ht="24.75" customHeight="1">
      <c r="L356" s="7"/>
      <c r="Q356" s="8"/>
      <c r="R356" s="9"/>
      <c r="S356" s="8"/>
      <c r="T356" s="9"/>
      <c r="U356" s="8"/>
      <c r="V356" s="9"/>
      <c r="W356" s="8"/>
      <c r="X356" s="9"/>
      <c r="Y356" s="8"/>
      <c r="Z356" s="9"/>
    </row>
    <row r="357" ht="24.75" customHeight="1">
      <c r="L357" s="7"/>
      <c r="Q357" s="8"/>
      <c r="R357" s="9"/>
      <c r="S357" s="8"/>
      <c r="T357" s="9"/>
      <c r="U357" s="8"/>
      <c r="V357" s="9"/>
      <c r="W357" s="8"/>
      <c r="X357" s="9"/>
      <c r="Y357" s="8"/>
      <c r="Z357" s="9"/>
    </row>
    <row r="358" ht="24.75" customHeight="1">
      <c r="L358" s="7"/>
      <c r="Q358" s="8"/>
      <c r="R358" s="9"/>
      <c r="S358" s="8"/>
      <c r="T358" s="9"/>
      <c r="U358" s="8"/>
      <c r="V358" s="9"/>
      <c r="W358" s="8"/>
      <c r="X358" s="9"/>
      <c r="Y358" s="8"/>
      <c r="Z358" s="9"/>
    </row>
    <row r="359" ht="24.75" customHeight="1">
      <c r="L359" s="7"/>
      <c r="Q359" s="8"/>
      <c r="R359" s="9"/>
      <c r="S359" s="8"/>
      <c r="T359" s="9"/>
      <c r="U359" s="8"/>
      <c r="V359" s="9"/>
      <c r="W359" s="8"/>
      <c r="X359" s="9"/>
      <c r="Y359" s="8"/>
      <c r="Z359" s="9"/>
    </row>
    <row r="360" ht="24.75" customHeight="1">
      <c r="L360" s="7"/>
      <c r="Q360" s="8"/>
      <c r="R360" s="9"/>
      <c r="S360" s="8"/>
      <c r="T360" s="9"/>
      <c r="U360" s="8"/>
      <c r="V360" s="9"/>
      <c r="W360" s="8"/>
      <c r="X360" s="9"/>
      <c r="Y360" s="8"/>
      <c r="Z360" s="9"/>
    </row>
    <row r="361" ht="24.75" customHeight="1">
      <c r="L361" s="7"/>
      <c r="Q361" s="8"/>
      <c r="R361" s="9"/>
      <c r="S361" s="8"/>
      <c r="T361" s="9"/>
      <c r="U361" s="8"/>
      <c r="V361" s="9"/>
      <c r="W361" s="8"/>
      <c r="X361" s="9"/>
      <c r="Y361" s="8"/>
      <c r="Z361" s="9"/>
    </row>
    <row r="362" ht="24.75" customHeight="1">
      <c r="L362" s="7"/>
      <c r="Q362" s="8"/>
      <c r="R362" s="9"/>
      <c r="S362" s="8"/>
      <c r="T362" s="9"/>
      <c r="U362" s="8"/>
      <c r="V362" s="9"/>
      <c r="W362" s="8"/>
      <c r="X362" s="9"/>
      <c r="Y362" s="8"/>
      <c r="Z362" s="9"/>
    </row>
    <row r="363" ht="24.75" customHeight="1">
      <c r="L363" s="7"/>
      <c r="Q363" s="8"/>
      <c r="R363" s="9"/>
      <c r="S363" s="8"/>
      <c r="T363" s="9"/>
      <c r="U363" s="8"/>
      <c r="V363" s="9"/>
      <c r="W363" s="8"/>
      <c r="X363" s="9"/>
      <c r="Y363" s="8"/>
      <c r="Z363" s="9"/>
    </row>
    <row r="364" ht="24.75" customHeight="1">
      <c r="L364" s="7"/>
      <c r="Q364" s="8"/>
      <c r="R364" s="9"/>
      <c r="S364" s="8"/>
      <c r="T364" s="9"/>
      <c r="U364" s="8"/>
      <c r="V364" s="9"/>
      <c r="W364" s="8"/>
      <c r="X364" s="9"/>
      <c r="Y364" s="8"/>
      <c r="Z364" s="9"/>
    </row>
    <row r="365" ht="24.75" customHeight="1">
      <c r="L365" s="7"/>
      <c r="Q365" s="8"/>
      <c r="R365" s="9"/>
      <c r="S365" s="8"/>
      <c r="T365" s="9"/>
      <c r="U365" s="8"/>
      <c r="V365" s="9"/>
      <c r="W365" s="8"/>
      <c r="X365" s="9"/>
      <c r="Y365" s="8"/>
      <c r="Z365" s="9"/>
    </row>
    <row r="366" ht="24.75" customHeight="1">
      <c r="L366" s="7"/>
      <c r="Q366" s="8"/>
      <c r="R366" s="9"/>
      <c r="S366" s="8"/>
      <c r="T366" s="9"/>
      <c r="U366" s="8"/>
      <c r="V366" s="9"/>
      <c r="W366" s="8"/>
      <c r="X366" s="9"/>
      <c r="Y366" s="8"/>
      <c r="Z366" s="9"/>
    </row>
    <row r="367" ht="24.75" customHeight="1">
      <c r="L367" s="7"/>
      <c r="Q367" s="8"/>
      <c r="R367" s="9"/>
      <c r="S367" s="8"/>
      <c r="T367" s="9"/>
      <c r="U367" s="8"/>
      <c r="V367" s="9"/>
      <c r="W367" s="8"/>
      <c r="X367" s="9"/>
      <c r="Y367" s="8"/>
      <c r="Z367" s="9"/>
    </row>
    <row r="368" ht="24.75" customHeight="1">
      <c r="L368" s="7"/>
      <c r="Q368" s="8"/>
      <c r="R368" s="9"/>
      <c r="S368" s="8"/>
      <c r="T368" s="9"/>
      <c r="U368" s="8"/>
      <c r="V368" s="9"/>
      <c r="W368" s="8"/>
      <c r="X368" s="9"/>
      <c r="Y368" s="8"/>
      <c r="Z368" s="9"/>
    </row>
    <row r="369" ht="24.75" customHeight="1">
      <c r="L369" s="7"/>
      <c r="Q369" s="8"/>
      <c r="R369" s="9"/>
      <c r="S369" s="8"/>
      <c r="T369" s="9"/>
      <c r="U369" s="8"/>
      <c r="V369" s="9"/>
      <c r="W369" s="8"/>
      <c r="X369" s="9"/>
      <c r="Y369" s="8"/>
      <c r="Z369" s="9"/>
    </row>
    <row r="370" ht="24.75" customHeight="1">
      <c r="L370" s="7"/>
      <c r="Q370" s="8"/>
      <c r="R370" s="9"/>
      <c r="S370" s="8"/>
      <c r="T370" s="9"/>
      <c r="U370" s="8"/>
      <c r="V370" s="9"/>
      <c r="W370" s="8"/>
      <c r="X370" s="9"/>
      <c r="Y370" s="8"/>
      <c r="Z370" s="9"/>
    </row>
    <row r="371" ht="24.75" customHeight="1">
      <c r="L371" s="7"/>
      <c r="Q371" s="8"/>
      <c r="R371" s="9"/>
      <c r="S371" s="8"/>
      <c r="T371" s="9"/>
      <c r="U371" s="8"/>
      <c r="V371" s="9"/>
      <c r="W371" s="8"/>
      <c r="X371" s="9"/>
      <c r="Y371" s="8"/>
      <c r="Z371" s="9"/>
    </row>
    <row r="372" ht="24.75" customHeight="1">
      <c r="L372" s="7"/>
      <c r="Q372" s="8"/>
      <c r="R372" s="9"/>
      <c r="S372" s="8"/>
      <c r="T372" s="9"/>
      <c r="U372" s="8"/>
      <c r="V372" s="9"/>
      <c r="W372" s="8"/>
      <c r="X372" s="9"/>
      <c r="Y372" s="8"/>
      <c r="Z372" s="9"/>
    </row>
    <row r="373" ht="24.75" customHeight="1">
      <c r="L373" s="7"/>
      <c r="Q373" s="8"/>
      <c r="R373" s="9"/>
      <c r="S373" s="8"/>
      <c r="T373" s="9"/>
      <c r="U373" s="8"/>
      <c r="V373" s="9"/>
      <c r="W373" s="8"/>
      <c r="X373" s="9"/>
      <c r="Y373" s="8"/>
      <c r="Z373" s="9"/>
    </row>
    <row r="374" ht="24.75" customHeight="1">
      <c r="L374" s="7"/>
      <c r="Q374" s="8"/>
      <c r="R374" s="9"/>
      <c r="S374" s="8"/>
      <c r="T374" s="9"/>
      <c r="U374" s="8"/>
      <c r="V374" s="9"/>
      <c r="W374" s="8"/>
      <c r="X374" s="9"/>
      <c r="Y374" s="8"/>
      <c r="Z374" s="9"/>
    </row>
    <row r="375" ht="24.75" customHeight="1">
      <c r="L375" s="7"/>
      <c r="Q375" s="8"/>
      <c r="R375" s="9"/>
      <c r="S375" s="8"/>
      <c r="T375" s="9"/>
      <c r="U375" s="8"/>
      <c r="V375" s="9"/>
      <c r="W375" s="8"/>
      <c r="X375" s="9"/>
      <c r="Y375" s="8"/>
      <c r="Z375" s="9"/>
    </row>
    <row r="376" ht="24.75" customHeight="1">
      <c r="L376" s="7"/>
      <c r="Q376" s="8"/>
      <c r="R376" s="9"/>
      <c r="S376" s="8"/>
      <c r="T376" s="9"/>
      <c r="U376" s="8"/>
      <c r="V376" s="9"/>
      <c r="W376" s="8"/>
      <c r="X376" s="9"/>
      <c r="Y376" s="8"/>
      <c r="Z376" s="9"/>
    </row>
    <row r="377" ht="24.75" customHeight="1">
      <c r="L377" s="7"/>
      <c r="Q377" s="8"/>
      <c r="R377" s="9"/>
      <c r="S377" s="8"/>
      <c r="T377" s="9"/>
      <c r="U377" s="8"/>
      <c r="V377" s="9"/>
      <c r="W377" s="8"/>
      <c r="X377" s="9"/>
      <c r="Y377" s="8"/>
      <c r="Z377" s="9"/>
    </row>
    <row r="378" ht="24.75" customHeight="1">
      <c r="L378" s="7"/>
      <c r="Q378" s="8"/>
      <c r="R378" s="9"/>
      <c r="S378" s="8"/>
      <c r="T378" s="9"/>
      <c r="U378" s="8"/>
      <c r="V378" s="9"/>
      <c r="W378" s="8"/>
      <c r="X378" s="9"/>
      <c r="Y378" s="8"/>
      <c r="Z378" s="9"/>
    </row>
    <row r="379" ht="24.75" customHeight="1">
      <c r="L379" s="7"/>
      <c r="Q379" s="8"/>
      <c r="R379" s="9"/>
      <c r="S379" s="8"/>
      <c r="T379" s="9"/>
      <c r="U379" s="8"/>
      <c r="V379" s="9"/>
      <c r="W379" s="8"/>
      <c r="X379" s="9"/>
      <c r="Y379" s="8"/>
      <c r="Z379" s="9"/>
    </row>
    <row r="380" ht="24.75" customHeight="1">
      <c r="L380" s="7"/>
      <c r="Q380" s="8"/>
      <c r="R380" s="9"/>
      <c r="S380" s="8"/>
      <c r="T380" s="9"/>
      <c r="U380" s="8"/>
      <c r="V380" s="9"/>
      <c r="W380" s="8"/>
      <c r="X380" s="9"/>
      <c r="Y380" s="8"/>
      <c r="Z380" s="9"/>
    </row>
    <row r="381" ht="24.75" customHeight="1">
      <c r="L381" s="7"/>
      <c r="Q381" s="8"/>
      <c r="R381" s="9"/>
      <c r="S381" s="8"/>
      <c r="T381" s="9"/>
      <c r="U381" s="8"/>
      <c r="V381" s="9"/>
      <c r="W381" s="8"/>
      <c r="X381" s="9"/>
      <c r="Y381" s="8"/>
      <c r="Z381" s="9"/>
    </row>
    <row r="382" ht="24.75" customHeight="1">
      <c r="L382" s="7"/>
      <c r="Q382" s="8"/>
      <c r="R382" s="9"/>
      <c r="S382" s="8"/>
      <c r="T382" s="9"/>
      <c r="U382" s="8"/>
      <c r="V382" s="9"/>
      <c r="W382" s="8"/>
      <c r="X382" s="9"/>
      <c r="Y382" s="8"/>
      <c r="Z382" s="9"/>
    </row>
    <row r="383" ht="24.75" customHeight="1">
      <c r="L383" s="7"/>
      <c r="Q383" s="8"/>
      <c r="R383" s="9"/>
      <c r="S383" s="8"/>
      <c r="T383" s="9"/>
      <c r="U383" s="8"/>
      <c r="V383" s="9"/>
      <c r="W383" s="8"/>
      <c r="X383" s="9"/>
      <c r="Y383" s="8"/>
      <c r="Z383" s="9"/>
    </row>
    <row r="384" ht="24.75" customHeight="1">
      <c r="L384" s="7"/>
      <c r="Q384" s="8"/>
      <c r="R384" s="9"/>
      <c r="S384" s="8"/>
      <c r="T384" s="9"/>
      <c r="U384" s="8"/>
      <c r="V384" s="9"/>
      <c r="W384" s="8"/>
      <c r="X384" s="9"/>
      <c r="Y384" s="8"/>
      <c r="Z384" s="9"/>
    </row>
    <row r="385" ht="24.75" customHeight="1">
      <c r="L385" s="7"/>
      <c r="Q385" s="8"/>
      <c r="R385" s="9"/>
      <c r="S385" s="8"/>
      <c r="T385" s="9"/>
      <c r="U385" s="8"/>
      <c r="V385" s="9"/>
      <c r="W385" s="8"/>
      <c r="X385" s="9"/>
      <c r="Y385" s="8"/>
      <c r="Z385" s="9"/>
    </row>
    <row r="386" ht="24.75" customHeight="1">
      <c r="L386" s="7"/>
      <c r="Q386" s="8"/>
      <c r="R386" s="9"/>
      <c r="S386" s="8"/>
      <c r="T386" s="9"/>
      <c r="U386" s="8"/>
      <c r="V386" s="9"/>
      <c r="W386" s="8"/>
      <c r="X386" s="9"/>
      <c r="Y386" s="8"/>
      <c r="Z386" s="9"/>
    </row>
    <row r="387" ht="24.75" customHeight="1">
      <c r="L387" s="7"/>
      <c r="Q387" s="8"/>
      <c r="R387" s="9"/>
      <c r="S387" s="8"/>
      <c r="T387" s="9"/>
      <c r="U387" s="8"/>
      <c r="V387" s="9"/>
      <c r="W387" s="8"/>
      <c r="X387" s="9"/>
      <c r="Y387" s="8"/>
      <c r="Z387" s="9"/>
    </row>
    <row r="388" ht="24.75" customHeight="1">
      <c r="L388" s="7"/>
      <c r="Q388" s="8"/>
      <c r="R388" s="9"/>
      <c r="S388" s="8"/>
      <c r="T388" s="9"/>
      <c r="U388" s="8"/>
      <c r="V388" s="9"/>
      <c r="W388" s="8"/>
      <c r="X388" s="9"/>
      <c r="Y388" s="8"/>
      <c r="Z388" s="9"/>
    </row>
    <row r="389" ht="24.75" customHeight="1">
      <c r="L389" s="7"/>
      <c r="Q389" s="8"/>
      <c r="R389" s="9"/>
      <c r="S389" s="8"/>
      <c r="T389" s="9"/>
      <c r="U389" s="8"/>
      <c r="V389" s="9"/>
      <c r="W389" s="8"/>
      <c r="X389" s="9"/>
      <c r="Y389" s="8"/>
      <c r="Z389" s="9"/>
    </row>
    <row r="390" ht="24.75" customHeight="1">
      <c r="L390" s="7"/>
      <c r="Q390" s="8"/>
      <c r="R390" s="9"/>
      <c r="S390" s="8"/>
      <c r="T390" s="9"/>
      <c r="U390" s="8"/>
      <c r="V390" s="9"/>
      <c r="W390" s="8"/>
      <c r="X390" s="9"/>
      <c r="Y390" s="8"/>
      <c r="Z390" s="9"/>
    </row>
    <row r="391" ht="24.75" customHeight="1">
      <c r="L391" s="7"/>
      <c r="Q391" s="8"/>
      <c r="R391" s="9"/>
      <c r="S391" s="8"/>
      <c r="T391" s="9"/>
      <c r="U391" s="8"/>
      <c r="V391" s="9"/>
      <c r="W391" s="8"/>
      <c r="X391" s="9"/>
      <c r="Y391" s="8"/>
      <c r="Z391" s="9"/>
    </row>
    <row r="392" ht="24.75" customHeight="1">
      <c r="L392" s="7"/>
      <c r="Q392" s="8"/>
      <c r="R392" s="9"/>
      <c r="S392" s="8"/>
      <c r="T392" s="9"/>
      <c r="U392" s="8"/>
      <c r="V392" s="9"/>
      <c r="W392" s="8"/>
      <c r="X392" s="9"/>
      <c r="Y392" s="8"/>
      <c r="Z392" s="9"/>
    </row>
    <row r="393" ht="24.75" customHeight="1">
      <c r="L393" s="7"/>
      <c r="Q393" s="8"/>
      <c r="R393" s="9"/>
      <c r="S393" s="8"/>
      <c r="T393" s="9"/>
      <c r="U393" s="8"/>
      <c r="V393" s="9"/>
      <c r="W393" s="8"/>
      <c r="X393" s="9"/>
      <c r="Y393" s="8"/>
      <c r="Z393" s="9"/>
    </row>
    <row r="394" ht="24.75" customHeight="1">
      <c r="L394" s="7"/>
      <c r="Q394" s="8"/>
      <c r="R394" s="9"/>
      <c r="S394" s="8"/>
      <c r="T394" s="9"/>
      <c r="U394" s="8"/>
      <c r="V394" s="9"/>
      <c r="W394" s="8"/>
      <c r="X394" s="9"/>
      <c r="Y394" s="8"/>
      <c r="Z394" s="9"/>
    </row>
    <row r="395" ht="24.75" customHeight="1">
      <c r="L395" s="7"/>
      <c r="Q395" s="8"/>
      <c r="R395" s="9"/>
      <c r="S395" s="8"/>
      <c r="T395" s="9"/>
      <c r="U395" s="8"/>
      <c r="V395" s="9"/>
      <c r="W395" s="8"/>
      <c r="X395" s="9"/>
      <c r="Y395" s="8"/>
      <c r="Z395" s="9"/>
    </row>
    <row r="396" ht="24.75" customHeight="1">
      <c r="L396" s="7"/>
      <c r="Q396" s="8"/>
      <c r="R396" s="9"/>
      <c r="S396" s="8"/>
      <c r="T396" s="9"/>
      <c r="U396" s="8"/>
      <c r="V396" s="9"/>
      <c r="W396" s="8"/>
      <c r="X396" s="9"/>
      <c r="Y396" s="8"/>
      <c r="Z396" s="9"/>
    </row>
    <row r="397" ht="24.75" customHeight="1">
      <c r="L397" s="7"/>
      <c r="Q397" s="8"/>
      <c r="R397" s="9"/>
      <c r="S397" s="8"/>
      <c r="T397" s="9"/>
      <c r="U397" s="8"/>
      <c r="V397" s="9"/>
      <c r="W397" s="8"/>
      <c r="X397" s="9"/>
      <c r="Y397" s="8"/>
      <c r="Z397" s="9"/>
    </row>
    <row r="398" ht="24.75" customHeight="1">
      <c r="L398" s="7"/>
      <c r="Q398" s="8"/>
      <c r="R398" s="9"/>
      <c r="S398" s="8"/>
      <c r="T398" s="9"/>
      <c r="U398" s="8"/>
      <c r="V398" s="9"/>
      <c r="W398" s="8"/>
      <c r="X398" s="9"/>
      <c r="Y398" s="8"/>
      <c r="Z398" s="9"/>
    </row>
    <row r="399" ht="24.75" customHeight="1">
      <c r="L399" s="7"/>
      <c r="Q399" s="8"/>
      <c r="R399" s="9"/>
      <c r="S399" s="8"/>
      <c r="T399" s="9"/>
      <c r="U399" s="8"/>
      <c r="V399" s="9"/>
      <c r="W399" s="8"/>
      <c r="X399" s="9"/>
      <c r="Y399" s="8"/>
      <c r="Z399" s="9"/>
    </row>
    <row r="400" ht="24.75" customHeight="1">
      <c r="L400" s="7"/>
      <c r="Q400" s="8"/>
      <c r="R400" s="9"/>
      <c r="S400" s="8"/>
      <c r="T400" s="9"/>
      <c r="U400" s="8"/>
      <c r="V400" s="9"/>
      <c r="W400" s="8"/>
      <c r="X400" s="9"/>
      <c r="Y400" s="8"/>
      <c r="Z400" s="9"/>
    </row>
    <row r="401" ht="24.75" customHeight="1">
      <c r="L401" s="7"/>
      <c r="Q401" s="8"/>
      <c r="R401" s="9"/>
      <c r="S401" s="8"/>
      <c r="T401" s="9"/>
      <c r="U401" s="8"/>
      <c r="V401" s="9"/>
      <c r="W401" s="8"/>
      <c r="X401" s="9"/>
      <c r="Y401" s="8"/>
      <c r="Z401" s="9"/>
    </row>
    <row r="402" ht="24.75" customHeight="1">
      <c r="L402" s="7"/>
      <c r="Q402" s="8"/>
      <c r="R402" s="9"/>
      <c r="S402" s="8"/>
      <c r="T402" s="9"/>
      <c r="U402" s="8"/>
      <c r="V402" s="9"/>
      <c r="W402" s="8"/>
      <c r="X402" s="9"/>
      <c r="Y402" s="8"/>
      <c r="Z402" s="9"/>
    </row>
    <row r="403" ht="24.75" customHeight="1">
      <c r="L403" s="7"/>
      <c r="Q403" s="8"/>
      <c r="R403" s="9"/>
      <c r="S403" s="8"/>
      <c r="T403" s="9"/>
      <c r="U403" s="8"/>
      <c r="V403" s="9"/>
      <c r="W403" s="8"/>
      <c r="X403" s="9"/>
      <c r="Y403" s="8"/>
      <c r="Z403" s="9"/>
    </row>
    <row r="404" ht="24.75" customHeight="1">
      <c r="L404" s="7"/>
      <c r="Q404" s="8"/>
      <c r="R404" s="9"/>
      <c r="S404" s="8"/>
      <c r="T404" s="9"/>
      <c r="U404" s="8"/>
      <c r="V404" s="9"/>
      <c r="W404" s="8"/>
      <c r="X404" s="9"/>
      <c r="Y404" s="8"/>
      <c r="Z404" s="9"/>
    </row>
    <row r="405" ht="24.75" customHeight="1">
      <c r="L405" s="7"/>
      <c r="Q405" s="8"/>
      <c r="R405" s="9"/>
      <c r="S405" s="8"/>
      <c r="T405" s="9"/>
      <c r="U405" s="8"/>
      <c r="V405" s="9"/>
      <c r="W405" s="8"/>
      <c r="X405" s="9"/>
      <c r="Y405" s="8"/>
      <c r="Z405" s="9"/>
    </row>
    <row r="406" ht="24.75" customHeight="1">
      <c r="L406" s="7"/>
      <c r="Q406" s="8"/>
      <c r="R406" s="9"/>
      <c r="S406" s="8"/>
      <c r="T406" s="9"/>
      <c r="U406" s="8"/>
      <c r="V406" s="9"/>
      <c r="W406" s="8"/>
      <c r="X406" s="9"/>
      <c r="Y406" s="8"/>
      <c r="Z406" s="9"/>
    </row>
    <row r="407" ht="24.75" customHeight="1">
      <c r="L407" s="7"/>
      <c r="Q407" s="8"/>
      <c r="R407" s="9"/>
      <c r="S407" s="8"/>
      <c r="T407" s="9"/>
      <c r="U407" s="8"/>
      <c r="V407" s="9"/>
      <c r="W407" s="8"/>
      <c r="X407" s="9"/>
      <c r="Y407" s="8"/>
      <c r="Z407" s="9"/>
    </row>
    <row r="408" ht="24.75" customHeight="1">
      <c r="L408" s="7"/>
      <c r="Q408" s="8"/>
      <c r="R408" s="9"/>
      <c r="S408" s="8"/>
      <c r="T408" s="9"/>
      <c r="U408" s="8"/>
      <c r="V408" s="9"/>
      <c r="W408" s="8"/>
      <c r="X408" s="9"/>
      <c r="Y408" s="8"/>
      <c r="Z408" s="9"/>
    </row>
    <row r="409" ht="24.75" customHeight="1">
      <c r="L409" s="7"/>
      <c r="Q409" s="8"/>
      <c r="R409" s="9"/>
      <c r="S409" s="8"/>
      <c r="T409" s="9"/>
      <c r="U409" s="8"/>
      <c r="V409" s="9"/>
      <c r="W409" s="8"/>
      <c r="X409" s="9"/>
      <c r="Y409" s="8"/>
      <c r="Z409" s="9"/>
    </row>
    <row r="410" ht="24.75" customHeight="1">
      <c r="L410" s="7"/>
      <c r="Q410" s="8"/>
      <c r="R410" s="9"/>
      <c r="S410" s="8"/>
      <c r="T410" s="9"/>
      <c r="U410" s="8"/>
      <c r="V410" s="9"/>
      <c r="W410" s="8"/>
      <c r="X410" s="9"/>
      <c r="Y410" s="8"/>
      <c r="Z410" s="9"/>
    </row>
    <row r="411" ht="24.75" customHeight="1">
      <c r="L411" s="7"/>
      <c r="Q411" s="8"/>
      <c r="R411" s="9"/>
      <c r="S411" s="8"/>
      <c r="T411" s="9"/>
      <c r="U411" s="8"/>
      <c r="V411" s="9"/>
      <c r="W411" s="8"/>
      <c r="X411" s="9"/>
      <c r="Y411" s="8"/>
      <c r="Z411" s="9"/>
    </row>
    <row r="412" ht="24.75" customHeight="1">
      <c r="L412" s="7"/>
      <c r="Q412" s="8"/>
      <c r="R412" s="9"/>
      <c r="S412" s="8"/>
      <c r="T412" s="9"/>
      <c r="U412" s="8"/>
      <c r="V412" s="9"/>
      <c r="W412" s="8"/>
      <c r="X412" s="9"/>
      <c r="Y412" s="8"/>
      <c r="Z412" s="9"/>
    </row>
    <row r="413" ht="24.75" customHeight="1">
      <c r="L413" s="7"/>
      <c r="Q413" s="8"/>
      <c r="R413" s="9"/>
      <c r="S413" s="8"/>
      <c r="T413" s="9"/>
      <c r="U413" s="8"/>
      <c r="V413" s="9"/>
      <c r="W413" s="8"/>
      <c r="X413" s="9"/>
      <c r="Y413" s="8"/>
      <c r="Z413" s="9"/>
    </row>
    <row r="414" ht="24.75" customHeight="1">
      <c r="L414" s="7"/>
      <c r="Q414" s="8"/>
      <c r="R414" s="9"/>
      <c r="S414" s="8"/>
      <c r="T414" s="9"/>
      <c r="U414" s="8"/>
      <c r="V414" s="9"/>
      <c r="W414" s="8"/>
      <c r="X414" s="9"/>
      <c r="Y414" s="8"/>
      <c r="Z414" s="9"/>
    </row>
    <row r="415" ht="24.75" customHeight="1">
      <c r="L415" s="7"/>
      <c r="Q415" s="8"/>
      <c r="R415" s="9"/>
      <c r="S415" s="8"/>
      <c r="T415" s="9"/>
      <c r="U415" s="8"/>
      <c r="V415" s="9"/>
      <c r="W415" s="8"/>
      <c r="X415" s="9"/>
      <c r="Y415" s="8"/>
      <c r="Z415" s="9"/>
    </row>
    <row r="416" ht="24.75" customHeight="1">
      <c r="L416" s="7"/>
      <c r="Q416" s="8"/>
      <c r="R416" s="9"/>
      <c r="S416" s="8"/>
      <c r="T416" s="9"/>
      <c r="U416" s="8"/>
      <c r="V416" s="9"/>
      <c r="W416" s="8"/>
      <c r="X416" s="9"/>
      <c r="Y416" s="8"/>
      <c r="Z416" s="9"/>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2:Q3 S2:S3 Q34:Q35 S34:S35 Q43 S43 Q46 S46 U2:U52 W2:W52 Y2:Y52 Q54:Q58 S54:S58 Q69 S69 Q81:Q83 S81:S83 Q104:Q108 S104:S108 Q112:Q117 S112:S117 Q123:Q126 S123:S126 Q128:Q129 S128:S129 Q133:Q134 S133:S134 Q137 S137 Q156:Q158 S156:S158 Q160:Q161 S160:S161 Q163:Q164 S163:S164 U54:U167 W54:W167 Y54:Y167 Q170:Q173 S170:S173 Q179:Q180 S179:S180 Q182:Q191 S182:S191 Q197:Q198 S197:S198 Q201 S201 Q205:Q210 S205:S210 U169:U210 W169:W210 Y169:Y210 Q212 S212 Q216:Q1000 S216:S1000 U212:U1000 W212:W1000 Y212:Y1000">
      <formula1>"0,1,2,3,5,8,13,21,34,55,89"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7" t="s">
        <v>434</v>
      </c>
      <c r="B1" s="7" t="s">
        <v>435</v>
      </c>
      <c r="C1" s="7" t="s">
        <v>436</v>
      </c>
      <c r="D1" s="7" t="s">
        <v>437</v>
      </c>
      <c r="E1" s="7" t="s">
        <v>438</v>
      </c>
      <c r="F1" s="7" t="s">
        <v>439</v>
      </c>
      <c r="G1" s="7" t="s">
        <v>440</v>
      </c>
    </row>
    <row r="2" ht="24.75" customHeight="1">
      <c r="A2" s="10" t="s">
        <v>441</v>
      </c>
      <c r="B2" s="11"/>
      <c r="C2" s="11"/>
      <c r="D2" s="11"/>
      <c r="E2" s="11"/>
      <c r="F2" s="11"/>
      <c r="G2" s="12"/>
      <c r="H2" s="13"/>
      <c r="I2" s="13"/>
      <c r="J2" s="13"/>
      <c r="K2" s="13"/>
      <c r="L2" s="13"/>
      <c r="M2" s="13"/>
      <c r="N2" s="13"/>
      <c r="O2" s="13"/>
      <c r="P2" s="13"/>
      <c r="Q2" s="13"/>
      <c r="R2" s="13"/>
      <c r="S2" s="13"/>
      <c r="T2" s="13"/>
      <c r="U2" s="13"/>
      <c r="V2" s="13"/>
      <c r="W2" s="13"/>
      <c r="X2" s="13"/>
      <c r="Y2" s="13"/>
      <c r="Z2" s="13"/>
    </row>
    <row r="3" ht="24.75" customHeight="1">
      <c r="A3" s="14" t="s">
        <v>442</v>
      </c>
      <c r="B3" s="14" t="s">
        <v>443</v>
      </c>
      <c r="C3" s="14" t="s">
        <v>444</v>
      </c>
      <c r="D3" s="14" t="s">
        <v>437</v>
      </c>
      <c r="E3" s="14" t="s">
        <v>438</v>
      </c>
      <c r="F3" s="14" t="s">
        <v>439</v>
      </c>
      <c r="G3" s="14" t="s">
        <v>440</v>
      </c>
      <c r="H3" s="15"/>
      <c r="I3" s="15"/>
      <c r="J3" s="15"/>
      <c r="K3" s="15"/>
      <c r="L3" s="15"/>
      <c r="M3" s="15"/>
      <c r="N3" s="15"/>
      <c r="O3" s="15"/>
      <c r="P3" s="15"/>
      <c r="Q3" s="15"/>
      <c r="R3" s="15"/>
      <c r="S3" s="15"/>
      <c r="T3" s="15"/>
      <c r="U3" s="15"/>
      <c r="V3" s="15"/>
      <c r="W3" s="15"/>
      <c r="X3" s="15"/>
      <c r="Y3" s="15"/>
      <c r="Z3" s="15"/>
    </row>
    <row r="4" ht="24.75" customHeight="1">
      <c r="A4" s="3">
        <v>1.0</v>
      </c>
      <c r="B4" s="3" t="s">
        <v>445</v>
      </c>
      <c r="C4" s="3">
        <v>0.5</v>
      </c>
      <c r="D4" s="3">
        <v>0.5</v>
      </c>
      <c r="E4" s="3">
        <v>1.0</v>
      </c>
      <c r="F4" s="3">
        <v>100.0</v>
      </c>
      <c r="G4" s="3">
        <v>100.0</v>
      </c>
      <c r="H4" s="16"/>
      <c r="I4" s="16"/>
      <c r="J4" s="16"/>
      <c r="K4" s="16"/>
      <c r="L4" s="16"/>
      <c r="M4" s="16"/>
      <c r="N4" s="16"/>
      <c r="O4" s="16"/>
      <c r="P4" s="16"/>
      <c r="Q4" s="16"/>
      <c r="R4" s="16"/>
      <c r="S4" s="16"/>
      <c r="T4" s="16"/>
      <c r="U4" s="16"/>
      <c r="V4" s="16"/>
      <c r="W4" s="16"/>
      <c r="X4" s="16"/>
      <c r="Y4" s="16"/>
      <c r="Z4" s="16"/>
    </row>
    <row r="5" ht="24.75" customHeight="1">
      <c r="A5" s="3">
        <v>2.0</v>
      </c>
      <c r="B5" s="3" t="s">
        <v>446</v>
      </c>
      <c r="C5" s="3">
        <v>1.0</v>
      </c>
      <c r="D5" s="3">
        <v>0.5</v>
      </c>
      <c r="E5" s="3">
        <v>1.0</v>
      </c>
      <c r="F5" s="3">
        <v>50.0</v>
      </c>
      <c r="G5" s="3">
        <v>50.0</v>
      </c>
      <c r="H5" s="16"/>
      <c r="I5" s="16"/>
      <c r="J5" s="16"/>
      <c r="K5" s="16"/>
      <c r="L5" s="16"/>
      <c r="M5" s="16"/>
      <c r="N5" s="16"/>
      <c r="O5" s="16"/>
      <c r="P5" s="16"/>
      <c r="Q5" s="16"/>
      <c r="R5" s="16"/>
      <c r="S5" s="16"/>
      <c r="T5" s="16"/>
      <c r="U5" s="16"/>
      <c r="V5" s="16"/>
      <c r="W5" s="16"/>
      <c r="X5" s="16"/>
      <c r="Y5" s="16"/>
      <c r="Z5" s="16"/>
    </row>
    <row r="6" ht="24.75" customHeight="1">
      <c r="A6" s="3">
        <v>3.0</v>
      </c>
      <c r="B6" s="3" t="s">
        <v>447</v>
      </c>
      <c r="C6" s="3">
        <v>2.0</v>
      </c>
      <c r="D6" s="3">
        <v>1.0</v>
      </c>
      <c r="E6" s="3">
        <v>1.0</v>
      </c>
      <c r="F6" s="3">
        <v>50.0</v>
      </c>
      <c r="G6" s="3">
        <v>33.34</v>
      </c>
      <c r="H6" s="16"/>
      <c r="I6" s="16"/>
      <c r="J6" s="16"/>
      <c r="K6" s="16"/>
      <c r="L6" s="16"/>
      <c r="M6" s="16"/>
      <c r="N6" s="16"/>
      <c r="O6" s="16"/>
      <c r="P6" s="16"/>
      <c r="Q6" s="16"/>
      <c r="R6" s="16"/>
      <c r="S6" s="16"/>
      <c r="T6" s="16"/>
      <c r="U6" s="16"/>
      <c r="V6" s="16"/>
      <c r="W6" s="16"/>
      <c r="X6" s="16"/>
      <c r="Y6" s="16"/>
      <c r="Z6" s="16"/>
    </row>
    <row r="7" ht="24.75" customHeight="1">
      <c r="A7" s="3">
        <v>5.0</v>
      </c>
      <c r="B7" s="3" t="s">
        <v>448</v>
      </c>
      <c r="C7" s="3">
        <v>4.0</v>
      </c>
      <c r="D7" s="3">
        <v>2.0</v>
      </c>
      <c r="E7" s="3">
        <v>2.0</v>
      </c>
      <c r="F7" s="3">
        <v>50.0</v>
      </c>
      <c r="G7" s="3">
        <v>40.0</v>
      </c>
      <c r="H7" s="16"/>
      <c r="I7" s="16"/>
      <c r="J7" s="16"/>
      <c r="K7" s="16"/>
      <c r="L7" s="16"/>
      <c r="M7" s="16"/>
      <c r="N7" s="16"/>
      <c r="O7" s="16"/>
      <c r="P7" s="16"/>
      <c r="Q7" s="16"/>
      <c r="R7" s="16"/>
      <c r="S7" s="16"/>
      <c r="T7" s="16"/>
      <c r="U7" s="16"/>
      <c r="V7" s="16"/>
      <c r="W7" s="16"/>
      <c r="X7" s="16"/>
      <c r="Y7" s="16"/>
      <c r="Z7" s="16"/>
    </row>
    <row r="8" ht="24.75" customHeight="1">
      <c r="A8" s="3">
        <v>8.0</v>
      </c>
      <c r="B8" s="3" t="s">
        <v>449</v>
      </c>
      <c r="C8" s="3">
        <v>7.0</v>
      </c>
      <c r="D8" s="3">
        <v>3.0</v>
      </c>
      <c r="E8" s="3">
        <v>3.0</v>
      </c>
      <c r="F8" s="3">
        <v>42.86</v>
      </c>
      <c r="G8" s="3">
        <v>37.5</v>
      </c>
      <c r="H8" s="16"/>
      <c r="I8" s="16"/>
      <c r="J8" s="16"/>
      <c r="K8" s="16"/>
      <c r="L8" s="16"/>
      <c r="M8" s="16"/>
      <c r="N8" s="16"/>
      <c r="O8" s="16"/>
      <c r="P8" s="16"/>
      <c r="Q8" s="16"/>
      <c r="R8" s="16"/>
      <c r="S8" s="16"/>
      <c r="T8" s="16"/>
      <c r="U8" s="16"/>
      <c r="V8" s="16"/>
      <c r="W8" s="16"/>
      <c r="X8" s="16"/>
      <c r="Y8" s="16"/>
      <c r="Z8" s="16"/>
    </row>
    <row r="9" ht="24.75" customHeight="1">
      <c r="A9" s="3">
        <v>13.0</v>
      </c>
      <c r="B9" s="3" t="s">
        <v>450</v>
      </c>
      <c r="C9" s="3">
        <v>11.0</v>
      </c>
      <c r="D9" s="3">
        <v>4.0</v>
      </c>
      <c r="E9" s="3">
        <v>5.0</v>
      </c>
      <c r="F9" s="3">
        <v>36.37</v>
      </c>
      <c r="G9" s="3">
        <v>38.47</v>
      </c>
      <c r="H9" s="16"/>
      <c r="I9" s="16"/>
      <c r="J9" s="16"/>
      <c r="K9" s="16"/>
      <c r="L9" s="16"/>
      <c r="M9" s="16"/>
      <c r="N9" s="16"/>
      <c r="O9" s="16"/>
      <c r="P9" s="16"/>
      <c r="Q9" s="16"/>
      <c r="R9" s="16"/>
      <c r="S9" s="16"/>
      <c r="T9" s="16"/>
      <c r="U9" s="16"/>
      <c r="V9" s="16"/>
      <c r="W9" s="16"/>
      <c r="X9" s="16"/>
      <c r="Y9" s="16"/>
      <c r="Z9" s="16"/>
    </row>
    <row r="10" ht="24.75" customHeight="1">
      <c r="A10" s="3">
        <v>21.0</v>
      </c>
      <c r="B10" s="3" t="s">
        <v>451</v>
      </c>
      <c r="C10" s="3">
        <v>16.0</v>
      </c>
      <c r="D10" s="3">
        <v>5.0</v>
      </c>
      <c r="E10" s="3">
        <v>8.0</v>
      </c>
      <c r="F10" s="3">
        <v>31.25</v>
      </c>
      <c r="G10" s="3">
        <v>38.1</v>
      </c>
      <c r="H10" s="16"/>
      <c r="I10" s="16"/>
      <c r="J10" s="16"/>
      <c r="K10" s="16"/>
      <c r="L10" s="16"/>
      <c r="M10" s="16"/>
      <c r="N10" s="16"/>
      <c r="O10" s="16"/>
      <c r="P10" s="16"/>
      <c r="Q10" s="16"/>
      <c r="R10" s="16"/>
      <c r="S10" s="16"/>
      <c r="T10" s="16"/>
      <c r="U10" s="16"/>
      <c r="V10" s="16"/>
      <c r="W10" s="16"/>
      <c r="X10" s="16"/>
      <c r="Y10" s="16"/>
      <c r="Z10" s="16"/>
    </row>
    <row r="11" ht="24.75" customHeight="1">
      <c r="A11" s="3">
        <v>34.0</v>
      </c>
      <c r="B11" s="3" t="s">
        <v>452</v>
      </c>
      <c r="C11" s="3">
        <v>24.0</v>
      </c>
      <c r="D11" s="3">
        <v>8.0</v>
      </c>
      <c r="E11" s="3">
        <v>13.0</v>
      </c>
      <c r="F11" s="3">
        <v>33.34</v>
      </c>
      <c r="G11" s="3">
        <v>38.24</v>
      </c>
      <c r="H11" s="16"/>
      <c r="I11" s="16"/>
      <c r="J11" s="16"/>
      <c r="K11" s="16"/>
      <c r="L11" s="16"/>
      <c r="M11" s="16"/>
      <c r="N11" s="16"/>
      <c r="O11" s="16"/>
      <c r="P11" s="16"/>
      <c r="Q11" s="16"/>
      <c r="R11" s="16"/>
      <c r="S11" s="16"/>
      <c r="T11" s="16"/>
      <c r="U11" s="16"/>
      <c r="V11" s="16"/>
      <c r="W11" s="16"/>
      <c r="X11" s="16"/>
      <c r="Y11" s="16"/>
      <c r="Z11" s="16"/>
    </row>
    <row r="12" ht="24.75" customHeight="1">
      <c r="A12" s="3">
        <v>55.0</v>
      </c>
      <c r="B12" s="3" t="s">
        <v>453</v>
      </c>
      <c r="C12" s="3">
        <v>40.0</v>
      </c>
      <c r="D12" s="3">
        <v>16.0</v>
      </c>
      <c r="E12" s="3">
        <v>21.0</v>
      </c>
      <c r="F12" s="3">
        <v>40.0</v>
      </c>
      <c r="G12" s="3">
        <v>38.19</v>
      </c>
      <c r="H12" s="16"/>
      <c r="I12" s="16"/>
      <c r="J12" s="16"/>
      <c r="K12" s="16"/>
      <c r="L12" s="16"/>
      <c r="M12" s="16"/>
      <c r="N12" s="16"/>
      <c r="O12" s="16"/>
      <c r="P12" s="16"/>
      <c r="Q12" s="16"/>
      <c r="R12" s="16"/>
      <c r="S12" s="16"/>
      <c r="T12" s="16"/>
      <c r="U12" s="16"/>
      <c r="V12" s="16"/>
      <c r="W12" s="16"/>
      <c r="X12" s="16"/>
      <c r="Y12" s="16"/>
      <c r="Z12" s="16"/>
    </row>
    <row r="13" ht="24.75" customHeight="1">
      <c r="A13" s="3">
        <v>89.0</v>
      </c>
      <c r="B13" s="3" t="s">
        <v>454</v>
      </c>
      <c r="C13" s="3">
        <v>60.0</v>
      </c>
      <c r="D13" s="3">
        <v>20.0</v>
      </c>
      <c r="E13" s="3">
        <v>34.0</v>
      </c>
      <c r="F13" s="3">
        <v>33.34</v>
      </c>
      <c r="G13" s="3">
        <v>38.21</v>
      </c>
      <c r="H13" s="16"/>
      <c r="I13" s="16"/>
      <c r="J13" s="16"/>
      <c r="K13" s="16"/>
      <c r="L13" s="16"/>
      <c r="M13" s="16"/>
      <c r="N13" s="16"/>
      <c r="O13" s="16"/>
      <c r="P13" s="16"/>
      <c r="Q13" s="16"/>
      <c r="R13" s="16"/>
      <c r="S13" s="16"/>
      <c r="T13" s="16"/>
      <c r="U13" s="16"/>
      <c r="V13" s="16"/>
      <c r="W13" s="16"/>
      <c r="X13" s="16"/>
      <c r="Y13" s="16"/>
      <c r="Z13" s="16"/>
    </row>
    <row r="14" ht="24.75" customHeight="1"/>
    <row r="15" ht="24.75" customHeight="1"/>
    <row r="16" ht="24.75" customHeight="1"/>
    <row r="17" ht="24.75" customHeight="1"/>
    <row r="18" ht="24.75" customHeight="1">
      <c r="A18" s="10" t="s">
        <v>455</v>
      </c>
      <c r="B18" s="11"/>
      <c r="C18" s="12"/>
      <c r="D18" s="13"/>
      <c r="E18" s="13"/>
      <c r="F18" s="13"/>
      <c r="G18" s="13"/>
      <c r="H18" s="13"/>
      <c r="I18" s="13"/>
      <c r="J18" s="13"/>
      <c r="K18" s="13"/>
      <c r="L18" s="13"/>
      <c r="M18" s="13"/>
      <c r="N18" s="13"/>
      <c r="O18" s="13"/>
      <c r="P18" s="13"/>
      <c r="Q18" s="13"/>
      <c r="R18" s="13"/>
      <c r="S18" s="13"/>
      <c r="T18" s="13"/>
      <c r="U18" s="13"/>
      <c r="V18" s="13"/>
      <c r="W18" s="13"/>
      <c r="X18" s="13"/>
      <c r="Y18" s="13"/>
      <c r="Z18" s="13"/>
    </row>
    <row r="19" ht="24.75" customHeight="1">
      <c r="A19" s="14" t="s">
        <v>456</v>
      </c>
      <c r="B19" s="14" t="s">
        <v>435</v>
      </c>
      <c r="C19" s="14" t="s">
        <v>436</v>
      </c>
      <c r="D19" s="15"/>
      <c r="E19" s="15"/>
      <c r="F19" s="15"/>
      <c r="G19" s="15"/>
      <c r="H19" s="15"/>
      <c r="I19" s="15"/>
      <c r="J19" s="15"/>
      <c r="K19" s="15"/>
      <c r="L19" s="15"/>
      <c r="M19" s="15"/>
      <c r="N19" s="15"/>
      <c r="O19" s="15"/>
      <c r="P19" s="15"/>
      <c r="Q19" s="15"/>
      <c r="R19" s="15"/>
      <c r="S19" s="15"/>
      <c r="T19" s="15"/>
      <c r="U19" s="15"/>
      <c r="V19" s="15"/>
      <c r="W19" s="15"/>
      <c r="X19" s="15"/>
      <c r="Y19" s="15"/>
      <c r="Z19" s="15"/>
    </row>
    <row r="20" ht="24.75" customHeight="1">
      <c r="A20" s="3" t="s">
        <v>457</v>
      </c>
      <c r="B20" s="3" t="s">
        <v>458</v>
      </c>
      <c r="C20" s="3">
        <v>32.0</v>
      </c>
      <c r="D20" s="16"/>
      <c r="E20" s="16"/>
      <c r="F20" s="16"/>
      <c r="G20" s="16"/>
      <c r="H20" s="16"/>
      <c r="I20" s="16"/>
      <c r="J20" s="16"/>
      <c r="K20" s="16"/>
      <c r="L20" s="16"/>
      <c r="M20" s="16"/>
      <c r="N20" s="16"/>
      <c r="O20" s="16"/>
      <c r="P20" s="16"/>
      <c r="Q20" s="16"/>
      <c r="R20" s="16"/>
      <c r="S20" s="16"/>
      <c r="T20" s="16"/>
      <c r="U20" s="16"/>
      <c r="V20" s="16"/>
      <c r="W20" s="16"/>
      <c r="X20" s="16"/>
      <c r="Y20" s="16"/>
      <c r="Z20" s="16"/>
    </row>
    <row r="21" ht="24.75" customHeight="1">
      <c r="A21" s="3" t="s">
        <v>459</v>
      </c>
      <c r="B21" s="3" t="s">
        <v>460</v>
      </c>
      <c r="C21" s="3">
        <v>72.0</v>
      </c>
      <c r="D21" s="16"/>
      <c r="E21" s="16"/>
      <c r="F21" s="16"/>
      <c r="G21" s="16"/>
      <c r="H21" s="16"/>
      <c r="I21" s="16"/>
      <c r="J21" s="16"/>
      <c r="K21" s="16"/>
      <c r="L21" s="16"/>
      <c r="M21" s="16"/>
      <c r="N21" s="16"/>
      <c r="O21" s="16"/>
      <c r="P21" s="16"/>
      <c r="Q21" s="16"/>
      <c r="R21" s="16"/>
      <c r="S21" s="16"/>
      <c r="T21" s="16"/>
      <c r="U21" s="16"/>
      <c r="V21" s="16"/>
      <c r="W21" s="16"/>
      <c r="X21" s="16"/>
      <c r="Y21" s="16"/>
      <c r="Z21" s="16"/>
    </row>
    <row r="22" ht="24.75" customHeight="1">
      <c r="A22" s="3" t="s">
        <v>461</v>
      </c>
      <c r="B22" s="3" t="s">
        <v>462</v>
      </c>
      <c r="C22" s="3">
        <v>73.0</v>
      </c>
      <c r="D22" s="16"/>
      <c r="E22" s="16"/>
      <c r="F22" s="16"/>
      <c r="G22" s="16"/>
      <c r="H22" s="16"/>
      <c r="I22" s="16"/>
      <c r="J22" s="16"/>
      <c r="K22" s="16"/>
      <c r="L22" s="16"/>
      <c r="M22" s="16"/>
      <c r="N22" s="16"/>
      <c r="O22" s="16"/>
      <c r="P22" s="16"/>
      <c r="Q22" s="16"/>
      <c r="R22" s="16"/>
      <c r="S22" s="16"/>
      <c r="T22" s="16"/>
      <c r="U22" s="16"/>
      <c r="V22" s="16"/>
      <c r="W22" s="16"/>
      <c r="X22" s="16"/>
      <c r="Y22" s="16"/>
      <c r="Z22" s="16"/>
    </row>
    <row r="23" ht="24.75" customHeight="1"/>
    <row r="24" ht="24.75" customHeight="1"/>
    <row r="25" ht="24.75" customHeight="1"/>
    <row r="26" ht="24.75" customHeight="1"/>
    <row r="27" ht="24.75" customHeight="1">
      <c r="A27" s="1" t="s">
        <v>463</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4.75" customHeight="1">
      <c r="A28" s="14" t="s">
        <v>434</v>
      </c>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75" customHeight="1">
      <c r="A29" s="3" t="s">
        <v>28</v>
      </c>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24.75" customHeight="1">
      <c r="A30" s="3" t="s">
        <v>216</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24.75" customHeight="1">
      <c r="A31" s="3" t="s">
        <v>412</v>
      </c>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24.75" customHeight="1">
      <c r="A32" s="3" t="s">
        <v>464</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2026-02-20T10:15:28Z</dcterms:created>
  <dc:creator>Unknown</dc:creator>
</cp:coreProperties>
</file>