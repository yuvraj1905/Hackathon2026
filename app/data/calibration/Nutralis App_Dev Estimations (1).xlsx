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App - Dev" sheetId="1" r:id="rId4"/>
    <sheet state="visible" name="Points-Table" sheetId="2" r:id="rId5"/>
  </sheets>
  <definedNames/>
  <calcPr/>
  <extLst>
    <ext uri="GoogleSheetsCustomDataVersion2">
      <go:sheetsCustomData xmlns:go="http://customooxmlschemas.google.com/" r:id="rId6" roundtripDataChecksum="6XnXsSVMcwN3Eu50XGACMRX/SuYk+H2l0UOIZXqfPk8="/>
    </ext>
  </extLst>
</workbook>
</file>

<file path=xl/sharedStrings.xml><?xml version="1.0" encoding="utf-8"?>
<sst xmlns="http://schemas.openxmlformats.org/spreadsheetml/2006/main" count="853" uniqueCount="211">
  <si>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</si>
  <si>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</si>
  <si>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</si>
  <si>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</si>
  <si>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</si>
  <si>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</si>
  <si>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</si>
  <si>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</si>
  <si>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</si>
  <si>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</si>
  <si>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</si>
  <si>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</si>
  <si>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</si>
  <si>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</si>
  <si>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</si>
  <si>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</si>
  <si>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</si>
  <si>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</si>
  <si>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</si>
  <si>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</si>
  <si>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</si>
  <si>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</si>
  <si>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</si>
  <si>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</si>
  <si>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</si>
  <si>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Project Setup</t>
  </si>
  <si>
    <t>FE:
• React Native setup
• Redux setup
• Navigation library add
• Prettier &amp; ESLint setup
• Folder structure finalize
• Axios wrapper add
• Themeing setup
• Font setup
• Coding pattern finalize
BE:
• Nest.js setup
• DB setup
• EsLint &amp; Prettier setup
• Folder structure finalize etc
• Coding pattern finalize
• Generic error handling</t>
  </si>
  <si>
    <t>Simple</t>
  </si>
  <si>
    <t>Must Have</t>
  </si>
  <si>
    <t/>
  </si>
  <si>
    <t>Bottom tab navigtaion setup</t>
  </si>
  <si>
    <t>• We will be creating basic app layout
• Will create common UI components as per design system. eg.: Button, accordion, card, snackbar, loader, input, heading text etc.</t>
  </si>
  <si>
    <t>Registration &amp; Login</t>
  </si>
  <si>
    <t>New User - Register</t>
  </si>
  <si>
    <t>Email password based registration</t>
  </si>
  <si>
    <t>BE needs to setup the user management service for this. 
Query: 
Don't we need to collect user's phone number?</t>
  </si>
  <si>
    <t>For authentication we are considering firebase authentication.</t>
  </si>
  <si>
    <t>Terms and Conditions &amp; Privacy link</t>
  </si>
  <si>
    <t>This will be configured in CMS instead of admin dashboard</t>
  </si>
  <si>
    <t>Profile data update after login eg: First name, last name, country, language &amp; profile picture</t>
  </si>
  <si>
    <t>User will be created in system post that.</t>
  </si>
  <si>
    <t>Login</t>
  </si>
  <si>
    <t>Login with email id &amp; password</t>
  </si>
  <si>
    <t>Forgot / reset password</t>
  </si>
  <si>
    <t>This will be handled through firebase auth</t>
  </si>
  <si>
    <t>Social Media Login (Google, Apple)</t>
  </si>
  <si>
    <t>Auth handle after registration/login</t>
  </si>
  <si>
    <t>• Based on auth state, redirection will happen. On successful authentication, we will fetch user details from BE.
• Auth middleware creation in BE</t>
  </si>
  <si>
    <t>Splash Screen &amp; App icon</t>
  </si>
  <si>
    <t>Questionnaire</t>
  </si>
  <si>
    <t>View Questionnaire form</t>
  </si>
  <si>
    <t>View questions with possible options</t>
  </si>
  <si>
    <t>These will be fetched from CMS</t>
  </si>
  <si>
    <t>Add answers</t>
  </si>
  <si>
    <t>Edit answers</t>
  </si>
  <si>
    <t>Delete answers</t>
  </si>
  <si>
    <t xml:space="preserve">Submit form </t>
  </si>
  <si>
    <t>Based on user input, BE will recommend product to users</t>
  </si>
  <si>
    <t>Home page</t>
  </si>
  <si>
    <t>Search products</t>
  </si>
  <si>
    <t>Product indexing setup also has to be done. Multilingual search support will be there</t>
  </si>
  <si>
    <t>Filter &amp; Sorting</t>
  </si>
  <si>
    <t>Multilingual search support</t>
  </si>
  <si>
    <t>Hero Banner + 1 Banner</t>
  </si>
  <si>
    <t>Categories</t>
  </si>
  <si>
    <t>Learn about</t>
  </si>
  <si>
    <t>Popular Scans/Recommeded products</t>
  </si>
  <si>
    <t>Switch user</t>
  </si>
  <si>
    <t>Profile User (Name and picture)</t>
  </si>
  <si>
    <t>List of users to Switch (Dropdown)</t>
  </si>
  <si>
    <t>On changing profile, we have to change user configs through BE.</t>
  </si>
  <si>
    <t>Scan Product</t>
  </si>
  <si>
    <t>Upload image of product/capture image</t>
  </si>
  <si>
    <t xml:space="preserve">Select image from gallery </t>
  </si>
  <si>
    <t>Approach for this will be same as scanning label using device's camera. Instead of taking photo, we will share the image from gallery for scanning.</t>
  </si>
  <si>
    <t>Scan product label using app's camera</t>
  </si>
  <si>
    <t>We will check if there is any product exists with the scanned result. If any product exists for the scanned label then we will add this scanned label information under user account.</t>
  </si>
  <si>
    <t>View result/ result of products</t>
  </si>
  <si>
    <t>Show matched product details</t>
  </si>
  <si>
    <t xml:space="preserve">If there is any match then we will take user to product details view.
If there is no successful match then show the error message
</t>
  </si>
  <si>
    <t>Product Catalogue</t>
  </si>
  <si>
    <t>Products List</t>
  </si>
  <si>
    <t>Search</t>
  </si>
  <si>
    <t>Filter</t>
  </si>
  <si>
    <t>Sort</t>
  </si>
  <si>
    <t>Product details</t>
  </si>
  <si>
    <t>Basic details</t>
  </si>
  <si>
    <t>Certification tooltip</t>
  </si>
  <si>
    <t>Mark as used</t>
  </si>
  <si>
    <t>Sponsored product tag, if applicable.</t>
  </si>
  <si>
    <t>Mark as Favourite</t>
  </si>
  <si>
    <t xml:space="preserve">Share Product via email, whatsapp, facebook, insta etc. </t>
  </si>
  <si>
    <t>Ratings &amp; Reviews</t>
  </si>
  <si>
    <t>Average rating &amp; number of reviews</t>
  </si>
  <si>
    <t>Add review</t>
  </si>
  <si>
    <t>List of reviews</t>
  </si>
  <si>
    <t>Like/ dislike review</t>
  </si>
  <si>
    <t>Report Review</t>
  </si>
  <si>
    <t>Recommend</t>
  </si>
  <si>
    <t>FAQs</t>
  </si>
  <si>
    <t>List of FAQs</t>
  </si>
  <si>
    <t>Q&amp;A</t>
  </si>
  <si>
    <t xml:space="preserve">List of questions &amp; answers </t>
  </si>
  <si>
    <t>Add question</t>
  </si>
  <si>
    <t>Add answer</t>
  </si>
  <si>
    <t>Edit/ delete questions added by you</t>
  </si>
  <si>
    <t>Edit/ delete answers added by you</t>
  </si>
  <si>
    <t>Like/ dislike answers</t>
  </si>
  <si>
    <t>Mark as me too questions</t>
  </si>
  <si>
    <t>Report answers</t>
  </si>
  <si>
    <t>Report a question</t>
  </si>
  <si>
    <t>Similar products</t>
  </si>
  <si>
    <t>Compare product</t>
  </si>
  <si>
    <t>search for products to compare</t>
  </si>
  <si>
    <t>Comparison view</t>
  </si>
  <si>
    <t>Draggable list</t>
  </si>
  <si>
    <t>Remove product from list</t>
  </si>
  <si>
    <t>Seller details</t>
  </si>
  <si>
    <t>Language - English &amp; Arabic</t>
  </si>
  <si>
    <t>Translate content to other language using google translate API</t>
  </si>
  <si>
    <t>Dosage Reminder</t>
  </si>
  <si>
    <t>Search Medicine</t>
  </si>
  <si>
    <t xml:space="preserve">Add Medicine </t>
  </si>
  <si>
    <t>Set Dosage Reminder</t>
  </si>
  <si>
    <t>Select medicine type</t>
  </si>
  <si>
    <t>Specify dosage frequency</t>
  </si>
  <si>
    <t>Dosage refill reminder</t>
  </si>
  <si>
    <t>Set reminder</t>
  </si>
  <si>
    <t>Reminders List</t>
  </si>
  <si>
    <t>Calendar view with list</t>
  </si>
  <si>
    <t>Status of reminder</t>
  </si>
  <si>
    <t>Active Medicine</t>
  </si>
  <si>
    <t>List</t>
  </si>
  <si>
    <t>Pause Medication</t>
  </si>
  <si>
    <t>Edit Medication</t>
  </si>
  <si>
    <t>Delete Medication</t>
  </si>
  <si>
    <t xml:space="preserve">My profile </t>
  </si>
  <si>
    <t xml:space="preserve">Basic Profile details </t>
  </si>
  <si>
    <t>View/edit profile details</t>
  </si>
  <si>
    <t>Reset password</t>
  </si>
  <si>
    <t>Products Used</t>
  </si>
  <si>
    <t>Product List</t>
  </si>
  <si>
    <t>Mark / Unmark Favorite</t>
  </si>
  <si>
    <t xml:space="preserve">My favourite </t>
  </si>
  <si>
    <t>List of products</t>
  </si>
  <si>
    <t>Mark as Favorite / Unfavorite</t>
  </si>
  <si>
    <t>Ratings and reviews</t>
  </si>
  <si>
    <t>List of ratings and reviews</t>
  </si>
  <si>
    <t>Add /edit my reviews</t>
  </si>
  <si>
    <t>Delete reviews</t>
  </si>
  <si>
    <t>Scanned Labels</t>
  </si>
  <si>
    <t xml:space="preserve">List of previously scanned products </t>
  </si>
  <si>
    <t>Family Members</t>
  </si>
  <si>
    <t>Add Family Member</t>
  </si>
  <si>
    <t>Edit Details</t>
  </si>
  <si>
    <t xml:space="preserve">Delete </t>
  </si>
  <si>
    <t>Notification Settings</t>
  </si>
  <si>
    <t>Nutralis Support</t>
  </si>
  <si>
    <t>UX Process</t>
  </si>
  <si>
    <t>Brainstorming &amp; Research</t>
  </si>
  <si>
    <t>Requirement Gathering</t>
  </si>
  <si>
    <t>User Flow</t>
  </si>
  <si>
    <t>Competitive Analysis</t>
  </si>
  <si>
    <t>Notification</t>
  </si>
  <si>
    <t>Setup</t>
  </si>
  <si>
    <t>We will use react native firebase notification</t>
  </si>
  <si>
    <t>Style Guide</t>
  </si>
  <si>
    <t>Logo &amp; Branding</t>
  </si>
  <si>
    <t>Logout</t>
  </si>
  <si>
    <t>Manual logout</t>
  </si>
  <si>
    <t>Prototype</t>
  </si>
  <si>
    <t>Chat bot support</t>
  </si>
  <si>
    <t>Chatsupport functionality with UI</t>
  </si>
  <si>
    <t>Speech to text conversion</t>
  </si>
  <si>
    <t>Blogs</t>
  </si>
  <si>
    <t>Blog List</t>
  </si>
  <si>
    <t>Blog Details</t>
  </si>
  <si>
    <t>Quick Categories</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</si>
  <si>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</si>
  <si>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</si>
  <si>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</si>
  <si>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</si>
  <si>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</si>
  <si>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</si>
  <si>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</si>
  <si>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</si>
  <si>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</si>
  <si>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</si>
  <si>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</si>
  <si>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</si>
  <si>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</si>
  <si>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</si>
  <si>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</si>
  <si>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</si>
  <si>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</si>
  <si>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</si>
  <si>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</si>
  <si>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</si>
  <si>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</si>
  <si>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</si>
  <si>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</si>
  <si>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</si>
  <si>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</si>
  <si>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</si>
  <si>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</si>
  <si>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</si>
  <si>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</si>
  <si>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</si>
  <si>
    <t>Should Have</t>
  </si>
  <si>
    <t>Could Have</t>
  </si>
  <si>
    <t>Will not Have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</si>
</sst>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6">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
      <patternFill patternType="solid">
        <fgColor rgb="FFF3CCCB"/>
        <bgColor rgb="FFF3CCCB"/>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1.5</v>
      </c>
      <c r="S1" s="1" t="s">
        <v>17</v>
      </c>
      <c r="T1" s="2">
        <f>SUM(T2:T1006)</f>
        <v>2.5</v>
      </c>
      <c r="U1" s="1" t="s">
        <v>18</v>
      </c>
      <c r="V1" s="2">
        <f>SUM(V2:V1006)</f>
        <v>381</v>
      </c>
      <c r="W1" s="1" t="s">
        <v>19</v>
      </c>
      <c r="X1" s="2">
        <f>SUM(X2:X1006)</f>
        <v>162</v>
      </c>
      <c r="Y1" s="1" t="s">
        <v>20</v>
      </c>
      <c r="Z1" s="2">
        <f t="shared" ref="Z1:AA1" si="1">SUM(Z2:Z1006)</f>
        <v>4</v>
      </c>
      <c r="AA1" s="2">
        <f t="shared" si="1"/>
        <v>547</v>
      </c>
      <c r="AB1" s="1" t="s">
        <v>21</v>
      </c>
      <c r="AC1" s="1" t="s">
        <v>22</v>
      </c>
      <c r="AD1" s="1" t="s">
        <v>23</v>
      </c>
      <c r="AE1" s="1" t="s">
        <v>24</v>
      </c>
    </row>
    <row r="2" ht="24.75" customHeight="1">
      <c r="A2" s="3" t="s">
        <v>25</v>
      </c>
      <c r="B2" s="3"/>
      <c r="C2" s="3"/>
      <c r="D2" s="3" t="s">
        <v>26</v>
      </c>
      <c r="E2" s="3"/>
      <c r="F2" s="3"/>
      <c r="G2" s="3"/>
      <c r="H2" s="3"/>
      <c r="I2" s="3"/>
      <c r="J2" s="3"/>
      <c r="K2" s="3" t="s">
        <v>27</v>
      </c>
      <c r="L2" s="3" t="s">
        <v>28</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v>0.0</v>
      </c>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21.0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16</v>
      </c>
      <c r="W2" s="4">
        <v>0.0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0</v>
      </c>
      <c r="Y2" s="4">
        <v>0.0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0</v>
      </c>
      <c r="AA2" s="3">
        <f t="shared" ref="AA2:AA104" si="2">SUM(V2,X2,Z2)</f>
        <v>16</v>
      </c>
      <c r="AB2" s="3" t="str">
        <f>IFERROR(__xludf.DUMMYFUNCTION("
      Ifs( 
        ISBETWEEN(AA2, 0, 'Points-Table'!C$20, TRUE, False), 'Points-Table'!A$20,
        ISBETWEEN(AA2, 'Points-Table'!C$20, 'Points-Table'!C$21, TRUE, False), 'Points-Table'!A$21,
        ISBETWEEN(AA2, 'Points-Table'!C$22, 10000, TRUE, TRU"&amp;"E), 'Points-Table'!A$22,
        true, 
        0)
      "),"S")</f>
        <v>S</v>
      </c>
      <c r="AC2" s="3" t="s">
        <v>29</v>
      </c>
      <c r="AD2" s="3" t="s">
        <v>29</v>
      </c>
      <c r="AE2" s="3" t="s">
        <v>29</v>
      </c>
    </row>
    <row r="3" ht="24.75" customHeight="1">
      <c r="A3" s="3" t="s">
        <v>30</v>
      </c>
      <c r="B3" s="3"/>
      <c r="C3" s="3"/>
      <c r="D3" s="3" t="s">
        <v>31</v>
      </c>
      <c r="E3" s="3"/>
      <c r="F3" s="3"/>
      <c r="G3" s="3"/>
      <c r="H3" s="3"/>
      <c r="I3" s="3"/>
      <c r="J3" s="3"/>
      <c r="K3" s="3" t="s">
        <v>27</v>
      </c>
      <c r="L3" s="3" t="s">
        <v>28</v>
      </c>
      <c r="M3" s="3"/>
      <c r="N3" s="3"/>
      <c r="O3" s="3"/>
      <c r="P3" s="3"/>
      <c r="Q3" s="4">
        <v>0.0</v>
      </c>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v>0.0</v>
      </c>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5.0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4</v>
      </c>
      <c r="W3" s="4">
        <v>0.0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v>
      </c>
      <c r="Y3" s="4">
        <v>0.0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0</v>
      </c>
      <c r="AA3" s="3">
        <f t="shared" si="2"/>
        <v>4</v>
      </c>
      <c r="AB3" s="3" t="str">
        <f>IFERROR(__xludf.DUMMYFUNCTION("
      Ifs( 
        ISBETWEEN(AA3, 0, 'Points-Table'!C$20, TRUE, False), 'Points-Table'!A$20,
        ISBETWEEN(AA3, 'Points-Table'!C$20, 'Points-Table'!C$21, TRUE, False), 'Points-Table'!A$21,
        ISBETWEEN(AA3, 'Points-Table'!C$22, 10000, TRUE, TRU"&amp;"E), 'Points-Table'!A$22,
        true, 
        0)
      "),"S")</f>
        <v>S</v>
      </c>
      <c r="AC3" s="3" t="s">
        <v>29</v>
      </c>
      <c r="AD3" s="3" t="s">
        <v>29</v>
      </c>
      <c r="AE3" s="3" t="s">
        <v>29</v>
      </c>
    </row>
    <row r="4" ht="24.75" customHeight="1">
      <c r="A4" s="3" t="s">
        <v>32</v>
      </c>
      <c r="B4" s="3" t="s">
        <v>33</v>
      </c>
      <c r="C4" s="3" t="s">
        <v>34</v>
      </c>
      <c r="D4" s="3" t="s">
        <v>35</v>
      </c>
      <c r="E4" s="3"/>
      <c r="F4" s="3" t="s">
        <v>36</v>
      </c>
      <c r="G4" s="3"/>
      <c r="H4" s="3"/>
      <c r="I4" s="3"/>
      <c r="J4" s="3"/>
      <c r="K4" s="3" t="s">
        <v>27</v>
      </c>
      <c r="L4" s="3" t="s">
        <v>28</v>
      </c>
      <c r="M4" s="3"/>
      <c r="N4" s="3"/>
      <c r="O4" s="3"/>
      <c r="P4" s="3"/>
      <c r="Q4" s="4">
        <v>0.0</v>
      </c>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v>0.0</v>
      </c>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5.0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4</v>
      </c>
      <c r="W4" s="4">
        <v>3.0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2</v>
      </c>
      <c r="Y4" s="4">
        <v>0.0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0</v>
      </c>
      <c r="AA4" s="3">
        <f t="shared" si="2"/>
        <v>6</v>
      </c>
      <c r="AB4" s="3" t="str">
        <f>IFERROR(__xludf.DUMMYFUNCTION("
      Ifs( 
        ISBETWEEN(AA4, 0, 'Points-Table'!C$20, TRUE, False), 'Points-Table'!A$20,
        ISBETWEEN(AA4, 'Points-Table'!C$20, 'Points-Table'!C$21, TRUE, False), 'Points-Table'!A$21,
        ISBETWEEN(AA4, 'Points-Table'!C$22, 10000, TRUE, TRU"&amp;"E), 'Points-Table'!A$22,
        true, 
        0)
      "),"S")</f>
        <v>S</v>
      </c>
      <c r="AC4" s="3" t="s">
        <v>29</v>
      </c>
      <c r="AD4" s="3" t="s">
        <v>29</v>
      </c>
      <c r="AE4" s="3" t="s">
        <v>29</v>
      </c>
    </row>
    <row r="5" ht="24.75" customHeight="1">
      <c r="A5" s="3" t="s">
        <v>32</v>
      </c>
      <c r="B5" s="3" t="s">
        <v>33</v>
      </c>
      <c r="C5" s="3" t="s">
        <v>37</v>
      </c>
      <c r="D5" s="3" t="s">
        <v>38</v>
      </c>
      <c r="E5" s="3"/>
      <c r="F5" s="3"/>
      <c r="G5" s="3"/>
      <c r="H5" s="3"/>
      <c r="I5" s="3"/>
      <c r="J5" s="3"/>
      <c r="K5" s="3" t="s">
        <v>27</v>
      </c>
      <c r="L5" s="3" t="s">
        <v>28</v>
      </c>
      <c r="M5" s="3"/>
      <c r="N5" s="3"/>
      <c r="O5" s="3"/>
      <c r="P5" s="3"/>
      <c r="Q5" s="4">
        <v>0.0</v>
      </c>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v>0.0</v>
      </c>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3.0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2</v>
      </c>
      <c r="W5" s="4">
        <v>0.0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v>
      </c>
      <c r="Y5" s="4">
        <v>0.0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v>
      </c>
      <c r="AA5" s="3">
        <f t="shared" si="2"/>
        <v>2</v>
      </c>
      <c r="AB5" s="3" t="str">
        <f>IFERROR(__xludf.DUMMYFUNCTION("
      Ifs( 
        ISBETWEEN(AA5, 0, 'Points-Table'!C$20, TRUE, False), 'Points-Table'!A$20,
        ISBETWEEN(AA5, 'Points-Table'!C$20, 'Points-Table'!C$21, TRUE, False), 'Points-Table'!A$21,
        ISBETWEEN(AA5, 'Points-Table'!C$22, 10000, TRUE, TRU"&amp;"E), 'Points-Table'!A$22,
        true, 
        0)
      "),"S")</f>
        <v>S</v>
      </c>
      <c r="AC5" s="3" t="s">
        <v>29</v>
      </c>
      <c r="AD5" s="3" t="s">
        <v>29</v>
      </c>
      <c r="AE5" s="3" t="s">
        <v>29</v>
      </c>
    </row>
    <row r="6" ht="24.75" customHeight="1">
      <c r="A6" s="3" t="s">
        <v>32</v>
      </c>
      <c r="B6" s="3" t="s">
        <v>33</v>
      </c>
      <c r="C6" s="3" t="s">
        <v>39</v>
      </c>
      <c r="D6" s="3" t="s">
        <v>40</v>
      </c>
      <c r="E6" s="3"/>
      <c r="F6" s="3"/>
      <c r="G6" s="3"/>
      <c r="H6" s="3"/>
      <c r="I6" s="3"/>
      <c r="J6" s="3"/>
      <c r="K6" s="3" t="s">
        <v>27</v>
      </c>
      <c r="L6" s="3" t="s">
        <v>28</v>
      </c>
      <c r="M6" s="3"/>
      <c r="N6" s="3"/>
      <c r="O6" s="3"/>
      <c r="P6" s="3"/>
      <c r="Q6" s="4">
        <v>0.0</v>
      </c>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v>0.0</v>
      </c>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5.0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4</v>
      </c>
      <c r="W6" s="4">
        <v>3.0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2</v>
      </c>
      <c r="Y6" s="4">
        <v>0.0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v>
      </c>
      <c r="AA6" s="3">
        <f t="shared" si="2"/>
        <v>6</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32</v>
      </c>
      <c r="B7" s="3" t="s">
        <v>41</v>
      </c>
      <c r="C7" s="3" t="s">
        <v>42</v>
      </c>
      <c r="D7" s="3"/>
      <c r="E7" s="3"/>
      <c r="F7" s="3"/>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2.0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1</v>
      </c>
      <c r="W7" s="4">
        <v>3.0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2</v>
      </c>
      <c r="Y7" s="4">
        <v>0.0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0</v>
      </c>
      <c r="AA7" s="3">
        <f t="shared" si="2"/>
        <v>3</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32</v>
      </c>
      <c r="B8" s="3" t="s">
        <v>41</v>
      </c>
      <c r="C8" s="3" t="s">
        <v>43</v>
      </c>
      <c r="D8" s="3" t="s">
        <v>29</v>
      </c>
      <c r="E8" s="3"/>
      <c r="F8" s="3" t="s">
        <v>44</v>
      </c>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2.0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1</v>
      </c>
      <c r="W8" s="4">
        <v>5.0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4</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5</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32</v>
      </c>
      <c r="B9" s="3" t="s">
        <v>41</v>
      </c>
      <c r="C9" s="3" t="s">
        <v>45</v>
      </c>
      <c r="D9" s="3"/>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2.0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v>
      </c>
      <c r="W9" s="4">
        <v>21.0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16</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17</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32</v>
      </c>
      <c r="B10" s="3" t="s">
        <v>46</v>
      </c>
      <c r="C10" s="3"/>
      <c r="D10" s="3" t="s">
        <v>47</v>
      </c>
      <c r="E10" s="3"/>
      <c r="F10" s="3"/>
      <c r="G10" s="3"/>
      <c r="H10" s="3"/>
      <c r="I10" s="3"/>
      <c r="J10" s="3"/>
      <c r="K10" s="3" t="s">
        <v>27</v>
      </c>
      <c r="L10" s="3" t="s">
        <v>28</v>
      </c>
      <c r="M10" s="3"/>
      <c r="N10" s="3"/>
      <c r="O10" s="3"/>
      <c r="P10" s="3"/>
      <c r="Q10" s="4">
        <v>0.0</v>
      </c>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v>0.0</v>
      </c>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0.0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0</v>
      </c>
      <c r="W10" s="4">
        <v>5.0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4</v>
      </c>
      <c r="Y10" s="4">
        <v>0.0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3">
        <f t="shared" si="2"/>
        <v>4</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48</v>
      </c>
      <c r="B11" s="3"/>
      <c r="C11" s="3"/>
      <c r="D11" s="3"/>
      <c r="E11" s="3"/>
      <c r="F11" s="3"/>
      <c r="G11" s="3"/>
      <c r="H11" s="3"/>
      <c r="I11" s="3"/>
      <c r="J11" s="3"/>
      <c r="K11" s="3" t="s">
        <v>27</v>
      </c>
      <c r="L11" s="3" t="s">
        <v>28</v>
      </c>
      <c r="M11" s="3"/>
      <c r="N11" s="3"/>
      <c r="O11" s="3"/>
      <c r="P11" s="3"/>
      <c r="Q11" s="4">
        <v>0.0</v>
      </c>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v>0.0</v>
      </c>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8.0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7</v>
      </c>
      <c r="W11" s="4">
        <v>0.0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0</v>
      </c>
      <c r="Y11" s="4">
        <v>0.0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0</v>
      </c>
      <c r="AA11" s="3">
        <f t="shared" si="2"/>
        <v>7</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49</v>
      </c>
      <c r="B12" s="3" t="s">
        <v>50</v>
      </c>
      <c r="C12" s="3" t="s">
        <v>51</v>
      </c>
      <c r="D12" s="3"/>
      <c r="E12" s="3"/>
      <c r="F12" s="3" t="s">
        <v>52</v>
      </c>
      <c r="G12" s="3"/>
      <c r="H12" s="3"/>
      <c r="I12" s="3"/>
      <c r="J12" s="3"/>
      <c r="K12" s="3" t="s">
        <v>27</v>
      </c>
      <c r="L12" s="3" t="s">
        <v>28</v>
      </c>
      <c r="M12" s="3"/>
      <c r="N12" s="3"/>
      <c r="O12" s="3"/>
      <c r="P12" s="3"/>
      <c r="Q12" s="4">
        <v>0.0</v>
      </c>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v>0.0</v>
      </c>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21.0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16</v>
      </c>
      <c r="W12" s="4">
        <v>3.0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2</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18</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49</v>
      </c>
      <c r="B13" s="3" t="s">
        <v>50</v>
      </c>
      <c r="C13" s="3" t="s">
        <v>53</v>
      </c>
      <c r="D13" s="3"/>
      <c r="E13" s="3"/>
      <c r="F13" s="3"/>
      <c r="G13" s="3"/>
      <c r="H13" s="3"/>
      <c r="I13" s="3"/>
      <c r="J13" s="3"/>
      <c r="K13" s="3" t="s">
        <v>27</v>
      </c>
      <c r="L13" s="3" t="s">
        <v>28</v>
      </c>
      <c r="M13" s="3"/>
      <c r="N13" s="3"/>
      <c r="O13" s="3"/>
      <c r="P13" s="3"/>
      <c r="Q13" s="4">
        <v>0.0</v>
      </c>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v>0.0</v>
      </c>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2.0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1</v>
      </c>
      <c r="W13" s="4">
        <v>0.0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0</v>
      </c>
      <c r="Y13" s="4">
        <v>0.0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0</v>
      </c>
      <c r="AA13" s="3">
        <f t="shared" si="2"/>
        <v>1</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49</v>
      </c>
      <c r="B14" s="3" t="s">
        <v>50</v>
      </c>
      <c r="C14" s="3" t="s">
        <v>54</v>
      </c>
      <c r="D14" s="3"/>
      <c r="E14" s="3"/>
      <c r="F14" s="3"/>
      <c r="G14" s="3"/>
      <c r="H14" s="3"/>
      <c r="I14" s="3"/>
      <c r="J14" s="3"/>
      <c r="K14" s="3" t="s">
        <v>27</v>
      </c>
      <c r="L14" s="3" t="s">
        <v>28</v>
      </c>
      <c r="M14" s="3"/>
      <c r="N14" s="3"/>
      <c r="O14" s="3"/>
      <c r="P14" s="3"/>
      <c r="Q14" s="4">
        <v>0.0</v>
      </c>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v>0.0</v>
      </c>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2.0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1</v>
      </c>
      <c r="W14" s="4">
        <v>0.0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0</v>
      </c>
      <c r="Y14" s="4">
        <v>0.0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0</v>
      </c>
      <c r="AA14" s="3">
        <f t="shared" si="2"/>
        <v>1</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49</v>
      </c>
      <c r="B15" s="3" t="s">
        <v>50</v>
      </c>
      <c r="C15" s="3" t="s">
        <v>55</v>
      </c>
      <c r="D15" s="3"/>
      <c r="E15" s="3"/>
      <c r="F15" s="3"/>
      <c r="G15" s="3"/>
      <c r="H15" s="3"/>
      <c r="I15" s="3"/>
      <c r="J15" s="3"/>
      <c r="K15" s="3" t="s">
        <v>27</v>
      </c>
      <c r="L15" s="3" t="s">
        <v>28</v>
      </c>
      <c r="M15" s="3"/>
      <c r="N15" s="3"/>
      <c r="O15" s="3"/>
      <c r="P15" s="3"/>
      <c r="Q15" s="4">
        <v>0.0</v>
      </c>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v>0.0</v>
      </c>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2.0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1</v>
      </c>
      <c r="W15" s="4">
        <v>0.0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v>
      </c>
      <c r="Y15" s="4">
        <v>0.0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0</v>
      </c>
      <c r="AA15" s="3">
        <f t="shared" si="2"/>
        <v>1</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49</v>
      </c>
      <c r="B16" s="3" t="s">
        <v>56</v>
      </c>
      <c r="C16" s="3"/>
      <c r="D16" s="3" t="s">
        <v>57</v>
      </c>
      <c r="E16" s="3"/>
      <c r="F16" s="3"/>
      <c r="G16" s="3"/>
      <c r="H16" s="3"/>
      <c r="I16" s="3"/>
      <c r="J16" s="3"/>
      <c r="K16" s="3" t="s">
        <v>27</v>
      </c>
      <c r="L16" s="3" t="s">
        <v>28</v>
      </c>
      <c r="M16" s="3"/>
      <c r="N16" s="3"/>
      <c r="O16" s="3"/>
      <c r="P16" s="3"/>
      <c r="Q16" s="4">
        <v>0.0</v>
      </c>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v>0.0</v>
      </c>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2.0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1</v>
      </c>
      <c r="W16" s="4">
        <v>3.0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2</v>
      </c>
      <c r="Y16" s="4">
        <v>0.0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v>
      </c>
      <c r="AA16" s="3">
        <f t="shared" si="2"/>
        <v>3</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A17" s="3" t="s">
        <v>58</v>
      </c>
      <c r="B17" s="3" t="s">
        <v>59</v>
      </c>
      <c r="C17" s="3"/>
      <c r="D17" s="3" t="s">
        <v>60</v>
      </c>
      <c r="E17" s="3"/>
      <c r="F17" s="3"/>
      <c r="G17" s="3"/>
      <c r="H17" s="3"/>
      <c r="I17" s="3"/>
      <c r="J17" s="3"/>
      <c r="K17" s="3" t="s">
        <v>27</v>
      </c>
      <c r="L17" s="3" t="s">
        <v>28</v>
      </c>
      <c r="M17" s="3"/>
      <c r="N17" s="3"/>
      <c r="O17" s="3"/>
      <c r="P17" s="3"/>
      <c r="Q17" s="4">
        <v>0.0</v>
      </c>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v>0.0</v>
      </c>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2.0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1</v>
      </c>
      <c r="W17" s="4">
        <v>0.0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0</v>
      </c>
      <c r="Y17" s="4">
        <v>0.0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v>
      </c>
      <c r="AA17" s="3">
        <f t="shared" si="2"/>
        <v>1</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6" t="s">
        <v>58</v>
      </c>
      <c r="B18" s="6" t="s">
        <v>61</v>
      </c>
      <c r="C18" s="6"/>
      <c r="D18" s="6"/>
      <c r="E18" s="6"/>
      <c r="F18" s="6"/>
      <c r="G18" s="6"/>
      <c r="H18" s="6"/>
      <c r="I18" s="6"/>
      <c r="J18" s="6"/>
      <c r="K18" s="6" t="s">
        <v>27</v>
      </c>
      <c r="L18" s="6" t="s">
        <v>28</v>
      </c>
      <c r="M18" s="6"/>
      <c r="N18" s="6"/>
      <c r="O18" s="6"/>
      <c r="P18" s="6"/>
      <c r="Q18" s="6">
        <v>1.0</v>
      </c>
      <c r="R18" s="6">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0.5</v>
      </c>
      <c r="S18" s="6">
        <v>1.0</v>
      </c>
      <c r="T18" s="6">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0.5</v>
      </c>
      <c r="U18" s="6">
        <v>13.0</v>
      </c>
      <c r="V18" s="6">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11</v>
      </c>
      <c r="W18" s="6">
        <v>3.0</v>
      </c>
      <c r="X18" s="6">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2</v>
      </c>
      <c r="Y18" s="6">
        <v>5.0</v>
      </c>
      <c r="Z18" s="6">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4</v>
      </c>
      <c r="AA18" s="6">
        <f t="shared" si="2"/>
        <v>17</v>
      </c>
      <c r="AB18" s="6" t="str">
        <f>IFERROR(__xludf.DUMMYFUNCTION("
      Ifs( 
        ISBETWEEN(AA18, 0, 'Points-Table'!C$20, TRUE, False), 'Points-Table'!A$20,
        ISBETWEEN(AA18, 'Points-Table'!C$20, 'Points-Table'!C$21, TRUE, False), 'Points-Table'!A$21,
        ISBETWEEN(AA18, 'Points-Table'!C$22, 10000, TRUE, "&amp;"TRUE), 'Points-Table'!A$22,
        true, 
        0)
      "),"S")</f>
        <v>S</v>
      </c>
      <c r="AC18" s="6" t="s">
        <v>29</v>
      </c>
      <c r="AD18" s="6" t="s">
        <v>29</v>
      </c>
      <c r="AE18" s="6" t="s">
        <v>29</v>
      </c>
    </row>
    <row r="19" ht="24.75" customHeight="1">
      <c r="A19" s="6" t="s">
        <v>58</v>
      </c>
      <c r="B19" s="6" t="s">
        <v>62</v>
      </c>
      <c r="C19" s="6"/>
      <c r="D19" s="6"/>
      <c r="E19" s="6"/>
      <c r="F19" s="6"/>
      <c r="G19" s="6"/>
      <c r="H19" s="6"/>
      <c r="I19" s="6"/>
      <c r="J19" s="6"/>
      <c r="K19" s="6" t="s">
        <v>27</v>
      </c>
      <c r="L19" s="6" t="s">
        <v>28</v>
      </c>
      <c r="M19" s="6"/>
      <c r="N19" s="6"/>
      <c r="O19" s="6"/>
      <c r="P19" s="6"/>
      <c r="Q19" s="6">
        <v>2.0</v>
      </c>
      <c r="R19" s="6">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1</v>
      </c>
      <c r="S19" s="6">
        <v>3.0</v>
      </c>
      <c r="T19" s="6">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2</v>
      </c>
      <c r="U19" s="6">
        <v>0.0</v>
      </c>
      <c r="V19" s="6">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0</v>
      </c>
      <c r="W19" s="6">
        <v>0.0</v>
      </c>
      <c r="X19" s="6">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0</v>
      </c>
      <c r="Y19" s="6">
        <v>0.0</v>
      </c>
      <c r="Z19" s="6">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0</v>
      </c>
      <c r="AA19" s="6">
        <f t="shared" si="2"/>
        <v>0</v>
      </c>
      <c r="AB19" s="6" t="str">
        <f>IFERROR(__xludf.DUMMYFUNCTION("
      Ifs( 
        ISBETWEEN(AA19, 0, 'Points-Table'!C$20, TRUE, False), 'Points-Table'!A$20,
        ISBETWEEN(AA19, 'Points-Table'!C$20, 'Points-Table'!C$21, TRUE, False), 'Points-Table'!A$21,
        ISBETWEEN(AA19, 'Points-Table'!C$22, 10000, TRUE, "&amp;"TRUE), 'Points-Table'!A$22,
        true, 
        0)
      "),"S")</f>
        <v>S</v>
      </c>
      <c r="AC19" s="6" t="s">
        <v>29</v>
      </c>
      <c r="AD19" s="6" t="s">
        <v>29</v>
      </c>
      <c r="AE19" s="6" t="s">
        <v>29</v>
      </c>
    </row>
    <row r="20" ht="24.75" customHeight="1">
      <c r="A20" s="3" t="s">
        <v>58</v>
      </c>
      <c r="B20" s="3" t="s">
        <v>63</v>
      </c>
      <c r="C20" s="3"/>
      <c r="D20" s="3"/>
      <c r="E20" s="3"/>
      <c r="F20" s="3"/>
      <c r="G20" s="3"/>
      <c r="H20" s="3"/>
      <c r="I20" s="3"/>
      <c r="J20" s="3"/>
      <c r="K20" s="3" t="s">
        <v>27</v>
      </c>
      <c r="L20" s="3" t="s">
        <v>28</v>
      </c>
      <c r="M20" s="3"/>
      <c r="N20" s="3"/>
      <c r="O20" s="3"/>
      <c r="P20" s="3"/>
      <c r="Q20" s="4">
        <v>0.0</v>
      </c>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v>0.0</v>
      </c>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5.0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4</v>
      </c>
      <c r="W20" s="4">
        <v>3.0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2</v>
      </c>
      <c r="Y20" s="4">
        <v>0.0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0</v>
      </c>
      <c r="AA20" s="3">
        <f t="shared" si="2"/>
        <v>6</v>
      </c>
      <c r="AB20" s="3" t="str">
        <f>IFERROR(__xludf.DUMMYFUNCTION("
      Ifs( 
        ISBETWEEN(AA20, 0, 'Points-Table'!C$20, TRUE, False), 'Points-Table'!A$20,
        ISBETWEEN(AA20, 'Points-Table'!C$20, 'Points-Table'!C$21, TRUE, False), 'Points-Table'!A$21,
        ISBETWEEN(AA20, 'Points-Table'!C$22, 10000, TRUE, "&amp;"TRUE), 'Points-Table'!A$22,
        true, 
        0)
      "),"S")</f>
        <v>S</v>
      </c>
      <c r="AC20" s="3" t="s">
        <v>29</v>
      </c>
      <c r="AD20" s="3" t="s">
        <v>29</v>
      </c>
      <c r="AE20" s="3" t="s">
        <v>29</v>
      </c>
    </row>
    <row r="21" ht="24.75" customHeight="1">
      <c r="A21" s="3" t="s">
        <v>58</v>
      </c>
      <c r="B21" s="3" t="s">
        <v>64</v>
      </c>
      <c r="C21" s="3"/>
      <c r="D21" s="3"/>
      <c r="E21" s="3"/>
      <c r="F21" s="3"/>
      <c r="G21" s="3"/>
      <c r="H21" s="3"/>
      <c r="I21" s="3"/>
      <c r="J21" s="3"/>
      <c r="K21" s="3"/>
      <c r="L21" s="3" t="s">
        <v>28</v>
      </c>
      <c r="M21" s="3"/>
      <c r="N21" s="3"/>
      <c r="O21" s="3"/>
      <c r="P21" s="3"/>
      <c r="Q21" s="4"/>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3.0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2</v>
      </c>
      <c r="W21" s="4">
        <v>2.0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1</v>
      </c>
      <c r="Y21" s="4">
        <v>0.0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v>
      </c>
      <c r="AA21" s="3">
        <f t="shared" si="2"/>
        <v>3</v>
      </c>
      <c r="AB21" s="3" t="str">
        <f>IFERROR(__xludf.DUMMYFUNCTION("
      Ifs( 
        ISBETWEEN(AA21, 0, 'Points-Table'!C$20, TRUE, False), 'Points-Table'!A$20,
        ISBETWEEN(AA21, 'Points-Table'!C$20, 'Points-Table'!C$21, TRUE, False), 'Points-Table'!A$21,
        ISBETWEEN(AA21, 'Points-Table'!C$22, 10000, TRUE, "&amp;"TRUE), 'Points-Table'!A$22,
        true, 
        0)
      "),"S")</f>
        <v>S</v>
      </c>
      <c r="AC21" s="3" t="s">
        <v>29</v>
      </c>
      <c r="AD21" s="3" t="s">
        <v>29</v>
      </c>
      <c r="AE21" s="3" t="s">
        <v>29</v>
      </c>
    </row>
    <row r="22" ht="24.75" customHeight="1">
      <c r="A22" s="3" t="s">
        <v>58</v>
      </c>
      <c r="B22" s="3" t="s">
        <v>65</v>
      </c>
      <c r="C22" s="3"/>
      <c r="D22" s="3"/>
      <c r="E22" s="3"/>
      <c r="F22" s="3"/>
      <c r="G22" s="3"/>
      <c r="H22" s="3"/>
      <c r="I22" s="3"/>
      <c r="J22" s="3"/>
      <c r="K22" s="3"/>
      <c r="L22" s="3" t="s">
        <v>28</v>
      </c>
      <c r="M22" s="3"/>
      <c r="N22" s="3"/>
      <c r="O22" s="3"/>
      <c r="P22" s="3"/>
      <c r="Q22" s="4"/>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3.0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2</v>
      </c>
      <c r="W22" s="4">
        <v>2.0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1</v>
      </c>
      <c r="Y22" s="4">
        <v>0.0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0</v>
      </c>
      <c r="AA22" s="3">
        <f t="shared" si="2"/>
        <v>3</v>
      </c>
      <c r="AB22" s="3" t="str">
        <f>IFERROR(__xludf.DUMMYFUNCTION("
      Ifs( 
        ISBETWEEN(AA22, 0, 'Points-Table'!C$20, TRUE, False), 'Points-Table'!A$20,
        ISBETWEEN(AA22, 'Points-Table'!C$20, 'Points-Table'!C$21, TRUE, False), 'Points-Table'!A$21,
        ISBETWEEN(AA22, 'Points-Table'!C$22, 10000, TRUE, "&amp;"TRUE), 'Points-Table'!A$22,
        true, 
        0)
      "),"S")</f>
        <v>S</v>
      </c>
      <c r="AC22" s="3" t="s">
        <v>29</v>
      </c>
      <c r="AD22" s="3" t="s">
        <v>29</v>
      </c>
      <c r="AE22" s="3" t="s">
        <v>29</v>
      </c>
    </row>
    <row r="23" ht="24.75" customHeight="1">
      <c r="A23" s="3" t="s">
        <v>58</v>
      </c>
      <c r="B23" s="3" t="s">
        <v>66</v>
      </c>
      <c r="C23" s="3"/>
      <c r="D23" s="3"/>
      <c r="E23" s="3"/>
      <c r="F23" s="3"/>
      <c r="G23" s="3"/>
      <c r="H23" s="3"/>
      <c r="I23" s="3"/>
      <c r="J23" s="3"/>
      <c r="K23" s="3"/>
      <c r="L23" s="3" t="s">
        <v>28</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3.0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2</v>
      </c>
      <c r="W23" s="4">
        <v>2.0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1</v>
      </c>
      <c r="Y23" s="4">
        <v>0.0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v>
      </c>
      <c r="AA23" s="3">
        <f t="shared" si="2"/>
        <v>3</v>
      </c>
      <c r="AB23" s="3" t="str">
        <f>IFERROR(__xludf.DUMMYFUNCTION("
      Ifs( 
        ISBETWEEN(AA23, 0, 'Points-Table'!C$20, TRUE, False), 'Points-Table'!A$20,
        ISBETWEEN(AA23, 'Points-Table'!C$20, 'Points-Table'!C$21, TRUE, False), 'Points-Table'!A$21,
        ISBETWEEN(AA23, 'Points-Table'!C$22, 10000, TRUE, "&amp;"TRUE), 'Points-Table'!A$22,
        true, 
        0)
      "),"S")</f>
        <v>S</v>
      </c>
      <c r="AC23" s="3" t="s">
        <v>29</v>
      </c>
      <c r="AD23" s="3" t="s">
        <v>29</v>
      </c>
      <c r="AE23" s="3" t="s">
        <v>29</v>
      </c>
    </row>
    <row r="24" ht="24.75" customHeight="1">
      <c r="A24" s="3" t="s">
        <v>58</v>
      </c>
      <c r="B24" s="3" t="s">
        <v>67</v>
      </c>
      <c r="C24" s="3" t="s">
        <v>68</v>
      </c>
      <c r="D24" s="3"/>
      <c r="E24" s="3"/>
      <c r="F24" s="3"/>
      <c r="G24" s="3"/>
      <c r="H24" s="3"/>
      <c r="I24" s="3"/>
      <c r="J24" s="3"/>
      <c r="K24" s="3" t="s">
        <v>27</v>
      </c>
      <c r="L24" s="3" t="s">
        <v>28</v>
      </c>
      <c r="M24" s="3"/>
      <c r="N24" s="3"/>
      <c r="O24" s="3"/>
      <c r="P24" s="3"/>
      <c r="Q24" s="4">
        <v>0.0</v>
      </c>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v>0.0</v>
      </c>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2.0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1</v>
      </c>
      <c r="W24" s="4">
        <v>2.0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1</v>
      </c>
      <c r="Y24" s="4"/>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0</v>
      </c>
      <c r="AA24" s="3">
        <f t="shared" si="2"/>
        <v>2</v>
      </c>
      <c r="AB24" s="3" t="str">
        <f>IFERROR(__xludf.DUMMYFUNCTION("
      Ifs( 
        ISBETWEEN(AA24, 0, 'Points-Table'!C$20, TRUE, False), 'Points-Table'!A$20,
        ISBETWEEN(AA24, 'Points-Table'!C$20, 'Points-Table'!C$21, TRUE, False), 'Points-Table'!A$21,
        ISBETWEEN(AA24, 'Points-Table'!C$22, 10000, TRUE, "&amp;"TRUE), 'Points-Table'!A$22,
        true, 
        0)
      "),"S")</f>
        <v>S</v>
      </c>
      <c r="AC24" s="3" t="s">
        <v>29</v>
      </c>
      <c r="AD24" s="3" t="s">
        <v>29</v>
      </c>
      <c r="AE24" s="3" t="s">
        <v>29</v>
      </c>
    </row>
    <row r="25" ht="24.75" customHeight="1">
      <c r="A25" s="3" t="s">
        <v>58</v>
      </c>
      <c r="B25" s="3" t="s">
        <v>67</v>
      </c>
      <c r="C25" s="3" t="s">
        <v>69</v>
      </c>
      <c r="D25" s="3"/>
      <c r="E25" s="3"/>
      <c r="F25" s="3" t="s">
        <v>70</v>
      </c>
      <c r="G25" s="3"/>
      <c r="H25" s="3"/>
      <c r="I25" s="3"/>
      <c r="J25" s="3"/>
      <c r="K25" s="3" t="s">
        <v>27</v>
      </c>
      <c r="L25" s="3" t="s">
        <v>28</v>
      </c>
      <c r="M25" s="3"/>
      <c r="N25" s="3"/>
      <c r="O25" s="3"/>
      <c r="P25" s="3"/>
      <c r="Q25" s="4">
        <v>0.0</v>
      </c>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v>0.0</v>
      </c>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3.0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2</v>
      </c>
      <c r="W25" s="4">
        <v>3.0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2</v>
      </c>
      <c r="Y25" s="4"/>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0</v>
      </c>
      <c r="AA25" s="3">
        <f t="shared" si="2"/>
        <v>4</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71</v>
      </c>
      <c r="B26" s="3" t="s">
        <v>72</v>
      </c>
      <c r="C26" s="3" t="s">
        <v>73</v>
      </c>
      <c r="D26" s="3" t="s">
        <v>74</v>
      </c>
      <c r="E26" s="3"/>
      <c r="F26" s="3"/>
      <c r="G26" s="3"/>
      <c r="H26" s="3"/>
      <c r="I26" s="3"/>
      <c r="J26" s="3"/>
      <c r="K26" s="3" t="s">
        <v>27</v>
      </c>
      <c r="L26" s="3" t="s">
        <v>28</v>
      </c>
      <c r="M26" s="3"/>
      <c r="N26" s="3"/>
      <c r="O26" s="3"/>
      <c r="P26" s="3"/>
      <c r="Q26" s="4">
        <v>0.0</v>
      </c>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v>0.0</v>
      </c>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8.0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7</v>
      </c>
      <c r="W26" s="4">
        <v>0.0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0</v>
      </c>
      <c r="Y26" s="4">
        <v>0.0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0</v>
      </c>
      <c r="AA26" s="3">
        <f t="shared" si="2"/>
        <v>7</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71</v>
      </c>
      <c r="B27" s="3" t="s">
        <v>75</v>
      </c>
      <c r="C27" s="3"/>
      <c r="D27" s="3" t="s">
        <v>76</v>
      </c>
      <c r="E27" s="3"/>
      <c r="F27" s="3"/>
      <c r="G27" s="3"/>
      <c r="H27" s="3"/>
      <c r="I27" s="3"/>
      <c r="J27" s="3"/>
      <c r="K27" s="3" t="s">
        <v>27</v>
      </c>
      <c r="L27" s="3" t="s">
        <v>28</v>
      </c>
      <c r="M27" s="3"/>
      <c r="N27" s="3"/>
      <c r="O27" s="3"/>
      <c r="P27" s="3"/>
      <c r="Q27" s="4">
        <v>0.0</v>
      </c>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v>0.0</v>
      </c>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21.0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16</v>
      </c>
      <c r="W27" s="4">
        <v>3.0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2</v>
      </c>
      <c r="Y27" s="4">
        <v>0.0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0</v>
      </c>
      <c r="AA27" s="3">
        <f t="shared" si="2"/>
        <v>18</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71</v>
      </c>
      <c r="B28" s="3" t="s">
        <v>77</v>
      </c>
      <c r="C28" s="3" t="s">
        <v>78</v>
      </c>
      <c r="D28" s="3" t="s">
        <v>79</v>
      </c>
      <c r="E28" s="3"/>
      <c r="F28" s="3"/>
      <c r="G28" s="3"/>
      <c r="H28" s="3"/>
      <c r="I28" s="3"/>
      <c r="J28" s="3"/>
      <c r="K28" s="3" t="s">
        <v>27</v>
      </c>
      <c r="L28" s="3" t="s">
        <v>28</v>
      </c>
      <c r="M28" s="3"/>
      <c r="N28" s="3"/>
      <c r="O28" s="3"/>
      <c r="P28" s="3"/>
      <c r="Q28" s="4">
        <v>0.0</v>
      </c>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v>0.0</v>
      </c>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5.0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4</v>
      </c>
      <c r="W28" s="4">
        <v>3.0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2</v>
      </c>
      <c r="Y28" s="4">
        <v>0.0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0</v>
      </c>
      <c r="AA28" s="3">
        <f t="shared" si="2"/>
        <v>6</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3" t="s">
        <v>80</v>
      </c>
      <c r="B29" s="3" t="s">
        <v>81</v>
      </c>
      <c r="C29" s="3"/>
      <c r="D29" s="3"/>
      <c r="E29" s="3"/>
      <c r="F29" s="3"/>
      <c r="G29" s="3"/>
      <c r="H29" s="3"/>
      <c r="I29" s="3"/>
      <c r="J29" s="3"/>
      <c r="K29" s="3" t="s">
        <v>27</v>
      </c>
      <c r="L29" s="3" t="s">
        <v>28</v>
      </c>
      <c r="M29" s="3"/>
      <c r="N29" s="3"/>
      <c r="O29" s="3"/>
      <c r="P29" s="3"/>
      <c r="Q29" s="4"/>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8.0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7</v>
      </c>
      <c r="W29" s="4">
        <v>3.0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2</v>
      </c>
      <c r="Y29" s="4">
        <v>0.0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0</v>
      </c>
      <c r="AA29" s="3">
        <f t="shared" si="2"/>
        <v>9</v>
      </c>
      <c r="AB29" s="3" t="str">
        <f>IFERROR(__xludf.DUMMYFUNCTION("
      Ifs( 
        ISBETWEEN(AA29, 0, 'Points-Table'!C$20, TRUE, False), 'Points-Table'!A$20,
        ISBETWEEN(AA29, 'Points-Table'!C$20, 'Points-Table'!C$21, TRUE, False), 'Points-Table'!A$21,
        ISBETWEEN(AA29, 'Points-Table'!C$22, 10000, TRUE, "&amp;"TRUE), 'Points-Table'!A$22,
        true, 
        0)
      "),"S")</f>
        <v>S</v>
      </c>
      <c r="AC29" s="3" t="s">
        <v>29</v>
      </c>
      <c r="AD29" s="3" t="s">
        <v>29</v>
      </c>
      <c r="AE29" s="3" t="s">
        <v>29</v>
      </c>
    </row>
    <row r="30" ht="24.75" customHeight="1">
      <c r="A30" s="3" t="s">
        <v>80</v>
      </c>
      <c r="B30" s="3" t="s">
        <v>82</v>
      </c>
      <c r="C30" s="3"/>
      <c r="D30" s="3"/>
      <c r="E30" s="3"/>
      <c r="F30" s="3"/>
      <c r="G30" s="3"/>
      <c r="H30" s="3"/>
      <c r="I30" s="3"/>
      <c r="J30" s="3"/>
      <c r="K30" s="3" t="s">
        <v>27</v>
      </c>
      <c r="L30" s="3" t="s">
        <v>28</v>
      </c>
      <c r="M30" s="3"/>
      <c r="N30" s="3"/>
      <c r="O30" s="3"/>
      <c r="P30" s="3"/>
      <c r="Q30" s="4"/>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3.0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2</v>
      </c>
      <c r="W30" s="4">
        <v>2.0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1</v>
      </c>
      <c r="Y30" s="4">
        <v>0.0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0</v>
      </c>
      <c r="AA30" s="3">
        <f t="shared" si="2"/>
        <v>3</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80</v>
      </c>
      <c r="B31" s="3" t="s">
        <v>83</v>
      </c>
      <c r="C31" s="3"/>
      <c r="D31" s="3"/>
      <c r="E31" s="3"/>
      <c r="F31" s="3"/>
      <c r="G31" s="3"/>
      <c r="H31" s="3"/>
      <c r="I31" s="3"/>
      <c r="J31" s="3"/>
      <c r="K31" s="3" t="s">
        <v>27</v>
      </c>
      <c r="L31" s="3" t="s">
        <v>28</v>
      </c>
      <c r="M31" s="3"/>
      <c r="N31" s="3"/>
      <c r="O31" s="3"/>
      <c r="P31" s="3"/>
      <c r="Q31" s="4"/>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3.0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2</v>
      </c>
      <c r="W31" s="4">
        <v>2.0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1</v>
      </c>
      <c r="Y31" s="4">
        <v>0.0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0</v>
      </c>
      <c r="AA31" s="3">
        <f t="shared" si="2"/>
        <v>3</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80</v>
      </c>
      <c r="B32" s="3" t="s">
        <v>84</v>
      </c>
      <c r="C32" s="3"/>
      <c r="D32" s="3"/>
      <c r="E32" s="3"/>
      <c r="F32" s="3"/>
      <c r="G32" s="3"/>
      <c r="H32" s="3"/>
      <c r="I32" s="3"/>
      <c r="J32" s="3"/>
      <c r="K32" s="3" t="s">
        <v>27</v>
      </c>
      <c r="L32" s="3" t="s">
        <v>28</v>
      </c>
      <c r="M32" s="3"/>
      <c r="N32" s="3"/>
      <c r="O32" s="3"/>
      <c r="P32" s="3"/>
      <c r="Q32" s="4"/>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3.0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2</v>
      </c>
      <c r="W32" s="4">
        <v>2.0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1</v>
      </c>
      <c r="Y32" s="4">
        <v>0.0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0</v>
      </c>
      <c r="AA32" s="3">
        <f t="shared" si="2"/>
        <v>3</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3" t="s">
        <v>85</v>
      </c>
      <c r="B33" s="3" t="s">
        <v>86</v>
      </c>
      <c r="C33" s="3"/>
      <c r="D33" s="3"/>
      <c r="E33" s="3"/>
      <c r="F33" s="3"/>
      <c r="G33" s="3"/>
      <c r="H33" s="3"/>
      <c r="I33" s="3"/>
      <c r="J33" s="3"/>
      <c r="K33" s="3" t="s">
        <v>27</v>
      </c>
      <c r="L33" s="3" t="s">
        <v>28</v>
      </c>
      <c r="M33" s="3"/>
      <c r="N33" s="3"/>
      <c r="O33" s="3"/>
      <c r="P33" s="3"/>
      <c r="Q33" s="4"/>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5.0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4</v>
      </c>
      <c r="W33" s="4">
        <v>3.0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2</v>
      </c>
      <c r="Y33" s="4"/>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0</v>
      </c>
      <c r="AA33" s="3">
        <f t="shared" si="2"/>
        <v>6</v>
      </c>
      <c r="AB33" s="3" t="str">
        <f>IFERROR(__xludf.DUMMYFUNCTION("
      Ifs( 
        ISBETWEEN(AA33, 0, 'Points-Table'!C$20, TRUE, False), 'Points-Table'!A$20,
        ISBETWEEN(AA33, 'Points-Table'!C$20, 'Points-Table'!C$21, TRUE, False), 'Points-Table'!A$21,
        ISBETWEEN(AA33, 'Points-Table'!C$22, 10000, TRUE, "&amp;"TRUE), 'Points-Table'!A$22,
        true, 
        0)
      "),"S")</f>
        <v>S</v>
      </c>
      <c r="AC33" s="3" t="s">
        <v>29</v>
      </c>
      <c r="AD33" s="3" t="s">
        <v>29</v>
      </c>
      <c r="AE33" s="3" t="s">
        <v>29</v>
      </c>
    </row>
    <row r="34" ht="24.75" customHeight="1">
      <c r="A34" s="3" t="s">
        <v>85</v>
      </c>
      <c r="B34" s="3" t="s">
        <v>87</v>
      </c>
      <c r="C34" s="3"/>
      <c r="D34" s="3"/>
      <c r="E34" s="3"/>
      <c r="F34" s="3"/>
      <c r="G34" s="3"/>
      <c r="H34" s="3"/>
      <c r="I34" s="3"/>
      <c r="J34" s="3"/>
      <c r="K34" s="3" t="s">
        <v>27</v>
      </c>
      <c r="L34" s="3" t="s">
        <v>28</v>
      </c>
      <c r="M34" s="3"/>
      <c r="N34" s="3"/>
      <c r="O34" s="3"/>
      <c r="P34" s="3"/>
      <c r="Q34" s="4"/>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v>
      </c>
      <c r="S34" s="4"/>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v>
      </c>
      <c r="U34" s="4">
        <v>5.0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4</v>
      </c>
      <c r="W34" s="4">
        <v>0.0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0</v>
      </c>
      <c r="Y34" s="4"/>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0</v>
      </c>
      <c r="AA34" s="3">
        <f t="shared" si="2"/>
        <v>4</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85</v>
      </c>
      <c r="B35" s="3" t="s">
        <v>88</v>
      </c>
      <c r="C35" s="3"/>
      <c r="D35" s="3"/>
      <c r="E35" s="3"/>
      <c r="F35" s="3"/>
      <c r="G35" s="3"/>
      <c r="H35" s="3"/>
      <c r="I35" s="3"/>
      <c r="J35" s="3"/>
      <c r="K35" s="3" t="s">
        <v>27</v>
      </c>
      <c r="L35" s="3" t="s">
        <v>28</v>
      </c>
      <c r="M35" s="3"/>
      <c r="N35" s="3"/>
      <c r="O35" s="3"/>
      <c r="P35" s="3"/>
      <c r="Q35" s="4"/>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1.0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0.5</v>
      </c>
      <c r="W35" s="4">
        <v>2.0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1</v>
      </c>
      <c r="Y35" s="4"/>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0</v>
      </c>
      <c r="AA35" s="3">
        <f t="shared" si="2"/>
        <v>1.5</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85</v>
      </c>
      <c r="B36" s="3" t="s">
        <v>89</v>
      </c>
      <c r="C36" s="3"/>
      <c r="D36" s="3"/>
      <c r="E36" s="3"/>
      <c r="F36" s="3"/>
      <c r="G36" s="3"/>
      <c r="H36" s="3"/>
      <c r="I36" s="3"/>
      <c r="J36" s="3"/>
      <c r="K36" s="3" t="s">
        <v>27</v>
      </c>
      <c r="L36" s="3" t="s">
        <v>28</v>
      </c>
      <c r="M36" s="3"/>
      <c r="N36" s="3"/>
      <c r="O36" s="3"/>
      <c r="P36" s="3"/>
      <c r="Q36" s="4"/>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1.0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0.5</v>
      </c>
      <c r="W36" s="4">
        <v>0.0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0</v>
      </c>
      <c r="Y36" s="4"/>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0</v>
      </c>
      <c r="AA36" s="3">
        <f t="shared" si="2"/>
        <v>0.5</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85</v>
      </c>
      <c r="B37" s="3" t="s">
        <v>90</v>
      </c>
      <c r="C37" s="3"/>
      <c r="D37" s="3"/>
      <c r="E37" s="3"/>
      <c r="F37" s="3"/>
      <c r="G37" s="3"/>
      <c r="H37" s="3"/>
      <c r="I37" s="3"/>
      <c r="J37" s="3"/>
      <c r="K37" s="3" t="s">
        <v>27</v>
      </c>
      <c r="L37" s="3" t="s">
        <v>28</v>
      </c>
      <c r="M37" s="3"/>
      <c r="N37" s="3"/>
      <c r="O37" s="3"/>
      <c r="P37" s="3"/>
      <c r="Q37" s="4"/>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1.0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0.5</v>
      </c>
      <c r="W37" s="4">
        <v>2.0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1</v>
      </c>
      <c r="Y37" s="4"/>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0</v>
      </c>
      <c r="AA37" s="3">
        <f t="shared" si="2"/>
        <v>1.5</v>
      </c>
      <c r="AB37" s="3" t="str">
        <f>IFERROR(__xludf.DUMMYFUNCTION("
      Ifs( 
        ISBETWEEN(AA37, 0, 'Points-Table'!C$20, TRUE, False), 'Points-Table'!A$20,
        ISBETWEEN(AA37, 'Points-Table'!C$20, 'Points-Table'!C$21, TRUE, False), 'Points-Table'!A$21,
        ISBETWEEN(AA37, 'Points-Table'!C$22, 10000, TRUE, "&amp;"TRUE), 'Points-Table'!A$22,
        true, 
        0)
      "),"S")</f>
        <v>S</v>
      </c>
      <c r="AC37" s="3" t="s">
        <v>29</v>
      </c>
      <c r="AD37" s="3" t="s">
        <v>29</v>
      </c>
      <c r="AE37" s="3" t="s">
        <v>29</v>
      </c>
    </row>
    <row r="38" ht="24.75" customHeight="1">
      <c r="A38" s="3" t="s">
        <v>85</v>
      </c>
      <c r="B38" s="3" t="s">
        <v>91</v>
      </c>
      <c r="C38" s="3"/>
      <c r="D38" s="3"/>
      <c r="E38" s="3"/>
      <c r="F38" s="3"/>
      <c r="G38" s="3"/>
      <c r="H38" s="3"/>
      <c r="I38" s="3"/>
      <c r="J38" s="3"/>
      <c r="K38" s="3" t="s">
        <v>27</v>
      </c>
      <c r="L38" s="3" t="s">
        <v>28</v>
      </c>
      <c r="M38" s="3"/>
      <c r="N38" s="3"/>
      <c r="O38" s="3"/>
      <c r="P38" s="3"/>
      <c r="Q38" s="4"/>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1.0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0.5</v>
      </c>
      <c r="W38" s="4">
        <v>3.0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2</v>
      </c>
      <c r="Y38" s="4"/>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0</v>
      </c>
      <c r="AA38" s="3">
        <f t="shared" si="2"/>
        <v>2.5</v>
      </c>
      <c r="AB38" s="3" t="str">
        <f>IFERROR(__xludf.DUMMYFUNCTION("
      Ifs( 
        ISBETWEEN(AA38, 0, 'Points-Table'!C$20, TRUE, False), 'Points-Table'!A$20,
        ISBETWEEN(AA38, 'Points-Table'!C$20, 'Points-Table'!C$21, TRUE, False), 'Points-Table'!A$21,
        ISBETWEEN(AA38, 'Points-Table'!C$22, 10000, TRUE, "&amp;"TRUE), 'Points-Table'!A$22,
        true, 
        0)
      "),"S")</f>
        <v>S</v>
      </c>
      <c r="AC38" s="3" t="s">
        <v>29</v>
      </c>
      <c r="AD38" s="3" t="s">
        <v>29</v>
      </c>
      <c r="AE38" s="3" t="s">
        <v>29</v>
      </c>
    </row>
    <row r="39" ht="24.75" customHeight="1">
      <c r="A39" s="3" t="s">
        <v>85</v>
      </c>
      <c r="B39" s="3" t="s">
        <v>92</v>
      </c>
      <c r="C39" s="3" t="s">
        <v>93</v>
      </c>
      <c r="D39" s="3"/>
      <c r="E39" s="3"/>
      <c r="F39" s="3"/>
      <c r="G39" s="3"/>
      <c r="H39" s="3"/>
      <c r="I39" s="3"/>
      <c r="J39" s="3"/>
      <c r="K39" s="3" t="s">
        <v>27</v>
      </c>
      <c r="L39" s="3" t="s">
        <v>28</v>
      </c>
      <c r="M39" s="3"/>
      <c r="N39" s="3"/>
      <c r="O39" s="3"/>
      <c r="P39" s="3"/>
      <c r="Q39" s="4"/>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8.0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7</v>
      </c>
      <c r="W39" s="4">
        <v>2.0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1</v>
      </c>
      <c r="Y39" s="4"/>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0</v>
      </c>
      <c r="AA39" s="3">
        <f t="shared" si="2"/>
        <v>8</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A40" s="3" t="s">
        <v>85</v>
      </c>
      <c r="B40" s="3" t="s">
        <v>92</v>
      </c>
      <c r="C40" s="3" t="s">
        <v>94</v>
      </c>
      <c r="D40" s="3"/>
      <c r="E40" s="3"/>
      <c r="F40" s="3"/>
      <c r="G40" s="3"/>
      <c r="H40" s="3"/>
      <c r="I40" s="3"/>
      <c r="J40" s="3"/>
      <c r="K40" s="3" t="s">
        <v>27</v>
      </c>
      <c r="L40" s="3" t="s">
        <v>28</v>
      </c>
      <c r="M40" s="3"/>
      <c r="N40" s="3"/>
      <c r="O40" s="3"/>
      <c r="P40" s="3"/>
      <c r="Q40" s="4"/>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8.0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7</v>
      </c>
      <c r="W40" s="4">
        <v>2.0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1</v>
      </c>
      <c r="Y40" s="4"/>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0</v>
      </c>
      <c r="AA40" s="3">
        <f t="shared" si="2"/>
        <v>8</v>
      </c>
      <c r="AB40" s="3" t="str">
        <f>IFERROR(__xludf.DUMMYFUNCTION("
      Ifs( 
        ISBETWEEN(AA40, 0, 'Points-Table'!C$20, TRUE, False), 'Points-Table'!A$20,
        ISBETWEEN(AA40, 'Points-Table'!C$20, 'Points-Table'!C$21, TRUE, False), 'Points-Table'!A$21,
        ISBETWEEN(AA40, 'Points-Table'!C$22, 10000, TRUE, "&amp;"TRUE), 'Points-Table'!A$22,
        true, 
        0)
      "),"S")</f>
        <v>S</v>
      </c>
      <c r="AC40" s="3" t="s">
        <v>29</v>
      </c>
      <c r="AD40" s="3" t="s">
        <v>29</v>
      </c>
      <c r="AE40" s="3" t="s">
        <v>29</v>
      </c>
    </row>
    <row r="41" ht="24.75" customHeight="1">
      <c r="A41" s="3" t="s">
        <v>85</v>
      </c>
      <c r="B41" s="3" t="s">
        <v>92</v>
      </c>
      <c r="C41" s="3" t="s">
        <v>95</v>
      </c>
      <c r="D41" s="3"/>
      <c r="E41" s="3"/>
      <c r="F41" s="3"/>
      <c r="G41" s="3"/>
      <c r="H41" s="3"/>
      <c r="I41" s="3"/>
      <c r="J41" s="3"/>
      <c r="K41" s="3" t="s">
        <v>27</v>
      </c>
      <c r="L41" s="3" t="s">
        <v>28</v>
      </c>
      <c r="M41" s="3"/>
      <c r="N41" s="3"/>
      <c r="O41" s="3"/>
      <c r="P41" s="3"/>
      <c r="Q41" s="4"/>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v>
      </c>
      <c r="S41" s="4"/>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v>
      </c>
      <c r="U41" s="4">
        <v>5.0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4</v>
      </c>
      <c r="W41" s="4">
        <v>2.0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1</v>
      </c>
      <c r="Y41" s="4"/>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0</v>
      </c>
      <c r="AA41" s="3">
        <f t="shared" si="2"/>
        <v>5</v>
      </c>
      <c r="AB41" s="3" t="str">
        <f>IFERROR(__xludf.DUMMYFUNCTION("
      Ifs( 
        ISBETWEEN(AA41, 0, 'Points-Table'!C$20, TRUE, False), 'Points-Table'!A$20,
        ISBETWEEN(AA41, 'Points-Table'!C$20, 'Points-Table'!C$21, TRUE, False), 'Points-Table'!A$21,
        ISBETWEEN(AA41, 'Points-Table'!C$22, 10000, TRUE, "&amp;"TRUE), 'Points-Table'!A$22,
        true, 
        0)
      "),"S")</f>
        <v>S</v>
      </c>
      <c r="AC41" s="3" t="s">
        <v>29</v>
      </c>
      <c r="AD41" s="3" t="s">
        <v>29</v>
      </c>
      <c r="AE41" s="3" t="s">
        <v>29</v>
      </c>
    </row>
    <row r="42" ht="24.75" customHeight="1">
      <c r="A42" s="3" t="s">
        <v>85</v>
      </c>
      <c r="B42" s="3" t="s">
        <v>92</v>
      </c>
      <c r="C42" s="3" t="s">
        <v>96</v>
      </c>
      <c r="D42" s="3"/>
      <c r="E42" s="3"/>
      <c r="F42" s="3"/>
      <c r="G42" s="3"/>
      <c r="H42" s="3"/>
      <c r="I42" s="3"/>
      <c r="J42" s="3"/>
      <c r="K42" s="3" t="s">
        <v>27</v>
      </c>
      <c r="L42" s="3" t="s">
        <v>28</v>
      </c>
      <c r="M42" s="3"/>
      <c r="N42" s="3"/>
      <c r="O42" s="3"/>
      <c r="P42" s="3"/>
      <c r="Q42" s="4"/>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1.0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0.5</v>
      </c>
      <c r="W42" s="4">
        <v>2.0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1</v>
      </c>
      <c r="Y42" s="4"/>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0</v>
      </c>
      <c r="AA42" s="3">
        <f t="shared" si="2"/>
        <v>1.5</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85</v>
      </c>
      <c r="B43" s="3" t="s">
        <v>92</v>
      </c>
      <c r="C43" s="3" t="s">
        <v>97</v>
      </c>
      <c r="D43" s="3"/>
      <c r="E43" s="3"/>
      <c r="F43" s="3"/>
      <c r="G43" s="3"/>
      <c r="H43" s="3"/>
      <c r="I43" s="3"/>
      <c r="J43" s="3"/>
      <c r="K43" s="3" t="s">
        <v>27</v>
      </c>
      <c r="L43" s="3" t="s">
        <v>28</v>
      </c>
      <c r="M43" s="3"/>
      <c r="N43" s="3"/>
      <c r="O43" s="3"/>
      <c r="P43" s="3"/>
      <c r="Q43" s="4"/>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0</v>
      </c>
      <c r="S43" s="4"/>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0</v>
      </c>
      <c r="U43" s="4">
        <v>1.0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0.5</v>
      </c>
      <c r="W43" s="4">
        <v>2.0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1</v>
      </c>
      <c r="Y43" s="4"/>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0</v>
      </c>
      <c r="AA43" s="3">
        <f t="shared" si="2"/>
        <v>1.5</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85</v>
      </c>
      <c r="B44" s="3" t="s">
        <v>92</v>
      </c>
      <c r="C44" s="3" t="s">
        <v>98</v>
      </c>
      <c r="D44" s="3"/>
      <c r="E44" s="3"/>
      <c r="F44" s="3"/>
      <c r="G44" s="3"/>
      <c r="H44" s="3"/>
      <c r="I44" s="3"/>
      <c r="J44" s="3"/>
      <c r="K44" s="3" t="s">
        <v>27</v>
      </c>
      <c r="L44" s="3" t="s">
        <v>28</v>
      </c>
      <c r="M44" s="3"/>
      <c r="N44" s="3"/>
      <c r="O44" s="3"/>
      <c r="P44" s="3"/>
      <c r="Q44" s="4"/>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v>
      </c>
      <c r="S44" s="4"/>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v>
      </c>
      <c r="U44" s="4">
        <v>0.0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0</v>
      </c>
      <c r="W44" s="4">
        <v>2.0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1</v>
      </c>
      <c r="Y44" s="4"/>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0</v>
      </c>
      <c r="AA44" s="3">
        <f t="shared" si="2"/>
        <v>1</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3" t="s">
        <v>85</v>
      </c>
      <c r="B45" s="3" t="s">
        <v>99</v>
      </c>
      <c r="C45" s="3" t="s">
        <v>100</v>
      </c>
      <c r="D45" s="3"/>
      <c r="E45" s="3"/>
      <c r="F45" s="3"/>
      <c r="G45" s="3"/>
      <c r="H45" s="3"/>
      <c r="I45" s="3"/>
      <c r="J45" s="3"/>
      <c r="K45" s="3" t="s">
        <v>27</v>
      </c>
      <c r="L45" s="3" t="s">
        <v>28</v>
      </c>
      <c r="M45" s="3"/>
      <c r="N45" s="3"/>
      <c r="O45" s="3"/>
      <c r="P45" s="3"/>
      <c r="Q45" s="4">
        <v>0.0</v>
      </c>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v>
      </c>
      <c r="S45" s="4">
        <v>0.0</v>
      </c>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v>
      </c>
      <c r="U45" s="4">
        <v>3.0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2</v>
      </c>
      <c r="W45" s="4">
        <v>2.0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1</v>
      </c>
      <c r="Y45" s="4"/>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0</v>
      </c>
      <c r="AA45" s="3">
        <f t="shared" si="2"/>
        <v>3</v>
      </c>
      <c r="AB45" s="3" t="str">
        <f>IFERROR(__xludf.DUMMYFUNCTION("
      Ifs( 
        ISBETWEEN(AA45, 0, 'Points-Table'!C$20, TRUE, False), 'Points-Table'!A$20,
        ISBETWEEN(AA45, 'Points-Table'!C$20, 'Points-Table'!C$21, TRUE, False), 'Points-Table'!A$21,
        ISBETWEEN(AA45, 'Points-Table'!C$22, 10000, TRUE, "&amp;"TRUE), 'Points-Table'!A$22,
        true, 
        0)
      "),"S")</f>
        <v>S</v>
      </c>
      <c r="AC45" s="3" t="s">
        <v>29</v>
      </c>
      <c r="AD45" s="3" t="s">
        <v>29</v>
      </c>
      <c r="AE45" s="3" t="s">
        <v>29</v>
      </c>
    </row>
    <row r="46" ht="24.75" customHeight="1">
      <c r="A46" s="3" t="s">
        <v>85</v>
      </c>
      <c r="B46" s="3" t="s">
        <v>101</v>
      </c>
      <c r="C46" s="3" t="s">
        <v>102</v>
      </c>
      <c r="D46" s="3"/>
      <c r="E46" s="3"/>
      <c r="F46" s="3"/>
      <c r="G46" s="3"/>
      <c r="H46" s="3"/>
      <c r="I46" s="3"/>
      <c r="J46" s="3"/>
      <c r="K46" s="3" t="s">
        <v>27</v>
      </c>
      <c r="L46" s="3" t="s">
        <v>28</v>
      </c>
      <c r="M46" s="3"/>
      <c r="N46" s="3"/>
      <c r="O46" s="3"/>
      <c r="P46" s="3"/>
      <c r="Q46" s="4"/>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v>
      </c>
      <c r="S46" s="4"/>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v>
      </c>
      <c r="U46" s="4">
        <v>13.0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11</v>
      </c>
      <c r="W46" s="4">
        <v>3.0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2</v>
      </c>
      <c r="Y46" s="4"/>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0</v>
      </c>
      <c r="AA46" s="3">
        <f t="shared" si="2"/>
        <v>13</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85</v>
      </c>
      <c r="B47" s="3" t="s">
        <v>101</v>
      </c>
      <c r="C47" s="3" t="s">
        <v>103</v>
      </c>
      <c r="D47" s="3"/>
      <c r="E47" s="3"/>
      <c r="F47" s="3"/>
      <c r="G47" s="3"/>
      <c r="H47" s="3"/>
      <c r="I47" s="3"/>
      <c r="J47" s="3"/>
      <c r="K47" s="3" t="s">
        <v>27</v>
      </c>
      <c r="L47" s="3" t="s">
        <v>28</v>
      </c>
      <c r="M47" s="3"/>
      <c r="N47" s="3"/>
      <c r="O47" s="3"/>
      <c r="P47" s="3"/>
      <c r="Q47" s="4"/>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3.0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2</v>
      </c>
      <c r="W47" s="4">
        <v>2.0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1</v>
      </c>
      <c r="Y47" s="4"/>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0</v>
      </c>
      <c r="AA47" s="3">
        <f t="shared" si="2"/>
        <v>3</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85</v>
      </c>
      <c r="B48" s="3" t="s">
        <v>101</v>
      </c>
      <c r="C48" s="3" t="s">
        <v>104</v>
      </c>
      <c r="D48" s="3"/>
      <c r="E48" s="3"/>
      <c r="F48" s="3"/>
      <c r="G48" s="3"/>
      <c r="H48" s="3"/>
      <c r="I48" s="3"/>
      <c r="J48" s="3"/>
      <c r="K48" s="3" t="s">
        <v>27</v>
      </c>
      <c r="L48" s="3" t="s">
        <v>28</v>
      </c>
      <c r="M48" s="3"/>
      <c r="N48" s="3"/>
      <c r="O48" s="3"/>
      <c r="P48" s="3"/>
      <c r="Q48" s="4"/>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3.0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2</v>
      </c>
      <c r="W48" s="4">
        <v>2.0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1</v>
      </c>
      <c r="Y48" s="4"/>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0</v>
      </c>
      <c r="AA48" s="3">
        <f t="shared" si="2"/>
        <v>3</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85</v>
      </c>
      <c r="B49" s="3" t="s">
        <v>101</v>
      </c>
      <c r="C49" s="3" t="s">
        <v>105</v>
      </c>
      <c r="D49" s="3"/>
      <c r="E49" s="3"/>
      <c r="F49" s="3"/>
      <c r="G49" s="3"/>
      <c r="H49" s="3"/>
      <c r="I49" s="3"/>
      <c r="J49" s="3"/>
      <c r="K49" s="3" t="s">
        <v>27</v>
      </c>
      <c r="L49" s="3" t="s">
        <v>28</v>
      </c>
      <c r="M49" s="3"/>
      <c r="N49" s="3"/>
      <c r="O49" s="3"/>
      <c r="P49" s="3"/>
      <c r="Q49" s="4"/>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3.0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2</v>
      </c>
      <c r="W49" s="4">
        <v>3.0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2</v>
      </c>
      <c r="Y49" s="4"/>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0</v>
      </c>
      <c r="AA49" s="3">
        <f t="shared" si="2"/>
        <v>4</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3" t="s">
        <v>85</v>
      </c>
      <c r="B50" s="3" t="s">
        <v>101</v>
      </c>
      <c r="C50" s="3" t="s">
        <v>106</v>
      </c>
      <c r="D50" s="3"/>
      <c r="E50" s="3"/>
      <c r="F50" s="3"/>
      <c r="G50" s="3"/>
      <c r="H50" s="3"/>
      <c r="I50" s="3"/>
      <c r="J50" s="3"/>
      <c r="K50" s="3" t="s">
        <v>27</v>
      </c>
      <c r="L50" s="3" t="s">
        <v>28</v>
      </c>
      <c r="M50" s="3"/>
      <c r="N50" s="3"/>
      <c r="O50" s="3"/>
      <c r="P50" s="3"/>
      <c r="Q50" s="4"/>
      <c r="R50" s="5">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v>
      </c>
      <c r="S50" s="4"/>
      <c r="T50" s="5">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v>
      </c>
      <c r="U50" s="4">
        <v>3.0</v>
      </c>
      <c r="V50" s="5">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2</v>
      </c>
      <c r="W50" s="4">
        <v>3.0</v>
      </c>
      <c r="X50" s="5">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2</v>
      </c>
      <c r="Y50" s="4"/>
      <c r="Z50" s="5">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0</v>
      </c>
      <c r="AA50" s="3">
        <f t="shared" si="2"/>
        <v>4</v>
      </c>
      <c r="AB50" s="3" t="str">
        <f>IFERROR(__xludf.DUMMYFUNCTION("
      Ifs( 
        ISBETWEEN(AA50, 0, 'Points-Table'!C$20, TRUE, False), 'Points-Table'!A$20,
        ISBETWEEN(AA50, 'Points-Table'!C$20, 'Points-Table'!C$21, TRUE, False), 'Points-Table'!A$21,
        ISBETWEEN(AA50, 'Points-Table'!C$22, 10000, TRUE, "&amp;"TRUE), 'Points-Table'!A$22,
        true, 
        0)
      "),"S")</f>
        <v>S</v>
      </c>
      <c r="AC50" s="3" t="s">
        <v>29</v>
      </c>
      <c r="AD50" s="3" t="s">
        <v>29</v>
      </c>
      <c r="AE50" s="3" t="s">
        <v>29</v>
      </c>
    </row>
    <row r="51" ht="24.75" customHeight="1">
      <c r="A51" s="3" t="s">
        <v>85</v>
      </c>
      <c r="B51" s="3" t="s">
        <v>101</v>
      </c>
      <c r="C51" s="3" t="s">
        <v>107</v>
      </c>
      <c r="D51" s="3"/>
      <c r="E51" s="3"/>
      <c r="F51" s="3"/>
      <c r="G51" s="3"/>
      <c r="H51" s="3"/>
      <c r="I51" s="3"/>
      <c r="J51" s="3"/>
      <c r="K51" s="3" t="s">
        <v>27</v>
      </c>
      <c r="L51" s="3" t="s">
        <v>28</v>
      </c>
      <c r="M51" s="3"/>
      <c r="N51" s="3"/>
      <c r="O51" s="3"/>
      <c r="P51" s="3"/>
      <c r="Q51" s="4"/>
      <c r="R51" s="5">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4"/>
      <c r="T51" s="5">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4">
        <v>1.0</v>
      </c>
      <c r="V51" s="5">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0.5</v>
      </c>
      <c r="W51" s="4">
        <v>2.0</v>
      </c>
      <c r="X51" s="5">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1</v>
      </c>
      <c r="Y51" s="4"/>
      <c r="Z51" s="5">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0</v>
      </c>
      <c r="AA51" s="3">
        <f t="shared" si="2"/>
        <v>1.5</v>
      </c>
      <c r="AB51" s="3" t="str">
        <f>IFERROR(__xludf.DUMMYFUNCTION("
      Ifs( 
        ISBETWEEN(AA51, 0, 'Points-Table'!C$20, TRUE, False), 'Points-Table'!A$20,
        ISBETWEEN(AA51, 'Points-Table'!C$20, 'Points-Table'!C$21, TRUE, False), 'Points-Table'!A$21,
        ISBETWEEN(AA51, 'Points-Table'!C$22, 10000, TRUE, "&amp;"TRUE), 'Points-Table'!A$22,
        true, 
        0)
      "),"S")</f>
        <v>S</v>
      </c>
      <c r="AC51" s="3" t="s">
        <v>29</v>
      </c>
      <c r="AD51" s="3" t="s">
        <v>29</v>
      </c>
      <c r="AE51" s="3" t="s">
        <v>29</v>
      </c>
    </row>
    <row r="52" ht="24.75" customHeight="1">
      <c r="A52" s="3" t="s">
        <v>85</v>
      </c>
      <c r="B52" s="3" t="s">
        <v>101</v>
      </c>
      <c r="C52" s="3" t="s">
        <v>108</v>
      </c>
      <c r="D52" s="3"/>
      <c r="E52" s="3"/>
      <c r="F52" s="3"/>
      <c r="G52" s="3"/>
      <c r="H52" s="3"/>
      <c r="I52" s="3"/>
      <c r="J52" s="3"/>
      <c r="K52" s="3" t="s">
        <v>27</v>
      </c>
      <c r="L52" s="3" t="s">
        <v>28</v>
      </c>
      <c r="M52" s="3"/>
      <c r="N52" s="3"/>
      <c r="O52" s="3"/>
      <c r="P52" s="3"/>
      <c r="Q52" s="4"/>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v>
      </c>
      <c r="S52" s="4"/>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v>
      </c>
      <c r="U52" s="4">
        <v>1.0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0.5</v>
      </c>
      <c r="W52" s="4">
        <v>2.0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1</v>
      </c>
      <c r="Y52" s="4"/>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0</v>
      </c>
      <c r="AA52" s="3">
        <f t="shared" si="2"/>
        <v>1.5</v>
      </c>
      <c r="AB52" s="3" t="str">
        <f>IFERROR(__xludf.DUMMYFUNCTION("
      Ifs( 
        ISBETWEEN(AA52, 0, 'Points-Table'!C$20, TRUE, False), 'Points-Table'!A$20,
        ISBETWEEN(AA52, 'Points-Table'!C$20, 'Points-Table'!C$21, TRUE, False), 'Points-Table'!A$21,
        ISBETWEEN(AA52, 'Points-Table'!C$22, 10000, TRUE, "&amp;"TRUE), 'Points-Table'!A$22,
        true, 
        0)
      "),"S")</f>
        <v>S</v>
      </c>
      <c r="AC52" s="3" t="s">
        <v>29</v>
      </c>
      <c r="AD52" s="3" t="s">
        <v>29</v>
      </c>
      <c r="AE52" s="3" t="s">
        <v>29</v>
      </c>
    </row>
    <row r="53" ht="24.75" customHeight="1">
      <c r="A53" s="3" t="s">
        <v>85</v>
      </c>
      <c r="B53" s="3" t="s">
        <v>101</v>
      </c>
      <c r="C53" s="3" t="s">
        <v>109</v>
      </c>
      <c r="D53" s="3"/>
      <c r="E53" s="3"/>
      <c r="F53" s="3"/>
      <c r="G53" s="3"/>
      <c r="H53" s="3"/>
      <c r="I53" s="3"/>
      <c r="J53" s="3"/>
      <c r="K53" s="3" t="s">
        <v>27</v>
      </c>
      <c r="L53" s="3" t="s">
        <v>28</v>
      </c>
      <c r="M53" s="3"/>
      <c r="N53" s="3"/>
      <c r="O53" s="3"/>
      <c r="P53" s="3"/>
      <c r="Q53" s="4"/>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0</v>
      </c>
      <c r="S53" s="4"/>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0</v>
      </c>
      <c r="U53" s="4">
        <v>1.0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0.5</v>
      </c>
      <c r="W53" s="4">
        <v>2.0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1</v>
      </c>
      <c r="Y53" s="4"/>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0</v>
      </c>
      <c r="AA53" s="3">
        <f t="shared" si="2"/>
        <v>1.5</v>
      </c>
      <c r="AB53" s="3" t="str">
        <f>IFERROR(__xludf.DUMMYFUNCTION("
      Ifs( 
        ISBETWEEN(AA53, 0, 'Points-Table'!C$20, TRUE, False), 'Points-Table'!A$20,
        ISBETWEEN(AA53, 'Points-Table'!C$20, 'Points-Table'!C$21, TRUE, False), 'Points-Table'!A$21,
        ISBETWEEN(AA53, 'Points-Table'!C$22, 10000, TRUE, "&amp;"TRUE), 'Points-Table'!A$22,
        true, 
        0)
      "),"S")</f>
        <v>S</v>
      </c>
      <c r="AC53" s="3" t="s">
        <v>29</v>
      </c>
      <c r="AD53" s="3" t="s">
        <v>29</v>
      </c>
      <c r="AE53" s="3" t="s">
        <v>29</v>
      </c>
    </row>
    <row r="54" ht="24.75" customHeight="1">
      <c r="A54" s="3" t="s">
        <v>85</v>
      </c>
      <c r="B54" s="3" t="s">
        <v>101</v>
      </c>
      <c r="C54" s="3" t="s">
        <v>110</v>
      </c>
      <c r="D54" s="3"/>
      <c r="E54" s="3"/>
      <c r="F54" s="3"/>
      <c r="G54" s="3"/>
      <c r="H54" s="3"/>
      <c r="I54" s="3"/>
      <c r="J54" s="3"/>
      <c r="K54" s="3" t="s">
        <v>27</v>
      </c>
      <c r="L54" s="3" t="s">
        <v>28</v>
      </c>
      <c r="M54" s="3"/>
      <c r="N54" s="3"/>
      <c r="O54" s="3"/>
      <c r="P54" s="3"/>
      <c r="Q54" s="4"/>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0</v>
      </c>
      <c r="S54" s="4"/>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0</v>
      </c>
      <c r="U54" s="4">
        <v>1.0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0.5</v>
      </c>
      <c r="W54" s="4">
        <v>2.0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1</v>
      </c>
      <c r="Y54" s="4"/>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0</v>
      </c>
      <c r="AA54" s="3">
        <f t="shared" si="2"/>
        <v>1.5</v>
      </c>
      <c r="AB54" s="3" t="str">
        <f>IFERROR(__xludf.DUMMYFUNCTION("
      Ifs( 
        ISBETWEEN(AA54, 0, 'Points-Table'!C$20, TRUE, False), 'Points-Table'!A$20,
        ISBETWEEN(AA54, 'Points-Table'!C$20, 'Points-Table'!C$21, TRUE, False), 'Points-Table'!A$21,
        ISBETWEEN(AA54, 'Points-Table'!C$22, 10000, TRUE, "&amp;"TRUE), 'Points-Table'!A$22,
        true, 
        0)
      "),"S")</f>
        <v>S</v>
      </c>
      <c r="AC54" s="3" t="s">
        <v>29</v>
      </c>
      <c r="AD54" s="3" t="s">
        <v>29</v>
      </c>
      <c r="AE54" s="3" t="s">
        <v>29</v>
      </c>
    </row>
    <row r="55" ht="24.75" customHeight="1">
      <c r="A55" s="3" t="s">
        <v>85</v>
      </c>
      <c r="B55" s="3" t="s">
        <v>111</v>
      </c>
      <c r="C55" s="3"/>
      <c r="D55" s="3"/>
      <c r="E55" s="3"/>
      <c r="F55" s="3"/>
      <c r="G55" s="3"/>
      <c r="H55" s="3"/>
      <c r="I55" s="3"/>
      <c r="J55" s="3"/>
      <c r="K55" s="3" t="s">
        <v>27</v>
      </c>
      <c r="L55" s="3" t="s">
        <v>28</v>
      </c>
      <c r="M55" s="3"/>
      <c r="N55" s="3"/>
      <c r="O55" s="3"/>
      <c r="P55" s="3"/>
      <c r="Q55" s="4">
        <v>0.0</v>
      </c>
      <c r="R55" s="5">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4">
        <v>0.0</v>
      </c>
      <c r="T55" s="5">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4">
        <v>3.0</v>
      </c>
      <c r="V55" s="5">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2</v>
      </c>
      <c r="W55" s="4">
        <v>3.0</v>
      </c>
      <c r="X55" s="5">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2</v>
      </c>
      <c r="Y55" s="4"/>
      <c r="Z55" s="5">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0</v>
      </c>
      <c r="AA55" s="3">
        <f t="shared" si="2"/>
        <v>4</v>
      </c>
      <c r="AB55" s="3" t="str">
        <f>IFERROR(__xludf.DUMMYFUNCTION("
      Ifs( 
        ISBETWEEN(AA55, 0, 'Points-Table'!C$20, TRUE, False), 'Points-Table'!A$20,
        ISBETWEEN(AA55, 'Points-Table'!C$20, 'Points-Table'!C$21, TRUE, False), 'Points-Table'!A$21,
        ISBETWEEN(AA55, 'Points-Table'!C$22, 10000, TRUE, "&amp;"TRUE), 'Points-Table'!A$22,
        true, 
        0)
      "),"S")</f>
        <v>S</v>
      </c>
      <c r="AC55" s="3" t="s">
        <v>29</v>
      </c>
      <c r="AD55" s="3" t="s">
        <v>29</v>
      </c>
      <c r="AE55" s="3" t="s">
        <v>29</v>
      </c>
    </row>
    <row r="56" ht="24.75" customHeight="1">
      <c r="A56" s="3" t="s">
        <v>85</v>
      </c>
      <c r="B56" s="3" t="s">
        <v>112</v>
      </c>
      <c r="C56" s="3" t="s">
        <v>113</v>
      </c>
      <c r="D56" s="3"/>
      <c r="E56" s="3"/>
      <c r="F56" s="3"/>
      <c r="G56" s="3"/>
      <c r="H56" s="3"/>
      <c r="I56" s="3"/>
      <c r="J56" s="3"/>
      <c r="K56" s="3" t="s">
        <v>27</v>
      </c>
      <c r="L56" s="3" t="s">
        <v>28</v>
      </c>
      <c r="M56" s="3"/>
      <c r="N56" s="3"/>
      <c r="O56" s="3"/>
      <c r="P56" s="3"/>
      <c r="Q56" s="4"/>
      <c r="R56" s="5">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4"/>
      <c r="T56" s="5">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4">
        <v>8.0</v>
      </c>
      <c r="V56" s="5">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7</v>
      </c>
      <c r="W56" s="4">
        <v>5.0</v>
      </c>
      <c r="X56" s="5">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4</v>
      </c>
      <c r="Y56" s="4"/>
      <c r="Z56" s="5">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0</v>
      </c>
      <c r="AA56" s="3">
        <f t="shared" si="2"/>
        <v>11</v>
      </c>
      <c r="AB56" s="3" t="str">
        <f>IFERROR(__xludf.DUMMYFUNCTION("
      Ifs( 
        ISBETWEEN(AA56, 0, 'Points-Table'!C$20, TRUE, False), 'Points-Table'!A$20,
        ISBETWEEN(AA56, 'Points-Table'!C$20, 'Points-Table'!C$21, TRUE, False), 'Points-Table'!A$21,
        ISBETWEEN(AA56, 'Points-Table'!C$22, 10000, TRUE, "&amp;"TRUE), 'Points-Table'!A$22,
        true, 
        0)
      "),"S")</f>
        <v>S</v>
      </c>
      <c r="AC56" s="3" t="s">
        <v>29</v>
      </c>
      <c r="AD56" s="3" t="s">
        <v>29</v>
      </c>
      <c r="AE56" s="3" t="s">
        <v>29</v>
      </c>
    </row>
    <row r="57" ht="24.75" customHeight="1">
      <c r="A57" s="3" t="s">
        <v>85</v>
      </c>
      <c r="B57" s="3" t="s">
        <v>112</v>
      </c>
      <c r="C57" s="3" t="s">
        <v>114</v>
      </c>
      <c r="D57" s="3"/>
      <c r="E57" s="3"/>
      <c r="F57" s="3"/>
      <c r="G57" s="3"/>
      <c r="H57" s="3"/>
      <c r="I57" s="3"/>
      <c r="J57" s="3"/>
      <c r="K57" s="3" t="s">
        <v>27</v>
      </c>
      <c r="L57" s="3" t="s">
        <v>28</v>
      </c>
      <c r="M57" s="3"/>
      <c r="N57" s="3"/>
      <c r="O57" s="3"/>
      <c r="P57" s="3"/>
      <c r="Q57" s="4"/>
      <c r="R57" s="5">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0</v>
      </c>
      <c r="S57" s="4"/>
      <c r="T57" s="5">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0</v>
      </c>
      <c r="U57" s="4">
        <v>21.0</v>
      </c>
      <c r="V57" s="5">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16</v>
      </c>
      <c r="W57" s="4">
        <v>0.0</v>
      </c>
      <c r="X57" s="5">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0</v>
      </c>
      <c r="Y57" s="4"/>
      <c r="Z57" s="5">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0</v>
      </c>
      <c r="AA57" s="3">
        <f t="shared" si="2"/>
        <v>16</v>
      </c>
      <c r="AB57" s="3" t="str">
        <f>IFERROR(__xludf.DUMMYFUNCTION("
      Ifs( 
        ISBETWEEN(AA57, 0, 'Points-Table'!C$20, TRUE, False), 'Points-Table'!A$20,
        ISBETWEEN(AA57, 'Points-Table'!C$20, 'Points-Table'!C$21, TRUE, False), 'Points-Table'!A$21,
        ISBETWEEN(AA57, 'Points-Table'!C$22, 10000, TRUE, "&amp;"TRUE), 'Points-Table'!A$22,
        true, 
        0)
      "),"S")</f>
        <v>S</v>
      </c>
      <c r="AC57" s="3" t="s">
        <v>29</v>
      </c>
      <c r="AD57" s="3" t="s">
        <v>29</v>
      </c>
      <c r="AE57" s="3" t="s">
        <v>29</v>
      </c>
    </row>
    <row r="58" ht="24.75" customHeight="1">
      <c r="A58" s="3" t="s">
        <v>85</v>
      </c>
      <c r="B58" s="3" t="s">
        <v>112</v>
      </c>
      <c r="C58" s="3" t="s">
        <v>115</v>
      </c>
      <c r="D58" s="3"/>
      <c r="E58" s="3"/>
      <c r="F58" s="3"/>
      <c r="G58" s="3"/>
      <c r="H58" s="3"/>
      <c r="I58" s="3"/>
      <c r="J58" s="3"/>
      <c r="K58" s="3" t="s">
        <v>27</v>
      </c>
      <c r="L58" s="3" t="s">
        <v>28</v>
      </c>
      <c r="M58" s="3"/>
      <c r="N58" s="3"/>
      <c r="O58" s="3"/>
      <c r="P58" s="3"/>
      <c r="Q58" s="4"/>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0</v>
      </c>
      <c r="S58" s="4"/>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0</v>
      </c>
      <c r="U58" s="4">
        <v>5.0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4</v>
      </c>
      <c r="W58" s="4">
        <v>0.0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0</v>
      </c>
      <c r="Y58" s="4"/>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0</v>
      </c>
      <c r="AA58" s="3">
        <f t="shared" si="2"/>
        <v>4</v>
      </c>
      <c r="AB58" s="3" t="str">
        <f>IFERROR(__xludf.DUMMYFUNCTION("
      Ifs( 
        ISBETWEEN(AA58, 0, 'Points-Table'!C$20, TRUE, False), 'Points-Table'!A$20,
        ISBETWEEN(AA58, 'Points-Table'!C$20, 'Points-Table'!C$21, TRUE, False), 'Points-Table'!A$21,
        ISBETWEEN(AA58, 'Points-Table'!C$22, 10000, TRUE, "&amp;"TRUE), 'Points-Table'!A$22,
        true, 
        0)
      "),"S")</f>
        <v>S</v>
      </c>
      <c r="AC58" s="3" t="s">
        <v>29</v>
      </c>
      <c r="AD58" s="3" t="s">
        <v>29</v>
      </c>
      <c r="AE58" s="3" t="s">
        <v>29</v>
      </c>
    </row>
    <row r="59" ht="24.75" customHeight="1">
      <c r="A59" s="3" t="s">
        <v>85</v>
      </c>
      <c r="B59" s="3" t="s">
        <v>112</v>
      </c>
      <c r="C59" s="3" t="s">
        <v>116</v>
      </c>
      <c r="D59" s="3"/>
      <c r="E59" s="3"/>
      <c r="F59" s="3"/>
      <c r="G59" s="3"/>
      <c r="H59" s="3"/>
      <c r="I59" s="3"/>
      <c r="J59" s="3"/>
      <c r="K59" s="3" t="s">
        <v>27</v>
      </c>
      <c r="L59" s="3" t="s">
        <v>28</v>
      </c>
      <c r="M59" s="3"/>
      <c r="N59" s="3"/>
      <c r="O59" s="3"/>
      <c r="P59" s="3"/>
      <c r="Q59" s="4"/>
      <c r="R59" s="5">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4"/>
      <c r="T59" s="5">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4">
        <v>2.0</v>
      </c>
      <c r="V59" s="5">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1</v>
      </c>
      <c r="W59" s="4">
        <v>0.0</v>
      </c>
      <c r="X59" s="5">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0</v>
      </c>
      <c r="Y59" s="4"/>
      <c r="Z59" s="5">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0</v>
      </c>
      <c r="AA59" s="3">
        <f t="shared" si="2"/>
        <v>1</v>
      </c>
      <c r="AB59" s="3" t="str">
        <f>IFERROR(__xludf.DUMMYFUNCTION("
      Ifs( 
        ISBETWEEN(AA59, 0, 'Points-Table'!C$20, TRUE, False), 'Points-Table'!A$20,
        ISBETWEEN(AA59, 'Points-Table'!C$20, 'Points-Table'!C$21, TRUE, False), 'Points-Table'!A$21,
        ISBETWEEN(AA59, 'Points-Table'!C$22, 10000, TRUE, "&amp;"TRUE), 'Points-Table'!A$22,
        true, 
        0)
      "),"S")</f>
        <v>S</v>
      </c>
      <c r="AC59" s="3" t="s">
        <v>29</v>
      </c>
      <c r="AD59" s="3" t="s">
        <v>29</v>
      </c>
      <c r="AE59" s="3" t="s">
        <v>29</v>
      </c>
    </row>
    <row r="60" ht="24.75" customHeight="1">
      <c r="A60" s="3" t="s">
        <v>85</v>
      </c>
      <c r="B60" s="3" t="s">
        <v>117</v>
      </c>
      <c r="C60" s="3"/>
      <c r="D60" s="3"/>
      <c r="E60" s="3"/>
      <c r="F60" s="3"/>
      <c r="G60" s="3"/>
      <c r="H60" s="3"/>
      <c r="I60" s="3"/>
      <c r="J60" s="3"/>
      <c r="K60" s="3" t="s">
        <v>27</v>
      </c>
      <c r="L60" s="3" t="s">
        <v>28</v>
      </c>
      <c r="M60" s="3"/>
      <c r="N60" s="3"/>
      <c r="O60" s="3"/>
      <c r="P60" s="3"/>
      <c r="Q60" s="4">
        <v>0.0</v>
      </c>
      <c r="R60" s="5">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0</v>
      </c>
      <c r="S60" s="4">
        <v>0.0</v>
      </c>
      <c r="T60" s="5">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v>
      </c>
      <c r="U60" s="4">
        <v>2.0</v>
      </c>
      <c r="V60" s="5">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1</v>
      </c>
      <c r="W60" s="4">
        <v>2.0</v>
      </c>
      <c r="X60" s="5">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1</v>
      </c>
      <c r="Y60" s="4"/>
      <c r="Z60" s="5">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0</v>
      </c>
      <c r="AA60" s="3">
        <f t="shared" si="2"/>
        <v>2</v>
      </c>
      <c r="AB60" s="3" t="str">
        <f>IFERROR(__xludf.DUMMYFUNCTION("
      Ifs( 
        ISBETWEEN(AA60, 0, 'Points-Table'!C$20, TRUE, False), 'Points-Table'!A$20,
        ISBETWEEN(AA60, 'Points-Table'!C$20, 'Points-Table'!C$21, TRUE, False), 'Points-Table'!A$21,
        ISBETWEEN(AA60, 'Points-Table'!C$22, 10000, TRUE, "&amp;"TRUE), 'Points-Table'!A$22,
        true, 
        0)
      "),"S")</f>
        <v>S</v>
      </c>
      <c r="AC60" s="3" t="s">
        <v>29</v>
      </c>
      <c r="AD60" s="3" t="s">
        <v>29</v>
      </c>
      <c r="AE60" s="3" t="s">
        <v>29</v>
      </c>
    </row>
    <row r="61" ht="24.75" customHeight="1">
      <c r="A61" s="3" t="s">
        <v>118</v>
      </c>
      <c r="B61" s="3"/>
      <c r="C61" s="3"/>
      <c r="D61" s="3"/>
      <c r="E61" s="3"/>
      <c r="F61" s="3" t="s">
        <v>119</v>
      </c>
      <c r="G61" s="3"/>
      <c r="H61" s="3"/>
      <c r="I61" s="3"/>
      <c r="J61" s="3"/>
      <c r="K61" s="3" t="s">
        <v>27</v>
      </c>
      <c r="L61" s="3" t="s">
        <v>28</v>
      </c>
      <c r="M61" s="3"/>
      <c r="N61" s="3"/>
      <c r="O61" s="3"/>
      <c r="P61" s="3"/>
      <c r="Q61" s="4">
        <v>0.0</v>
      </c>
      <c r="R61" s="5">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4">
        <v>0.0</v>
      </c>
      <c r="T61" s="5">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4">
        <v>3.0</v>
      </c>
      <c r="V61" s="5">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2</v>
      </c>
      <c r="W61" s="4">
        <v>2.0</v>
      </c>
      <c r="X61" s="5">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1</v>
      </c>
      <c r="Y61" s="4">
        <v>0.0</v>
      </c>
      <c r="Z61" s="5">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0</v>
      </c>
      <c r="AA61" s="3">
        <f t="shared" si="2"/>
        <v>3</v>
      </c>
      <c r="AB61" s="3" t="str">
        <f>IFERROR(__xludf.DUMMYFUNCTION("
      Ifs( 
        ISBETWEEN(AA61, 0, 'Points-Table'!C$20, TRUE, False), 'Points-Table'!A$20,
        ISBETWEEN(AA61, 'Points-Table'!C$20, 'Points-Table'!C$21, TRUE, False), 'Points-Table'!A$21,
        ISBETWEEN(AA61, 'Points-Table'!C$22, 10000, TRUE, "&amp;"TRUE), 'Points-Table'!A$22,
        true, 
        0)
      "),"S")</f>
        <v>S</v>
      </c>
      <c r="AC61" s="3" t="s">
        <v>29</v>
      </c>
      <c r="AD61" s="3" t="s">
        <v>29</v>
      </c>
      <c r="AE61" s="3" t="s">
        <v>29</v>
      </c>
    </row>
    <row r="62" ht="24.75" customHeight="1">
      <c r="A62" s="3" t="s">
        <v>120</v>
      </c>
      <c r="B62" s="3" t="s">
        <v>121</v>
      </c>
      <c r="C62" s="3"/>
      <c r="D62" s="3"/>
      <c r="E62" s="3"/>
      <c r="F62" s="3"/>
      <c r="G62" s="3"/>
      <c r="H62" s="3"/>
      <c r="I62" s="3"/>
      <c r="J62" s="3"/>
      <c r="K62" s="3" t="s">
        <v>27</v>
      </c>
      <c r="L62" s="3" t="s">
        <v>28</v>
      </c>
      <c r="M62" s="3"/>
      <c r="N62" s="3"/>
      <c r="O62" s="3"/>
      <c r="P62" s="3"/>
      <c r="Q62" s="4">
        <v>0.0</v>
      </c>
      <c r="R62" s="5">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v>
      </c>
      <c r="S62" s="4">
        <v>0.0</v>
      </c>
      <c r="T62" s="5">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4">
        <v>8.0</v>
      </c>
      <c r="V62" s="5">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7</v>
      </c>
      <c r="W62" s="4">
        <v>3.0</v>
      </c>
      <c r="X62" s="5">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2</v>
      </c>
      <c r="Y62" s="4"/>
      <c r="Z62" s="5">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0</v>
      </c>
      <c r="AA62" s="3">
        <f t="shared" si="2"/>
        <v>9</v>
      </c>
      <c r="AB62" s="3" t="str">
        <f>IFERROR(__xludf.DUMMYFUNCTION("
      Ifs( 
        ISBETWEEN(AA62, 0, 'Points-Table'!C$20, TRUE, False), 'Points-Table'!A$20,
        ISBETWEEN(AA62, 'Points-Table'!C$20, 'Points-Table'!C$21, TRUE, False), 'Points-Table'!A$21,
        ISBETWEEN(AA62, 'Points-Table'!C$22, 10000, TRUE, "&amp;"TRUE), 'Points-Table'!A$22,
        true, 
        0)
      "),"S")</f>
        <v>S</v>
      </c>
      <c r="AC62" s="3" t="s">
        <v>29</v>
      </c>
      <c r="AD62" s="3" t="s">
        <v>29</v>
      </c>
      <c r="AE62" s="3" t="s">
        <v>29</v>
      </c>
    </row>
    <row r="63" ht="24.75" customHeight="1">
      <c r="A63" s="3" t="s">
        <v>120</v>
      </c>
      <c r="B63" s="3" t="s">
        <v>122</v>
      </c>
      <c r="C63" s="3"/>
      <c r="D63" s="3"/>
      <c r="E63" s="3"/>
      <c r="F63" s="3"/>
      <c r="G63" s="3"/>
      <c r="H63" s="3"/>
      <c r="I63" s="3"/>
      <c r="J63" s="3"/>
      <c r="K63" s="3" t="s">
        <v>27</v>
      </c>
      <c r="L63" s="3" t="s">
        <v>28</v>
      </c>
      <c r="M63" s="3"/>
      <c r="N63" s="3"/>
      <c r="O63" s="3"/>
      <c r="P63" s="3"/>
      <c r="Q63" s="4">
        <v>0.0</v>
      </c>
      <c r="R63" s="5">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4">
        <v>0.0</v>
      </c>
      <c r="T63" s="5">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4">
        <v>3.0</v>
      </c>
      <c r="V63" s="5">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2</v>
      </c>
      <c r="W63" s="4">
        <v>0.0</v>
      </c>
      <c r="X63" s="5">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0</v>
      </c>
      <c r="Y63" s="4"/>
      <c r="Z63" s="5">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3">
        <f t="shared" si="2"/>
        <v>2</v>
      </c>
      <c r="AB63" s="3" t="str">
        <f>IFERROR(__xludf.DUMMYFUNCTION("
      Ifs( 
        ISBETWEEN(AA63, 0, 'Points-Table'!C$20, TRUE, False), 'Points-Table'!A$20,
        ISBETWEEN(AA63, 'Points-Table'!C$20, 'Points-Table'!C$21, TRUE, False), 'Points-Table'!A$21,
        ISBETWEEN(AA63, 'Points-Table'!C$22, 10000, TRUE, "&amp;"TRUE), 'Points-Table'!A$22,
        true, 
        0)
      "),"S")</f>
        <v>S</v>
      </c>
      <c r="AC63" s="3" t="s">
        <v>29</v>
      </c>
      <c r="AD63" s="3" t="s">
        <v>29</v>
      </c>
      <c r="AE63" s="3" t="s">
        <v>29</v>
      </c>
    </row>
    <row r="64" ht="24.75" customHeight="1">
      <c r="A64" s="3" t="s">
        <v>120</v>
      </c>
      <c r="B64" s="3" t="s">
        <v>123</v>
      </c>
      <c r="C64" s="3" t="s">
        <v>124</v>
      </c>
      <c r="D64" s="3"/>
      <c r="E64" s="3"/>
      <c r="F64" s="3"/>
      <c r="G64" s="3"/>
      <c r="H64" s="3"/>
      <c r="I64" s="3"/>
      <c r="J64" s="3"/>
      <c r="K64" s="3" t="s">
        <v>27</v>
      </c>
      <c r="L64" s="3" t="s">
        <v>28</v>
      </c>
      <c r="M64" s="3"/>
      <c r="N64" s="3"/>
      <c r="O64" s="3"/>
      <c r="P64" s="3"/>
      <c r="Q64" s="4">
        <v>0.0</v>
      </c>
      <c r="R64" s="5">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4">
        <v>0.0</v>
      </c>
      <c r="T64" s="5">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v>
      </c>
      <c r="U64" s="4">
        <v>3.0</v>
      </c>
      <c r="V64" s="5">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2</v>
      </c>
      <c r="W64" s="4">
        <v>0.0</v>
      </c>
      <c r="X64" s="5">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0</v>
      </c>
      <c r="Y64" s="4"/>
      <c r="Z64" s="5">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0</v>
      </c>
      <c r="AA64" s="3">
        <f t="shared" si="2"/>
        <v>2</v>
      </c>
      <c r="AB64" s="3" t="str">
        <f>IFERROR(__xludf.DUMMYFUNCTION("
      Ifs( 
        ISBETWEEN(AA64, 0, 'Points-Table'!C$20, TRUE, False), 'Points-Table'!A$20,
        ISBETWEEN(AA64, 'Points-Table'!C$20, 'Points-Table'!C$21, TRUE, False), 'Points-Table'!A$21,
        ISBETWEEN(AA64, 'Points-Table'!C$22, 10000, TRUE, "&amp;"TRUE), 'Points-Table'!A$22,
        true, 
        0)
      "),"S")</f>
        <v>S</v>
      </c>
      <c r="AC64" s="3" t="s">
        <v>29</v>
      </c>
      <c r="AD64" s="3" t="s">
        <v>29</v>
      </c>
      <c r="AE64" s="3" t="s">
        <v>29</v>
      </c>
    </row>
    <row r="65" ht="24.75" customHeight="1">
      <c r="A65" s="3" t="s">
        <v>120</v>
      </c>
      <c r="B65" s="3" t="s">
        <v>123</v>
      </c>
      <c r="C65" s="3" t="s">
        <v>125</v>
      </c>
      <c r="D65" s="3"/>
      <c r="E65" s="3"/>
      <c r="F65" s="3"/>
      <c r="G65" s="3"/>
      <c r="H65" s="3"/>
      <c r="I65" s="3"/>
      <c r="J65" s="3"/>
      <c r="K65" s="3" t="s">
        <v>27</v>
      </c>
      <c r="L65" s="3" t="s">
        <v>28</v>
      </c>
      <c r="M65" s="3"/>
      <c r="N65" s="3"/>
      <c r="O65" s="3"/>
      <c r="P65" s="3"/>
      <c r="Q65" s="4">
        <v>0.0</v>
      </c>
      <c r="R65" s="5">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4">
        <v>0.0</v>
      </c>
      <c r="T65" s="5">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4">
        <v>8.0</v>
      </c>
      <c r="V65" s="5">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7</v>
      </c>
      <c r="W65" s="4">
        <v>0.0</v>
      </c>
      <c r="X65" s="5">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0</v>
      </c>
      <c r="Y65" s="4"/>
      <c r="Z65" s="5">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0</v>
      </c>
      <c r="AA65" s="3">
        <f t="shared" si="2"/>
        <v>7</v>
      </c>
      <c r="AB65" s="3" t="str">
        <f>IFERROR(__xludf.DUMMYFUNCTION("
      Ifs( 
        ISBETWEEN(AA65, 0, 'Points-Table'!C$20, TRUE, False), 'Points-Table'!A$20,
        ISBETWEEN(AA65, 'Points-Table'!C$20, 'Points-Table'!C$21, TRUE, False), 'Points-Table'!A$21,
        ISBETWEEN(AA65, 'Points-Table'!C$22, 10000, TRUE, "&amp;"TRUE), 'Points-Table'!A$22,
        true, 
        0)
      "),"S")</f>
        <v>S</v>
      </c>
      <c r="AC65" s="3" t="s">
        <v>29</v>
      </c>
      <c r="AD65" s="3" t="s">
        <v>29</v>
      </c>
      <c r="AE65" s="3" t="s">
        <v>29</v>
      </c>
    </row>
    <row r="66" ht="24.75" customHeight="1">
      <c r="A66" s="3" t="s">
        <v>120</v>
      </c>
      <c r="B66" s="3" t="s">
        <v>123</v>
      </c>
      <c r="C66" s="3" t="s">
        <v>126</v>
      </c>
      <c r="D66" s="3"/>
      <c r="E66" s="3"/>
      <c r="F66" s="3"/>
      <c r="G66" s="3"/>
      <c r="H66" s="3"/>
      <c r="I66" s="3"/>
      <c r="J66" s="3"/>
      <c r="K66" s="3" t="s">
        <v>27</v>
      </c>
      <c r="L66" s="3" t="s">
        <v>28</v>
      </c>
      <c r="M66" s="3"/>
      <c r="N66" s="3"/>
      <c r="O66" s="3"/>
      <c r="P66" s="3"/>
      <c r="Q66" s="4">
        <v>0.0</v>
      </c>
      <c r="R66" s="5">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4">
        <v>0.0</v>
      </c>
      <c r="T66" s="5">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4">
        <v>5.0</v>
      </c>
      <c r="V66" s="5">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4</v>
      </c>
      <c r="W66" s="4">
        <v>0.0</v>
      </c>
      <c r="X66" s="5">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0</v>
      </c>
      <c r="Y66" s="4"/>
      <c r="Z66" s="5">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0</v>
      </c>
      <c r="AA66" s="3">
        <f t="shared" si="2"/>
        <v>4</v>
      </c>
      <c r="AB66" s="3" t="str">
        <f>IFERROR(__xludf.DUMMYFUNCTION("
      Ifs( 
        ISBETWEEN(AA66, 0, 'Points-Table'!C$20, TRUE, False), 'Points-Table'!A$20,
        ISBETWEEN(AA66, 'Points-Table'!C$20, 'Points-Table'!C$21, TRUE, False), 'Points-Table'!A$21,
        ISBETWEEN(AA66, 'Points-Table'!C$22, 10000, TRUE, "&amp;"TRUE), 'Points-Table'!A$22,
        true, 
        0)
      "),"S")</f>
        <v>S</v>
      </c>
      <c r="AC66" s="3" t="s">
        <v>29</v>
      </c>
      <c r="AD66" s="3" t="s">
        <v>29</v>
      </c>
      <c r="AE66" s="3" t="s">
        <v>29</v>
      </c>
    </row>
    <row r="67" ht="24.75" customHeight="1">
      <c r="A67" s="3" t="s">
        <v>120</v>
      </c>
      <c r="B67" s="3" t="s">
        <v>123</v>
      </c>
      <c r="C67" s="3" t="s">
        <v>127</v>
      </c>
      <c r="D67" s="3"/>
      <c r="E67" s="3"/>
      <c r="F67" s="3"/>
      <c r="G67" s="3"/>
      <c r="H67" s="3"/>
      <c r="I67" s="3"/>
      <c r="J67" s="3"/>
      <c r="K67" s="3" t="s">
        <v>27</v>
      </c>
      <c r="L67" s="3" t="s">
        <v>28</v>
      </c>
      <c r="M67" s="3"/>
      <c r="N67" s="3"/>
      <c r="O67" s="3"/>
      <c r="P67" s="3"/>
      <c r="Q67" s="4">
        <v>0.0</v>
      </c>
      <c r="R67" s="5">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4">
        <v>0.0</v>
      </c>
      <c r="T67" s="5">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4">
        <v>0.0</v>
      </c>
      <c r="V67" s="5">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0</v>
      </c>
      <c r="W67" s="4">
        <v>3.0</v>
      </c>
      <c r="X67" s="5">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2</v>
      </c>
      <c r="Y67" s="4"/>
      <c r="Z67" s="5">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0</v>
      </c>
      <c r="AA67" s="3">
        <f t="shared" si="2"/>
        <v>2</v>
      </c>
      <c r="AB67" s="3" t="str">
        <f>IFERROR(__xludf.DUMMYFUNCTION("
      Ifs( 
        ISBETWEEN(AA67, 0, 'Points-Table'!C$20, TRUE, False), 'Points-Table'!A$20,
        ISBETWEEN(AA67, 'Points-Table'!C$20, 'Points-Table'!C$21, TRUE, False), 'Points-Table'!A$21,
        ISBETWEEN(AA67, 'Points-Table'!C$22, 10000, TRUE, "&amp;"TRUE), 'Points-Table'!A$22,
        true, 
        0)
      "),"S")</f>
        <v>S</v>
      </c>
      <c r="AC67" s="3" t="s">
        <v>29</v>
      </c>
      <c r="AD67" s="3" t="s">
        <v>29</v>
      </c>
      <c r="AE67" s="3" t="s">
        <v>29</v>
      </c>
    </row>
    <row r="68" ht="24.75" customHeight="1">
      <c r="A68" s="3" t="s">
        <v>120</v>
      </c>
      <c r="B68" s="3" t="s">
        <v>128</v>
      </c>
      <c r="C68" s="3" t="s">
        <v>129</v>
      </c>
      <c r="D68" s="3"/>
      <c r="E68" s="3"/>
      <c r="F68" s="3"/>
      <c r="G68" s="3"/>
      <c r="H68" s="3"/>
      <c r="I68" s="3"/>
      <c r="J68" s="3"/>
      <c r="K68" s="3" t="s">
        <v>27</v>
      </c>
      <c r="L68" s="3" t="s">
        <v>28</v>
      </c>
      <c r="M68" s="3"/>
      <c r="N68" s="3"/>
      <c r="O68" s="3"/>
      <c r="P68" s="3"/>
      <c r="Q68" s="4">
        <v>0.0</v>
      </c>
      <c r="R68" s="5">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v>
      </c>
      <c r="S68" s="4">
        <v>0.0</v>
      </c>
      <c r="T68" s="5">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v>
      </c>
      <c r="U68" s="4">
        <v>13.0</v>
      </c>
      <c r="V68" s="5">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11</v>
      </c>
      <c r="W68" s="4">
        <v>3.0</v>
      </c>
      <c r="X68" s="5">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2</v>
      </c>
      <c r="Y68" s="4">
        <v>0.0</v>
      </c>
      <c r="Z68" s="5">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0</v>
      </c>
      <c r="AA68" s="3">
        <f t="shared" si="2"/>
        <v>13</v>
      </c>
      <c r="AB68" s="3" t="str">
        <f>IFERROR(__xludf.DUMMYFUNCTION("
      Ifs( 
        ISBETWEEN(AA68, 0, 'Points-Table'!C$20, TRUE, False), 'Points-Table'!A$20,
        ISBETWEEN(AA68, 'Points-Table'!C$20, 'Points-Table'!C$21, TRUE, False), 'Points-Table'!A$21,
        ISBETWEEN(AA68, 'Points-Table'!C$22, 10000, TRUE, "&amp;"TRUE), 'Points-Table'!A$22,
        true, 
        0)
      "),"S")</f>
        <v>S</v>
      </c>
      <c r="AC68" s="3" t="s">
        <v>29</v>
      </c>
      <c r="AD68" s="3" t="s">
        <v>29</v>
      </c>
      <c r="AE68" s="3" t="s">
        <v>29</v>
      </c>
    </row>
    <row r="69" ht="24.75" customHeight="1">
      <c r="A69" s="3" t="s">
        <v>120</v>
      </c>
      <c r="B69" s="3" t="s">
        <v>128</v>
      </c>
      <c r="C69" s="3" t="s">
        <v>130</v>
      </c>
      <c r="D69" s="3"/>
      <c r="E69" s="3"/>
      <c r="F69" s="3"/>
      <c r="G69" s="3"/>
      <c r="H69" s="3"/>
      <c r="I69" s="3"/>
      <c r="J69" s="3"/>
      <c r="K69" s="3" t="s">
        <v>27</v>
      </c>
      <c r="L69" s="3" t="s">
        <v>28</v>
      </c>
      <c r="M69" s="3"/>
      <c r="N69" s="3"/>
      <c r="O69" s="3"/>
      <c r="P69" s="3"/>
      <c r="Q69" s="4">
        <v>0.0</v>
      </c>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v>
      </c>
      <c r="S69" s="4">
        <v>0.0</v>
      </c>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v>
      </c>
      <c r="U69" s="4">
        <v>3.0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2</v>
      </c>
      <c r="W69" s="4">
        <v>3.0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2</v>
      </c>
      <c r="Y69" s="4">
        <v>0.0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0</v>
      </c>
      <c r="AA69" s="3">
        <f t="shared" si="2"/>
        <v>4</v>
      </c>
      <c r="AB69" s="3" t="str">
        <f>IFERROR(__xludf.DUMMYFUNCTION("
      Ifs( 
        ISBETWEEN(AA69, 0, 'Points-Table'!C$20, TRUE, False), 'Points-Table'!A$20,
        ISBETWEEN(AA69, 'Points-Table'!C$20, 'Points-Table'!C$21, TRUE, False), 'Points-Table'!A$21,
        ISBETWEEN(AA69, 'Points-Table'!C$22, 10000, TRUE, "&amp;"TRUE), 'Points-Table'!A$22,
        true, 
        0)
      "),"S")</f>
        <v>S</v>
      </c>
      <c r="AC69" s="3" t="s">
        <v>29</v>
      </c>
      <c r="AD69" s="3" t="s">
        <v>29</v>
      </c>
      <c r="AE69" s="3" t="s">
        <v>29</v>
      </c>
    </row>
    <row r="70" ht="24.75" customHeight="1">
      <c r="A70" s="3" t="s">
        <v>120</v>
      </c>
      <c r="B70" s="3" t="s">
        <v>131</v>
      </c>
      <c r="C70" s="3" t="s">
        <v>132</v>
      </c>
      <c r="D70" s="3"/>
      <c r="E70" s="3"/>
      <c r="F70" s="3"/>
      <c r="G70" s="3"/>
      <c r="H70" s="3"/>
      <c r="I70" s="3"/>
      <c r="J70" s="3"/>
      <c r="K70" s="3" t="s">
        <v>27</v>
      </c>
      <c r="L70" s="3" t="s">
        <v>28</v>
      </c>
      <c r="M70" s="3"/>
      <c r="N70" s="3"/>
      <c r="O70" s="3"/>
      <c r="P70" s="3"/>
      <c r="Q70" s="4">
        <v>0.0</v>
      </c>
      <c r="R70" s="5">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v>
      </c>
      <c r="S70" s="4">
        <v>0.0</v>
      </c>
      <c r="T70" s="5">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v>
      </c>
      <c r="U70" s="4">
        <v>5.0</v>
      </c>
      <c r="V70" s="5">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4</v>
      </c>
      <c r="W70" s="4">
        <v>2.0</v>
      </c>
      <c r="X70" s="5">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1</v>
      </c>
      <c r="Y70" s="4">
        <v>0.0</v>
      </c>
      <c r="Z70" s="5">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0</v>
      </c>
      <c r="AA70" s="3">
        <f t="shared" si="2"/>
        <v>5</v>
      </c>
      <c r="AB70" s="3" t="str">
        <f>IFERROR(__xludf.DUMMYFUNCTION("
      Ifs( 
        ISBETWEEN(AA70, 0, 'Points-Table'!C$20, TRUE, False), 'Points-Table'!A$20,
        ISBETWEEN(AA70, 'Points-Table'!C$20, 'Points-Table'!C$21, TRUE, False), 'Points-Table'!A$21,
        ISBETWEEN(AA70, 'Points-Table'!C$22, 10000, TRUE, "&amp;"TRUE), 'Points-Table'!A$22,
        true, 
        0)
      "),"S")</f>
        <v>S</v>
      </c>
      <c r="AC70" s="3" t="s">
        <v>29</v>
      </c>
      <c r="AD70" s="3" t="s">
        <v>29</v>
      </c>
      <c r="AE70" s="3" t="s">
        <v>29</v>
      </c>
    </row>
    <row r="71" ht="24.75" customHeight="1">
      <c r="A71" s="3" t="s">
        <v>120</v>
      </c>
      <c r="B71" s="3" t="s">
        <v>131</v>
      </c>
      <c r="C71" s="3" t="s">
        <v>133</v>
      </c>
      <c r="D71" s="3"/>
      <c r="E71" s="3"/>
      <c r="F71" s="3"/>
      <c r="G71" s="3"/>
      <c r="H71" s="3"/>
      <c r="I71" s="3"/>
      <c r="J71" s="3"/>
      <c r="K71" s="3" t="s">
        <v>27</v>
      </c>
      <c r="L71" s="3" t="s">
        <v>28</v>
      </c>
      <c r="M71" s="3"/>
      <c r="N71" s="3"/>
      <c r="O71" s="3"/>
      <c r="P71" s="3"/>
      <c r="Q71" s="4">
        <v>0.0</v>
      </c>
      <c r="R71" s="5">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4">
        <v>0.0</v>
      </c>
      <c r="T71" s="5">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4">
        <v>1.0</v>
      </c>
      <c r="V71" s="5">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0.5</v>
      </c>
      <c r="W71" s="4">
        <v>1.0</v>
      </c>
      <c r="X71" s="5">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0.5</v>
      </c>
      <c r="Y71" s="4">
        <v>0.0</v>
      </c>
      <c r="Z71" s="5">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0</v>
      </c>
      <c r="AA71" s="3">
        <f t="shared" si="2"/>
        <v>1</v>
      </c>
      <c r="AB71" s="3" t="str">
        <f>IFERROR(__xludf.DUMMYFUNCTION("
      Ifs( 
        ISBETWEEN(AA71, 0, 'Points-Table'!C$20, TRUE, False), 'Points-Table'!A$20,
        ISBETWEEN(AA71, 'Points-Table'!C$20, 'Points-Table'!C$21, TRUE, False), 'Points-Table'!A$21,
        ISBETWEEN(AA71, 'Points-Table'!C$22, 10000, TRUE, "&amp;"TRUE), 'Points-Table'!A$22,
        true, 
        0)
      "),"S")</f>
        <v>S</v>
      </c>
      <c r="AC71" s="3" t="s">
        <v>29</v>
      </c>
      <c r="AD71" s="3" t="s">
        <v>29</v>
      </c>
      <c r="AE71" s="3" t="s">
        <v>29</v>
      </c>
    </row>
    <row r="72" ht="24.75" customHeight="1">
      <c r="A72" s="3" t="s">
        <v>120</v>
      </c>
      <c r="B72" s="3" t="s">
        <v>131</v>
      </c>
      <c r="C72" s="3" t="s">
        <v>134</v>
      </c>
      <c r="D72" s="3"/>
      <c r="E72" s="3"/>
      <c r="F72" s="3"/>
      <c r="G72" s="3"/>
      <c r="H72" s="3"/>
      <c r="I72" s="3"/>
      <c r="J72" s="3"/>
      <c r="K72" s="3" t="s">
        <v>27</v>
      </c>
      <c r="L72" s="3" t="s">
        <v>28</v>
      </c>
      <c r="M72" s="3"/>
      <c r="N72" s="3"/>
      <c r="O72" s="3"/>
      <c r="P72" s="3"/>
      <c r="Q72" s="4">
        <v>0.0</v>
      </c>
      <c r="R72" s="5">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v>
      </c>
      <c r="S72" s="4">
        <v>0.0</v>
      </c>
      <c r="T72" s="5">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v>
      </c>
      <c r="U72" s="4">
        <v>5.0</v>
      </c>
      <c r="V72" s="5">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4</v>
      </c>
      <c r="W72" s="4">
        <v>2.0</v>
      </c>
      <c r="X72" s="5">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1</v>
      </c>
      <c r="Y72" s="4">
        <v>0.0</v>
      </c>
      <c r="Z72" s="5">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0</v>
      </c>
      <c r="AA72" s="3">
        <f t="shared" si="2"/>
        <v>5</v>
      </c>
      <c r="AB72" s="3" t="str">
        <f>IFERROR(__xludf.DUMMYFUNCTION("
      Ifs( 
        ISBETWEEN(AA72, 0, 'Points-Table'!C$20, TRUE, False), 'Points-Table'!A$20,
        ISBETWEEN(AA72, 'Points-Table'!C$20, 'Points-Table'!C$21, TRUE, False), 'Points-Table'!A$21,
        ISBETWEEN(AA72, 'Points-Table'!C$22, 10000, TRUE, "&amp;"TRUE), 'Points-Table'!A$22,
        true, 
        0)
      "),"S")</f>
        <v>S</v>
      </c>
      <c r="AC72" s="3" t="s">
        <v>29</v>
      </c>
      <c r="AD72" s="3" t="s">
        <v>29</v>
      </c>
      <c r="AE72" s="3" t="s">
        <v>29</v>
      </c>
    </row>
    <row r="73" ht="24.75" customHeight="1">
      <c r="A73" s="3" t="s">
        <v>120</v>
      </c>
      <c r="B73" s="3" t="s">
        <v>131</v>
      </c>
      <c r="C73" s="3" t="s">
        <v>135</v>
      </c>
      <c r="D73" s="3"/>
      <c r="E73" s="3"/>
      <c r="F73" s="3"/>
      <c r="G73" s="3"/>
      <c r="H73" s="3"/>
      <c r="I73" s="3"/>
      <c r="J73" s="3"/>
      <c r="K73" s="3" t="s">
        <v>27</v>
      </c>
      <c r="L73" s="3" t="s">
        <v>28</v>
      </c>
      <c r="M73" s="3"/>
      <c r="N73" s="3"/>
      <c r="O73" s="3"/>
      <c r="P73" s="3"/>
      <c r="Q73" s="4">
        <v>0.0</v>
      </c>
      <c r="R73" s="5">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v>
      </c>
      <c r="S73" s="4">
        <v>0.0</v>
      </c>
      <c r="T73" s="5">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v>
      </c>
      <c r="U73" s="4">
        <v>1.0</v>
      </c>
      <c r="V73" s="5">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0.5</v>
      </c>
      <c r="W73" s="4">
        <v>1.0</v>
      </c>
      <c r="X73" s="5">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0.5</v>
      </c>
      <c r="Y73" s="4">
        <v>0.0</v>
      </c>
      <c r="Z73" s="5">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0</v>
      </c>
      <c r="AA73" s="3">
        <f t="shared" si="2"/>
        <v>1</v>
      </c>
      <c r="AB73" s="3" t="str">
        <f>IFERROR(__xludf.DUMMYFUNCTION("
      Ifs( 
        ISBETWEEN(AA73, 0, 'Points-Table'!C$20, TRUE, False), 'Points-Table'!A$20,
        ISBETWEEN(AA73, 'Points-Table'!C$20, 'Points-Table'!C$21, TRUE, False), 'Points-Table'!A$21,
        ISBETWEEN(AA73, 'Points-Table'!C$22, 10000, TRUE, "&amp;"TRUE), 'Points-Table'!A$22,
        true, 
        0)
      "),"S")</f>
        <v>S</v>
      </c>
      <c r="AC73" s="3" t="s">
        <v>29</v>
      </c>
      <c r="AD73" s="3" t="s">
        <v>29</v>
      </c>
      <c r="AE73" s="3" t="s">
        <v>29</v>
      </c>
    </row>
    <row r="74" ht="24.75" customHeight="1">
      <c r="A74" s="3" t="s">
        <v>136</v>
      </c>
      <c r="B74" s="3" t="s">
        <v>137</v>
      </c>
      <c r="C74" s="3" t="s">
        <v>138</v>
      </c>
      <c r="D74" s="3"/>
      <c r="E74" s="3"/>
      <c r="F74" s="3"/>
      <c r="G74" s="3"/>
      <c r="H74" s="3"/>
      <c r="I74" s="3"/>
      <c r="J74" s="3"/>
      <c r="K74" s="3" t="s">
        <v>27</v>
      </c>
      <c r="L74" s="3" t="s">
        <v>28</v>
      </c>
      <c r="M74" s="3"/>
      <c r="N74" s="3"/>
      <c r="O74" s="3"/>
      <c r="P74" s="3"/>
      <c r="Q74" s="4">
        <v>0.0</v>
      </c>
      <c r="R74" s="5">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v>0</v>
      </c>
      <c r="S74" s="4">
        <v>0.0</v>
      </c>
      <c r="T74" s="5">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v>0</v>
      </c>
      <c r="U74" s="4">
        <v>5.0</v>
      </c>
      <c r="V74" s="5">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v>4</v>
      </c>
      <c r="W74" s="4">
        <v>3.0</v>
      </c>
      <c r="X74" s="5">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v>2</v>
      </c>
      <c r="Y74" s="4">
        <v>0.0</v>
      </c>
      <c r="Z74" s="5">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v>0</v>
      </c>
      <c r="AA74" s="3">
        <f t="shared" si="2"/>
        <v>6</v>
      </c>
      <c r="AB74" s="3" t="str">
        <f>IFERROR(__xludf.DUMMYFUNCTION("
      Ifs( 
        ISBETWEEN(AA74, 0, 'Points-Table'!C$20, TRUE, False), 'Points-Table'!A$20,
        ISBETWEEN(AA74, 'Points-Table'!C$20, 'Points-Table'!C$21, TRUE, False), 'Points-Table'!A$21,
        ISBETWEEN(AA74, 'Points-Table'!C$22, 10000, TRUE, "&amp;"TRUE), 'Points-Table'!A$22,
        true, 
        0)
      "),"S")</f>
        <v>S</v>
      </c>
      <c r="AC74" s="3" t="s">
        <v>29</v>
      </c>
      <c r="AD74" s="3" t="s">
        <v>29</v>
      </c>
      <c r="AE74" s="3" t="s">
        <v>29</v>
      </c>
    </row>
    <row r="75" ht="24.75" customHeight="1">
      <c r="A75" s="3" t="s">
        <v>136</v>
      </c>
      <c r="B75" s="3" t="s">
        <v>137</v>
      </c>
      <c r="C75" s="3" t="s">
        <v>139</v>
      </c>
      <c r="D75" s="3"/>
      <c r="E75" s="3"/>
      <c r="F75" s="3"/>
      <c r="G75" s="3"/>
      <c r="H75" s="3"/>
      <c r="I75" s="3"/>
      <c r="J75" s="3"/>
      <c r="K75" s="3" t="s">
        <v>27</v>
      </c>
      <c r="L75" s="3" t="s">
        <v>28</v>
      </c>
      <c r="M75" s="3"/>
      <c r="N75" s="3"/>
      <c r="O75" s="3"/>
      <c r="P75" s="3"/>
      <c r="Q75" s="4"/>
      <c r="R75" s="5">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v>0</v>
      </c>
      <c r="S75" s="4"/>
      <c r="T75" s="5">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v>0</v>
      </c>
      <c r="U75" s="4">
        <v>0.0</v>
      </c>
      <c r="V75" s="5">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v>0</v>
      </c>
      <c r="W75" s="4">
        <v>3.0</v>
      </c>
      <c r="X75" s="5">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v>2</v>
      </c>
      <c r="Y75" s="4">
        <v>0.0</v>
      </c>
      <c r="Z75" s="5">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v>0</v>
      </c>
      <c r="AA75" s="3">
        <f t="shared" si="2"/>
        <v>2</v>
      </c>
      <c r="AB75" s="3" t="str">
        <f>IFERROR(__xludf.DUMMYFUNCTION("
      Ifs( 
        ISBETWEEN(AA75, 0, 'Points-Table'!C$20, TRUE, False), 'Points-Table'!A$20,
        ISBETWEEN(AA75, 'Points-Table'!C$20, 'Points-Table'!C$21, TRUE, False), 'Points-Table'!A$21,
        ISBETWEEN(AA75, 'Points-Table'!C$22, 10000, TRUE, "&amp;"TRUE), 'Points-Table'!A$22,
        true, 
        0)
      "),"S")</f>
        <v>S</v>
      </c>
      <c r="AC75" s="3" t="s">
        <v>29</v>
      </c>
      <c r="AD75" s="3" t="s">
        <v>29</v>
      </c>
      <c r="AE75" s="3" t="s">
        <v>29</v>
      </c>
    </row>
    <row r="76" ht="24.75" customHeight="1">
      <c r="A76" s="3" t="s">
        <v>136</v>
      </c>
      <c r="B76" s="3" t="s">
        <v>140</v>
      </c>
      <c r="C76" s="3" t="s">
        <v>141</v>
      </c>
      <c r="D76" s="3"/>
      <c r="E76" s="3"/>
      <c r="F76" s="3"/>
      <c r="G76" s="3"/>
      <c r="H76" s="3"/>
      <c r="I76" s="3"/>
      <c r="J76" s="3"/>
      <c r="K76" s="3" t="s">
        <v>27</v>
      </c>
      <c r="L76" s="3" t="s">
        <v>28</v>
      </c>
      <c r="M76" s="3"/>
      <c r="N76" s="3"/>
      <c r="O76" s="3"/>
      <c r="P76" s="3"/>
      <c r="Q76" s="4">
        <v>0.0</v>
      </c>
      <c r="R76" s="5">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v>0</v>
      </c>
      <c r="S76" s="4">
        <v>0.0</v>
      </c>
      <c r="T76" s="5">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v>0</v>
      </c>
      <c r="U76" s="4">
        <v>3.0</v>
      </c>
      <c r="V76" s="5">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v>2</v>
      </c>
      <c r="W76" s="4">
        <v>2.0</v>
      </c>
      <c r="X76" s="5">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v>1</v>
      </c>
      <c r="Y76" s="4"/>
      <c r="Z76" s="5">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v>0</v>
      </c>
      <c r="AA76" s="3">
        <f t="shared" si="2"/>
        <v>3</v>
      </c>
      <c r="AB76" s="3" t="str">
        <f>IFERROR(__xludf.DUMMYFUNCTION("
      Ifs( 
        ISBETWEEN(AA76, 0, 'Points-Table'!C$20, TRUE, False), 'Points-Table'!A$20,
        ISBETWEEN(AA76, 'Points-Table'!C$20, 'Points-Table'!C$21, TRUE, False), 'Points-Table'!A$21,
        ISBETWEEN(AA76, 'Points-Table'!C$22, 10000, TRUE, "&amp;"TRUE), 'Points-Table'!A$22,
        true, 
        0)
      "),"S")</f>
        <v>S</v>
      </c>
      <c r="AC76" s="3" t="s">
        <v>29</v>
      </c>
      <c r="AD76" s="3" t="s">
        <v>29</v>
      </c>
      <c r="AE76" s="3" t="s">
        <v>29</v>
      </c>
    </row>
    <row r="77" ht="24.75" customHeight="1">
      <c r="A77" s="3" t="s">
        <v>136</v>
      </c>
      <c r="B77" s="3" t="s">
        <v>140</v>
      </c>
      <c r="C77" s="3" t="s">
        <v>142</v>
      </c>
      <c r="D77" s="3"/>
      <c r="E77" s="3"/>
      <c r="F77" s="3"/>
      <c r="G77" s="3"/>
      <c r="H77" s="3"/>
      <c r="I77" s="3"/>
      <c r="J77" s="3"/>
      <c r="K77" s="3" t="s">
        <v>27</v>
      </c>
      <c r="L77" s="3" t="s">
        <v>28</v>
      </c>
      <c r="M77" s="3"/>
      <c r="N77" s="3"/>
      <c r="O77" s="3"/>
      <c r="P77" s="3"/>
      <c r="Q77" s="4">
        <v>0.0</v>
      </c>
      <c r="R77" s="5">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v>0</v>
      </c>
      <c r="S77" s="4">
        <v>0.0</v>
      </c>
      <c r="T77" s="5">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v>0</v>
      </c>
      <c r="U77" s="4">
        <v>2.0</v>
      </c>
      <c r="V77" s="5">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v>1</v>
      </c>
      <c r="W77" s="4">
        <v>3.0</v>
      </c>
      <c r="X77" s="5">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v>2</v>
      </c>
      <c r="Y77" s="4"/>
      <c r="Z77" s="5">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v>0</v>
      </c>
      <c r="AA77" s="3">
        <f t="shared" si="2"/>
        <v>3</v>
      </c>
      <c r="AB77" s="3" t="str">
        <f>IFERROR(__xludf.DUMMYFUNCTION("
      Ifs( 
        ISBETWEEN(AA77, 0, 'Points-Table'!C$20, TRUE, False), 'Points-Table'!A$20,
        ISBETWEEN(AA77, 'Points-Table'!C$20, 'Points-Table'!C$21, TRUE, False), 'Points-Table'!A$21,
        ISBETWEEN(AA77, 'Points-Table'!C$22, 10000, TRUE, "&amp;"TRUE), 'Points-Table'!A$22,
        true, 
        0)
      "),"S")</f>
        <v>S</v>
      </c>
      <c r="AC77" s="3" t="s">
        <v>29</v>
      </c>
      <c r="AD77" s="3" t="s">
        <v>29</v>
      </c>
      <c r="AE77" s="3" t="s">
        <v>29</v>
      </c>
    </row>
    <row r="78" ht="24.75" customHeight="1">
      <c r="A78" s="3" t="s">
        <v>136</v>
      </c>
      <c r="B78" s="3" t="s">
        <v>143</v>
      </c>
      <c r="C78" s="3" t="s">
        <v>144</v>
      </c>
      <c r="D78" s="3"/>
      <c r="E78" s="3"/>
      <c r="F78" s="3"/>
      <c r="G78" s="3"/>
      <c r="H78" s="3"/>
      <c r="I78" s="3"/>
      <c r="J78" s="3"/>
      <c r="K78" s="3" t="s">
        <v>27</v>
      </c>
      <c r="L78" s="3" t="s">
        <v>28</v>
      </c>
      <c r="M78" s="3"/>
      <c r="N78" s="3"/>
      <c r="O78" s="3"/>
      <c r="P78" s="3"/>
      <c r="Q78" s="4">
        <v>0.0</v>
      </c>
      <c r="R78" s="5">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v>0</v>
      </c>
      <c r="S78" s="4">
        <v>0.0</v>
      </c>
      <c r="T78" s="5">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v>0</v>
      </c>
      <c r="U78" s="4">
        <v>3.0</v>
      </c>
      <c r="V78" s="5">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v>2</v>
      </c>
      <c r="W78" s="4">
        <v>2.0</v>
      </c>
      <c r="X78" s="5">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v>1</v>
      </c>
      <c r="Y78" s="4">
        <v>0.0</v>
      </c>
      <c r="Z78" s="5">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v>0</v>
      </c>
      <c r="AA78" s="3">
        <f t="shared" si="2"/>
        <v>3</v>
      </c>
      <c r="AB78" s="3" t="str">
        <f>IFERROR(__xludf.DUMMYFUNCTION("
      Ifs( 
        ISBETWEEN(AA78, 0, 'Points-Table'!C$20, TRUE, False), 'Points-Table'!A$20,
        ISBETWEEN(AA78, 'Points-Table'!C$20, 'Points-Table'!C$21, TRUE, False), 'Points-Table'!A$21,
        ISBETWEEN(AA78, 'Points-Table'!C$22, 10000, TRUE, "&amp;"TRUE), 'Points-Table'!A$22,
        true, 
        0)
      "),"S")</f>
        <v>S</v>
      </c>
      <c r="AC78" s="3" t="s">
        <v>29</v>
      </c>
      <c r="AD78" s="3" t="s">
        <v>29</v>
      </c>
      <c r="AE78" s="3" t="s">
        <v>29</v>
      </c>
    </row>
    <row r="79" ht="24.75" customHeight="1">
      <c r="A79" s="3" t="s">
        <v>136</v>
      </c>
      <c r="B79" s="3" t="s">
        <v>143</v>
      </c>
      <c r="C79" s="3" t="s">
        <v>145</v>
      </c>
      <c r="D79" s="3"/>
      <c r="E79" s="3"/>
      <c r="F79" s="3"/>
      <c r="G79" s="3"/>
      <c r="H79" s="3"/>
      <c r="I79" s="3"/>
      <c r="J79" s="3"/>
      <c r="K79" s="3" t="s">
        <v>27</v>
      </c>
      <c r="L79" s="3" t="s">
        <v>28</v>
      </c>
      <c r="M79" s="3"/>
      <c r="N79" s="3"/>
      <c r="O79" s="3"/>
      <c r="P79" s="3"/>
      <c r="Q79" s="4">
        <v>0.0</v>
      </c>
      <c r="R79" s="5">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v>0</v>
      </c>
      <c r="S79" s="4">
        <v>0.0</v>
      </c>
      <c r="T79" s="5">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v>0</v>
      </c>
      <c r="U79" s="4">
        <v>2.0</v>
      </c>
      <c r="V79" s="5">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v>1</v>
      </c>
      <c r="W79" s="4">
        <v>3.0</v>
      </c>
      <c r="X79" s="5">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v>2</v>
      </c>
      <c r="Y79" s="4"/>
      <c r="Z79" s="5">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v>0</v>
      </c>
      <c r="AA79" s="3">
        <f t="shared" si="2"/>
        <v>3</v>
      </c>
      <c r="AB79" s="3" t="str">
        <f>IFERROR(__xludf.DUMMYFUNCTION("
      Ifs( 
        ISBETWEEN(AA79, 0, 'Points-Table'!C$20, TRUE, False), 'Points-Table'!A$20,
        ISBETWEEN(AA79, 'Points-Table'!C$20, 'Points-Table'!C$21, TRUE, False), 'Points-Table'!A$21,
        ISBETWEEN(AA79, 'Points-Table'!C$22, 10000, TRUE, "&amp;"TRUE), 'Points-Table'!A$22,
        true, 
        0)
      "),"S")</f>
        <v>S</v>
      </c>
      <c r="AC79" s="3" t="s">
        <v>29</v>
      </c>
      <c r="AD79" s="3" t="s">
        <v>29</v>
      </c>
      <c r="AE79" s="3" t="s">
        <v>29</v>
      </c>
    </row>
    <row r="80" ht="24.75" customHeight="1">
      <c r="A80" s="3" t="s">
        <v>136</v>
      </c>
      <c r="B80" s="3" t="s">
        <v>146</v>
      </c>
      <c r="C80" s="3" t="s">
        <v>147</v>
      </c>
      <c r="D80" s="3"/>
      <c r="E80" s="3"/>
      <c r="F80" s="3"/>
      <c r="G80" s="3"/>
      <c r="H80" s="3"/>
      <c r="I80" s="3"/>
      <c r="J80" s="3"/>
      <c r="K80" s="3" t="s">
        <v>27</v>
      </c>
      <c r="L80" s="3" t="s">
        <v>28</v>
      </c>
      <c r="M80" s="3"/>
      <c r="N80" s="3"/>
      <c r="O80" s="3"/>
      <c r="P80" s="3"/>
      <c r="Q80" s="4">
        <v>0.0</v>
      </c>
      <c r="R80" s="5">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v>0</v>
      </c>
      <c r="S80" s="4">
        <v>0.0</v>
      </c>
      <c r="T80" s="5">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v>0</v>
      </c>
      <c r="U80" s="4">
        <v>8.0</v>
      </c>
      <c r="V80" s="5">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v>7</v>
      </c>
      <c r="W80" s="4">
        <v>2.0</v>
      </c>
      <c r="X80" s="5">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v>1</v>
      </c>
      <c r="Y80" s="4">
        <v>0.0</v>
      </c>
      <c r="Z80" s="5">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v>0</v>
      </c>
      <c r="AA80" s="3">
        <f t="shared" si="2"/>
        <v>8</v>
      </c>
      <c r="AB80" s="3" t="str">
        <f>IFERROR(__xludf.DUMMYFUNCTION("
      Ifs( 
        ISBETWEEN(AA80, 0, 'Points-Table'!C$20, TRUE, False), 'Points-Table'!A$20,
        ISBETWEEN(AA80, 'Points-Table'!C$20, 'Points-Table'!C$21, TRUE, False), 'Points-Table'!A$21,
        ISBETWEEN(AA80, 'Points-Table'!C$22, 10000, TRUE, "&amp;"TRUE), 'Points-Table'!A$22,
        true, 
        0)
      "),"S")</f>
        <v>S</v>
      </c>
      <c r="AC80" s="3" t="s">
        <v>29</v>
      </c>
      <c r="AD80" s="3" t="s">
        <v>29</v>
      </c>
      <c r="AE80" s="3" t="s">
        <v>29</v>
      </c>
    </row>
    <row r="81" ht="24.75" customHeight="1">
      <c r="A81" s="3" t="s">
        <v>136</v>
      </c>
      <c r="B81" s="3" t="s">
        <v>146</v>
      </c>
      <c r="C81" s="3" t="s">
        <v>148</v>
      </c>
      <c r="D81" s="3"/>
      <c r="E81" s="3"/>
      <c r="F81" s="3"/>
      <c r="G81" s="3"/>
      <c r="H81" s="3"/>
      <c r="I81" s="3"/>
      <c r="J81" s="3"/>
      <c r="K81" s="3" t="s">
        <v>27</v>
      </c>
      <c r="L81" s="3" t="s">
        <v>28</v>
      </c>
      <c r="M81" s="3"/>
      <c r="N81" s="3"/>
      <c r="O81" s="3"/>
      <c r="P81" s="3"/>
      <c r="Q81" s="4">
        <v>0.0</v>
      </c>
      <c r="R81" s="5">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v>0</v>
      </c>
      <c r="S81" s="4">
        <v>0.0</v>
      </c>
      <c r="T81" s="5">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v>0</v>
      </c>
      <c r="U81" s="4">
        <v>5.0</v>
      </c>
      <c r="V81" s="5">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v>4</v>
      </c>
      <c r="W81" s="4">
        <v>2.0</v>
      </c>
      <c r="X81" s="5">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v>1</v>
      </c>
      <c r="Y81" s="4">
        <v>0.0</v>
      </c>
      <c r="Z81" s="5">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v>0</v>
      </c>
      <c r="AA81" s="3">
        <f t="shared" si="2"/>
        <v>5</v>
      </c>
      <c r="AB81" s="3" t="str">
        <f>IFERROR(__xludf.DUMMYFUNCTION("
      Ifs( 
        ISBETWEEN(AA81, 0, 'Points-Table'!C$20, TRUE, False), 'Points-Table'!A$20,
        ISBETWEEN(AA81, 'Points-Table'!C$20, 'Points-Table'!C$21, TRUE, False), 'Points-Table'!A$21,
        ISBETWEEN(AA81, 'Points-Table'!C$22, 10000, TRUE, "&amp;"TRUE), 'Points-Table'!A$22,
        true, 
        0)
      "),"S")</f>
        <v>S</v>
      </c>
      <c r="AC81" s="3" t="s">
        <v>29</v>
      </c>
      <c r="AD81" s="3" t="s">
        <v>29</v>
      </c>
      <c r="AE81" s="3" t="s">
        <v>29</v>
      </c>
    </row>
    <row r="82" ht="24.75" customHeight="1">
      <c r="A82" s="3" t="s">
        <v>136</v>
      </c>
      <c r="B82" s="3" t="s">
        <v>146</v>
      </c>
      <c r="C82" s="3" t="s">
        <v>149</v>
      </c>
      <c r="D82" s="3"/>
      <c r="E82" s="3"/>
      <c r="F82" s="3"/>
      <c r="G82" s="3"/>
      <c r="H82" s="3"/>
      <c r="I82" s="3"/>
      <c r="J82" s="3"/>
      <c r="K82" s="3" t="s">
        <v>27</v>
      </c>
      <c r="L82" s="3" t="s">
        <v>28</v>
      </c>
      <c r="M82" s="3"/>
      <c r="N82" s="3"/>
      <c r="O82" s="3"/>
      <c r="P82" s="3"/>
      <c r="Q82" s="4">
        <v>0.0</v>
      </c>
      <c r="R82" s="5">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v>0</v>
      </c>
      <c r="S82" s="4">
        <v>0.0</v>
      </c>
      <c r="T82" s="5">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v>0</v>
      </c>
      <c r="U82" s="4">
        <v>2.0</v>
      </c>
      <c r="V82" s="5">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v>1</v>
      </c>
      <c r="W82" s="4">
        <v>2.0</v>
      </c>
      <c r="X82" s="5">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v>1</v>
      </c>
      <c r="Y82" s="4">
        <v>0.0</v>
      </c>
      <c r="Z82" s="5">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v>0</v>
      </c>
      <c r="AA82" s="3">
        <f t="shared" si="2"/>
        <v>2</v>
      </c>
      <c r="AB82" s="3" t="str">
        <f>IFERROR(__xludf.DUMMYFUNCTION("
      Ifs( 
        ISBETWEEN(AA82, 0, 'Points-Table'!C$20, TRUE, False), 'Points-Table'!A$20,
        ISBETWEEN(AA82, 'Points-Table'!C$20, 'Points-Table'!C$21, TRUE, False), 'Points-Table'!A$21,
        ISBETWEEN(AA82, 'Points-Table'!C$22, 10000, TRUE, "&amp;"TRUE), 'Points-Table'!A$22,
        true, 
        0)
      "),"S")</f>
        <v>S</v>
      </c>
      <c r="AC82" s="3" t="s">
        <v>29</v>
      </c>
      <c r="AD82" s="3" t="s">
        <v>29</v>
      </c>
      <c r="AE82" s="3" t="s">
        <v>29</v>
      </c>
    </row>
    <row r="83" ht="24.75" customHeight="1">
      <c r="A83" s="3" t="s">
        <v>136</v>
      </c>
      <c r="B83" s="3" t="s">
        <v>150</v>
      </c>
      <c r="C83" s="3" t="s">
        <v>151</v>
      </c>
      <c r="D83" s="3"/>
      <c r="E83" s="3"/>
      <c r="F83" s="3"/>
      <c r="G83" s="3"/>
      <c r="H83" s="3"/>
      <c r="I83" s="3"/>
      <c r="J83" s="3"/>
      <c r="K83" s="3" t="s">
        <v>27</v>
      </c>
      <c r="L83" s="3" t="s">
        <v>28</v>
      </c>
      <c r="M83" s="3"/>
      <c r="N83" s="3"/>
      <c r="O83" s="3"/>
      <c r="P83" s="3"/>
      <c r="Q83" s="4">
        <v>0.0</v>
      </c>
      <c r="R83" s="5">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v>0</v>
      </c>
      <c r="S83" s="4">
        <v>0.0</v>
      </c>
      <c r="T83" s="5">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v>0</v>
      </c>
      <c r="U83" s="4">
        <v>8.0</v>
      </c>
      <c r="V83" s="5">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v>7</v>
      </c>
      <c r="W83" s="4">
        <v>3.0</v>
      </c>
      <c r="X83" s="5">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v>2</v>
      </c>
      <c r="Y83" s="4">
        <v>0.0</v>
      </c>
      <c r="Z83" s="5">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v>0</v>
      </c>
      <c r="AA83" s="3">
        <f t="shared" si="2"/>
        <v>9</v>
      </c>
      <c r="AB83" s="3" t="str">
        <f>IFERROR(__xludf.DUMMYFUNCTION("
      Ifs( 
        ISBETWEEN(AA83, 0, 'Points-Table'!C$20, TRUE, False), 'Points-Table'!A$20,
        ISBETWEEN(AA83, 'Points-Table'!C$20, 'Points-Table'!C$21, TRUE, False), 'Points-Table'!A$21,
        ISBETWEEN(AA83, 'Points-Table'!C$22, 10000, TRUE, "&amp;"TRUE), 'Points-Table'!A$22,
        true, 
        0)
      "),"S")</f>
        <v>S</v>
      </c>
      <c r="AC83" s="3" t="s">
        <v>29</v>
      </c>
      <c r="AD83" s="3" t="s">
        <v>29</v>
      </c>
      <c r="AE83" s="3" t="s">
        <v>29</v>
      </c>
    </row>
    <row r="84" ht="24.75" customHeight="1">
      <c r="A84" s="3" t="s">
        <v>136</v>
      </c>
      <c r="B84" s="3" t="s">
        <v>152</v>
      </c>
      <c r="C84" s="3" t="s">
        <v>132</v>
      </c>
      <c r="D84" s="3"/>
      <c r="E84" s="3"/>
      <c r="F84" s="3"/>
      <c r="G84" s="3"/>
      <c r="H84" s="3"/>
      <c r="I84" s="3"/>
      <c r="J84" s="3"/>
      <c r="K84" s="3" t="s">
        <v>27</v>
      </c>
      <c r="L84" s="3" t="s">
        <v>28</v>
      </c>
      <c r="M84" s="3"/>
      <c r="N84" s="3"/>
      <c r="O84" s="3"/>
      <c r="P84" s="3"/>
      <c r="Q84" s="4">
        <v>0.0</v>
      </c>
      <c r="R84" s="5">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v>0</v>
      </c>
      <c r="S84" s="4">
        <v>0.0</v>
      </c>
      <c r="T84" s="5">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v>0</v>
      </c>
      <c r="U84" s="4">
        <v>5.0</v>
      </c>
      <c r="V84" s="5">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v>4</v>
      </c>
      <c r="W84" s="4">
        <v>3.0</v>
      </c>
      <c r="X84" s="5">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v>2</v>
      </c>
      <c r="Y84" s="4">
        <v>0.0</v>
      </c>
      <c r="Z84" s="5">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v>0</v>
      </c>
      <c r="AA84" s="3">
        <f t="shared" si="2"/>
        <v>6</v>
      </c>
      <c r="AB84" s="3" t="str">
        <f>IFERROR(__xludf.DUMMYFUNCTION("
      Ifs( 
        ISBETWEEN(AA84, 0, 'Points-Table'!C$20, TRUE, False), 'Points-Table'!A$20,
        ISBETWEEN(AA84, 'Points-Table'!C$20, 'Points-Table'!C$21, TRUE, False), 'Points-Table'!A$21,
        ISBETWEEN(AA84, 'Points-Table'!C$22, 10000, TRUE, "&amp;"TRUE), 'Points-Table'!A$22,
        true, 
        0)
      "),"S")</f>
        <v>S</v>
      </c>
      <c r="AC84" s="3" t="s">
        <v>29</v>
      </c>
      <c r="AD84" s="3" t="s">
        <v>29</v>
      </c>
      <c r="AE84" s="3" t="s">
        <v>29</v>
      </c>
    </row>
    <row r="85" ht="24.75" customHeight="1">
      <c r="A85" s="3" t="s">
        <v>136</v>
      </c>
      <c r="B85" s="3" t="s">
        <v>152</v>
      </c>
      <c r="C85" s="3" t="s">
        <v>153</v>
      </c>
      <c r="D85" s="3"/>
      <c r="E85" s="3"/>
      <c r="F85" s="3"/>
      <c r="G85" s="3"/>
      <c r="H85" s="3"/>
      <c r="I85" s="3"/>
      <c r="J85" s="3"/>
      <c r="K85" s="3" t="s">
        <v>27</v>
      </c>
      <c r="L85" s="3" t="s">
        <v>28</v>
      </c>
      <c r="M85" s="3"/>
      <c r="N85" s="3"/>
      <c r="O85" s="3"/>
      <c r="P85" s="3"/>
      <c r="Q85" s="4">
        <v>0.0</v>
      </c>
      <c r="R85" s="5">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v>0</v>
      </c>
      <c r="S85" s="4">
        <v>0.0</v>
      </c>
      <c r="T85" s="5">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v>0</v>
      </c>
      <c r="U85" s="4">
        <v>13.0</v>
      </c>
      <c r="V85" s="5">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v>11</v>
      </c>
      <c r="W85" s="4">
        <v>3.0</v>
      </c>
      <c r="X85" s="5">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v>2</v>
      </c>
      <c r="Y85" s="4">
        <v>0.0</v>
      </c>
      <c r="Z85" s="5">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v>0</v>
      </c>
      <c r="AA85" s="3">
        <f t="shared" si="2"/>
        <v>13</v>
      </c>
      <c r="AB85" s="3" t="str">
        <f>IFERROR(__xludf.DUMMYFUNCTION("
      Ifs( 
        ISBETWEEN(AA85, 0, 'Points-Table'!C$20, TRUE, False), 'Points-Table'!A$20,
        ISBETWEEN(AA85, 'Points-Table'!C$20, 'Points-Table'!C$21, TRUE, False), 'Points-Table'!A$21,
        ISBETWEEN(AA85, 'Points-Table'!C$22, 10000, TRUE, "&amp;"TRUE), 'Points-Table'!A$22,
        true, 
        0)
      "),"S")</f>
        <v>S</v>
      </c>
      <c r="AC85" s="3" t="s">
        <v>29</v>
      </c>
      <c r="AD85" s="3" t="s">
        <v>29</v>
      </c>
      <c r="AE85" s="3" t="s">
        <v>29</v>
      </c>
    </row>
    <row r="86" ht="24.75" customHeight="1">
      <c r="A86" s="3" t="s">
        <v>136</v>
      </c>
      <c r="B86" s="3" t="s">
        <v>152</v>
      </c>
      <c r="C86" s="3" t="s">
        <v>154</v>
      </c>
      <c r="D86" s="3"/>
      <c r="E86" s="3"/>
      <c r="F86" s="3"/>
      <c r="G86" s="3"/>
      <c r="H86" s="3"/>
      <c r="I86" s="3"/>
      <c r="J86" s="3"/>
      <c r="K86" s="3" t="s">
        <v>27</v>
      </c>
      <c r="L86" s="3" t="s">
        <v>28</v>
      </c>
      <c r="M86" s="3"/>
      <c r="N86" s="3"/>
      <c r="O86" s="3"/>
      <c r="P86" s="3"/>
      <c r="Q86" s="4"/>
      <c r="R86" s="5">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v>0</v>
      </c>
      <c r="S86" s="4"/>
      <c r="T86" s="5">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v>0</v>
      </c>
      <c r="U86" s="4">
        <v>3.0</v>
      </c>
      <c r="V86" s="5">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v>2</v>
      </c>
      <c r="W86" s="4">
        <v>2.0</v>
      </c>
      <c r="X86" s="5">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v>1</v>
      </c>
      <c r="Y86" s="4">
        <v>0.0</v>
      </c>
      <c r="Z86" s="5">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v>0</v>
      </c>
      <c r="AA86" s="3">
        <f t="shared" si="2"/>
        <v>3</v>
      </c>
      <c r="AB86" s="3" t="str">
        <f>IFERROR(__xludf.DUMMYFUNCTION("
      Ifs( 
        ISBETWEEN(AA86, 0, 'Points-Table'!C$20, TRUE, False), 'Points-Table'!A$20,
        ISBETWEEN(AA86, 'Points-Table'!C$20, 'Points-Table'!C$21, TRUE, False), 'Points-Table'!A$21,
        ISBETWEEN(AA86, 'Points-Table'!C$22, 10000, TRUE, "&amp;"TRUE), 'Points-Table'!A$22,
        true, 
        0)
      "),"S")</f>
        <v>S</v>
      </c>
      <c r="AC86" s="3" t="s">
        <v>29</v>
      </c>
      <c r="AD86" s="3" t="s">
        <v>29</v>
      </c>
      <c r="AE86" s="3" t="s">
        <v>29</v>
      </c>
    </row>
    <row r="87" ht="24.75" customHeight="1">
      <c r="A87" s="3" t="s">
        <v>136</v>
      </c>
      <c r="B87" s="3" t="s">
        <v>152</v>
      </c>
      <c r="C87" s="3" t="s">
        <v>155</v>
      </c>
      <c r="D87" s="3"/>
      <c r="E87" s="3"/>
      <c r="F87" s="3"/>
      <c r="G87" s="3"/>
      <c r="H87" s="3"/>
      <c r="I87" s="3"/>
      <c r="J87" s="3"/>
      <c r="K87" s="3" t="s">
        <v>27</v>
      </c>
      <c r="L87" s="3" t="s">
        <v>28</v>
      </c>
      <c r="M87" s="3"/>
      <c r="N87" s="3"/>
      <c r="O87" s="3"/>
      <c r="P87" s="3"/>
      <c r="Q87" s="4"/>
      <c r="R87" s="5">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v>0</v>
      </c>
      <c r="S87" s="4"/>
      <c r="T87" s="5">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v>0</v>
      </c>
      <c r="U87" s="4">
        <v>2.0</v>
      </c>
      <c r="V87" s="5">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v>1</v>
      </c>
      <c r="W87" s="4">
        <v>2.0</v>
      </c>
      <c r="X87" s="5">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v>1</v>
      </c>
      <c r="Y87" s="4">
        <v>0.0</v>
      </c>
      <c r="Z87" s="5">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v>0</v>
      </c>
      <c r="AA87" s="3">
        <f t="shared" si="2"/>
        <v>2</v>
      </c>
      <c r="AB87" s="3" t="str">
        <f>IFERROR(__xludf.DUMMYFUNCTION("
      Ifs( 
        ISBETWEEN(AA87, 0, 'Points-Table'!C$20, TRUE, False), 'Points-Table'!A$20,
        ISBETWEEN(AA87, 'Points-Table'!C$20, 'Points-Table'!C$21, TRUE, False), 'Points-Table'!A$21,
        ISBETWEEN(AA87, 'Points-Table'!C$22, 10000, TRUE, "&amp;"TRUE), 'Points-Table'!A$22,
        true, 
        0)
      "),"S")</f>
        <v>S</v>
      </c>
      <c r="AC87" s="3" t="s">
        <v>29</v>
      </c>
      <c r="AD87" s="3" t="s">
        <v>29</v>
      </c>
      <c r="AE87" s="3" t="s">
        <v>29</v>
      </c>
    </row>
    <row r="88" ht="24.75" customHeight="1">
      <c r="A88" s="3" t="s">
        <v>136</v>
      </c>
      <c r="B88" s="3" t="s">
        <v>156</v>
      </c>
      <c r="C88" s="3"/>
      <c r="D88" s="3"/>
      <c r="E88" s="3"/>
      <c r="F88" s="3"/>
      <c r="G88" s="3"/>
      <c r="H88" s="3"/>
      <c r="I88" s="3"/>
      <c r="J88" s="3"/>
      <c r="K88" s="3"/>
      <c r="L88" s="3" t="s">
        <v>28</v>
      </c>
      <c r="M88" s="3"/>
      <c r="N88" s="3"/>
      <c r="O88" s="3"/>
      <c r="P88" s="3"/>
      <c r="Q88" s="4">
        <v>0.0</v>
      </c>
      <c r="R88" s="5">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v>0</v>
      </c>
      <c r="S88" s="4">
        <v>0.0</v>
      </c>
      <c r="T88" s="5">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v>0</v>
      </c>
      <c r="U88" s="4">
        <v>3.0</v>
      </c>
      <c r="V88" s="5">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v>2</v>
      </c>
      <c r="W88" s="4">
        <v>3.0</v>
      </c>
      <c r="X88" s="5">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v>2</v>
      </c>
      <c r="Y88" s="4">
        <v>0.0</v>
      </c>
      <c r="Z88" s="5">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v>0</v>
      </c>
      <c r="AA88" s="3">
        <f t="shared" si="2"/>
        <v>4</v>
      </c>
      <c r="AB88" s="3" t="str">
        <f>IFERROR(__xludf.DUMMYFUNCTION("
      Ifs( 
        ISBETWEEN(AA88, 0, 'Points-Table'!C$20, TRUE, False), 'Points-Table'!A$20,
        ISBETWEEN(AA88, 'Points-Table'!C$20, 'Points-Table'!C$21, TRUE, False), 'Points-Table'!A$21,
        ISBETWEEN(AA88, 'Points-Table'!C$22, 10000, TRUE, "&amp;"TRUE), 'Points-Table'!A$22,
        true, 
        0)
      "),"S")</f>
        <v>S</v>
      </c>
      <c r="AC88" s="3" t="s">
        <v>29</v>
      </c>
      <c r="AD88" s="3" t="s">
        <v>29</v>
      </c>
      <c r="AE88" s="3" t="s">
        <v>29</v>
      </c>
    </row>
    <row r="89" ht="24.75" customHeight="1">
      <c r="A89" s="3" t="s">
        <v>136</v>
      </c>
      <c r="B89" s="3" t="s">
        <v>157</v>
      </c>
      <c r="C89" s="3"/>
      <c r="D89" s="3"/>
      <c r="E89" s="3"/>
      <c r="F89" s="3"/>
      <c r="G89" s="3"/>
      <c r="H89" s="3"/>
      <c r="I89" s="3"/>
      <c r="J89" s="3"/>
      <c r="K89" s="3"/>
      <c r="L89" s="3" t="s">
        <v>28</v>
      </c>
      <c r="M89" s="3"/>
      <c r="N89" s="3"/>
      <c r="O89" s="3"/>
      <c r="P89" s="3"/>
      <c r="Q89" s="4">
        <v>0.0</v>
      </c>
      <c r="R89" s="5">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v>0</v>
      </c>
      <c r="S89" s="4">
        <v>0.0</v>
      </c>
      <c r="T89" s="5">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v>0</v>
      </c>
      <c r="U89" s="4">
        <v>5.0</v>
      </c>
      <c r="V89" s="5">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v>4</v>
      </c>
      <c r="W89" s="4">
        <v>0.0</v>
      </c>
      <c r="X89" s="5">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v>0</v>
      </c>
      <c r="Y89" s="4">
        <v>0.0</v>
      </c>
      <c r="Z89" s="5">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v>0</v>
      </c>
      <c r="AA89" s="3">
        <f t="shared" si="2"/>
        <v>4</v>
      </c>
      <c r="AB89" s="3" t="str">
        <f>IFERROR(__xludf.DUMMYFUNCTION("
      Ifs( 
        ISBETWEEN(AA89, 0, 'Points-Table'!C$20, TRUE, False), 'Points-Table'!A$20,
        ISBETWEEN(AA89, 'Points-Table'!C$20, 'Points-Table'!C$21, TRUE, False), 'Points-Table'!A$21,
        ISBETWEEN(AA89, 'Points-Table'!C$22, 10000, TRUE, "&amp;"TRUE), 'Points-Table'!A$22,
        true, 
        0)
      "),"S")</f>
        <v>S</v>
      </c>
      <c r="AC89" s="3" t="s">
        <v>29</v>
      </c>
      <c r="AD89" s="3" t="s">
        <v>29</v>
      </c>
      <c r="AE89" s="3" t="s">
        <v>29</v>
      </c>
    </row>
    <row r="90" ht="24.75" customHeight="1">
      <c r="A90" s="3" t="s">
        <v>158</v>
      </c>
      <c r="B90" s="3" t="s">
        <v>159</v>
      </c>
      <c r="C90" s="3"/>
      <c r="D90" s="3"/>
      <c r="E90" s="3"/>
      <c r="F90" s="3"/>
      <c r="G90" s="3"/>
      <c r="H90" s="3"/>
      <c r="I90" s="3"/>
      <c r="J90" s="3"/>
      <c r="K90" s="3" t="s">
        <v>27</v>
      </c>
      <c r="L90" s="3" t="s">
        <v>28</v>
      </c>
      <c r="M90" s="3"/>
      <c r="N90" s="3"/>
      <c r="O90" s="3"/>
      <c r="P90" s="3"/>
      <c r="Q90" s="4">
        <v>0.0</v>
      </c>
      <c r="R90" s="5">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v>0</v>
      </c>
      <c r="S90" s="4">
        <v>0.0</v>
      </c>
      <c r="T90" s="5">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v>0</v>
      </c>
      <c r="U90" s="4">
        <v>0.0</v>
      </c>
      <c r="V90" s="5">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v>0</v>
      </c>
      <c r="W90" s="4">
        <v>0.0</v>
      </c>
      <c r="X90" s="5">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v>0</v>
      </c>
      <c r="Y90" s="4">
        <v>0.0</v>
      </c>
      <c r="Z90" s="5">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v>0</v>
      </c>
      <c r="AA90" s="3">
        <f t="shared" si="2"/>
        <v>0</v>
      </c>
      <c r="AB90" s="3" t="str">
        <f>IFERROR(__xludf.DUMMYFUNCTION("
      Ifs( 
        ISBETWEEN(AA90, 0, 'Points-Table'!C$20, TRUE, False), 'Points-Table'!A$20,
        ISBETWEEN(AA90, 'Points-Table'!C$20, 'Points-Table'!C$21, TRUE, False), 'Points-Table'!A$21,
        ISBETWEEN(AA90, 'Points-Table'!C$22, 10000, TRUE, "&amp;"TRUE), 'Points-Table'!A$22,
        true, 
        0)
      "),"S")</f>
        <v>S</v>
      </c>
      <c r="AC90" s="3" t="s">
        <v>29</v>
      </c>
      <c r="AD90" s="3" t="s">
        <v>29</v>
      </c>
      <c r="AE90" s="3" t="s">
        <v>29</v>
      </c>
    </row>
    <row r="91" ht="24.75" customHeight="1">
      <c r="A91" s="3" t="s">
        <v>158</v>
      </c>
      <c r="B91" s="3" t="s">
        <v>160</v>
      </c>
      <c r="C91" s="3"/>
      <c r="D91" s="3"/>
      <c r="E91" s="3"/>
      <c r="F91" s="3"/>
      <c r="G91" s="3"/>
      <c r="H91" s="3"/>
      <c r="I91" s="3"/>
      <c r="J91" s="3"/>
      <c r="K91" s="3" t="s">
        <v>27</v>
      </c>
      <c r="L91" s="3" t="s">
        <v>28</v>
      </c>
      <c r="M91" s="3"/>
      <c r="N91" s="3"/>
      <c r="O91" s="3"/>
      <c r="P91" s="3"/>
      <c r="Q91" s="4">
        <v>0.0</v>
      </c>
      <c r="R91" s="5">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v>0</v>
      </c>
      <c r="S91" s="4">
        <v>0.0</v>
      </c>
      <c r="T91" s="5">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v>0</v>
      </c>
      <c r="U91" s="4">
        <v>0.0</v>
      </c>
      <c r="V91" s="5">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v>0</v>
      </c>
      <c r="W91" s="4">
        <v>0.0</v>
      </c>
      <c r="X91" s="5">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v>0</v>
      </c>
      <c r="Y91" s="4">
        <v>0.0</v>
      </c>
      <c r="Z91" s="5">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v>0</v>
      </c>
      <c r="AA91" s="3">
        <f t="shared" si="2"/>
        <v>0</v>
      </c>
      <c r="AB91" s="3" t="str">
        <f>IFERROR(__xludf.DUMMYFUNCTION("
      Ifs( 
        ISBETWEEN(AA91, 0, 'Points-Table'!C$20, TRUE, False), 'Points-Table'!A$20,
        ISBETWEEN(AA91, 'Points-Table'!C$20, 'Points-Table'!C$21, TRUE, False), 'Points-Table'!A$21,
        ISBETWEEN(AA91, 'Points-Table'!C$22, 10000, TRUE, "&amp;"TRUE), 'Points-Table'!A$22,
        true, 
        0)
      "),"S")</f>
        <v>S</v>
      </c>
      <c r="AC91" s="3" t="s">
        <v>29</v>
      </c>
      <c r="AD91" s="3" t="s">
        <v>29</v>
      </c>
      <c r="AE91" s="3" t="s">
        <v>29</v>
      </c>
    </row>
    <row r="92" ht="24.75" customHeight="1">
      <c r="A92" s="3" t="s">
        <v>158</v>
      </c>
      <c r="B92" s="3" t="s">
        <v>161</v>
      </c>
      <c r="C92" s="3"/>
      <c r="D92" s="3"/>
      <c r="E92" s="3"/>
      <c r="F92" s="3"/>
      <c r="G92" s="3"/>
      <c r="H92" s="3"/>
      <c r="I92" s="3"/>
      <c r="J92" s="3"/>
      <c r="K92" s="3" t="s">
        <v>27</v>
      </c>
      <c r="L92" s="3" t="s">
        <v>28</v>
      </c>
      <c r="M92" s="3"/>
      <c r="N92" s="3"/>
      <c r="O92" s="3"/>
      <c r="P92" s="3"/>
      <c r="Q92" s="4">
        <v>0.0</v>
      </c>
      <c r="R92" s="5">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v>0</v>
      </c>
      <c r="S92" s="4">
        <v>0.0</v>
      </c>
      <c r="T92" s="5">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v>0</v>
      </c>
      <c r="U92" s="4">
        <v>0.0</v>
      </c>
      <c r="V92" s="5">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v>0</v>
      </c>
      <c r="W92" s="4">
        <v>0.0</v>
      </c>
      <c r="X92" s="5">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v>0</v>
      </c>
      <c r="Y92" s="4">
        <v>0.0</v>
      </c>
      <c r="Z92" s="5">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v>0</v>
      </c>
      <c r="AA92" s="3">
        <f t="shared" si="2"/>
        <v>0</v>
      </c>
      <c r="AB92" s="3" t="str">
        <f>IFERROR(__xludf.DUMMYFUNCTION("
      Ifs( 
        ISBETWEEN(AA92, 0, 'Points-Table'!C$20, TRUE, False), 'Points-Table'!A$20,
        ISBETWEEN(AA92, 'Points-Table'!C$20, 'Points-Table'!C$21, TRUE, False), 'Points-Table'!A$21,
        ISBETWEEN(AA92, 'Points-Table'!C$22, 10000, TRUE, "&amp;"TRUE), 'Points-Table'!A$22,
        true, 
        0)
      "),"S")</f>
        <v>S</v>
      </c>
      <c r="AC92" s="3" t="s">
        <v>29</v>
      </c>
      <c r="AD92" s="3" t="s">
        <v>29</v>
      </c>
      <c r="AE92" s="3" t="s">
        <v>29</v>
      </c>
    </row>
    <row r="93" ht="24.75" customHeight="1">
      <c r="A93" s="3" t="s">
        <v>158</v>
      </c>
      <c r="B93" s="3" t="s">
        <v>162</v>
      </c>
      <c r="C93" s="3"/>
      <c r="D93" s="3"/>
      <c r="E93" s="3"/>
      <c r="F93" s="3"/>
      <c r="G93" s="3"/>
      <c r="H93" s="3"/>
      <c r="I93" s="3"/>
      <c r="J93" s="3"/>
      <c r="K93" s="3" t="s">
        <v>27</v>
      </c>
      <c r="L93" s="3" t="s">
        <v>28</v>
      </c>
      <c r="M93" s="3"/>
      <c r="N93" s="3"/>
      <c r="O93" s="3"/>
      <c r="P93" s="3"/>
      <c r="Q93" s="4">
        <v>0.0</v>
      </c>
      <c r="R93" s="5">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v>0</v>
      </c>
      <c r="S93" s="4">
        <v>0.0</v>
      </c>
      <c r="T93" s="5">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v>0</v>
      </c>
      <c r="U93" s="4">
        <v>0.0</v>
      </c>
      <c r="V93" s="5">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v>0</v>
      </c>
      <c r="W93" s="4">
        <v>0.0</v>
      </c>
      <c r="X93" s="5">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v>0</v>
      </c>
      <c r="Y93" s="4">
        <v>0.0</v>
      </c>
      <c r="Z93" s="5">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v>0</v>
      </c>
      <c r="AA93" s="3">
        <f t="shared" si="2"/>
        <v>0</v>
      </c>
      <c r="AB93" s="3" t="str">
        <f>IFERROR(__xludf.DUMMYFUNCTION("
      Ifs( 
        ISBETWEEN(AA93, 0, 'Points-Table'!C$20, TRUE, False), 'Points-Table'!A$20,
        ISBETWEEN(AA93, 'Points-Table'!C$20, 'Points-Table'!C$21, TRUE, False), 'Points-Table'!A$21,
        ISBETWEEN(AA93, 'Points-Table'!C$22, 10000, TRUE, "&amp;"TRUE), 'Points-Table'!A$22,
        true, 
        0)
      "),"S")</f>
        <v>S</v>
      </c>
      <c r="AC93" s="3" t="s">
        <v>29</v>
      </c>
      <c r="AD93" s="3" t="s">
        <v>29</v>
      </c>
      <c r="AE93" s="3" t="s">
        <v>29</v>
      </c>
    </row>
    <row r="94" ht="24.75" customHeight="1">
      <c r="A94" s="3" t="s">
        <v>163</v>
      </c>
      <c r="B94" s="3" t="s">
        <v>132</v>
      </c>
      <c r="C94" s="3" t="s">
        <v>164</v>
      </c>
      <c r="D94" s="3" t="s">
        <v>165</v>
      </c>
      <c r="E94" s="3"/>
      <c r="F94" s="3"/>
      <c r="G94" s="3"/>
      <c r="H94" s="3"/>
      <c r="I94" s="3"/>
      <c r="J94" s="3"/>
      <c r="K94" s="3" t="s">
        <v>27</v>
      </c>
      <c r="L94" s="3" t="s">
        <v>28</v>
      </c>
      <c r="M94" s="3"/>
      <c r="N94" s="3"/>
      <c r="O94" s="3"/>
      <c r="P94" s="3"/>
      <c r="Q94" s="4">
        <v>0.0</v>
      </c>
      <c r="R94" s="5">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v>0</v>
      </c>
      <c r="S94" s="4">
        <v>0.0</v>
      </c>
      <c r="T94" s="5">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v>0</v>
      </c>
      <c r="U94" s="4">
        <v>0.0</v>
      </c>
      <c r="V94" s="5">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v>0</v>
      </c>
      <c r="W94" s="4">
        <v>21.0</v>
      </c>
      <c r="X94" s="5">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v>16</v>
      </c>
      <c r="Y94" s="4">
        <v>0.0</v>
      </c>
      <c r="Z94" s="5">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v>0</v>
      </c>
      <c r="AA94" s="3">
        <f t="shared" si="2"/>
        <v>16</v>
      </c>
      <c r="AB94" s="3" t="str">
        <f>IFERROR(__xludf.DUMMYFUNCTION("
      Ifs( 
        ISBETWEEN(AA94, 0, 'Points-Table'!C$20, TRUE, False), 'Points-Table'!A$20,
        ISBETWEEN(AA94, 'Points-Table'!C$20, 'Points-Table'!C$21, TRUE, False), 'Points-Table'!A$21,
        ISBETWEEN(AA94, 'Points-Table'!C$22, 10000, TRUE, "&amp;"TRUE), 'Points-Table'!A$22,
        true, 
        0)
      "),"S")</f>
        <v>S</v>
      </c>
      <c r="AC94" s="3" t="s">
        <v>29</v>
      </c>
      <c r="AD94" s="3" t="s">
        <v>29</v>
      </c>
      <c r="AE94" s="3" t="s">
        <v>29</v>
      </c>
    </row>
    <row r="95" ht="24.75" customHeight="1">
      <c r="A95" s="3" t="s">
        <v>163</v>
      </c>
      <c r="B95" s="3" t="s">
        <v>132</v>
      </c>
      <c r="C95" s="3" t="s">
        <v>132</v>
      </c>
      <c r="D95" s="3"/>
      <c r="E95" s="3"/>
      <c r="F95" s="3"/>
      <c r="G95" s="3"/>
      <c r="H95" s="3"/>
      <c r="I95" s="3"/>
      <c r="J95" s="3"/>
      <c r="K95" s="3" t="s">
        <v>27</v>
      </c>
      <c r="L95" s="3" t="s">
        <v>28</v>
      </c>
      <c r="M95" s="3"/>
      <c r="N95" s="3"/>
      <c r="O95" s="3"/>
      <c r="P95" s="3"/>
      <c r="Q95" s="4">
        <v>0.0</v>
      </c>
      <c r="R95" s="5">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v>0</v>
      </c>
      <c r="S95" s="4">
        <v>0.0</v>
      </c>
      <c r="T95" s="5">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v>0</v>
      </c>
      <c r="U95" s="4">
        <v>13.0</v>
      </c>
      <c r="V95" s="5">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v>11</v>
      </c>
      <c r="W95" s="4">
        <v>3.0</v>
      </c>
      <c r="X95" s="5">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v>2</v>
      </c>
      <c r="Y95" s="4">
        <v>0.0</v>
      </c>
      <c r="Z95" s="5">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v>0</v>
      </c>
      <c r="AA95" s="3">
        <f t="shared" si="2"/>
        <v>13</v>
      </c>
      <c r="AB95" s="3" t="str">
        <f>IFERROR(__xludf.DUMMYFUNCTION("
      Ifs( 
        ISBETWEEN(AA95, 0, 'Points-Table'!C$20, TRUE, False), 'Points-Table'!A$20,
        ISBETWEEN(AA95, 'Points-Table'!C$20, 'Points-Table'!C$21, TRUE, False), 'Points-Table'!A$21,
        ISBETWEEN(AA95, 'Points-Table'!C$22, 10000, TRUE, "&amp;"TRUE), 'Points-Table'!A$22,
        true, 
        0)
      "),"S")</f>
        <v>S</v>
      </c>
      <c r="AC95" s="3" t="s">
        <v>29</v>
      </c>
      <c r="AD95" s="3" t="s">
        <v>29</v>
      </c>
      <c r="AE95" s="3" t="s">
        <v>29</v>
      </c>
    </row>
    <row r="96" ht="24.75" customHeight="1">
      <c r="A96" s="3" t="s">
        <v>166</v>
      </c>
      <c r="B96" s="3"/>
      <c r="C96" s="3"/>
      <c r="D96" s="3"/>
      <c r="E96" s="3"/>
      <c r="F96" s="3"/>
      <c r="G96" s="3"/>
      <c r="H96" s="3"/>
      <c r="I96" s="3"/>
      <c r="J96" s="3"/>
      <c r="K96" s="3" t="s">
        <v>27</v>
      </c>
      <c r="L96" s="3" t="s">
        <v>28</v>
      </c>
      <c r="M96" s="3"/>
      <c r="N96" s="3"/>
      <c r="O96" s="3"/>
      <c r="P96" s="3"/>
      <c r="Q96" s="4">
        <v>0.0</v>
      </c>
      <c r="R96" s="5">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v>0</v>
      </c>
      <c r="S96" s="4">
        <v>0.0</v>
      </c>
      <c r="T96" s="5">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v>0</v>
      </c>
      <c r="U96" s="4">
        <v>0.0</v>
      </c>
      <c r="V96" s="5">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v>0</v>
      </c>
      <c r="W96" s="4">
        <v>0.0</v>
      </c>
      <c r="X96" s="5">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v>0</v>
      </c>
      <c r="Y96" s="4">
        <v>0.0</v>
      </c>
      <c r="Z96" s="5">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v>0</v>
      </c>
      <c r="AA96" s="3">
        <f t="shared" si="2"/>
        <v>0</v>
      </c>
      <c r="AB96" s="3" t="str">
        <f>IFERROR(__xludf.DUMMYFUNCTION("
      Ifs( 
        ISBETWEEN(AA96, 0, 'Points-Table'!C$20, TRUE, False), 'Points-Table'!A$20,
        ISBETWEEN(AA96, 'Points-Table'!C$20, 'Points-Table'!C$21, TRUE, False), 'Points-Table'!A$21,
        ISBETWEEN(AA96, 'Points-Table'!C$22, 10000, TRUE, "&amp;"TRUE), 'Points-Table'!A$22,
        true, 
        0)
      "),"S")</f>
        <v>S</v>
      </c>
      <c r="AC96" s="3" t="s">
        <v>29</v>
      </c>
      <c r="AD96" s="3" t="s">
        <v>29</v>
      </c>
      <c r="AE96" s="3" t="s">
        <v>29</v>
      </c>
    </row>
    <row r="97" ht="24.75" customHeight="1">
      <c r="A97" s="3" t="s">
        <v>167</v>
      </c>
      <c r="B97" s="3"/>
      <c r="C97" s="3"/>
      <c r="D97" s="3"/>
      <c r="E97" s="3"/>
      <c r="F97" s="3"/>
      <c r="G97" s="3"/>
      <c r="H97" s="3"/>
      <c r="I97" s="3"/>
      <c r="J97" s="3"/>
      <c r="K97" s="3" t="s">
        <v>27</v>
      </c>
      <c r="L97" s="3" t="s">
        <v>28</v>
      </c>
      <c r="M97" s="3"/>
      <c r="N97" s="3"/>
      <c r="O97" s="3"/>
      <c r="P97" s="3"/>
      <c r="Q97" s="4">
        <v>0.0</v>
      </c>
      <c r="R97" s="5">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v>0</v>
      </c>
      <c r="S97" s="4">
        <v>0.0</v>
      </c>
      <c r="T97" s="5">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v>0</v>
      </c>
      <c r="U97" s="4">
        <v>0.0</v>
      </c>
      <c r="V97" s="5">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v>0</v>
      </c>
      <c r="W97" s="4">
        <v>0.0</v>
      </c>
      <c r="X97" s="5">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v>0</v>
      </c>
      <c r="Y97" s="4">
        <v>0.0</v>
      </c>
      <c r="Z97" s="5">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v>0</v>
      </c>
      <c r="AA97" s="3">
        <f t="shared" si="2"/>
        <v>0</v>
      </c>
      <c r="AB97" s="3" t="str">
        <f>IFERROR(__xludf.DUMMYFUNCTION("
      Ifs( 
        ISBETWEEN(AA97, 0, 'Points-Table'!C$20, TRUE, False), 'Points-Table'!A$20,
        ISBETWEEN(AA97, 'Points-Table'!C$20, 'Points-Table'!C$21, TRUE, False), 'Points-Table'!A$21,
        ISBETWEEN(AA97, 'Points-Table'!C$22, 10000, TRUE, "&amp;"TRUE), 'Points-Table'!A$22,
        true, 
        0)
      "),"S")</f>
        <v>S</v>
      </c>
      <c r="AC97" s="3" t="s">
        <v>29</v>
      </c>
      <c r="AD97" s="3" t="s">
        <v>29</v>
      </c>
      <c r="AE97" s="3" t="s">
        <v>29</v>
      </c>
    </row>
    <row r="98" ht="24.75" customHeight="1">
      <c r="A98" s="3" t="s">
        <v>168</v>
      </c>
      <c r="B98" s="3" t="s">
        <v>169</v>
      </c>
      <c r="C98" s="3"/>
      <c r="D98" s="3"/>
      <c r="E98" s="3"/>
      <c r="F98" s="3"/>
      <c r="G98" s="3"/>
      <c r="H98" s="3"/>
      <c r="I98" s="3"/>
      <c r="J98" s="3"/>
      <c r="K98" s="3" t="s">
        <v>27</v>
      </c>
      <c r="L98" s="3" t="s">
        <v>28</v>
      </c>
      <c r="M98" s="3"/>
      <c r="N98" s="3"/>
      <c r="O98" s="3"/>
      <c r="P98" s="3"/>
      <c r="Q98" s="4">
        <v>0.0</v>
      </c>
      <c r="R98" s="5">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v>0</v>
      </c>
      <c r="S98" s="4">
        <v>0.0</v>
      </c>
      <c r="T98" s="5">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v>0</v>
      </c>
      <c r="U98" s="4">
        <v>0.0</v>
      </c>
      <c r="V98" s="5">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v>0</v>
      </c>
      <c r="W98" s="4">
        <v>2.0</v>
      </c>
      <c r="X98" s="5">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v>1</v>
      </c>
      <c r="Y98" s="4">
        <v>0.0</v>
      </c>
      <c r="Z98" s="5">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v>0</v>
      </c>
      <c r="AA98" s="3">
        <f t="shared" si="2"/>
        <v>1</v>
      </c>
      <c r="AB98" s="3" t="str">
        <f>IFERROR(__xludf.DUMMYFUNCTION("
      Ifs( 
        ISBETWEEN(AA98, 0, 'Points-Table'!C$20, TRUE, False), 'Points-Table'!A$20,
        ISBETWEEN(AA98, 'Points-Table'!C$20, 'Points-Table'!C$21, TRUE, False), 'Points-Table'!A$21,
        ISBETWEEN(AA98, 'Points-Table'!C$22, 10000, TRUE, "&amp;"TRUE), 'Points-Table'!A$22,
        true, 
        0)
      "),"S")</f>
        <v>S</v>
      </c>
      <c r="AC98" s="3" t="s">
        <v>29</v>
      </c>
      <c r="AD98" s="3" t="s">
        <v>29</v>
      </c>
      <c r="AE98" s="3" t="s">
        <v>29</v>
      </c>
    </row>
    <row r="99" ht="24.75" customHeight="1">
      <c r="A99" s="3" t="s">
        <v>170</v>
      </c>
      <c r="B99" s="3"/>
      <c r="C99" s="3"/>
      <c r="D99" s="3"/>
      <c r="E99" s="3"/>
      <c r="F99" s="3"/>
      <c r="G99" s="3"/>
      <c r="H99" s="3"/>
      <c r="I99" s="3"/>
      <c r="J99" s="3"/>
      <c r="K99" s="3" t="s">
        <v>27</v>
      </c>
      <c r="L99" s="3" t="s">
        <v>28</v>
      </c>
      <c r="M99" s="3"/>
      <c r="N99" s="3"/>
      <c r="O99" s="3"/>
      <c r="P99" s="3"/>
      <c r="Q99" s="4">
        <v>0.0</v>
      </c>
      <c r="R99" s="5">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v>0</v>
      </c>
      <c r="S99" s="4">
        <v>0.0</v>
      </c>
      <c r="T99" s="5">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v>0</v>
      </c>
      <c r="U99" s="4">
        <v>0.0</v>
      </c>
      <c r="V99" s="5">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v>0</v>
      </c>
      <c r="W99" s="4">
        <v>0.0</v>
      </c>
      <c r="X99" s="5">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v>0</v>
      </c>
      <c r="Y99" s="4">
        <v>0.0</v>
      </c>
      <c r="Z99" s="5">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v>0</v>
      </c>
      <c r="AA99" s="3">
        <f t="shared" si="2"/>
        <v>0</v>
      </c>
      <c r="AB99" s="3" t="str">
        <f>IFERROR(__xludf.DUMMYFUNCTION("
      Ifs( 
        ISBETWEEN(AA99, 0, 'Points-Table'!C$20, TRUE, False), 'Points-Table'!A$20,
        ISBETWEEN(AA99, 'Points-Table'!C$20, 'Points-Table'!C$21, TRUE, False), 'Points-Table'!A$21,
        ISBETWEEN(AA99, 'Points-Table'!C$22, 10000, TRUE, "&amp;"TRUE), 'Points-Table'!A$22,
        true, 
        0)
      "),"S")</f>
        <v>S</v>
      </c>
      <c r="AC99" s="3" t="s">
        <v>29</v>
      </c>
      <c r="AD99" s="3" t="s">
        <v>29</v>
      </c>
      <c r="AE99" s="3" t="s">
        <v>29</v>
      </c>
    </row>
    <row r="100" ht="24.75" customHeight="1">
      <c r="A100" s="3" t="s">
        <v>171</v>
      </c>
      <c r="B100" s="3" t="s">
        <v>172</v>
      </c>
      <c r="C100" s="3"/>
      <c r="D100" s="3"/>
      <c r="E100" s="3"/>
      <c r="F100" s="3"/>
      <c r="G100" s="3"/>
      <c r="H100" s="3"/>
      <c r="I100" s="3"/>
      <c r="J100" s="3"/>
      <c r="K100" s="3" t="s">
        <v>27</v>
      </c>
      <c r="L100" s="3" t="s">
        <v>28</v>
      </c>
      <c r="M100" s="3"/>
      <c r="N100" s="3"/>
      <c r="O100" s="3"/>
      <c r="P100" s="3"/>
      <c r="Q100" s="4"/>
      <c r="R100" s="5">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v>0</v>
      </c>
      <c r="S100" s="4"/>
      <c r="T100" s="5">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v>0</v>
      </c>
      <c r="U100" s="4">
        <v>55.0</v>
      </c>
      <c r="V100" s="5">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v>40</v>
      </c>
      <c r="W100" s="4">
        <v>13.0</v>
      </c>
      <c r="X100" s="5">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v>11</v>
      </c>
      <c r="Y100" s="4"/>
      <c r="Z100" s="5">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v>0</v>
      </c>
      <c r="AA100" s="3">
        <f t="shared" si="2"/>
        <v>51</v>
      </c>
      <c r="AB100" s="3" t="str">
        <f>IFERROR(__xludf.DUMMYFUNCTION("
      Ifs( 
        ISBETWEEN(AA100, 0, 'Points-Table'!C$20, TRUE, False), 'Points-Table'!A$20,
        ISBETWEEN(AA100, 'Points-Table'!C$20, 'Points-Table'!C$21, TRUE, False), 'Points-Table'!A$21,
        ISBETWEEN(AA100, 'Points-Table'!C$22, 10000, TRU"&amp;"E, TRUE), 'Points-Table'!A$22,
        true, 
        0)
      "),"M")</f>
        <v>M</v>
      </c>
      <c r="AC100" s="3" t="s">
        <v>29</v>
      </c>
      <c r="AD100" s="3" t="s">
        <v>29</v>
      </c>
      <c r="AE100" s="3" t="s">
        <v>29</v>
      </c>
    </row>
    <row r="101" ht="24.75" customHeight="1">
      <c r="A101" s="6" t="s">
        <v>171</v>
      </c>
      <c r="B101" s="6" t="s">
        <v>173</v>
      </c>
      <c r="C101" s="6"/>
      <c r="D101" s="6"/>
      <c r="E101" s="6"/>
      <c r="F101" s="6"/>
      <c r="G101" s="6"/>
      <c r="H101" s="6"/>
      <c r="I101" s="6"/>
      <c r="J101" s="6"/>
      <c r="K101" s="6" t="s">
        <v>27</v>
      </c>
      <c r="L101" s="6" t="s">
        <v>28</v>
      </c>
      <c r="M101" s="6"/>
      <c r="N101" s="6"/>
      <c r="O101" s="6"/>
      <c r="P101" s="6"/>
      <c r="Q101" s="6"/>
      <c r="R101" s="6">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v>0</v>
      </c>
      <c r="S101" s="6"/>
      <c r="T101" s="6">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v>0</v>
      </c>
      <c r="U101" s="6">
        <v>13.0</v>
      </c>
      <c r="V101" s="6">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v>11</v>
      </c>
      <c r="W101" s="6">
        <v>8.0</v>
      </c>
      <c r="X101" s="6">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v>7</v>
      </c>
      <c r="Y101" s="6"/>
      <c r="Z101" s="6">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v>0</v>
      </c>
      <c r="AA101" s="6">
        <f t="shared" si="2"/>
        <v>18</v>
      </c>
      <c r="AB101" s="6" t="str">
        <f>IFERROR(__xludf.DUMMYFUNCTION("
      Ifs( 
        ISBETWEEN(AA101, 0, 'Points-Table'!C$20, TRUE, False), 'Points-Table'!A$20,
        ISBETWEEN(AA101, 'Points-Table'!C$20, 'Points-Table'!C$21, TRUE, False), 'Points-Table'!A$21,
        ISBETWEEN(AA101, 'Points-Table'!C$22, 10000, TRU"&amp;"E, TRUE), 'Points-Table'!A$22,
        true, 
        0)
      "),"S")</f>
        <v>S</v>
      </c>
      <c r="AC101" s="6" t="s">
        <v>29</v>
      </c>
      <c r="AD101" s="6" t="s">
        <v>29</v>
      </c>
      <c r="AE101" s="6" t="s">
        <v>29</v>
      </c>
    </row>
    <row r="102" ht="24.75" customHeight="1">
      <c r="A102" s="3" t="s">
        <v>174</v>
      </c>
      <c r="B102" s="3" t="s">
        <v>175</v>
      </c>
      <c r="C102" s="3"/>
      <c r="D102" s="3"/>
      <c r="E102" s="3"/>
      <c r="F102" s="3"/>
      <c r="G102" s="3"/>
      <c r="H102" s="3"/>
      <c r="I102" s="3"/>
      <c r="J102" s="3"/>
      <c r="K102" s="3" t="s">
        <v>27</v>
      </c>
      <c r="L102" s="3" t="s">
        <v>28</v>
      </c>
      <c r="M102" s="3"/>
      <c r="N102" s="3"/>
      <c r="O102" s="3"/>
      <c r="P102" s="3"/>
      <c r="Q102" s="4"/>
      <c r="R102" s="5">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v>0</v>
      </c>
      <c r="S102" s="4"/>
      <c r="T102" s="5">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v>0</v>
      </c>
      <c r="U102" s="4">
        <v>13.0</v>
      </c>
      <c r="V102" s="5">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v>11</v>
      </c>
      <c r="W102" s="4">
        <v>3.0</v>
      </c>
      <c r="X102" s="5">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v>2</v>
      </c>
      <c r="Y102" s="4"/>
      <c r="Z102" s="5">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v>0</v>
      </c>
      <c r="AA102" s="3">
        <f t="shared" si="2"/>
        <v>13</v>
      </c>
      <c r="AB102" s="3" t="str">
        <f>IFERROR(__xludf.DUMMYFUNCTION("
      Ifs( 
        ISBETWEEN(AA102, 0, 'Points-Table'!C$20, TRUE, False), 'Points-Table'!A$20,
        ISBETWEEN(AA102, 'Points-Table'!C$20, 'Points-Table'!C$21, TRUE, False), 'Points-Table'!A$21,
        ISBETWEEN(AA102, 'Points-Table'!C$22, 10000, TRU"&amp;"E, TRUE), 'Points-Table'!A$22,
        true, 
        0)
      "),"S")</f>
        <v>S</v>
      </c>
      <c r="AC102" s="3" t="s">
        <v>29</v>
      </c>
      <c r="AD102" s="3" t="s">
        <v>29</v>
      </c>
      <c r="AE102" s="3" t="s">
        <v>29</v>
      </c>
    </row>
    <row r="103" ht="24.75" customHeight="1">
      <c r="A103" s="3" t="s">
        <v>174</v>
      </c>
      <c r="B103" s="3" t="s">
        <v>176</v>
      </c>
      <c r="C103" s="3"/>
      <c r="D103" s="3"/>
      <c r="E103" s="3"/>
      <c r="F103" s="3"/>
      <c r="G103" s="3"/>
      <c r="H103" s="3"/>
      <c r="I103" s="3"/>
      <c r="J103" s="3"/>
      <c r="K103" s="3" t="s">
        <v>27</v>
      </c>
      <c r="L103" s="3" t="s">
        <v>28</v>
      </c>
      <c r="M103" s="3"/>
      <c r="N103" s="3"/>
      <c r="O103" s="3"/>
      <c r="P103" s="3"/>
      <c r="Q103" s="4"/>
      <c r="R103" s="5">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v>0</v>
      </c>
      <c r="S103" s="4"/>
      <c r="T103" s="5">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v>0</v>
      </c>
      <c r="U103" s="4">
        <v>0.0</v>
      </c>
      <c r="V103" s="5">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v>0</v>
      </c>
      <c r="W103" s="4">
        <v>3.0</v>
      </c>
      <c r="X103" s="5">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v>2</v>
      </c>
      <c r="Y103" s="4"/>
      <c r="Z103" s="5">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v>0</v>
      </c>
      <c r="AA103" s="3">
        <f t="shared" si="2"/>
        <v>2</v>
      </c>
      <c r="AB103" s="3" t="str">
        <f>IFERROR(__xludf.DUMMYFUNCTION("
      Ifs( 
        ISBETWEEN(AA103, 0, 'Points-Table'!C$20, TRUE, False), 'Points-Table'!A$20,
        ISBETWEEN(AA103, 'Points-Table'!C$20, 'Points-Table'!C$21, TRUE, False), 'Points-Table'!A$21,
        ISBETWEEN(AA103, 'Points-Table'!C$22, 10000, TRU"&amp;"E, TRUE), 'Points-Table'!A$22,
        true, 
        0)
      "),"S")</f>
        <v>S</v>
      </c>
      <c r="AC103" s="3" t="s">
        <v>29</v>
      </c>
      <c r="AD103" s="3" t="s">
        <v>29</v>
      </c>
      <c r="AE103" s="3" t="s">
        <v>29</v>
      </c>
    </row>
    <row r="104" ht="24.75" customHeight="1">
      <c r="A104" s="3" t="s">
        <v>174</v>
      </c>
      <c r="B104" s="3" t="s">
        <v>177</v>
      </c>
      <c r="C104" s="3"/>
      <c r="D104" s="3"/>
      <c r="E104" s="3"/>
      <c r="F104" s="3"/>
      <c r="G104" s="3"/>
      <c r="H104" s="3"/>
      <c r="I104" s="3"/>
      <c r="J104" s="3"/>
      <c r="K104" s="3" t="s">
        <v>27</v>
      </c>
      <c r="L104" s="3" t="s">
        <v>28</v>
      </c>
      <c r="M104" s="3"/>
      <c r="N104" s="3"/>
      <c r="O104" s="3"/>
      <c r="P104" s="3"/>
      <c r="Q104" s="4"/>
      <c r="R104" s="5">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v>0</v>
      </c>
      <c r="S104" s="4"/>
      <c r="T104" s="5">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v>0</v>
      </c>
      <c r="U104" s="4">
        <v>2.0</v>
      </c>
      <c r="V104" s="5">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v>1</v>
      </c>
      <c r="W104" s="4">
        <v>2.0</v>
      </c>
      <c r="X104" s="5">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v>1</v>
      </c>
      <c r="Y104" s="4"/>
      <c r="Z104" s="5">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v>0</v>
      </c>
      <c r="AA104" s="3">
        <f t="shared" si="2"/>
        <v>2</v>
      </c>
      <c r="AB104" s="3" t="str">
        <f>IFERROR(__xludf.DUMMYFUNCTION("
      Ifs( 
        ISBETWEEN(AA104, 0, 'Points-Table'!C$20, TRUE, False), 'Points-Table'!A$20,
        ISBETWEEN(AA104, 'Points-Table'!C$20, 'Points-Table'!C$21, TRUE, False), 'Points-Table'!A$21,
        ISBETWEEN(AA104, 'Points-Table'!C$22, 10000, TRU"&amp;"E, TRUE), 'Points-Table'!A$22,
        true, 
        0)
      "),"S")</f>
        <v>S</v>
      </c>
      <c r="AC104" s="3" t="s">
        <v>29</v>
      </c>
      <c r="AD104" s="3" t="s">
        <v>29</v>
      </c>
      <c r="AE104" s="3" t="s">
        <v>29</v>
      </c>
    </row>
    <row r="105" ht="24.75" customHeight="1">
      <c r="L105" s="7"/>
      <c r="Q105" s="8"/>
      <c r="R105" s="9"/>
      <c r="S105" s="8"/>
      <c r="T105" s="9"/>
      <c r="U105" s="8"/>
      <c r="V105" s="9"/>
      <c r="W105" s="8"/>
      <c r="X105" s="9"/>
      <c r="Y105" s="8"/>
      <c r="Z105" s="9"/>
    </row>
    <row r="106" ht="24.75" customHeight="1">
      <c r="L106" s="7"/>
      <c r="Q106" s="8"/>
      <c r="R106" s="9"/>
      <c r="S106" s="8"/>
      <c r="T106" s="9"/>
      <c r="U106" s="8"/>
      <c r="V106" s="9"/>
      <c r="W106" s="8"/>
      <c r="X106" s="9"/>
      <c r="Y106" s="8"/>
      <c r="Z106" s="9"/>
    </row>
    <row r="107" ht="24.75" customHeight="1">
      <c r="L107" s="7"/>
      <c r="Q107" s="8"/>
      <c r="R107" s="9"/>
      <c r="S107" s="8"/>
      <c r="T107" s="9"/>
      <c r="U107" s="8"/>
      <c r="V107" s="9"/>
      <c r="W107" s="8"/>
      <c r="X107" s="9"/>
      <c r="Y107" s="8"/>
      <c r="Z107" s="9"/>
    </row>
    <row r="108" ht="24.75" customHeight="1">
      <c r="L108" s="7"/>
      <c r="Q108" s="8"/>
      <c r="R108" s="9"/>
      <c r="S108" s="8"/>
      <c r="T108" s="9"/>
      <c r="U108" s="8"/>
      <c r="V108" s="9"/>
      <c r="W108" s="8"/>
      <c r="X108" s="9"/>
      <c r="Y108" s="8"/>
      <c r="Z108" s="9"/>
    </row>
    <row r="109" ht="24.75" customHeight="1">
      <c r="L109" s="7"/>
      <c r="Q109" s="8"/>
      <c r="R109" s="9"/>
      <c r="S109" s="8"/>
      <c r="T109" s="9"/>
      <c r="U109" s="8"/>
      <c r="V109" s="9"/>
      <c r="W109" s="8"/>
      <c r="X109" s="9"/>
      <c r="Y109" s="8"/>
      <c r="Z109" s="9"/>
    </row>
    <row r="110" ht="24.75" customHeight="1">
      <c r="L110" s="7"/>
      <c r="Q110" s="8"/>
      <c r="R110" s="9"/>
      <c r="S110" s="8"/>
      <c r="T110" s="9"/>
      <c r="U110" s="8"/>
      <c r="V110" s="9"/>
      <c r="W110" s="8"/>
      <c r="X110" s="9"/>
      <c r="Y110" s="8"/>
      <c r="Z110" s="9"/>
    </row>
    <row r="111" ht="24.75" customHeight="1">
      <c r="L111" s="7"/>
      <c r="Q111" s="8"/>
      <c r="R111" s="9"/>
      <c r="S111" s="8"/>
      <c r="T111" s="9"/>
      <c r="U111" s="8"/>
      <c r="V111" s="9"/>
      <c r="W111" s="8"/>
      <c r="X111" s="9"/>
      <c r="Y111" s="8"/>
      <c r="Z111" s="9"/>
    </row>
    <row r="112" ht="24.75" customHeight="1">
      <c r="L112" s="7"/>
      <c r="Q112" s="8"/>
      <c r="R112" s="9"/>
      <c r="S112" s="8"/>
      <c r="T112" s="9"/>
      <c r="U112" s="8"/>
      <c r="V112" s="9"/>
      <c r="W112" s="8"/>
      <c r="X112" s="9"/>
      <c r="Y112" s="8"/>
      <c r="Z112" s="9"/>
    </row>
    <row r="113" ht="24.75" customHeight="1">
      <c r="L113" s="7"/>
      <c r="Q113" s="8"/>
      <c r="R113" s="9"/>
      <c r="S113" s="8"/>
      <c r="T113" s="9"/>
      <c r="U113" s="8"/>
      <c r="V113" s="9"/>
      <c r="W113" s="8"/>
      <c r="X113" s="9"/>
      <c r="Y113" s="8"/>
      <c r="Z113" s="9"/>
    </row>
    <row r="114" ht="24.75" customHeight="1">
      <c r="L114" s="7"/>
      <c r="Q114" s="8"/>
      <c r="R114" s="9"/>
      <c r="S114" s="8"/>
      <c r="T114" s="9"/>
      <c r="U114" s="8"/>
      <c r="V114" s="9"/>
      <c r="W114" s="8"/>
      <c r="X114" s="9"/>
      <c r="Y114" s="8"/>
      <c r="Z114" s="9"/>
    </row>
    <row r="115" ht="24.75" customHeight="1">
      <c r="L115" s="7"/>
      <c r="Q115" s="8"/>
      <c r="R115" s="9"/>
      <c r="S115" s="8"/>
      <c r="T115" s="9"/>
      <c r="U115" s="8"/>
      <c r="V115" s="9"/>
      <c r="W115" s="8"/>
      <c r="X115" s="9"/>
      <c r="Y115" s="8"/>
      <c r="Z115" s="9"/>
    </row>
    <row r="116" ht="24.75" customHeight="1">
      <c r="L116" s="7"/>
      <c r="Q116" s="8"/>
      <c r="R116" s="9"/>
      <c r="S116" s="8"/>
      <c r="T116" s="9"/>
      <c r="U116" s="8"/>
      <c r="V116" s="9"/>
      <c r="W116" s="8"/>
      <c r="X116" s="9"/>
      <c r="Y116" s="8"/>
      <c r="Z116" s="9"/>
    </row>
    <row r="117" ht="24.75" customHeight="1">
      <c r="L117" s="7"/>
      <c r="Q117" s="8"/>
      <c r="R117" s="9"/>
      <c r="S117" s="8"/>
      <c r="T117" s="9"/>
      <c r="U117" s="8"/>
      <c r="V117" s="9"/>
      <c r="W117" s="8"/>
      <c r="X117" s="9"/>
      <c r="Y117" s="8"/>
      <c r="Z117" s="9"/>
    </row>
    <row r="118" ht="24.75" customHeight="1">
      <c r="L118" s="7"/>
      <c r="Q118" s="8"/>
      <c r="R118" s="9"/>
      <c r="S118" s="8"/>
      <c r="T118" s="9"/>
      <c r="U118" s="8"/>
      <c r="V118" s="9"/>
      <c r="W118" s="8"/>
      <c r="X118" s="9"/>
      <c r="Y118" s="8"/>
      <c r="Z118" s="9"/>
    </row>
    <row r="119" ht="24.75" customHeight="1">
      <c r="L119" s="7"/>
      <c r="Q119" s="8"/>
      <c r="R119" s="9"/>
      <c r="S119" s="8"/>
      <c r="T119" s="9"/>
      <c r="U119" s="8"/>
      <c r="V119" s="9"/>
      <c r="W119" s="8"/>
      <c r="X119" s="9"/>
      <c r="Y119" s="8"/>
      <c r="Z119" s="9"/>
    </row>
    <row r="120" ht="24.75" customHeight="1">
      <c r="L120" s="7"/>
      <c r="Q120" s="8"/>
      <c r="R120" s="9"/>
      <c r="S120" s="8"/>
      <c r="T120" s="9"/>
      <c r="U120" s="8"/>
      <c r="V120" s="9"/>
      <c r="W120" s="8"/>
      <c r="X120" s="9"/>
      <c r="Y120" s="8"/>
      <c r="Z120" s="9"/>
    </row>
    <row r="121" ht="24.75" customHeight="1">
      <c r="L121" s="7"/>
      <c r="Q121" s="8"/>
      <c r="R121" s="9"/>
      <c r="S121" s="8"/>
      <c r="T121" s="9"/>
      <c r="U121" s="8"/>
      <c r="V121" s="9"/>
      <c r="W121" s="8"/>
      <c r="X121" s="9"/>
      <c r="Y121" s="8"/>
      <c r="Z121" s="9"/>
    </row>
    <row r="122" ht="24.75" customHeight="1">
      <c r="L122" s="7"/>
      <c r="Q122" s="8"/>
      <c r="R122" s="9"/>
      <c r="S122" s="8"/>
      <c r="T122" s="9"/>
      <c r="U122" s="8"/>
      <c r="V122" s="9"/>
      <c r="W122" s="8"/>
      <c r="X122" s="9"/>
      <c r="Y122" s="8"/>
      <c r="Z122" s="9"/>
    </row>
    <row r="123" ht="24.75" customHeight="1">
      <c r="L123" s="7"/>
      <c r="Q123" s="8"/>
      <c r="R123" s="9"/>
      <c r="S123" s="8"/>
      <c r="T123" s="9"/>
      <c r="U123" s="8"/>
      <c r="V123" s="9"/>
      <c r="W123" s="8"/>
      <c r="X123" s="9"/>
      <c r="Y123" s="8"/>
      <c r="Z123" s="9"/>
    </row>
    <row r="124" ht="24.75" customHeight="1">
      <c r="L124" s="7"/>
      <c r="Q124" s="8"/>
      <c r="R124" s="9"/>
      <c r="S124" s="8"/>
      <c r="T124" s="9"/>
      <c r="U124" s="8"/>
      <c r="V124" s="9"/>
      <c r="W124" s="8"/>
      <c r="X124" s="9"/>
      <c r="Y124" s="8"/>
      <c r="Z124" s="9"/>
    </row>
    <row r="125" ht="24.75" customHeight="1">
      <c r="L125" s="7"/>
      <c r="Q125" s="8"/>
      <c r="R125" s="9"/>
      <c r="S125" s="8"/>
      <c r="T125" s="9"/>
      <c r="U125" s="8"/>
      <c r="V125" s="9"/>
      <c r="W125" s="8"/>
      <c r="X125" s="9"/>
      <c r="Y125" s="8"/>
      <c r="Z125" s="9"/>
    </row>
    <row r="126" ht="24.75" customHeight="1">
      <c r="L126" s="7"/>
      <c r="Q126" s="8"/>
      <c r="R126" s="9"/>
      <c r="S126" s="8"/>
      <c r="T126" s="9"/>
      <c r="U126" s="8"/>
      <c r="V126" s="9"/>
      <c r="W126" s="8"/>
      <c r="X126" s="9"/>
      <c r="Y126" s="8"/>
      <c r="Z126" s="9"/>
    </row>
    <row r="127" ht="24.75" customHeight="1">
      <c r="L127" s="7"/>
      <c r="Q127" s="8"/>
      <c r="R127" s="9"/>
      <c r="S127" s="8"/>
      <c r="T127" s="9"/>
      <c r="U127" s="8"/>
      <c r="V127" s="9"/>
      <c r="W127" s="8"/>
      <c r="X127" s="9"/>
      <c r="Y127" s="8"/>
      <c r="Z127" s="9"/>
    </row>
    <row r="128" ht="24.75" customHeight="1">
      <c r="L128" s="7"/>
      <c r="Q128" s="8"/>
      <c r="R128" s="9"/>
      <c r="S128" s="8"/>
      <c r="T128" s="9"/>
      <c r="U128" s="8"/>
      <c r="V128" s="9"/>
      <c r="W128" s="8"/>
      <c r="X128" s="9"/>
      <c r="Y128" s="8"/>
      <c r="Z128" s="9"/>
    </row>
    <row r="129" ht="24.75" customHeight="1">
      <c r="L129" s="7"/>
      <c r="Q129" s="8"/>
      <c r="R129" s="9"/>
      <c r="S129" s="8"/>
      <c r="T129" s="9"/>
      <c r="U129" s="8"/>
      <c r="V129" s="9"/>
      <c r="W129" s="8"/>
      <c r="X129" s="9"/>
      <c r="Y129" s="8"/>
      <c r="Z129" s="9"/>
    </row>
    <row r="130" ht="24.75" customHeight="1">
      <c r="L130" s="7"/>
      <c r="Q130" s="8"/>
      <c r="R130" s="9"/>
      <c r="S130" s="8"/>
      <c r="T130" s="9"/>
      <c r="U130" s="8"/>
      <c r="V130" s="9"/>
      <c r="W130" s="8"/>
      <c r="X130" s="9"/>
      <c r="Y130" s="8"/>
      <c r="Z130" s="9"/>
    </row>
    <row r="131" ht="24.75" customHeight="1">
      <c r="L131" s="7"/>
      <c r="Q131" s="8"/>
      <c r="R131" s="9"/>
      <c r="S131" s="8"/>
      <c r="T131" s="9"/>
      <c r="U131" s="8"/>
      <c r="V131" s="9"/>
      <c r="W131" s="8"/>
      <c r="X131" s="9"/>
      <c r="Y131" s="8"/>
      <c r="Z131" s="9"/>
    </row>
    <row r="132" ht="24.75" customHeight="1">
      <c r="L132" s="7"/>
      <c r="Q132" s="8"/>
      <c r="R132" s="9"/>
      <c r="S132" s="8"/>
      <c r="T132" s="9"/>
      <c r="U132" s="8"/>
      <c r="V132" s="9"/>
      <c r="W132" s="8"/>
      <c r="X132" s="9"/>
      <c r="Y132" s="8"/>
      <c r="Z132" s="9"/>
    </row>
    <row r="133" ht="24.75" customHeight="1">
      <c r="L133" s="7"/>
      <c r="Q133" s="8"/>
      <c r="R133" s="9"/>
      <c r="S133" s="8"/>
      <c r="T133" s="9"/>
      <c r="U133" s="8"/>
      <c r="V133" s="9"/>
      <c r="W133" s="8"/>
      <c r="X133" s="9"/>
      <c r="Y133" s="8"/>
      <c r="Z133" s="9"/>
    </row>
    <row r="134" ht="24.75" customHeight="1">
      <c r="L134" s="7"/>
      <c r="Q134" s="8"/>
      <c r="R134" s="9"/>
      <c r="S134" s="8"/>
      <c r="T134" s="9"/>
      <c r="U134" s="8"/>
      <c r="V134" s="9"/>
      <c r="W134" s="8"/>
      <c r="X134" s="9"/>
      <c r="Y134" s="8"/>
      <c r="Z134" s="9"/>
    </row>
    <row r="135" ht="24.75" customHeight="1">
      <c r="L135" s="7"/>
      <c r="Q135" s="8"/>
      <c r="R135" s="9"/>
      <c r="S135" s="8"/>
      <c r="T135" s="9"/>
      <c r="U135" s="8"/>
      <c r="V135" s="9"/>
      <c r="W135" s="8"/>
      <c r="X135" s="9"/>
      <c r="Y135" s="8"/>
      <c r="Z135" s="9"/>
    </row>
    <row r="136" ht="24.75" customHeight="1">
      <c r="L136" s="7"/>
      <c r="Q136" s="8"/>
      <c r="R136" s="9"/>
      <c r="S136" s="8"/>
      <c r="T136" s="9"/>
      <c r="U136" s="8"/>
      <c r="V136" s="9"/>
      <c r="W136" s="8"/>
      <c r="X136" s="9"/>
      <c r="Y136" s="8"/>
      <c r="Z136" s="9"/>
    </row>
    <row r="137" ht="24.75" customHeight="1">
      <c r="L137" s="7"/>
      <c r="Q137" s="8"/>
      <c r="R137" s="9"/>
      <c r="S137" s="8"/>
      <c r="T137" s="9"/>
      <c r="U137" s="8"/>
      <c r="V137" s="9"/>
      <c r="W137" s="8"/>
      <c r="X137" s="9"/>
      <c r="Y137" s="8"/>
      <c r="Z137" s="9"/>
    </row>
    <row r="138" ht="24.75" customHeight="1">
      <c r="L138" s="7"/>
      <c r="Q138" s="8"/>
      <c r="R138" s="9"/>
      <c r="S138" s="8"/>
      <c r="T138" s="9"/>
      <c r="U138" s="8"/>
      <c r="V138" s="9"/>
      <c r="W138" s="8"/>
      <c r="X138" s="9"/>
      <c r="Y138" s="8"/>
      <c r="Z138" s="9"/>
    </row>
    <row r="139" ht="24.75" customHeight="1">
      <c r="L139" s="7"/>
      <c r="Q139" s="8"/>
      <c r="R139" s="9"/>
      <c r="S139" s="8"/>
      <c r="T139" s="9"/>
      <c r="U139" s="8"/>
      <c r="V139" s="9"/>
      <c r="W139" s="8"/>
      <c r="X139" s="9"/>
      <c r="Y139" s="8"/>
      <c r="Z139" s="9"/>
    </row>
    <row r="140" ht="24.75" customHeight="1">
      <c r="L140" s="7"/>
      <c r="Q140" s="8"/>
      <c r="R140" s="9"/>
      <c r="S140" s="8"/>
      <c r="T140" s="9"/>
      <c r="U140" s="8"/>
      <c r="V140" s="9"/>
      <c r="W140" s="8"/>
      <c r="X140" s="9"/>
      <c r="Y140" s="8"/>
      <c r="Z140" s="9"/>
    </row>
    <row r="141" ht="24.75" customHeight="1">
      <c r="L141" s="7"/>
      <c r="Q141" s="8"/>
      <c r="R141" s="9"/>
      <c r="S141" s="8"/>
      <c r="T141" s="9"/>
      <c r="U141" s="8"/>
      <c r="V141" s="9"/>
      <c r="W141" s="8"/>
      <c r="X141" s="9"/>
      <c r="Y141" s="8"/>
      <c r="Z141" s="9"/>
    </row>
    <row r="142" ht="24.75" customHeight="1">
      <c r="L142" s="7"/>
      <c r="Q142" s="8"/>
      <c r="R142" s="9"/>
      <c r="S142" s="8"/>
      <c r="T142" s="9"/>
      <c r="U142" s="8"/>
      <c r="V142" s="9"/>
      <c r="W142" s="8"/>
      <c r="X142" s="9"/>
      <c r="Y142" s="8"/>
      <c r="Z142" s="9"/>
    </row>
    <row r="143" ht="24.75" customHeight="1">
      <c r="L143" s="7"/>
      <c r="Q143" s="8"/>
      <c r="R143" s="9"/>
      <c r="S143" s="8"/>
      <c r="T143" s="9"/>
      <c r="U143" s="8"/>
      <c r="V143" s="9"/>
      <c r="W143" s="8"/>
      <c r="X143" s="9"/>
      <c r="Y143" s="8"/>
      <c r="Z143" s="9"/>
    </row>
    <row r="144" ht="24.75" customHeight="1">
      <c r="L144" s="7"/>
      <c r="Q144" s="8"/>
      <c r="R144" s="9"/>
      <c r="S144" s="8"/>
      <c r="T144" s="9"/>
      <c r="U144" s="8"/>
      <c r="V144" s="9"/>
      <c r="W144" s="8"/>
      <c r="X144" s="9"/>
      <c r="Y144" s="8"/>
      <c r="Z144" s="9"/>
    </row>
    <row r="145" ht="24.75" customHeight="1">
      <c r="L145" s="7"/>
      <c r="Q145" s="8"/>
      <c r="R145" s="9"/>
      <c r="S145" s="8"/>
      <c r="T145" s="9"/>
      <c r="U145" s="8"/>
      <c r="V145" s="9"/>
      <c r="W145" s="8"/>
      <c r="X145" s="9"/>
      <c r="Y145" s="8"/>
      <c r="Z145" s="9"/>
    </row>
    <row r="146" ht="24.75" customHeight="1">
      <c r="L146" s="7"/>
      <c r="Q146" s="8"/>
      <c r="R146" s="9"/>
      <c r="S146" s="8"/>
      <c r="T146" s="9"/>
      <c r="U146" s="8"/>
      <c r="V146" s="9"/>
      <c r="W146" s="8"/>
      <c r="X146" s="9"/>
      <c r="Y146" s="8"/>
      <c r="Z146" s="9"/>
    </row>
    <row r="147" ht="24.75" customHeight="1">
      <c r="L147" s="7"/>
      <c r="Q147" s="8"/>
      <c r="R147" s="9"/>
      <c r="S147" s="8"/>
      <c r="T147" s="9"/>
      <c r="U147" s="8"/>
      <c r="V147" s="9"/>
      <c r="W147" s="8"/>
      <c r="X147" s="9"/>
      <c r="Y147" s="8"/>
      <c r="Z147" s="9"/>
    </row>
    <row r="148" ht="24.75" customHeight="1">
      <c r="L148" s="7"/>
      <c r="Q148" s="8"/>
      <c r="R148" s="9"/>
      <c r="S148" s="8"/>
      <c r="T148" s="9"/>
      <c r="U148" s="8"/>
      <c r="V148" s="9"/>
      <c r="W148" s="8"/>
      <c r="X148" s="9"/>
      <c r="Y148" s="8"/>
      <c r="Z148" s="9"/>
    </row>
    <row r="149" ht="24.75" customHeight="1">
      <c r="L149" s="7"/>
      <c r="Q149" s="8"/>
      <c r="R149" s="9"/>
      <c r="S149" s="8"/>
      <c r="T149" s="9"/>
      <c r="U149" s="8"/>
      <c r="V149" s="9"/>
      <c r="W149" s="8"/>
      <c r="X149" s="9"/>
      <c r="Y149" s="8"/>
      <c r="Z149" s="9"/>
    </row>
    <row r="150" ht="24.75" customHeight="1">
      <c r="L150" s="7"/>
      <c r="Q150" s="8"/>
      <c r="R150" s="9"/>
      <c r="S150" s="8"/>
      <c r="T150" s="9"/>
      <c r="U150" s="8"/>
      <c r="V150" s="9"/>
      <c r="W150" s="8"/>
      <c r="X150" s="9"/>
      <c r="Y150" s="8"/>
      <c r="Z150" s="9"/>
    </row>
    <row r="151" ht="24.75" customHeight="1">
      <c r="L151" s="7"/>
      <c r="Q151" s="8"/>
      <c r="R151" s="9"/>
      <c r="S151" s="8"/>
      <c r="T151" s="9"/>
      <c r="U151" s="8"/>
      <c r="V151" s="9"/>
      <c r="W151" s="8"/>
      <c r="X151" s="9"/>
      <c r="Y151" s="8"/>
      <c r="Z151" s="9"/>
    </row>
    <row r="152" ht="24.75" customHeight="1">
      <c r="L152" s="7"/>
      <c r="Q152" s="8"/>
      <c r="R152" s="9"/>
      <c r="S152" s="8"/>
      <c r="T152" s="9"/>
      <c r="U152" s="8"/>
      <c r="V152" s="9"/>
      <c r="W152" s="8"/>
      <c r="X152" s="9"/>
      <c r="Y152" s="8"/>
      <c r="Z152" s="9"/>
    </row>
    <row r="153" ht="24.75" customHeight="1">
      <c r="L153" s="7"/>
      <c r="Q153" s="8"/>
      <c r="R153" s="9"/>
      <c r="S153" s="8"/>
      <c r="T153" s="9"/>
      <c r="U153" s="8"/>
      <c r="V153" s="9"/>
      <c r="W153" s="8"/>
      <c r="X153" s="9"/>
      <c r="Y153" s="8"/>
      <c r="Z153" s="9"/>
    </row>
    <row r="154" ht="24.75" customHeight="1">
      <c r="L154" s="7"/>
      <c r="Q154" s="8"/>
      <c r="R154" s="9"/>
      <c r="S154" s="8"/>
      <c r="T154" s="9"/>
      <c r="U154" s="8"/>
      <c r="V154" s="9"/>
      <c r="W154" s="8"/>
      <c r="X154" s="9"/>
      <c r="Y154" s="8"/>
      <c r="Z154" s="9"/>
    </row>
    <row r="155" ht="24.75" customHeight="1">
      <c r="L155" s="7"/>
      <c r="Q155" s="8"/>
      <c r="R155" s="9"/>
      <c r="S155" s="8"/>
      <c r="T155" s="9"/>
      <c r="U155" s="8"/>
      <c r="V155" s="9"/>
      <c r="W155" s="8"/>
      <c r="X155" s="9"/>
      <c r="Y155" s="8"/>
      <c r="Z155" s="9"/>
    </row>
    <row r="156" ht="24.75" customHeight="1">
      <c r="L156" s="7"/>
      <c r="Q156" s="8"/>
      <c r="R156" s="9"/>
      <c r="S156" s="8"/>
      <c r="T156" s="9"/>
      <c r="U156" s="8"/>
      <c r="V156" s="9"/>
      <c r="W156" s="8"/>
      <c r="X156" s="9"/>
      <c r="Y156" s="8"/>
      <c r="Z156" s="9"/>
    </row>
    <row r="157" ht="24.75" customHeight="1">
      <c r="L157" s="7"/>
      <c r="Q157" s="8"/>
      <c r="R157" s="9"/>
      <c r="S157" s="8"/>
      <c r="T157" s="9"/>
      <c r="U157" s="8"/>
      <c r="V157" s="9"/>
      <c r="W157" s="8"/>
      <c r="X157" s="9"/>
      <c r="Y157" s="8"/>
      <c r="Z157" s="9"/>
    </row>
    <row r="158" ht="24.75" customHeight="1">
      <c r="L158" s="7"/>
      <c r="Q158" s="8"/>
      <c r="R158" s="9"/>
      <c r="S158" s="8"/>
      <c r="T158" s="9"/>
      <c r="U158" s="8"/>
      <c r="V158" s="9"/>
      <c r="W158" s="8"/>
      <c r="X158" s="9"/>
      <c r="Y158" s="8"/>
      <c r="Z158" s="9"/>
    </row>
    <row r="159" ht="24.75" customHeight="1">
      <c r="L159" s="7"/>
      <c r="Q159" s="8"/>
      <c r="R159" s="9"/>
      <c r="S159" s="8"/>
      <c r="T159" s="9"/>
      <c r="U159" s="8"/>
      <c r="V159" s="9"/>
      <c r="W159" s="8"/>
      <c r="X159" s="9"/>
      <c r="Y159" s="8"/>
      <c r="Z159" s="9"/>
    </row>
    <row r="160" ht="24.75" customHeight="1">
      <c r="L160" s="7"/>
      <c r="Q160" s="8"/>
      <c r="R160" s="9"/>
      <c r="S160" s="8"/>
      <c r="T160" s="9"/>
      <c r="U160" s="8"/>
      <c r="V160" s="9"/>
      <c r="W160" s="8"/>
      <c r="X160" s="9"/>
      <c r="Y160" s="8"/>
      <c r="Z160" s="9"/>
    </row>
    <row r="161" ht="24.75" customHeight="1">
      <c r="L161" s="7"/>
      <c r="Q161" s="8"/>
      <c r="R161" s="9"/>
      <c r="S161" s="8"/>
      <c r="T161" s="9"/>
      <c r="U161" s="8"/>
      <c r="V161" s="9"/>
      <c r="W161" s="8"/>
      <c r="X161" s="9"/>
      <c r="Y161" s="8"/>
      <c r="Z161" s="9"/>
    </row>
    <row r="162" ht="24.75" customHeight="1">
      <c r="L162" s="7"/>
      <c r="Q162" s="8"/>
      <c r="R162" s="9"/>
      <c r="S162" s="8"/>
      <c r="T162" s="9"/>
      <c r="U162" s="8"/>
      <c r="V162" s="9"/>
      <c r="W162" s="8"/>
      <c r="X162" s="9"/>
      <c r="Y162" s="8"/>
      <c r="Z162" s="9"/>
    </row>
    <row r="163" ht="24.75" customHeight="1">
      <c r="L163" s="7"/>
      <c r="Q163" s="8"/>
      <c r="R163" s="9"/>
      <c r="S163" s="8"/>
      <c r="T163" s="9"/>
      <c r="U163" s="8"/>
      <c r="V163" s="9"/>
      <c r="W163" s="8"/>
      <c r="X163" s="9"/>
      <c r="Y163" s="8"/>
      <c r="Z163" s="9"/>
    </row>
    <row r="164" ht="24.75" customHeight="1">
      <c r="L164" s="7"/>
      <c r="Q164" s="8"/>
      <c r="R164" s="9"/>
      <c r="S164" s="8"/>
      <c r="T164" s="9"/>
      <c r="U164" s="8"/>
      <c r="V164" s="9"/>
      <c r="W164" s="8"/>
      <c r="X164" s="9"/>
      <c r="Y164" s="8"/>
      <c r="Z164" s="9"/>
    </row>
    <row r="165" ht="24.75" customHeight="1">
      <c r="L165" s="7"/>
      <c r="Q165" s="8"/>
      <c r="R165" s="9"/>
      <c r="S165" s="8"/>
      <c r="T165" s="9"/>
      <c r="U165" s="8"/>
      <c r="V165" s="9"/>
      <c r="W165" s="8"/>
      <c r="X165" s="9"/>
      <c r="Y165" s="8"/>
      <c r="Z165" s="9"/>
    </row>
    <row r="166" ht="24.75" customHeight="1">
      <c r="L166" s="7"/>
      <c r="Q166" s="8"/>
      <c r="R166" s="9"/>
      <c r="S166" s="8"/>
      <c r="T166" s="9"/>
      <c r="U166" s="8"/>
      <c r="V166" s="9"/>
      <c r="W166" s="8"/>
      <c r="X166" s="9"/>
      <c r="Y166" s="8"/>
      <c r="Z166" s="9"/>
    </row>
    <row r="167" ht="24.75" customHeight="1">
      <c r="L167" s="7"/>
      <c r="Q167" s="8"/>
      <c r="R167" s="9"/>
      <c r="S167" s="8"/>
      <c r="T167" s="9"/>
      <c r="U167" s="8"/>
      <c r="V167" s="9"/>
      <c r="W167" s="8"/>
      <c r="X167" s="9"/>
      <c r="Y167" s="8"/>
      <c r="Z167" s="9"/>
    </row>
    <row r="168" ht="24.75" customHeight="1">
      <c r="L168" s="7"/>
      <c r="Q168" s="8"/>
      <c r="R168" s="9"/>
      <c r="S168" s="8"/>
      <c r="T168" s="9"/>
      <c r="U168" s="8"/>
      <c r="V168" s="9"/>
      <c r="W168" s="8"/>
      <c r="X168" s="9"/>
      <c r="Y168" s="8"/>
      <c r="Z168" s="9"/>
    </row>
    <row r="169" ht="24.75" customHeight="1">
      <c r="L169" s="7"/>
      <c r="Q169" s="8"/>
      <c r="R169" s="9"/>
      <c r="S169" s="8"/>
      <c r="T169" s="9"/>
      <c r="U169" s="8"/>
      <c r="V169" s="9"/>
      <c r="W169" s="8"/>
      <c r="X169" s="9"/>
      <c r="Y169" s="8"/>
      <c r="Z169" s="9"/>
    </row>
    <row r="170" ht="24.75" customHeight="1">
      <c r="L170" s="7"/>
      <c r="Q170" s="8"/>
      <c r="R170" s="9"/>
      <c r="S170" s="8"/>
      <c r="T170" s="9"/>
      <c r="U170" s="8"/>
      <c r="V170" s="9"/>
      <c r="W170" s="8"/>
      <c r="X170" s="9"/>
      <c r="Y170" s="8"/>
      <c r="Z170" s="9"/>
    </row>
    <row r="171" ht="24.75" customHeight="1">
      <c r="L171" s="7"/>
      <c r="Q171" s="8"/>
      <c r="R171" s="9"/>
      <c r="S171" s="8"/>
      <c r="T171" s="9"/>
      <c r="U171" s="8"/>
      <c r="V171" s="9"/>
      <c r="W171" s="8"/>
      <c r="X171" s="9"/>
      <c r="Y171" s="8"/>
      <c r="Z171" s="9"/>
    </row>
    <row r="172" ht="24.75" customHeight="1">
      <c r="L172" s="7"/>
      <c r="Q172" s="8"/>
      <c r="R172" s="9"/>
      <c r="S172" s="8"/>
      <c r="T172" s="9"/>
      <c r="U172" s="8"/>
      <c r="V172" s="9"/>
      <c r="W172" s="8"/>
      <c r="X172" s="9"/>
      <c r="Y172" s="8"/>
      <c r="Z172" s="9"/>
    </row>
    <row r="173" ht="24.75" customHeight="1">
      <c r="L173" s="7"/>
      <c r="Q173" s="8"/>
      <c r="R173" s="9"/>
      <c r="S173" s="8"/>
      <c r="T173" s="9"/>
      <c r="U173" s="8"/>
      <c r="V173" s="9"/>
      <c r="W173" s="8"/>
      <c r="X173" s="9"/>
      <c r="Y173" s="8"/>
      <c r="Z173" s="9"/>
    </row>
    <row r="174" ht="24.75" customHeight="1">
      <c r="L174" s="7"/>
      <c r="Q174" s="8"/>
      <c r="R174" s="9"/>
      <c r="S174" s="8"/>
      <c r="T174" s="9"/>
      <c r="U174" s="8"/>
      <c r="V174" s="9"/>
      <c r="W174" s="8"/>
      <c r="X174" s="9"/>
      <c r="Y174" s="8"/>
      <c r="Z174" s="9"/>
    </row>
    <row r="175" ht="24.75" customHeight="1">
      <c r="L175" s="7"/>
      <c r="Q175" s="8"/>
      <c r="R175" s="9"/>
      <c r="S175" s="8"/>
      <c r="T175" s="9"/>
      <c r="U175" s="8"/>
      <c r="V175" s="9"/>
      <c r="W175" s="8"/>
      <c r="X175" s="9"/>
      <c r="Y175" s="8"/>
      <c r="Z175" s="9"/>
    </row>
    <row r="176" ht="24.75" customHeight="1">
      <c r="L176" s="7"/>
      <c r="Q176" s="8"/>
      <c r="R176" s="9"/>
      <c r="S176" s="8"/>
      <c r="T176" s="9"/>
      <c r="U176" s="8"/>
      <c r="V176" s="9"/>
      <c r="W176" s="8"/>
      <c r="X176" s="9"/>
      <c r="Y176" s="8"/>
      <c r="Z176" s="9"/>
    </row>
    <row r="177" ht="24.75" customHeight="1">
      <c r="L177" s="7"/>
      <c r="Q177" s="8"/>
      <c r="R177" s="9"/>
      <c r="S177" s="8"/>
      <c r="T177" s="9"/>
      <c r="U177" s="8"/>
      <c r="V177" s="9"/>
      <c r="W177" s="8"/>
      <c r="X177" s="9"/>
      <c r="Y177" s="8"/>
      <c r="Z177" s="9"/>
    </row>
    <row r="178" ht="24.75" customHeight="1">
      <c r="L178" s="7"/>
      <c r="Q178" s="8"/>
      <c r="R178" s="9"/>
      <c r="S178" s="8"/>
      <c r="T178" s="9"/>
      <c r="U178" s="8"/>
      <c r="V178" s="9"/>
      <c r="W178" s="8"/>
      <c r="X178" s="9"/>
      <c r="Y178" s="8"/>
      <c r="Z178" s="9"/>
    </row>
    <row r="179" ht="24.75" customHeight="1">
      <c r="L179" s="7"/>
      <c r="Q179" s="8"/>
      <c r="R179" s="9"/>
      <c r="S179" s="8"/>
      <c r="T179" s="9"/>
      <c r="U179" s="8"/>
      <c r="V179" s="9"/>
      <c r="W179" s="8"/>
      <c r="X179" s="9"/>
      <c r="Y179" s="8"/>
      <c r="Z179" s="9"/>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8"/>
      <c r="R274" s="9"/>
      <c r="S274" s="8"/>
      <c r="T274" s="9"/>
      <c r="U274" s="8"/>
      <c r="V274" s="9"/>
      <c r="W274" s="8"/>
      <c r="X274" s="9"/>
      <c r="Y274" s="8"/>
      <c r="Z274" s="9"/>
    </row>
    <row r="275" ht="24.75" customHeight="1">
      <c r="L275" s="7"/>
      <c r="Q275" s="8"/>
      <c r="R275" s="9"/>
      <c r="S275" s="8"/>
      <c r="T275" s="9"/>
      <c r="U275" s="8"/>
      <c r="V275" s="9"/>
      <c r="W275" s="8"/>
      <c r="X275" s="9"/>
      <c r="Y275" s="8"/>
      <c r="Z275" s="9"/>
    </row>
    <row r="276" ht="24.75" customHeight="1">
      <c r="L276" s="7"/>
      <c r="Q276" s="8"/>
      <c r="R276" s="9"/>
      <c r="S276" s="8"/>
      <c r="T276" s="9"/>
      <c r="U276" s="8"/>
      <c r="V276" s="9"/>
      <c r="W276" s="8"/>
      <c r="X276" s="9"/>
      <c r="Y276" s="8"/>
      <c r="Z276" s="9"/>
    </row>
    <row r="277" ht="24.75" customHeight="1">
      <c r="L277" s="7"/>
      <c r="Q277" s="8"/>
      <c r="R277" s="9"/>
      <c r="S277" s="8"/>
      <c r="T277" s="9"/>
      <c r="U277" s="8"/>
      <c r="V277" s="9"/>
      <c r="W277" s="8"/>
      <c r="X277" s="9"/>
      <c r="Y277" s="8"/>
      <c r="Z277" s="9"/>
    </row>
    <row r="278" ht="24.75" customHeight="1">
      <c r="L278" s="7"/>
      <c r="Q278" s="8"/>
      <c r="R278" s="9"/>
      <c r="S278" s="8"/>
      <c r="T278" s="9"/>
      <c r="U278" s="8"/>
      <c r="V278" s="9"/>
      <c r="W278" s="8"/>
      <c r="X278" s="9"/>
      <c r="Y278" s="8"/>
      <c r="Z278" s="9"/>
    </row>
    <row r="279" ht="24.75" customHeight="1">
      <c r="L279" s="7"/>
      <c r="Q279" s="8"/>
      <c r="R279" s="9"/>
      <c r="S279" s="8"/>
      <c r="T279" s="9"/>
      <c r="U279" s="8"/>
      <c r="V279" s="9"/>
      <c r="W279" s="8"/>
      <c r="X279" s="9"/>
      <c r="Y279" s="8"/>
      <c r="Z279" s="9"/>
    </row>
    <row r="280" ht="24.75" customHeight="1">
      <c r="L280" s="7"/>
      <c r="Q280" s="8"/>
      <c r="R280" s="9"/>
      <c r="S280" s="8"/>
      <c r="T280" s="9"/>
      <c r="U280" s="8"/>
      <c r="V280" s="9"/>
      <c r="W280" s="8"/>
      <c r="X280" s="9"/>
      <c r="Y280" s="8"/>
      <c r="Z280" s="9"/>
    </row>
    <row r="281" ht="24.75" customHeight="1">
      <c r="L281" s="7"/>
      <c r="Q281" s="8"/>
      <c r="R281" s="9"/>
      <c r="S281" s="8"/>
      <c r="T281" s="9"/>
      <c r="U281" s="8"/>
      <c r="V281" s="9"/>
      <c r="W281" s="8"/>
      <c r="X281" s="9"/>
      <c r="Y281" s="8"/>
      <c r="Z281" s="9"/>
    </row>
    <row r="282" ht="24.75" customHeight="1">
      <c r="L282" s="7"/>
      <c r="Q282" s="8"/>
      <c r="R282" s="9"/>
      <c r="S282" s="8"/>
      <c r="T282" s="9"/>
      <c r="U282" s="8"/>
      <c r="V282" s="9"/>
      <c r="W282" s="8"/>
      <c r="X282" s="9"/>
      <c r="Y282" s="8"/>
      <c r="Z282" s="9"/>
    </row>
    <row r="283" ht="24.75" customHeight="1">
      <c r="L283" s="7"/>
      <c r="Q283" s="8"/>
      <c r="R283" s="9"/>
      <c r="S283" s="8"/>
      <c r="T283" s="9"/>
      <c r="U283" s="8"/>
      <c r="V283" s="9"/>
      <c r="W283" s="8"/>
      <c r="X283" s="9"/>
      <c r="Y283" s="8"/>
      <c r="Z283" s="9"/>
    </row>
    <row r="284" ht="24.75" customHeight="1">
      <c r="L284" s="7"/>
      <c r="Q284" s="8"/>
      <c r="R284" s="9"/>
      <c r="S284" s="8"/>
      <c r="T284" s="9"/>
      <c r="U284" s="8"/>
      <c r="V284" s="9"/>
      <c r="W284" s="8"/>
      <c r="X284" s="9"/>
      <c r="Y284" s="8"/>
      <c r="Z284" s="9"/>
    </row>
    <row r="285" ht="24.75" customHeight="1">
      <c r="L285" s="7"/>
      <c r="Q285" s="8"/>
      <c r="R285" s="9"/>
      <c r="S285" s="8"/>
      <c r="T285" s="9"/>
      <c r="U285" s="8"/>
      <c r="V285" s="9"/>
      <c r="W285" s="8"/>
      <c r="X285" s="9"/>
      <c r="Y285" s="8"/>
      <c r="Z285" s="9"/>
    </row>
    <row r="286" ht="24.75" customHeight="1">
      <c r="L286" s="7"/>
      <c r="Q286" s="8"/>
      <c r="R286" s="9"/>
      <c r="S286" s="8"/>
      <c r="T286" s="9"/>
      <c r="U286" s="8"/>
      <c r="V286" s="9"/>
      <c r="W286" s="8"/>
      <c r="X286" s="9"/>
      <c r="Y286" s="8"/>
      <c r="Z286" s="9"/>
    </row>
    <row r="287" ht="24.75" customHeight="1">
      <c r="L287" s="7"/>
      <c r="Q287" s="8"/>
      <c r="R287" s="9"/>
      <c r="S287" s="8"/>
      <c r="T287" s="9"/>
      <c r="U287" s="8"/>
      <c r="V287" s="9"/>
      <c r="W287" s="8"/>
      <c r="X287" s="9"/>
      <c r="Y287" s="8"/>
      <c r="Z287" s="9"/>
    </row>
    <row r="288" ht="24.75" customHeight="1">
      <c r="L288" s="7"/>
      <c r="Q288" s="8"/>
      <c r="R288" s="9"/>
      <c r="S288" s="8"/>
      <c r="T288" s="9"/>
      <c r="U288" s="8"/>
      <c r="V288" s="9"/>
      <c r="W288" s="8"/>
      <c r="X288" s="9"/>
      <c r="Y288" s="8"/>
      <c r="Z288" s="9"/>
    </row>
    <row r="289" ht="24.75" customHeight="1">
      <c r="L289" s="7"/>
      <c r="Q289" s="8"/>
      <c r="R289" s="9"/>
      <c r="S289" s="8"/>
      <c r="T289" s="9"/>
      <c r="U289" s="8"/>
      <c r="V289" s="9"/>
      <c r="W289" s="8"/>
      <c r="X289" s="9"/>
      <c r="Y289" s="8"/>
      <c r="Z289" s="9"/>
    </row>
    <row r="290" ht="24.75" customHeight="1">
      <c r="L290" s="7"/>
      <c r="Q290" s="8"/>
      <c r="R290" s="9"/>
      <c r="S290" s="8"/>
      <c r="T290" s="9"/>
      <c r="U290" s="8"/>
      <c r="V290" s="9"/>
      <c r="W290" s="8"/>
      <c r="X290" s="9"/>
      <c r="Y290" s="8"/>
      <c r="Z290" s="9"/>
    </row>
    <row r="291" ht="24.75" customHeight="1">
      <c r="L291" s="7"/>
      <c r="Q291" s="8"/>
      <c r="R291" s="9"/>
      <c r="S291" s="8"/>
      <c r="T291" s="9"/>
      <c r="U291" s="8"/>
      <c r="V291" s="9"/>
      <c r="W291" s="8"/>
      <c r="X291" s="9"/>
      <c r="Y291" s="8"/>
      <c r="Z291" s="9"/>
    </row>
    <row r="292" ht="24.75" customHeight="1">
      <c r="L292" s="7"/>
      <c r="Q292" s="8"/>
      <c r="R292" s="9"/>
      <c r="S292" s="8"/>
      <c r="T292" s="9"/>
      <c r="U292" s="8"/>
      <c r="V292" s="9"/>
      <c r="W292" s="8"/>
      <c r="X292" s="9"/>
      <c r="Y292" s="8"/>
      <c r="Z292" s="9"/>
    </row>
    <row r="293" ht="24.75" customHeight="1">
      <c r="L293" s="7"/>
      <c r="Q293" s="8"/>
      <c r="R293" s="9"/>
      <c r="S293" s="8"/>
      <c r="T293" s="9"/>
      <c r="U293" s="8"/>
      <c r="V293" s="9"/>
      <c r="W293" s="8"/>
      <c r="X293" s="9"/>
      <c r="Y293" s="8"/>
      <c r="Z293" s="9"/>
    </row>
    <row r="294" ht="24.75" customHeight="1">
      <c r="L294" s="7"/>
      <c r="Q294" s="8"/>
      <c r="R294" s="9"/>
      <c r="S294" s="8"/>
      <c r="T294" s="9"/>
      <c r="U294" s="8"/>
      <c r="V294" s="9"/>
      <c r="W294" s="8"/>
      <c r="X294" s="9"/>
      <c r="Y294" s="8"/>
      <c r="Z294" s="9"/>
    </row>
    <row r="295" ht="24.75" customHeight="1">
      <c r="L295" s="7"/>
      <c r="Q295" s="8"/>
      <c r="R295" s="9"/>
      <c r="S295" s="8"/>
      <c r="T295" s="9"/>
      <c r="U295" s="8"/>
      <c r="V295" s="9"/>
      <c r="W295" s="8"/>
      <c r="X295" s="9"/>
      <c r="Y295" s="8"/>
      <c r="Z295" s="9"/>
    </row>
    <row r="296" ht="24.75" customHeight="1">
      <c r="L296" s="7"/>
      <c r="Q296" s="8"/>
      <c r="R296" s="9"/>
      <c r="S296" s="8"/>
      <c r="T296" s="9"/>
      <c r="U296" s="8"/>
      <c r="V296" s="9"/>
      <c r="W296" s="8"/>
      <c r="X296" s="9"/>
      <c r="Y296" s="8"/>
      <c r="Z296" s="9"/>
    </row>
    <row r="297" ht="24.75" customHeight="1">
      <c r="L297" s="7"/>
      <c r="Q297" s="8"/>
      <c r="R297" s="9"/>
      <c r="S297" s="8"/>
      <c r="T297" s="9"/>
      <c r="U297" s="8"/>
      <c r="V297" s="9"/>
      <c r="W297" s="8"/>
      <c r="X297" s="9"/>
      <c r="Y297" s="8"/>
      <c r="Z297" s="9"/>
    </row>
    <row r="298" ht="24.75" customHeight="1">
      <c r="L298" s="7"/>
      <c r="Q298" s="8"/>
      <c r="R298" s="9"/>
      <c r="S298" s="8"/>
      <c r="T298" s="9"/>
      <c r="U298" s="8"/>
      <c r="V298" s="9"/>
      <c r="W298" s="8"/>
      <c r="X298" s="9"/>
      <c r="Y298" s="8"/>
      <c r="Z298" s="9"/>
    </row>
    <row r="299" ht="24.75" customHeight="1">
      <c r="L299" s="7"/>
      <c r="Q299" s="8"/>
      <c r="R299" s="9"/>
      <c r="S299" s="8"/>
      <c r="T299" s="9"/>
      <c r="U299" s="8"/>
      <c r="V299" s="9"/>
      <c r="W299" s="8"/>
      <c r="X299" s="9"/>
      <c r="Y299" s="8"/>
      <c r="Z299" s="9"/>
    </row>
    <row r="300" ht="24.75" customHeight="1">
      <c r="L300" s="7"/>
      <c r="Q300" s="8"/>
      <c r="R300" s="9"/>
      <c r="S300" s="8"/>
      <c r="T300" s="9"/>
      <c r="U300" s="8"/>
      <c r="V300" s="9"/>
      <c r="W300" s="8"/>
      <c r="X300" s="9"/>
      <c r="Y300" s="8"/>
      <c r="Z300" s="9"/>
    </row>
    <row r="301" ht="24.75" customHeight="1">
      <c r="L301" s="7"/>
      <c r="Q301" s="8"/>
      <c r="R301" s="9"/>
      <c r="S301" s="8"/>
      <c r="T301" s="9"/>
      <c r="U301" s="8"/>
      <c r="V301" s="9"/>
      <c r="W301" s="8"/>
      <c r="X301" s="9"/>
      <c r="Y301" s="8"/>
      <c r="Z301" s="9"/>
    </row>
    <row r="302" ht="24.75" customHeight="1">
      <c r="L302" s="7"/>
      <c r="Q302" s="8"/>
      <c r="R302" s="9"/>
      <c r="S302" s="8"/>
      <c r="T302" s="9"/>
      <c r="U302" s="8"/>
      <c r="V302" s="9"/>
      <c r="W302" s="8"/>
      <c r="X302" s="9"/>
      <c r="Y302" s="8"/>
      <c r="Z302" s="9"/>
    </row>
    <row r="303" ht="24.75" customHeight="1">
      <c r="L303" s="7"/>
      <c r="Q303" s="8"/>
      <c r="R303" s="9"/>
      <c r="S303" s="8"/>
      <c r="T303" s="9"/>
      <c r="U303" s="8"/>
      <c r="V303" s="9"/>
      <c r="W303" s="8"/>
      <c r="X303" s="9"/>
      <c r="Y303" s="8"/>
      <c r="Z303" s="9"/>
    </row>
    <row r="304" ht="24.75" customHeight="1">
      <c r="L304" s="7"/>
      <c r="Q304" s="8"/>
      <c r="R304" s="9"/>
      <c r="S304" s="8"/>
      <c r="T304" s="9"/>
      <c r="U304" s="8"/>
      <c r="V304" s="9"/>
      <c r="W304" s="8"/>
      <c r="X304" s="9"/>
      <c r="Y304" s="8"/>
      <c r="Z304" s="9"/>
    </row>
    <row r="305" ht="24.75" customHeight="1">
      <c r="L305" s="7"/>
      <c r="Q305" s="7"/>
      <c r="S305" s="7"/>
      <c r="U305" s="7"/>
      <c r="W305" s="7"/>
      <c r="Y305" s="7"/>
    </row>
    <row r="306" ht="24.75" customHeight="1">
      <c r="L306" s="7"/>
      <c r="Q306" s="7"/>
      <c r="S306" s="7"/>
      <c r="U306" s="7"/>
      <c r="W306" s="7"/>
      <c r="Y306" s="7"/>
    </row>
    <row r="307" ht="24.75" customHeight="1">
      <c r="L307" s="7"/>
      <c r="Q307" s="7"/>
      <c r="S307" s="7"/>
      <c r="U307" s="7"/>
      <c r="W307" s="7"/>
      <c r="Y307" s="7"/>
    </row>
    <row r="308" ht="24.75" customHeight="1">
      <c r="L308" s="7"/>
      <c r="Q308" s="7"/>
      <c r="S308" s="7"/>
      <c r="U308" s="7"/>
      <c r="W308" s="7"/>
      <c r="Y308" s="7"/>
    </row>
    <row r="309" ht="24.75" customHeight="1">
      <c r="L309" s="7"/>
      <c r="Q309" s="7"/>
      <c r="S309" s="7"/>
      <c r="U309" s="7"/>
      <c r="W309" s="7"/>
      <c r="Y309" s="7"/>
    </row>
    <row r="310" ht="24.75" customHeight="1">
      <c r="L310" s="7"/>
      <c r="Q310" s="7"/>
      <c r="S310" s="7"/>
      <c r="U310" s="7"/>
      <c r="W310" s="7"/>
      <c r="Y310" s="7"/>
    </row>
    <row r="311" ht="24.75" customHeight="1">
      <c r="L311" s="7"/>
      <c r="Q311" s="7"/>
      <c r="S311" s="7"/>
      <c r="U311" s="7"/>
      <c r="W311" s="7"/>
      <c r="Y311" s="7"/>
    </row>
    <row r="312" ht="24.75" customHeight="1">
      <c r="L312" s="7"/>
      <c r="Q312" s="7"/>
      <c r="S312" s="7"/>
      <c r="U312" s="7"/>
      <c r="W312" s="7"/>
      <c r="Y312" s="7"/>
    </row>
    <row r="313" ht="24.75" customHeight="1">
      <c r="L313" s="7"/>
      <c r="Q313" s="7"/>
      <c r="S313" s="7"/>
      <c r="U313" s="7"/>
      <c r="W313" s="7"/>
      <c r="Y313" s="7"/>
    </row>
    <row r="314" ht="24.75" customHeight="1">
      <c r="L314" s="7"/>
      <c r="Q314" s="7"/>
      <c r="S314" s="7"/>
      <c r="U314" s="7"/>
      <c r="W314" s="7"/>
      <c r="Y314" s="7"/>
    </row>
    <row r="315" ht="24.75" customHeight="1">
      <c r="L315" s="7"/>
      <c r="Q315" s="7"/>
      <c r="S315" s="7"/>
      <c r="U315" s="7"/>
      <c r="W315" s="7"/>
      <c r="Y315" s="7"/>
    </row>
    <row r="316" ht="24.75" customHeight="1">
      <c r="L316" s="7"/>
      <c r="Q316" s="7"/>
      <c r="S316" s="7"/>
      <c r="U316" s="7"/>
      <c r="W316" s="7"/>
      <c r="Y316" s="7"/>
    </row>
    <row r="317" ht="24.75" customHeight="1">
      <c r="L317" s="7"/>
      <c r="Q317" s="7"/>
      <c r="S317" s="7"/>
      <c r="U317" s="7"/>
      <c r="W317" s="7"/>
      <c r="Y317" s="7"/>
    </row>
    <row r="318" ht="24.75" customHeight="1">
      <c r="L318" s="7"/>
      <c r="Q318" s="7"/>
      <c r="S318" s="7"/>
      <c r="U318" s="7"/>
      <c r="W318" s="7"/>
      <c r="Y318" s="7"/>
    </row>
    <row r="319" ht="24.75" customHeight="1">
      <c r="L319" s="7"/>
      <c r="Q319" s="7"/>
      <c r="S319" s="7"/>
      <c r="U319" s="7"/>
      <c r="W319" s="7"/>
      <c r="Y319" s="7"/>
    </row>
    <row r="320" ht="24.75" customHeight="1">
      <c r="L320" s="7"/>
      <c r="Q320" s="7"/>
      <c r="S320" s="7"/>
      <c r="U320" s="7"/>
      <c r="W320" s="7"/>
      <c r="Y320" s="7"/>
    </row>
    <row r="321" ht="24.75" customHeight="1">
      <c r="L321" s="7"/>
      <c r="Q321" s="7"/>
      <c r="S321" s="7"/>
      <c r="U321" s="7"/>
      <c r="W321" s="7"/>
      <c r="Y321" s="7"/>
    </row>
    <row r="322" ht="24.75" customHeight="1">
      <c r="L322" s="7"/>
      <c r="Q322" s="7"/>
      <c r="S322" s="7"/>
      <c r="U322" s="7"/>
      <c r="W322" s="7"/>
      <c r="Y322" s="7"/>
    </row>
    <row r="323" ht="24.75" customHeight="1">
      <c r="L323" s="7"/>
      <c r="Q323" s="7"/>
      <c r="S323" s="7"/>
      <c r="U323" s="7"/>
      <c r="W323" s="7"/>
      <c r="Y323" s="7"/>
    </row>
    <row r="324" ht="24.75" customHeight="1">
      <c r="L324" s="7"/>
      <c r="Q324" s="7"/>
      <c r="S324" s="7"/>
      <c r="U324" s="7"/>
      <c r="W324" s="7"/>
      <c r="Y324" s="7"/>
    </row>
    <row r="325" ht="24.75" customHeight="1">
      <c r="L325" s="7"/>
      <c r="Q325" s="7"/>
      <c r="S325" s="7"/>
      <c r="U325" s="7"/>
      <c r="W325" s="7"/>
      <c r="Y325" s="7"/>
    </row>
    <row r="326" ht="24.75" customHeight="1">
      <c r="L326" s="7"/>
      <c r="Q326" s="7"/>
      <c r="S326" s="7"/>
      <c r="U326" s="7"/>
      <c r="W326" s="7"/>
      <c r="Y326" s="7"/>
    </row>
    <row r="327" ht="24.75" customHeight="1">
      <c r="L327" s="7"/>
      <c r="Q327" s="7"/>
      <c r="S327" s="7"/>
      <c r="U327" s="7"/>
      <c r="W327" s="7"/>
      <c r="Y327" s="7"/>
    </row>
    <row r="328" ht="24.75" customHeight="1">
      <c r="L328" s="7"/>
      <c r="Q328" s="7"/>
      <c r="S328" s="7"/>
      <c r="U328" s="7"/>
      <c r="W328" s="7"/>
      <c r="Y328" s="7"/>
    </row>
    <row r="329" ht="24.75" customHeight="1">
      <c r="L329" s="7"/>
      <c r="Q329" s="7"/>
      <c r="S329" s="7"/>
      <c r="U329" s="7"/>
      <c r="W329" s="7"/>
      <c r="Y329" s="7"/>
    </row>
    <row r="330" ht="24.75" customHeight="1">
      <c r="L330" s="7"/>
      <c r="Q330" s="7"/>
      <c r="S330" s="7"/>
      <c r="U330" s="7"/>
      <c r="W330" s="7"/>
      <c r="Y330" s="7"/>
    </row>
    <row r="331" ht="24.75" customHeight="1">
      <c r="L331" s="7"/>
      <c r="Q331" s="7"/>
      <c r="S331" s="7"/>
      <c r="U331" s="7"/>
      <c r="W331" s="7"/>
      <c r="Y331" s="7"/>
    </row>
    <row r="332" ht="24.75" customHeight="1">
      <c r="L332" s="7"/>
      <c r="Q332" s="7"/>
      <c r="S332" s="7"/>
      <c r="U332" s="7"/>
      <c r="W332" s="7"/>
      <c r="Y332" s="7"/>
    </row>
    <row r="333" ht="24.75" customHeight="1">
      <c r="L333" s="7"/>
      <c r="Q333" s="7"/>
      <c r="S333" s="7"/>
      <c r="U333" s="7"/>
      <c r="W333" s="7"/>
      <c r="Y333" s="7"/>
    </row>
    <row r="334" ht="24.75" customHeight="1">
      <c r="L334" s="7"/>
      <c r="Q334" s="7"/>
      <c r="S334" s="7"/>
      <c r="U334" s="7"/>
      <c r="W334" s="7"/>
      <c r="Y334" s="7"/>
    </row>
    <row r="335" ht="24.75" customHeight="1">
      <c r="L335" s="7"/>
      <c r="Q335" s="7"/>
      <c r="S335" s="7"/>
      <c r="U335" s="7"/>
      <c r="W335" s="7"/>
      <c r="Y335" s="7"/>
    </row>
    <row r="336" ht="24.75" customHeight="1">
      <c r="L336" s="7"/>
      <c r="Q336" s="7"/>
      <c r="S336" s="7"/>
      <c r="U336" s="7"/>
      <c r="W336" s="7"/>
      <c r="Y336" s="7"/>
    </row>
    <row r="337" ht="24.75" customHeight="1">
      <c r="L337" s="7"/>
      <c r="Q337" s="7"/>
      <c r="S337" s="7"/>
      <c r="U337" s="7"/>
      <c r="W337" s="7"/>
      <c r="Y337" s="7"/>
    </row>
    <row r="338" ht="24.75" customHeight="1">
      <c r="L338" s="7"/>
      <c r="Q338" s="7"/>
      <c r="S338" s="7"/>
      <c r="U338" s="7"/>
      <c r="W338" s="7"/>
      <c r="Y338" s="7"/>
    </row>
    <row r="339" ht="24.75" customHeight="1">
      <c r="L339" s="7"/>
      <c r="Q339" s="7"/>
      <c r="S339" s="7"/>
      <c r="U339" s="7"/>
      <c r="W339" s="7"/>
      <c r="Y339" s="7"/>
    </row>
    <row r="340" ht="24.75" customHeight="1">
      <c r="L340" s="7"/>
      <c r="Q340" s="7"/>
      <c r="S340" s="7"/>
      <c r="U340" s="7"/>
      <c r="W340" s="7"/>
      <c r="Y340" s="7"/>
    </row>
    <row r="341" ht="24.75" customHeight="1">
      <c r="L341" s="7"/>
      <c r="Q341" s="7"/>
      <c r="S341" s="7"/>
      <c r="U341" s="7"/>
      <c r="W341" s="7"/>
      <c r="Y341" s="7"/>
    </row>
    <row r="342" ht="24.75" customHeight="1">
      <c r="L342" s="7"/>
      <c r="Q342" s="7"/>
      <c r="S342" s="7"/>
      <c r="U342" s="7"/>
      <c r="W342" s="7"/>
      <c r="Y342" s="7"/>
    </row>
    <row r="343" ht="24.75" customHeight="1">
      <c r="L343" s="7"/>
      <c r="Q343" s="7"/>
      <c r="S343" s="7"/>
      <c r="U343" s="7"/>
      <c r="W343" s="7"/>
      <c r="Y343" s="7"/>
    </row>
    <row r="344" ht="24.75" customHeight="1">
      <c r="L344" s="7"/>
      <c r="Q344" s="7"/>
      <c r="S344" s="7"/>
      <c r="U344" s="7"/>
      <c r="W344" s="7"/>
      <c r="Y344" s="7"/>
    </row>
    <row r="345" ht="24.75" customHeight="1">
      <c r="L345" s="7"/>
      <c r="Q345" s="7"/>
      <c r="S345" s="7"/>
      <c r="U345" s="7"/>
      <c r="W345" s="7"/>
      <c r="Y345" s="7"/>
    </row>
    <row r="346" ht="24.75" customHeight="1">
      <c r="L346" s="7"/>
      <c r="Q346" s="7"/>
      <c r="S346" s="7"/>
      <c r="U346" s="7"/>
      <c r="W346" s="7"/>
      <c r="Y346" s="7"/>
    </row>
    <row r="347" ht="24.75" customHeight="1">
      <c r="L347" s="7"/>
      <c r="Q347" s="7"/>
      <c r="S347" s="7"/>
      <c r="U347" s="7"/>
      <c r="W347" s="7"/>
      <c r="Y347" s="7"/>
    </row>
    <row r="348" ht="24.75" customHeight="1">
      <c r="L348" s="7"/>
      <c r="Q348" s="7"/>
      <c r="S348" s="7"/>
      <c r="U348" s="7"/>
      <c r="W348" s="7"/>
      <c r="Y348" s="7"/>
    </row>
    <row r="349" ht="24.75" customHeight="1">
      <c r="L349" s="7"/>
      <c r="Q349" s="7"/>
      <c r="S349" s="7"/>
      <c r="U349" s="7"/>
      <c r="W349" s="7"/>
      <c r="Y349" s="7"/>
    </row>
    <row r="350" ht="24.75" customHeight="1">
      <c r="L350" s="7"/>
      <c r="Q350" s="7"/>
      <c r="S350" s="7"/>
      <c r="U350" s="7"/>
      <c r="W350" s="7"/>
      <c r="Y350" s="7"/>
    </row>
    <row r="351" ht="24.75" customHeight="1">
      <c r="L351" s="7"/>
      <c r="Q351" s="7"/>
      <c r="S351" s="7"/>
      <c r="U351" s="7"/>
      <c r="W351" s="7"/>
      <c r="Y351" s="7"/>
    </row>
    <row r="352" ht="24.75" customHeight="1">
      <c r="L352" s="7"/>
      <c r="Q352" s="7"/>
      <c r="S352" s="7"/>
      <c r="U352" s="7"/>
      <c r="W352" s="7"/>
      <c r="Y352" s="7"/>
    </row>
    <row r="353" ht="24.75" customHeight="1">
      <c r="L353" s="7"/>
      <c r="Q353" s="7"/>
      <c r="S353" s="7"/>
      <c r="U353" s="7"/>
      <c r="W353" s="7"/>
      <c r="Y353" s="7"/>
    </row>
    <row r="354" ht="24.75" customHeight="1">
      <c r="L354" s="7"/>
      <c r="Q354" s="7"/>
      <c r="S354" s="7"/>
      <c r="U354" s="7"/>
      <c r="W354" s="7"/>
      <c r="Y354" s="7"/>
    </row>
    <row r="355" ht="24.75" customHeight="1">
      <c r="L355" s="7"/>
      <c r="Q355" s="7"/>
      <c r="S355" s="7"/>
      <c r="U355" s="7"/>
      <c r="W355" s="7"/>
      <c r="Y355" s="7"/>
    </row>
    <row r="356" ht="24.75" customHeight="1">
      <c r="L356" s="7"/>
      <c r="Q356" s="7"/>
      <c r="S356" s="7"/>
      <c r="U356" s="7"/>
      <c r="W356" s="7"/>
      <c r="Y356" s="7"/>
    </row>
    <row r="357" ht="24.75" customHeight="1">
      <c r="L357" s="7"/>
      <c r="Q357" s="7"/>
      <c r="S357" s="7"/>
      <c r="U357" s="7"/>
      <c r="W357" s="7"/>
      <c r="Y357" s="7"/>
    </row>
    <row r="358" ht="24.75" customHeight="1">
      <c r="L358" s="7"/>
      <c r="Q358" s="7"/>
      <c r="S358" s="7"/>
      <c r="U358" s="7"/>
      <c r="W358" s="7"/>
      <c r="Y358" s="7"/>
    </row>
    <row r="359" ht="24.75" customHeight="1">
      <c r="L359" s="7"/>
      <c r="Q359" s="7"/>
      <c r="S359" s="7"/>
      <c r="U359" s="7"/>
      <c r="W359" s="7"/>
      <c r="Y359" s="7"/>
    </row>
    <row r="360" ht="24.75" customHeight="1">
      <c r="L360" s="7"/>
      <c r="Q360" s="7"/>
      <c r="S360" s="7"/>
      <c r="U360" s="7"/>
      <c r="W360" s="7"/>
      <c r="Y360" s="7"/>
    </row>
    <row r="361" ht="24.75" customHeight="1">
      <c r="L361" s="7"/>
      <c r="Q361" s="7"/>
      <c r="S361" s="7"/>
      <c r="U361" s="7"/>
      <c r="W361" s="7"/>
      <c r="Y361" s="7"/>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3:Q6 S2:S6 Q10:Q20 S10:S20 Y2:Y23 Q24:Q28 S24:S28 Y26:Y32 Q45 S45 Q55 S55 Y61 Q60:Q74 S60:S74 Y68:Y75 Y78 Q76:Q85 S76:S85 Q88:Q99 S88:S99 Y80:Y99 Q104:Q1000 S104:S1000 U2:U1000 W2:W1000 Y104: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7" t="s">
        <v>178</v>
      </c>
      <c r="B1" s="7" t="s">
        <v>179</v>
      </c>
      <c r="C1" s="7" t="s">
        <v>180</v>
      </c>
      <c r="D1" s="7" t="s">
        <v>181</v>
      </c>
      <c r="E1" s="7" t="s">
        <v>182</v>
      </c>
      <c r="F1" s="7" t="s">
        <v>183</v>
      </c>
      <c r="G1" s="7" t="s">
        <v>184</v>
      </c>
    </row>
    <row r="2" ht="24.75" customHeight="1">
      <c r="A2" s="10" t="s">
        <v>185</v>
      </c>
      <c r="B2" s="11"/>
      <c r="C2" s="11"/>
      <c r="D2" s="11"/>
      <c r="E2" s="11"/>
      <c r="F2" s="11"/>
      <c r="G2" s="12"/>
      <c r="H2" s="13"/>
      <c r="I2" s="13"/>
      <c r="J2" s="13"/>
      <c r="K2" s="13"/>
      <c r="L2" s="13"/>
      <c r="M2" s="13"/>
      <c r="N2" s="13"/>
      <c r="O2" s="13"/>
      <c r="P2" s="13"/>
      <c r="Q2" s="13"/>
      <c r="R2" s="13"/>
      <c r="S2" s="13"/>
      <c r="T2" s="13"/>
      <c r="U2" s="13"/>
      <c r="V2" s="13"/>
      <c r="W2" s="13"/>
      <c r="X2" s="13"/>
      <c r="Y2" s="13"/>
      <c r="Z2" s="13"/>
    </row>
    <row r="3" ht="24.75" customHeight="1">
      <c r="A3" s="14" t="s">
        <v>186</v>
      </c>
      <c r="B3" s="14" t="s">
        <v>187</v>
      </c>
      <c r="C3" s="14" t="s">
        <v>188</v>
      </c>
      <c r="D3" s="14" t="s">
        <v>181</v>
      </c>
      <c r="E3" s="14" t="s">
        <v>182</v>
      </c>
      <c r="F3" s="14" t="s">
        <v>183</v>
      </c>
      <c r="G3" s="14" t="s">
        <v>184</v>
      </c>
      <c r="H3" s="15"/>
      <c r="I3" s="15"/>
      <c r="J3" s="15"/>
      <c r="K3" s="15"/>
      <c r="L3" s="15"/>
      <c r="M3" s="15"/>
      <c r="N3" s="15"/>
      <c r="O3" s="15"/>
      <c r="P3" s="15"/>
      <c r="Q3" s="15"/>
      <c r="R3" s="15"/>
      <c r="S3" s="15"/>
      <c r="T3" s="15"/>
      <c r="U3" s="15"/>
      <c r="V3" s="15"/>
      <c r="W3" s="15"/>
      <c r="X3" s="15"/>
      <c r="Y3" s="15"/>
      <c r="Z3" s="15"/>
    </row>
    <row r="4" ht="24.75" customHeight="1">
      <c r="A4" s="3">
        <v>1.0</v>
      </c>
      <c r="B4" s="3" t="s">
        <v>189</v>
      </c>
      <c r="C4" s="3">
        <v>0.5</v>
      </c>
      <c r="D4" s="3">
        <v>0.5</v>
      </c>
      <c r="E4" s="3">
        <v>1.0</v>
      </c>
      <c r="F4" s="3">
        <v>100.0</v>
      </c>
      <c r="G4" s="3">
        <v>100.0</v>
      </c>
      <c r="H4" s="16"/>
      <c r="I4" s="16"/>
      <c r="J4" s="16"/>
      <c r="K4" s="16"/>
      <c r="L4" s="16"/>
      <c r="M4" s="16"/>
      <c r="N4" s="16"/>
      <c r="O4" s="16"/>
      <c r="P4" s="16"/>
      <c r="Q4" s="16"/>
      <c r="R4" s="16"/>
      <c r="S4" s="16"/>
      <c r="T4" s="16"/>
      <c r="U4" s="16"/>
      <c r="V4" s="16"/>
      <c r="W4" s="16"/>
      <c r="X4" s="16"/>
      <c r="Y4" s="16"/>
      <c r="Z4" s="16"/>
    </row>
    <row r="5" ht="24.75" customHeight="1">
      <c r="A5" s="3">
        <v>2.0</v>
      </c>
      <c r="B5" s="3" t="s">
        <v>190</v>
      </c>
      <c r="C5" s="3">
        <v>1.0</v>
      </c>
      <c r="D5" s="3">
        <v>0.5</v>
      </c>
      <c r="E5" s="3">
        <v>1.0</v>
      </c>
      <c r="F5" s="3">
        <v>50.0</v>
      </c>
      <c r="G5" s="3">
        <v>50.0</v>
      </c>
      <c r="H5" s="16"/>
      <c r="I5" s="16"/>
      <c r="J5" s="16"/>
      <c r="K5" s="16"/>
      <c r="L5" s="16"/>
      <c r="M5" s="16"/>
      <c r="N5" s="16"/>
      <c r="O5" s="16"/>
      <c r="P5" s="16"/>
      <c r="Q5" s="16"/>
      <c r="R5" s="16"/>
      <c r="S5" s="16"/>
      <c r="T5" s="16"/>
      <c r="U5" s="16"/>
      <c r="V5" s="16"/>
      <c r="W5" s="16"/>
      <c r="X5" s="16"/>
      <c r="Y5" s="16"/>
      <c r="Z5" s="16"/>
    </row>
    <row r="6" ht="24.75" customHeight="1">
      <c r="A6" s="3">
        <v>3.0</v>
      </c>
      <c r="B6" s="3" t="s">
        <v>191</v>
      </c>
      <c r="C6" s="3">
        <v>2.0</v>
      </c>
      <c r="D6" s="3">
        <v>1.0</v>
      </c>
      <c r="E6" s="3">
        <v>1.0</v>
      </c>
      <c r="F6" s="3">
        <v>50.0</v>
      </c>
      <c r="G6" s="3">
        <v>33.34</v>
      </c>
      <c r="H6" s="16"/>
      <c r="I6" s="16"/>
      <c r="J6" s="16"/>
      <c r="K6" s="16"/>
      <c r="L6" s="16"/>
      <c r="M6" s="16"/>
      <c r="N6" s="16"/>
      <c r="O6" s="16"/>
      <c r="P6" s="16"/>
      <c r="Q6" s="16"/>
      <c r="R6" s="16"/>
      <c r="S6" s="16"/>
      <c r="T6" s="16"/>
      <c r="U6" s="16"/>
      <c r="V6" s="16"/>
      <c r="W6" s="16"/>
      <c r="X6" s="16"/>
      <c r="Y6" s="16"/>
      <c r="Z6" s="16"/>
    </row>
    <row r="7" ht="24.75" customHeight="1">
      <c r="A7" s="3">
        <v>5.0</v>
      </c>
      <c r="B7" s="3" t="s">
        <v>192</v>
      </c>
      <c r="C7" s="3">
        <v>4.0</v>
      </c>
      <c r="D7" s="3">
        <v>2.0</v>
      </c>
      <c r="E7" s="3">
        <v>2.0</v>
      </c>
      <c r="F7" s="3">
        <v>50.0</v>
      </c>
      <c r="G7" s="3">
        <v>40.0</v>
      </c>
      <c r="H7" s="16"/>
      <c r="I7" s="16"/>
      <c r="J7" s="16"/>
      <c r="K7" s="16"/>
      <c r="L7" s="16"/>
      <c r="M7" s="16"/>
      <c r="N7" s="16"/>
      <c r="O7" s="16"/>
      <c r="P7" s="16"/>
      <c r="Q7" s="16"/>
      <c r="R7" s="16"/>
      <c r="S7" s="16"/>
      <c r="T7" s="16"/>
      <c r="U7" s="16"/>
      <c r="V7" s="16"/>
      <c r="W7" s="16"/>
      <c r="X7" s="16"/>
      <c r="Y7" s="16"/>
      <c r="Z7" s="16"/>
    </row>
    <row r="8" ht="24.75" customHeight="1">
      <c r="A8" s="3">
        <v>8.0</v>
      </c>
      <c r="B8" s="3" t="s">
        <v>193</v>
      </c>
      <c r="C8" s="3">
        <v>7.0</v>
      </c>
      <c r="D8" s="3">
        <v>3.0</v>
      </c>
      <c r="E8" s="3">
        <v>3.0</v>
      </c>
      <c r="F8" s="3">
        <v>42.86</v>
      </c>
      <c r="G8" s="3">
        <v>37.5</v>
      </c>
      <c r="H8" s="16"/>
      <c r="I8" s="16"/>
      <c r="J8" s="16"/>
      <c r="K8" s="16"/>
      <c r="L8" s="16"/>
      <c r="M8" s="16"/>
      <c r="N8" s="16"/>
      <c r="O8" s="16"/>
      <c r="P8" s="16"/>
      <c r="Q8" s="16"/>
      <c r="R8" s="16"/>
      <c r="S8" s="16"/>
      <c r="T8" s="16"/>
      <c r="U8" s="16"/>
      <c r="V8" s="16"/>
      <c r="W8" s="16"/>
      <c r="X8" s="16"/>
      <c r="Y8" s="16"/>
      <c r="Z8" s="16"/>
    </row>
    <row r="9" ht="24.75" customHeight="1">
      <c r="A9" s="3">
        <v>13.0</v>
      </c>
      <c r="B9" s="3" t="s">
        <v>194</v>
      </c>
      <c r="C9" s="3">
        <v>11.0</v>
      </c>
      <c r="D9" s="3">
        <v>4.0</v>
      </c>
      <c r="E9" s="3">
        <v>5.0</v>
      </c>
      <c r="F9" s="3">
        <v>36.37</v>
      </c>
      <c r="G9" s="3">
        <v>38.47</v>
      </c>
      <c r="H9" s="16"/>
      <c r="I9" s="16"/>
      <c r="J9" s="16"/>
      <c r="K9" s="16"/>
      <c r="L9" s="16"/>
      <c r="M9" s="16"/>
      <c r="N9" s="16"/>
      <c r="O9" s="16"/>
      <c r="P9" s="16"/>
      <c r="Q9" s="16"/>
      <c r="R9" s="16"/>
      <c r="S9" s="16"/>
      <c r="T9" s="16"/>
      <c r="U9" s="16"/>
      <c r="V9" s="16"/>
      <c r="W9" s="16"/>
      <c r="X9" s="16"/>
      <c r="Y9" s="16"/>
      <c r="Z9" s="16"/>
    </row>
    <row r="10" ht="24.75" customHeight="1">
      <c r="A10" s="3">
        <v>21.0</v>
      </c>
      <c r="B10" s="3" t="s">
        <v>195</v>
      </c>
      <c r="C10" s="3">
        <v>16.0</v>
      </c>
      <c r="D10" s="3">
        <v>5.0</v>
      </c>
      <c r="E10" s="3">
        <v>8.0</v>
      </c>
      <c r="F10" s="3">
        <v>31.25</v>
      </c>
      <c r="G10" s="3">
        <v>38.1</v>
      </c>
      <c r="H10" s="16"/>
      <c r="I10" s="16"/>
      <c r="J10" s="16"/>
      <c r="K10" s="16"/>
      <c r="L10" s="16"/>
      <c r="M10" s="16"/>
      <c r="N10" s="16"/>
      <c r="O10" s="16"/>
      <c r="P10" s="16"/>
      <c r="Q10" s="16"/>
      <c r="R10" s="16"/>
      <c r="S10" s="16"/>
      <c r="T10" s="16"/>
      <c r="U10" s="16"/>
      <c r="V10" s="16"/>
      <c r="W10" s="16"/>
      <c r="X10" s="16"/>
      <c r="Y10" s="16"/>
      <c r="Z10" s="16"/>
    </row>
    <row r="11" ht="24.75" customHeight="1">
      <c r="A11" s="3">
        <v>34.0</v>
      </c>
      <c r="B11" s="3" t="s">
        <v>196</v>
      </c>
      <c r="C11" s="3">
        <v>24.0</v>
      </c>
      <c r="D11" s="3">
        <v>8.0</v>
      </c>
      <c r="E11" s="3">
        <v>13.0</v>
      </c>
      <c r="F11" s="3">
        <v>33.34</v>
      </c>
      <c r="G11" s="3">
        <v>38.24</v>
      </c>
      <c r="H11" s="16"/>
      <c r="I11" s="16"/>
      <c r="J11" s="16"/>
      <c r="K11" s="16"/>
      <c r="L11" s="16"/>
      <c r="M11" s="16"/>
      <c r="N11" s="16"/>
      <c r="O11" s="16"/>
      <c r="P11" s="16"/>
      <c r="Q11" s="16"/>
      <c r="R11" s="16"/>
      <c r="S11" s="16"/>
      <c r="T11" s="16"/>
      <c r="U11" s="16"/>
      <c r="V11" s="16"/>
      <c r="W11" s="16"/>
      <c r="X11" s="16"/>
      <c r="Y11" s="16"/>
      <c r="Z11" s="16"/>
    </row>
    <row r="12" ht="24.75" customHeight="1">
      <c r="A12" s="3">
        <v>55.0</v>
      </c>
      <c r="B12" s="3" t="s">
        <v>197</v>
      </c>
      <c r="C12" s="3">
        <v>40.0</v>
      </c>
      <c r="D12" s="3">
        <v>16.0</v>
      </c>
      <c r="E12" s="3">
        <v>21.0</v>
      </c>
      <c r="F12" s="3">
        <v>40.0</v>
      </c>
      <c r="G12" s="3">
        <v>38.19</v>
      </c>
      <c r="H12" s="16"/>
      <c r="I12" s="16"/>
      <c r="J12" s="16"/>
      <c r="K12" s="16"/>
      <c r="L12" s="16"/>
      <c r="M12" s="16"/>
      <c r="N12" s="16"/>
      <c r="O12" s="16"/>
      <c r="P12" s="16"/>
      <c r="Q12" s="16"/>
      <c r="R12" s="16"/>
      <c r="S12" s="16"/>
      <c r="T12" s="16"/>
      <c r="U12" s="16"/>
      <c r="V12" s="16"/>
      <c r="W12" s="16"/>
      <c r="X12" s="16"/>
      <c r="Y12" s="16"/>
      <c r="Z12" s="16"/>
    </row>
    <row r="13" ht="24.75" customHeight="1">
      <c r="A13" s="3">
        <v>89.0</v>
      </c>
      <c r="B13" s="3" t="s">
        <v>198</v>
      </c>
      <c r="C13" s="3">
        <v>60.0</v>
      </c>
      <c r="D13" s="3">
        <v>20.0</v>
      </c>
      <c r="E13" s="3">
        <v>34.0</v>
      </c>
      <c r="F13" s="3">
        <v>33.34</v>
      </c>
      <c r="G13" s="3">
        <v>38.21</v>
      </c>
      <c r="H13" s="16"/>
      <c r="I13" s="16"/>
      <c r="J13" s="16"/>
      <c r="K13" s="16"/>
      <c r="L13" s="16"/>
      <c r="M13" s="16"/>
      <c r="N13" s="16"/>
      <c r="O13" s="16"/>
      <c r="P13" s="16"/>
      <c r="Q13" s="16"/>
      <c r="R13" s="16"/>
      <c r="S13" s="16"/>
      <c r="T13" s="16"/>
      <c r="U13" s="16"/>
      <c r="V13" s="16"/>
      <c r="W13" s="16"/>
      <c r="X13" s="16"/>
      <c r="Y13" s="16"/>
      <c r="Z13" s="16"/>
    </row>
    <row r="14" ht="24.75" customHeight="1"/>
    <row r="15" ht="24.75" customHeight="1"/>
    <row r="16" ht="24.75" customHeight="1"/>
    <row r="17" ht="24.75" customHeight="1"/>
    <row r="18" ht="24.75" customHeight="1">
      <c r="A18" s="10" t="s">
        <v>199</v>
      </c>
      <c r="B18" s="11"/>
      <c r="C18" s="12"/>
      <c r="D18" s="13"/>
      <c r="E18" s="13"/>
      <c r="F18" s="13"/>
      <c r="G18" s="13"/>
      <c r="H18" s="13"/>
      <c r="I18" s="13"/>
      <c r="J18" s="13"/>
      <c r="K18" s="13"/>
      <c r="L18" s="13"/>
      <c r="M18" s="13"/>
      <c r="N18" s="13"/>
      <c r="O18" s="13"/>
      <c r="P18" s="13"/>
      <c r="Q18" s="13"/>
      <c r="R18" s="13"/>
      <c r="S18" s="13"/>
      <c r="T18" s="13"/>
      <c r="U18" s="13"/>
      <c r="V18" s="13"/>
      <c r="W18" s="13"/>
      <c r="X18" s="13"/>
      <c r="Y18" s="13"/>
      <c r="Z18" s="13"/>
    </row>
    <row r="19" ht="24.75" customHeight="1">
      <c r="A19" s="14" t="s">
        <v>200</v>
      </c>
      <c r="B19" s="14" t="s">
        <v>179</v>
      </c>
      <c r="C19" s="14" t="s">
        <v>180</v>
      </c>
      <c r="D19" s="15"/>
      <c r="E19" s="15"/>
      <c r="F19" s="15"/>
      <c r="G19" s="15"/>
      <c r="H19" s="15"/>
      <c r="I19" s="15"/>
      <c r="J19" s="15"/>
      <c r="K19" s="15"/>
      <c r="L19" s="15"/>
      <c r="M19" s="15"/>
      <c r="N19" s="15"/>
      <c r="O19" s="15"/>
      <c r="P19" s="15"/>
      <c r="Q19" s="15"/>
      <c r="R19" s="15"/>
      <c r="S19" s="15"/>
      <c r="T19" s="15"/>
      <c r="U19" s="15"/>
      <c r="V19" s="15"/>
      <c r="W19" s="15"/>
      <c r="X19" s="15"/>
      <c r="Y19" s="15"/>
      <c r="Z19" s="15"/>
    </row>
    <row r="20" ht="24.75" customHeight="1">
      <c r="A20" s="3" t="s">
        <v>201</v>
      </c>
      <c r="B20" s="3" t="s">
        <v>202</v>
      </c>
      <c r="C20" s="3">
        <v>32.0</v>
      </c>
      <c r="D20" s="16"/>
      <c r="E20" s="16"/>
      <c r="F20" s="16"/>
      <c r="G20" s="16"/>
      <c r="H20" s="16"/>
      <c r="I20" s="16"/>
      <c r="J20" s="16"/>
      <c r="K20" s="16"/>
      <c r="L20" s="16"/>
      <c r="M20" s="16"/>
      <c r="N20" s="16"/>
      <c r="O20" s="16"/>
      <c r="P20" s="16"/>
      <c r="Q20" s="16"/>
      <c r="R20" s="16"/>
      <c r="S20" s="16"/>
      <c r="T20" s="16"/>
      <c r="U20" s="16"/>
      <c r="V20" s="16"/>
      <c r="W20" s="16"/>
      <c r="X20" s="16"/>
      <c r="Y20" s="16"/>
      <c r="Z20" s="16"/>
    </row>
    <row r="21" ht="24.75" customHeight="1">
      <c r="A21" s="3" t="s">
        <v>203</v>
      </c>
      <c r="B21" s="3" t="s">
        <v>204</v>
      </c>
      <c r="C21" s="3">
        <v>72.0</v>
      </c>
      <c r="D21" s="16"/>
      <c r="E21" s="16"/>
      <c r="F21" s="16"/>
      <c r="G21" s="16"/>
      <c r="H21" s="16"/>
      <c r="I21" s="16"/>
      <c r="J21" s="16"/>
      <c r="K21" s="16"/>
      <c r="L21" s="16"/>
      <c r="M21" s="16"/>
      <c r="N21" s="16"/>
      <c r="O21" s="16"/>
      <c r="P21" s="16"/>
      <c r="Q21" s="16"/>
      <c r="R21" s="16"/>
      <c r="S21" s="16"/>
      <c r="T21" s="16"/>
      <c r="U21" s="16"/>
      <c r="V21" s="16"/>
      <c r="W21" s="16"/>
      <c r="X21" s="16"/>
      <c r="Y21" s="16"/>
      <c r="Z21" s="16"/>
    </row>
    <row r="22" ht="24.75" customHeight="1">
      <c r="A22" s="3" t="s">
        <v>205</v>
      </c>
      <c r="B22" s="3" t="s">
        <v>206</v>
      </c>
      <c r="C22" s="3">
        <v>73.0</v>
      </c>
      <c r="D22" s="16"/>
      <c r="E22" s="16"/>
      <c r="F22" s="16"/>
      <c r="G22" s="16"/>
      <c r="H22" s="16"/>
      <c r="I22" s="16"/>
      <c r="J22" s="16"/>
      <c r="K22" s="16"/>
      <c r="L22" s="16"/>
      <c r="M22" s="16"/>
      <c r="N22" s="16"/>
      <c r="O22" s="16"/>
      <c r="P22" s="16"/>
      <c r="Q22" s="16"/>
      <c r="R22" s="16"/>
      <c r="S22" s="16"/>
      <c r="T22" s="16"/>
      <c r="U22" s="16"/>
      <c r="V22" s="16"/>
      <c r="W22" s="16"/>
      <c r="X22" s="16"/>
      <c r="Y22" s="16"/>
      <c r="Z22" s="16"/>
    </row>
    <row r="23" ht="24.75" customHeight="1"/>
    <row r="24" ht="24.75" customHeight="1"/>
    <row r="25" ht="24.75" customHeight="1"/>
    <row r="26" ht="24.75" customHeight="1"/>
    <row r="27" ht="24.75" customHeight="1">
      <c r="A27" s="1" t="s">
        <v>207</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4.75" customHeight="1">
      <c r="A28" s="14" t="s">
        <v>178</v>
      </c>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75" customHeight="1">
      <c r="A29" s="3" t="s">
        <v>28</v>
      </c>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24.75" customHeight="1">
      <c r="A30" s="3" t="s">
        <v>208</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24.75" customHeight="1">
      <c r="A31" s="3" t="s">
        <v>209</v>
      </c>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24.75" customHeight="1">
      <c r="A32" s="3" t="s">
        <v>210</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2026-02-26T18:46:27Z</dcterms:created>
  <dc:creator>Unknown</dc:creator>
</cp:coreProperties>
</file>