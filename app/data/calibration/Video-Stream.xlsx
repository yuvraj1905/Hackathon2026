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Application - Dev" sheetId="1" r:id="rId4"/>
    <sheet state="visible" name="Admin - Dev" sheetId="2" r:id="rId5"/>
    <sheet state="visible" name="Points-Table" sheetId="3" r:id="rId6"/>
  </sheets>
  <definedNames/>
  <calcPr/>
  <extLst>
    <ext uri="GoogleSheetsCustomDataVersion2">
      <go:sheetsCustomData xmlns:go="http://customooxmlschemas.google.com/" r:id="rId7" roundtripDataChecksum="gemDy4kdkUgvkpHcE1RZL7ajQ+AWaw4ZYtrP9nTQBPM="/>
    </ext>
  </extLst>
</workbook>
</file>

<file path=xl/sharedStrings.xml><?xml version="1.0" encoding="utf-8"?>
<sst xmlns="http://schemas.openxmlformats.org/spreadsheetml/2006/main" count="811" uniqueCount="174">
  <si>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</si>
  <si>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</si>
  <si>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</si>
  <si>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</si>
  <si>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</si>
  <si>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</si>
  <si>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</si>
  <si>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</si>
  <si>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</si>
  <si>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</si>
  <si>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</si>
  <si>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</si>
  <si>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</si>
  <si>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</si>
  <si>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</si>
  <si>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</si>
  <si>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</si>
  <si>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</si>
  <si>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</si>
  <si>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</si>
  <si>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</si>
  <si>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</si>
  <si>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</si>
  <si>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</si>
  <si>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</si>
  <si>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Landing Page</t>
  </si>
  <si>
    <t>Simple</t>
  </si>
  <si>
    <t>Must Have</t>
  </si>
  <si>
    <t/>
  </si>
  <si>
    <t>Registration</t>
  </si>
  <si>
    <t>Basic Details | Email Id | Username</t>
  </si>
  <si>
    <t>OTP Verification (O-auth)</t>
  </si>
  <si>
    <t>T&amp;C | Privacy Policy confirmation</t>
  </si>
  <si>
    <t>Social Sign In</t>
  </si>
  <si>
    <t>Google</t>
  </si>
  <si>
    <t>Facebook</t>
  </si>
  <si>
    <t>Linkedin</t>
  </si>
  <si>
    <t>Login</t>
  </si>
  <si>
    <t>Email | OTP Verification</t>
  </si>
  <si>
    <t>Social Login</t>
  </si>
  <si>
    <t>LinkedIn</t>
  </si>
  <si>
    <t>Forget | Reset Password</t>
  </si>
  <si>
    <t>User Onboarding</t>
  </si>
  <si>
    <t>Create Profile (Form)</t>
  </si>
  <si>
    <t>Basic Details</t>
  </si>
  <si>
    <t>Add video Intro</t>
  </si>
  <si>
    <t>YT/Vimeo Link (Embed Code from YT/Vimeo)</t>
  </si>
  <si>
    <t>Website URL</t>
  </si>
  <si>
    <t>Education Level</t>
  </si>
  <si>
    <t>Social Links</t>
  </si>
  <si>
    <t>Bio - Short &amp; Long Bio (Text)</t>
  </si>
  <si>
    <t>Upload Profile | Cover Pic</t>
  </si>
  <si>
    <t>Choose Interest</t>
  </si>
  <si>
    <t>Multi Category Selection - Tree structure</t>
  </si>
  <si>
    <t>Define Tolerance - Information &amp; Intensity</t>
  </si>
  <si>
    <t>Broadcast Feed</t>
  </si>
  <si>
    <t>Search | Sort | Filter</t>
  </si>
  <si>
    <t>Discover Previous Debates/Discussions</t>
  </si>
  <si>
    <t>Create Broadcast Call</t>
  </si>
  <si>
    <t>Broadcast Topic (Multi Category - tree like structure)</t>
  </si>
  <si>
    <t>Broadcast Type (Debate | Discussion | Soapbox)</t>
  </si>
  <si>
    <t>Broadcast Description (Form - Text input)</t>
  </si>
  <si>
    <t>100ms Integration</t>
  </si>
  <si>
    <t xml:space="preserve">Room Code Generation </t>
  </si>
  <si>
    <t xml:space="preserve">Storing the call info with room code </t>
  </si>
  <si>
    <t>1. Chat between multiple people (available in the call)
2. Emoji reaction</t>
  </si>
  <si>
    <t>Send Email Notification</t>
  </si>
  <si>
    <t>Select other broadcaster</t>
  </si>
  <si>
    <t>Invite Another Broadcaster</t>
  </si>
  <si>
    <t>View Broadcast (100ms Integration)</t>
  </si>
  <si>
    <t>Broadcaster Panels</t>
  </si>
  <si>
    <t>Live Scoring (Viewers)</t>
  </si>
  <si>
    <t>Information (Colour coded - Slider)</t>
  </si>
  <si>
    <t>Intensity (Colour coded - Slider)</t>
  </si>
  <si>
    <t>Broadcaster Live Score Board (View)</t>
  </si>
  <si>
    <t>Information (Colour coded)</t>
  </si>
  <si>
    <t>Intensity (Colour coded)</t>
  </si>
  <si>
    <t>Broadcaster's Short Bio (View)</t>
  </si>
  <si>
    <t>Aggregated Live Score Board (View)</t>
  </si>
  <si>
    <t>Information</t>
  </si>
  <si>
    <t>Intensity</t>
  </si>
  <si>
    <t>Chat</t>
  </si>
  <si>
    <t>Viewers List</t>
  </si>
  <si>
    <t>Call Duration (Live)</t>
  </si>
  <si>
    <t>Evidence Board</t>
  </si>
  <si>
    <t>Post Evidence</t>
  </si>
  <si>
    <t>Delete Evidence</t>
  </si>
  <si>
    <t>View Evidence</t>
  </si>
  <si>
    <t>Report Evidence</t>
  </si>
  <si>
    <t>Follow | Unfollow | Block | Report Other Users</t>
  </si>
  <si>
    <t>Mute | Un-Mute Microphone (Broadcaster)</t>
  </si>
  <si>
    <t>Hide | Un-Hide Video (Broadcaster)</t>
  </si>
  <si>
    <t>Remove from Call (Broadcaster)</t>
  </si>
  <si>
    <t>Approve/Reject - Remove from Call (Broadcaster)</t>
  </si>
  <si>
    <t>Google Ads Integration</t>
  </si>
  <si>
    <t>Profile</t>
  </si>
  <si>
    <t>Add Details</t>
  </si>
  <si>
    <t>View | Edit Details</t>
  </si>
  <si>
    <t>Set | Edit Viewing Preference</t>
  </si>
  <si>
    <t>View Followers | Following</t>
  </si>
  <si>
    <t>View Access to other User Profiles</t>
  </si>
  <si>
    <t>Static Pages</t>
  </si>
  <si>
    <t>About Us</t>
  </si>
  <si>
    <t>Privacy Policy</t>
  </si>
  <si>
    <t>Terms of Service</t>
  </si>
  <si>
    <t>404 Error Page</t>
  </si>
  <si>
    <t>A.R.M.O.R. Policy</t>
  </si>
  <si>
    <t>Data Deletion Requests</t>
  </si>
  <si>
    <t>Decentralized Arbitration of Truth</t>
  </si>
  <si>
    <t>Header &amp; Footer</t>
  </si>
  <si>
    <t>UX Process</t>
  </si>
  <si>
    <t>Prototype</t>
  </si>
  <si>
    <t>Style Guide</t>
  </si>
  <si>
    <t>Mobile Responsive</t>
  </si>
  <si>
    <t>Email | Password</t>
  </si>
  <si>
    <t>User Management</t>
  </si>
  <si>
    <t>View Existing User list | Details</t>
  </si>
  <si>
    <t>Block | Unblock Users</t>
  </si>
  <si>
    <t>Search | Filter</t>
  </si>
  <si>
    <t>Broadcast Management</t>
  </si>
  <si>
    <t>View Active Broadcast List | Details</t>
  </si>
  <si>
    <t>View Previous Broadcast List | Details</t>
  </si>
  <si>
    <t>Remove Live Broadcast</t>
  </si>
  <si>
    <t>Remove existing Broadcast</t>
  </si>
  <si>
    <t>Content Moderation</t>
  </si>
  <si>
    <t>Review | Remove Evidence Board Content</t>
  </si>
  <si>
    <t>Review | Remove Reported Content</t>
  </si>
  <si>
    <t>Topic Category Management</t>
  </si>
  <si>
    <t>Add New Category</t>
  </si>
  <si>
    <t>View | Edit Existing Category</t>
  </si>
  <si>
    <t>Enable | Disable Category</t>
  </si>
  <si>
    <t>Remove Category</t>
  </si>
  <si>
    <t>Analytics</t>
  </si>
  <si>
    <t>User Activity</t>
  </si>
  <si>
    <t>All Registered Users</t>
  </si>
  <si>
    <t>Active Users - Viewers &amp; Broadcasters</t>
  </si>
  <si>
    <t>Active Viewers</t>
  </si>
  <si>
    <t>Voting Data Insights</t>
  </si>
  <si>
    <t>Intensity, Information Filter</t>
  </si>
  <si>
    <t>Broadcast Performance</t>
  </si>
  <si>
    <t>Avg Viewers | Vote Stats | Failed Broadcast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</si>
  <si>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</si>
  <si>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</si>
  <si>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</si>
  <si>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</si>
  <si>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</si>
  <si>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</si>
  <si>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</si>
  <si>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</si>
  <si>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</si>
  <si>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</si>
  <si>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</si>
  <si>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</si>
  <si>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</si>
  <si>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</si>
  <si>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</si>
  <si>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</si>
  <si>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</si>
  <si>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</si>
  <si>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</si>
  <si>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</si>
  <si>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</si>
  <si>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</si>
  <si>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</si>
  <si>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</si>
  <si>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</si>
  <si>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</si>
  <si>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</si>
  <si>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</si>
  <si>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</si>
  <si>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</si>
  <si>
    <t>Should Have</t>
  </si>
  <si>
    <t>Could Have</t>
  </si>
  <si>
    <t>Will not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</si>
</sst>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b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3CCCB"/>
        <bgColor rgb="FFF3CCCB"/>
      </patternFill>
    </fill>
  </fills>
  <borders count="6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/>
      <bottom/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0" fillId="0" fontId="3" numFmtId="0" xfId="0" applyFont="1"/>
    <xf borderId="2" fillId="3" fontId="4" numFmtId="0" xfId="0" applyBorder="1" applyFont="1"/>
    <xf borderId="2" fillId="4" fontId="4" numFmtId="0" xfId="0" applyBorder="1" applyFont="1"/>
    <xf borderId="3" fillId="2" fontId="1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>
        <f>SUM(R2:R1006)</f>
        <v>85</v>
      </c>
      <c r="S1" s="1" t="s">
        <v>17</v>
      </c>
      <c r="T1" s="2">
        <f>SUM(T2:T1006)</f>
        <v>66</v>
      </c>
      <c r="U1" s="1" t="s">
        <v>18</v>
      </c>
      <c r="V1" s="2">
        <f>SUM(V2:V1006)</f>
        <v>275</v>
      </c>
      <c r="W1" s="1" t="s">
        <v>19</v>
      </c>
      <c r="X1" s="2">
        <f>SUM(X2:X1006)</f>
        <v>337</v>
      </c>
      <c r="Y1" s="1" t="s">
        <v>20</v>
      </c>
      <c r="Z1" s="2">
        <f t="shared" ref="Z1:AA1" si="1">SUM(Z2:Z1006)</f>
        <v>178</v>
      </c>
      <c r="AA1" s="2">
        <f t="shared" si="1"/>
        <v>790</v>
      </c>
      <c r="AB1" s="1" t="s">
        <v>21</v>
      </c>
      <c r="AC1" s="1" t="s">
        <v>22</v>
      </c>
      <c r="AD1" s="1" t="s">
        <v>23</v>
      </c>
      <c r="AE1" s="1" t="s">
        <v>24</v>
      </c>
    </row>
    <row r="2" ht="24.75" customHeight="1">
      <c r="A2" s="3" t="s">
        <v>25</v>
      </c>
      <c r="B2" s="3"/>
      <c r="C2" s="3"/>
      <c r="D2" s="3"/>
      <c r="E2" s="3"/>
      <c r="F2" s="3"/>
      <c r="G2" s="3"/>
      <c r="H2" s="3"/>
      <c r="I2" s="3"/>
      <c r="J2" s="3"/>
      <c r="K2" s="3" t="s">
        <v>26</v>
      </c>
      <c r="L2" s="3" t="s">
        <v>27</v>
      </c>
      <c r="M2" s="3"/>
      <c r="N2" s="3"/>
      <c r="O2" s="3"/>
      <c r="P2" s="3"/>
      <c r="Q2" s="4">
        <v>21.0</v>
      </c>
      <c r="R2" s="5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  <v>16</v>
      </c>
      <c r="S2" s="4">
        <v>21.0</v>
      </c>
      <c r="T2" s="5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  <v>16</v>
      </c>
      <c r="U2" s="4">
        <v>3.0</v>
      </c>
      <c r="V2" s="5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  <v>2</v>
      </c>
      <c r="W2" s="4"/>
      <c r="X2" s="5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  <v>0</v>
      </c>
      <c r="Y2" s="4"/>
      <c r="Z2" s="5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  <v>0</v>
      </c>
      <c r="AA2" s="3">
        <f t="shared" ref="AA2:AA75" si="2">SUM(V2,X2,Z2)</f>
        <v>2</v>
      </c>
      <c r="AB2" s="3" t="str">
        <f>IFERROR(__xludf.DUMMYFUNCTION("
      Ifs( 
        ISBETWEEN(AA2, 0, 'Points-Table'!C$20, TRUE, False), 'Points-Table'!A$20,
        ISBETWEEN(AA2, 'Points-Table'!C$20, 'Points-Table'!C$21, TRUE, False), 'Points-Table'!A$21,
        ISBETWEEN(AA2, 'Points-Table'!C$22, 10000, TRUE, TRU"&amp;"E), 'Points-Table'!A$22,
        true, 
        0)
      "),"S")</f>
        <v>S</v>
      </c>
      <c r="AC2" s="3" t="s">
        <v>28</v>
      </c>
      <c r="AD2" s="3" t="s">
        <v>28</v>
      </c>
      <c r="AE2" s="3" t="s">
        <v>28</v>
      </c>
    </row>
    <row r="3" ht="24.75" customHeight="1">
      <c r="A3" s="3" t="s">
        <v>29</v>
      </c>
      <c r="B3" s="3" t="s">
        <v>30</v>
      </c>
      <c r="C3" s="3"/>
      <c r="D3" s="3"/>
      <c r="E3" s="3"/>
      <c r="F3" s="3"/>
      <c r="G3" s="3"/>
      <c r="H3" s="3"/>
      <c r="I3" s="3"/>
      <c r="J3" s="3"/>
      <c r="K3" s="3" t="s">
        <v>26</v>
      </c>
      <c r="L3" s="3" t="s">
        <v>27</v>
      </c>
      <c r="M3" s="3"/>
      <c r="N3" s="3"/>
      <c r="O3" s="3"/>
      <c r="P3" s="3"/>
      <c r="Q3" s="4">
        <v>2.0</v>
      </c>
      <c r="R3" s="5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  <v>1</v>
      </c>
      <c r="S3" s="4">
        <v>2.0</v>
      </c>
      <c r="T3" s="5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  <v>1</v>
      </c>
      <c r="U3" s="4">
        <v>5.0</v>
      </c>
      <c r="V3" s="5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  <v>4</v>
      </c>
      <c r="W3" s="4">
        <v>5.0</v>
      </c>
      <c r="X3" s="5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  <v>4</v>
      </c>
      <c r="Y3" s="4"/>
      <c r="Z3" s="5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  <v>0</v>
      </c>
      <c r="AA3" s="3">
        <f t="shared" si="2"/>
        <v>8</v>
      </c>
      <c r="AB3" s="3" t="str">
        <f>IFERROR(__xludf.DUMMYFUNCTION("
      Ifs( 
        ISBETWEEN(AA3, 0, 'Points-Table'!C$20, TRUE, False), 'Points-Table'!A$20,
        ISBETWEEN(AA3, 'Points-Table'!C$20, 'Points-Table'!C$21, TRUE, False), 'Points-Table'!A$21,
        ISBETWEEN(AA3, 'Points-Table'!C$22, 10000, TRUE, TRU"&amp;"E), 'Points-Table'!A$22,
        true, 
        0)
      "),"S")</f>
        <v>S</v>
      </c>
      <c r="AC3" s="3" t="s">
        <v>28</v>
      </c>
      <c r="AD3" s="3" t="s">
        <v>28</v>
      </c>
      <c r="AE3" s="3" t="s">
        <v>28</v>
      </c>
    </row>
    <row r="4" ht="24.75" customHeight="1">
      <c r="A4" s="3" t="s">
        <v>29</v>
      </c>
      <c r="B4" s="3" t="s">
        <v>31</v>
      </c>
      <c r="C4" s="3"/>
      <c r="D4" s="3"/>
      <c r="E4" s="3"/>
      <c r="F4" s="3"/>
      <c r="G4" s="3"/>
      <c r="H4" s="3"/>
      <c r="I4" s="3"/>
      <c r="J4" s="3"/>
      <c r="K4" s="3" t="s">
        <v>26</v>
      </c>
      <c r="L4" s="3" t="s">
        <v>27</v>
      </c>
      <c r="M4" s="3"/>
      <c r="N4" s="3"/>
      <c r="O4" s="3"/>
      <c r="P4" s="3"/>
      <c r="Q4" s="4"/>
      <c r="R4" s="5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  <v>0</v>
      </c>
      <c r="S4" s="4"/>
      <c r="T4" s="5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  <v>0</v>
      </c>
      <c r="U4" s="4">
        <v>3.0</v>
      </c>
      <c r="V4" s="5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  <v>2</v>
      </c>
      <c r="W4" s="4">
        <v>5.0</v>
      </c>
      <c r="X4" s="5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  <v>4</v>
      </c>
      <c r="Y4" s="4">
        <v>8.0</v>
      </c>
      <c r="Z4" s="5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  <v>7</v>
      </c>
      <c r="AA4" s="3">
        <f t="shared" si="2"/>
        <v>13</v>
      </c>
      <c r="AB4" s="3" t="str">
        <f>IFERROR(__xludf.DUMMYFUNCTION("
      Ifs( 
        ISBETWEEN(AA4, 0, 'Points-Table'!C$20, TRUE, False), 'Points-Table'!A$20,
        ISBETWEEN(AA4, 'Points-Table'!C$20, 'Points-Table'!C$21, TRUE, False), 'Points-Table'!A$21,
        ISBETWEEN(AA4, 'Points-Table'!C$22, 10000, TRUE, TRU"&amp;"E), 'Points-Table'!A$22,
        true, 
        0)
      "),"S")</f>
        <v>S</v>
      </c>
      <c r="AC4" s="3" t="s">
        <v>28</v>
      </c>
      <c r="AD4" s="3" t="s">
        <v>28</v>
      </c>
      <c r="AE4" s="3" t="s">
        <v>28</v>
      </c>
    </row>
    <row r="5" ht="24.75" customHeight="1">
      <c r="A5" s="3" t="s">
        <v>29</v>
      </c>
      <c r="B5" s="3" t="s">
        <v>32</v>
      </c>
      <c r="C5" s="3"/>
      <c r="D5" s="3"/>
      <c r="E5" s="3"/>
      <c r="F5" s="3"/>
      <c r="G5" s="3"/>
      <c r="H5" s="3"/>
      <c r="I5" s="3"/>
      <c r="J5" s="3"/>
      <c r="K5" s="3" t="s">
        <v>26</v>
      </c>
      <c r="L5" s="3" t="s">
        <v>27</v>
      </c>
      <c r="M5" s="3"/>
      <c r="N5" s="3"/>
      <c r="O5" s="3"/>
      <c r="P5" s="3"/>
      <c r="Q5" s="4"/>
      <c r="R5" s="5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  <v>0</v>
      </c>
      <c r="S5" s="4"/>
      <c r="T5" s="5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  <v>0</v>
      </c>
      <c r="U5" s="4">
        <v>2.0</v>
      </c>
      <c r="V5" s="5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  <v>1</v>
      </c>
      <c r="W5" s="4"/>
      <c r="X5" s="5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  <v>0</v>
      </c>
      <c r="Y5" s="4"/>
      <c r="Z5" s="5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  <v>0</v>
      </c>
      <c r="AA5" s="3">
        <f t="shared" si="2"/>
        <v>1</v>
      </c>
      <c r="AB5" s="3" t="str">
        <f>IFERROR(__xludf.DUMMYFUNCTION("
      Ifs( 
        ISBETWEEN(AA5, 0, 'Points-Table'!C$20, TRUE, False), 'Points-Table'!A$20,
        ISBETWEEN(AA5, 'Points-Table'!C$20, 'Points-Table'!C$21, TRUE, False), 'Points-Table'!A$21,
        ISBETWEEN(AA5, 'Points-Table'!C$22, 10000, TRUE, TRU"&amp;"E), 'Points-Table'!A$22,
        true, 
        0)
      "),"S")</f>
        <v>S</v>
      </c>
      <c r="AC5" s="3" t="s">
        <v>28</v>
      </c>
      <c r="AD5" s="3" t="s">
        <v>28</v>
      </c>
      <c r="AE5" s="3" t="s">
        <v>28</v>
      </c>
    </row>
    <row r="6" ht="24.75" customHeight="1">
      <c r="A6" s="3" t="s">
        <v>29</v>
      </c>
      <c r="B6" s="3" t="s">
        <v>33</v>
      </c>
      <c r="C6" s="3" t="s">
        <v>34</v>
      </c>
      <c r="D6" s="3"/>
      <c r="E6" s="3"/>
      <c r="F6" s="3"/>
      <c r="G6" s="3"/>
      <c r="H6" s="3"/>
      <c r="I6" s="3"/>
      <c r="J6" s="3"/>
      <c r="K6" s="3" t="s">
        <v>26</v>
      </c>
      <c r="L6" s="3" t="s">
        <v>27</v>
      </c>
      <c r="M6" s="3"/>
      <c r="N6" s="3"/>
      <c r="O6" s="3"/>
      <c r="P6" s="3"/>
      <c r="Q6" s="4"/>
      <c r="R6" s="5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  <v>0</v>
      </c>
      <c r="S6" s="4"/>
      <c r="T6" s="5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  <v>0</v>
      </c>
      <c r="U6" s="4">
        <v>3.0</v>
      </c>
      <c r="V6" s="5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  <v>2</v>
      </c>
      <c r="W6" s="4">
        <v>8.0</v>
      </c>
      <c r="X6" s="5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  <v>7</v>
      </c>
      <c r="Y6" s="4">
        <v>8.0</v>
      </c>
      <c r="Z6" s="5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  <v>7</v>
      </c>
      <c r="AA6" s="3">
        <f t="shared" si="2"/>
        <v>16</v>
      </c>
      <c r="AB6" s="3" t="str">
        <f>IFERROR(__xludf.DUMMYFUNCTION("
      Ifs( 
        ISBETWEEN(AA6, 0, 'Points-Table'!C$20, TRUE, False), 'Points-Table'!A$20,
        ISBETWEEN(AA6, 'Points-Table'!C$20, 'Points-Table'!C$21, TRUE, False), 'Points-Table'!A$21,
        ISBETWEEN(AA6, 'Points-Table'!C$22, 10000, TRUE, TRU"&amp;"E), 'Points-Table'!A$22,
        true, 
        0)
      "),"S")</f>
        <v>S</v>
      </c>
      <c r="AC6" s="3" t="s">
        <v>28</v>
      </c>
      <c r="AD6" s="3" t="s">
        <v>28</v>
      </c>
      <c r="AE6" s="3" t="s">
        <v>28</v>
      </c>
    </row>
    <row r="7" ht="24.75" customHeight="1">
      <c r="A7" s="3" t="s">
        <v>29</v>
      </c>
      <c r="B7" s="3" t="s">
        <v>33</v>
      </c>
      <c r="C7" s="3" t="s">
        <v>35</v>
      </c>
      <c r="D7" s="3"/>
      <c r="E7" s="3"/>
      <c r="F7" s="3"/>
      <c r="G7" s="3"/>
      <c r="H7" s="3"/>
      <c r="I7" s="3"/>
      <c r="J7" s="3"/>
      <c r="K7" s="3" t="s">
        <v>26</v>
      </c>
      <c r="L7" s="3" t="s">
        <v>27</v>
      </c>
      <c r="M7" s="3"/>
      <c r="N7" s="3"/>
      <c r="O7" s="3"/>
      <c r="P7" s="3"/>
      <c r="Q7" s="4"/>
      <c r="R7" s="5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  <v>0</v>
      </c>
      <c r="S7" s="4"/>
      <c r="T7" s="5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  <v>0</v>
      </c>
      <c r="U7" s="4">
        <v>3.0</v>
      </c>
      <c r="V7" s="5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  <v>2</v>
      </c>
      <c r="W7" s="4">
        <v>13.0</v>
      </c>
      <c r="X7" s="5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  <v>11</v>
      </c>
      <c r="Y7" s="4"/>
      <c r="Z7" s="5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  <v>0</v>
      </c>
      <c r="AA7" s="3">
        <f t="shared" si="2"/>
        <v>13</v>
      </c>
      <c r="AB7" s="3" t="str">
        <f>IFERROR(__xludf.DUMMYFUNCTION("
      Ifs( 
        ISBETWEEN(AA7, 0, 'Points-Table'!C$20, TRUE, False), 'Points-Table'!A$20,
        ISBETWEEN(AA7, 'Points-Table'!C$20, 'Points-Table'!C$21, TRUE, False), 'Points-Table'!A$21,
        ISBETWEEN(AA7, 'Points-Table'!C$22, 10000, TRUE, TRU"&amp;"E), 'Points-Table'!A$22,
        true, 
        0)
      "),"S")</f>
        <v>S</v>
      </c>
      <c r="AC7" s="3" t="s">
        <v>28</v>
      </c>
      <c r="AD7" s="3" t="s">
        <v>28</v>
      </c>
      <c r="AE7" s="3" t="s">
        <v>28</v>
      </c>
    </row>
    <row r="8" ht="24.75" customHeight="1">
      <c r="A8" s="3" t="s">
        <v>29</v>
      </c>
      <c r="B8" s="3" t="s">
        <v>33</v>
      </c>
      <c r="C8" s="3" t="s">
        <v>36</v>
      </c>
      <c r="D8" s="3"/>
      <c r="E8" s="3"/>
      <c r="F8" s="3"/>
      <c r="G8" s="3"/>
      <c r="H8" s="3"/>
      <c r="I8" s="3"/>
      <c r="J8" s="3"/>
      <c r="K8" s="3" t="s">
        <v>26</v>
      </c>
      <c r="L8" s="3" t="s">
        <v>27</v>
      </c>
      <c r="M8" s="3"/>
      <c r="N8" s="3"/>
      <c r="O8" s="3"/>
      <c r="P8" s="3"/>
      <c r="Q8" s="4"/>
      <c r="R8" s="5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  <v>0</v>
      </c>
      <c r="S8" s="4"/>
      <c r="T8" s="5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  <v>0</v>
      </c>
      <c r="U8" s="4">
        <v>3.0</v>
      </c>
      <c r="V8" s="5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  <v>2</v>
      </c>
      <c r="W8" s="4">
        <v>13.0</v>
      </c>
      <c r="X8" s="5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  <v>11</v>
      </c>
      <c r="Y8" s="4"/>
      <c r="Z8" s="5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  <v>0</v>
      </c>
      <c r="AA8" s="3">
        <f t="shared" si="2"/>
        <v>13</v>
      </c>
      <c r="AB8" s="3" t="str">
        <f>IFERROR(__xludf.DUMMYFUNCTION("
      Ifs( 
        ISBETWEEN(AA8, 0, 'Points-Table'!C$20, TRUE, False), 'Points-Table'!A$20,
        ISBETWEEN(AA8, 'Points-Table'!C$20, 'Points-Table'!C$21, TRUE, False), 'Points-Table'!A$21,
        ISBETWEEN(AA8, 'Points-Table'!C$22, 10000, TRUE, TRU"&amp;"E), 'Points-Table'!A$22,
        true, 
        0)
      "),"S")</f>
        <v>S</v>
      </c>
      <c r="AC8" s="3" t="s">
        <v>28</v>
      </c>
      <c r="AD8" s="3" t="s">
        <v>28</v>
      </c>
      <c r="AE8" s="3" t="s">
        <v>28</v>
      </c>
    </row>
    <row r="9" ht="24.75" customHeight="1">
      <c r="A9" s="3" t="s">
        <v>37</v>
      </c>
      <c r="B9" s="3" t="s">
        <v>38</v>
      </c>
      <c r="C9" s="3"/>
      <c r="D9" s="3"/>
      <c r="E9" s="3"/>
      <c r="F9" s="3"/>
      <c r="G9" s="3"/>
      <c r="H9" s="3"/>
      <c r="I9" s="3"/>
      <c r="J9" s="3"/>
      <c r="K9" s="3" t="s">
        <v>26</v>
      </c>
      <c r="L9" s="3" t="s">
        <v>27</v>
      </c>
      <c r="M9" s="3"/>
      <c r="N9" s="3"/>
      <c r="O9" s="3"/>
      <c r="P9" s="3"/>
      <c r="Q9" s="4">
        <v>2.0</v>
      </c>
      <c r="R9" s="5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  <v>1</v>
      </c>
      <c r="S9" s="4">
        <v>2.0</v>
      </c>
      <c r="T9" s="5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  <v>1</v>
      </c>
      <c r="U9" s="4">
        <v>5.0</v>
      </c>
      <c r="V9" s="5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  <v>4</v>
      </c>
      <c r="W9" s="4">
        <v>8.0</v>
      </c>
      <c r="X9" s="5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  <v>7</v>
      </c>
      <c r="Y9" s="4">
        <v>5.0</v>
      </c>
      <c r="Z9" s="5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  <v>4</v>
      </c>
      <c r="AA9" s="3">
        <f t="shared" si="2"/>
        <v>15</v>
      </c>
      <c r="AB9" s="3" t="str">
        <f>IFERROR(__xludf.DUMMYFUNCTION("
      Ifs( 
        ISBETWEEN(AA9, 0, 'Points-Table'!C$20, TRUE, False), 'Points-Table'!A$20,
        ISBETWEEN(AA9, 'Points-Table'!C$20, 'Points-Table'!C$21, TRUE, False), 'Points-Table'!A$21,
        ISBETWEEN(AA9, 'Points-Table'!C$22, 10000, TRUE, TRU"&amp;"E), 'Points-Table'!A$22,
        true, 
        0)
      "),"S")</f>
        <v>S</v>
      </c>
      <c r="AC9" s="3" t="s">
        <v>28</v>
      </c>
      <c r="AD9" s="3" t="s">
        <v>28</v>
      </c>
      <c r="AE9" s="3" t="s">
        <v>28</v>
      </c>
    </row>
    <row r="10" ht="24.75" customHeight="1">
      <c r="A10" s="3" t="s">
        <v>37</v>
      </c>
      <c r="B10" s="3" t="s">
        <v>39</v>
      </c>
      <c r="C10" s="3" t="s">
        <v>34</v>
      </c>
      <c r="D10" s="3"/>
      <c r="E10" s="3"/>
      <c r="F10" s="3"/>
      <c r="G10" s="3"/>
      <c r="H10" s="3"/>
      <c r="I10" s="3"/>
      <c r="J10" s="3"/>
      <c r="K10" s="3" t="s">
        <v>26</v>
      </c>
      <c r="L10" s="3" t="s">
        <v>27</v>
      </c>
      <c r="M10" s="3"/>
      <c r="N10" s="3"/>
      <c r="O10" s="3"/>
      <c r="P10" s="3"/>
      <c r="Q10" s="4"/>
      <c r="R10" s="5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  <v>0</v>
      </c>
      <c r="S10" s="4"/>
      <c r="T10" s="5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  <v>0</v>
      </c>
      <c r="U10" s="4">
        <v>3.0</v>
      </c>
      <c r="V10" s="5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  <v>2</v>
      </c>
      <c r="W10" s="4">
        <v>8.0</v>
      </c>
      <c r="X10" s="5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  <v>7</v>
      </c>
      <c r="Y10" s="4"/>
      <c r="Z10" s="5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  <v>0</v>
      </c>
      <c r="AA10" s="3">
        <f t="shared" si="2"/>
        <v>9</v>
      </c>
      <c r="AB10" s="3" t="str">
        <f>IFERROR(__xludf.DUMMYFUNCTION("
      Ifs( 
        ISBETWEEN(AA10, 0, 'Points-Table'!C$20, TRUE, False), 'Points-Table'!A$20,
        ISBETWEEN(AA10, 'Points-Table'!C$20, 'Points-Table'!C$21, TRUE, False), 'Points-Table'!A$21,
        ISBETWEEN(AA10, 'Points-Table'!C$22, 10000, TRUE, "&amp;"TRUE), 'Points-Table'!A$22,
        true, 
        0)
      "),"S")</f>
        <v>S</v>
      </c>
      <c r="AC10" s="3" t="s">
        <v>28</v>
      </c>
      <c r="AD10" s="3" t="s">
        <v>28</v>
      </c>
      <c r="AE10" s="3" t="s">
        <v>28</v>
      </c>
    </row>
    <row r="11" ht="24.75" customHeight="1">
      <c r="A11" s="3" t="s">
        <v>37</v>
      </c>
      <c r="B11" s="3" t="s">
        <v>39</v>
      </c>
      <c r="C11" s="3" t="s">
        <v>35</v>
      </c>
      <c r="D11" s="3"/>
      <c r="E11" s="3"/>
      <c r="F11" s="3"/>
      <c r="G11" s="3"/>
      <c r="H11" s="3"/>
      <c r="I11" s="3"/>
      <c r="J11" s="3"/>
      <c r="K11" s="3" t="s">
        <v>26</v>
      </c>
      <c r="L11" s="3" t="s">
        <v>27</v>
      </c>
      <c r="M11" s="3"/>
      <c r="N11" s="3"/>
      <c r="O11" s="3"/>
      <c r="P11" s="3"/>
      <c r="Q11" s="4"/>
      <c r="R11" s="5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  <v>0</v>
      </c>
      <c r="S11" s="4"/>
      <c r="T11" s="5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  <v>0</v>
      </c>
      <c r="U11" s="4">
        <v>3.0</v>
      </c>
      <c r="V11" s="5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  <v>2</v>
      </c>
      <c r="W11" s="4">
        <v>13.0</v>
      </c>
      <c r="X11" s="5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  <v>11</v>
      </c>
      <c r="Y11" s="4"/>
      <c r="Z11" s="5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  <v>0</v>
      </c>
      <c r="AA11" s="3">
        <f t="shared" si="2"/>
        <v>13</v>
      </c>
      <c r="AB11" s="3" t="str">
        <f>IFERROR(__xludf.DUMMYFUNCTION("
      Ifs( 
        ISBETWEEN(AA11, 0, 'Points-Table'!C$20, TRUE, False), 'Points-Table'!A$20,
        ISBETWEEN(AA11, 'Points-Table'!C$20, 'Points-Table'!C$21, TRUE, False), 'Points-Table'!A$21,
        ISBETWEEN(AA11, 'Points-Table'!C$22, 10000, TRUE, "&amp;"TRUE), 'Points-Table'!A$22,
        true, 
        0)
      "),"S")</f>
        <v>S</v>
      </c>
      <c r="AC11" s="3" t="s">
        <v>28</v>
      </c>
      <c r="AD11" s="3" t="s">
        <v>28</v>
      </c>
      <c r="AE11" s="3" t="s">
        <v>28</v>
      </c>
    </row>
    <row r="12" ht="24.75" customHeight="1">
      <c r="A12" s="3" t="s">
        <v>37</v>
      </c>
      <c r="B12" s="3" t="s">
        <v>39</v>
      </c>
      <c r="C12" s="3" t="s">
        <v>40</v>
      </c>
      <c r="D12" s="3"/>
      <c r="E12" s="3"/>
      <c r="F12" s="3"/>
      <c r="G12" s="3"/>
      <c r="H12" s="3"/>
      <c r="I12" s="3"/>
      <c r="J12" s="3"/>
      <c r="K12" s="3" t="s">
        <v>26</v>
      </c>
      <c r="L12" s="3" t="s">
        <v>27</v>
      </c>
      <c r="M12" s="3"/>
      <c r="N12" s="3"/>
      <c r="O12" s="3"/>
      <c r="P12" s="3"/>
      <c r="Q12" s="4"/>
      <c r="R12" s="5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  <v>0</v>
      </c>
      <c r="S12" s="4"/>
      <c r="T12" s="5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  <v>0</v>
      </c>
      <c r="U12" s="4">
        <v>3.0</v>
      </c>
      <c r="V12" s="5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  <v>2</v>
      </c>
      <c r="W12" s="4">
        <v>13.0</v>
      </c>
      <c r="X12" s="5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  <v>11</v>
      </c>
      <c r="Y12" s="4"/>
      <c r="Z12" s="5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  <v>0</v>
      </c>
      <c r="AA12" s="3">
        <f t="shared" si="2"/>
        <v>13</v>
      </c>
      <c r="AB12" s="3" t="str">
        <f>IFERROR(__xludf.DUMMYFUNCTION("
      Ifs( 
        ISBETWEEN(AA12, 0, 'Points-Table'!C$20, TRUE, False), 'Points-Table'!A$20,
        ISBETWEEN(AA12, 'Points-Table'!C$20, 'Points-Table'!C$21, TRUE, False), 'Points-Table'!A$21,
        ISBETWEEN(AA12, 'Points-Table'!C$22, 10000, TRUE, "&amp;"TRUE), 'Points-Table'!A$22,
        true, 
        0)
      "),"S")</f>
        <v>S</v>
      </c>
      <c r="AC12" s="3" t="s">
        <v>28</v>
      </c>
      <c r="AD12" s="3" t="s">
        <v>28</v>
      </c>
      <c r="AE12" s="3" t="s">
        <v>28</v>
      </c>
    </row>
    <row r="13" ht="24.75" customHeight="1">
      <c r="A13" s="3" t="s">
        <v>37</v>
      </c>
      <c r="B13" s="3" t="s">
        <v>41</v>
      </c>
      <c r="C13" s="3"/>
      <c r="D13" s="3"/>
      <c r="E13" s="3"/>
      <c r="F13" s="3"/>
      <c r="G13" s="3"/>
      <c r="H13" s="3"/>
      <c r="I13" s="3"/>
      <c r="J13" s="3"/>
      <c r="K13" s="3" t="s">
        <v>26</v>
      </c>
      <c r="L13" s="3" t="s">
        <v>27</v>
      </c>
      <c r="M13" s="3"/>
      <c r="N13" s="3"/>
      <c r="O13" s="3"/>
      <c r="P13" s="3"/>
      <c r="Q13" s="4"/>
      <c r="R13" s="5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  <v>0</v>
      </c>
      <c r="S13" s="4"/>
      <c r="T13" s="5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  <v>0</v>
      </c>
      <c r="U13" s="4">
        <v>5.0</v>
      </c>
      <c r="V13" s="5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  <v>4</v>
      </c>
      <c r="W13" s="4">
        <v>13.0</v>
      </c>
      <c r="X13" s="5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  <v>11</v>
      </c>
      <c r="Y13" s="4">
        <v>5.0</v>
      </c>
      <c r="Z13" s="5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  <v>4</v>
      </c>
      <c r="AA13" s="3">
        <f t="shared" si="2"/>
        <v>19</v>
      </c>
      <c r="AB13" s="3" t="str">
        <f>IFERROR(__xludf.DUMMYFUNCTION("
      Ifs( 
        ISBETWEEN(AA13, 0, 'Points-Table'!C$20, TRUE, False), 'Points-Table'!A$20,
        ISBETWEEN(AA13, 'Points-Table'!C$20, 'Points-Table'!C$21, TRUE, False), 'Points-Table'!A$21,
        ISBETWEEN(AA13, 'Points-Table'!C$22, 10000, TRUE, "&amp;"TRUE), 'Points-Table'!A$22,
        true, 
        0)
      "),"S")</f>
        <v>S</v>
      </c>
      <c r="AC13" s="3" t="s">
        <v>28</v>
      </c>
      <c r="AD13" s="3" t="s">
        <v>28</v>
      </c>
      <c r="AE13" s="3" t="s">
        <v>28</v>
      </c>
    </row>
    <row r="14" ht="24.75" customHeight="1">
      <c r="A14" s="3" t="s">
        <v>42</v>
      </c>
      <c r="B14" s="3" t="s">
        <v>43</v>
      </c>
      <c r="C14" s="3" t="s">
        <v>44</v>
      </c>
      <c r="D14" s="3"/>
      <c r="E14" s="3"/>
      <c r="F14" s="3"/>
      <c r="G14" s="3"/>
      <c r="H14" s="3"/>
      <c r="I14" s="3"/>
      <c r="J14" s="3"/>
      <c r="K14" s="3" t="s">
        <v>26</v>
      </c>
      <c r="L14" s="3" t="s">
        <v>27</v>
      </c>
      <c r="M14" s="3"/>
      <c r="N14" s="3"/>
      <c r="O14" s="3"/>
      <c r="P14" s="3"/>
      <c r="Q14" s="4">
        <v>2.0</v>
      </c>
      <c r="R14" s="5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  <v>1</v>
      </c>
      <c r="S14" s="4">
        <v>2.0</v>
      </c>
      <c r="T14" s="5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  <v>1</v>
      </c>
      <c r="U14" s="4">
        <v>2.0</v>
      </c>
      <c r="V14" s="5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  <v>1</v>
      </c>
      <c r="W14" s="4">
        <v>2.0</v>
      </c>
      <c r="X14" s="5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  <v>1</v>
      </c>
      <c r="Y14" s="4">
        <v>8.0</v>
      </c>
      <c r="Z14" s="5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  <v>7</v>
      </c>
      <c r="AA14" s="3">
        <f t="shared" si="2"/>
        <v>9</v>
      </c>
      <c r="AB14" s="3" t="str">
        <f>IFERROR(__xludf.DUMMYFUNCTION("
      Ifs( 
        ISBETWEEN(AA14, 0, 'Points-Table'!C$20, TRUE, False), 'Points-Table'!A$20,
        ISBETWEEN(AA14, 'Points-Table'!C$20, 'Points-Table'!C$21, TRUE, False), 'Points-Table'!A$21,
        ISBETWEEN(AA14, 'Points-Table'!C$22, 10000, TRUE, "&amp;"TRUE), 'Points-Table'!A$22,
        true, 
        0)
      "),"S")</f>
        <v>S</v>
      </c>
      <c r="AC14" s="3" t="s">
        <v>28</v>
      </c>
      <c r="AD14" s="3" t="s">
        <v>28</v>
      </c>
      <c r="AE14" s="3" t="s">
        <v>28</v>
      </c>
    </row>
    <row r="15" ht="24.75" customHeight="1">
      <c r="A15" s="3" t="s">
        <v>42</v>
      </c>
      <c r="B15" s="3" t="s">
        <v>43</v>
      </c>
      <c r="C15" s="3" t="s">
        <v>45</v>
      </c>
      <c r="D15" s="3" t="s">
        <v>46</v>
      </c>
      <c r="E15" s="3"/>
      <c r="F15" s="3"/>
      <c r="G15" s="3"/>
      <c r="H15" s="3"/>
      <c r="I15" s="3"/>
      <c r="J15" s="3"/>
      <c r="K15" s="3" t="s">
        <v>26</v>
      </c>
      <c r="L15" s="3" t="s">
        <v>27</v>
      </c>
      <c r="M15" s="3"/>
      <c r="N15" s="3"/>
      <c r="O15" s="3"/>
      <c r="P15" s="3"/>
      <c r="Q15" s="4">
        <v>2.0</v>
      </c>
      <c r="R15" s="5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  <v>1</v>
      </c>
      <c r="S15" s="4">
        <v>2.0</v>
      </c>
      <c r="T15" s="5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  <v>1</v>
      </c>
      <c r="U15" s="4">
        <v>2.0</v>
      </c>
      <c r="V15" s="5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  <v>1</v>
      </c>
      <c r="W15" s="4">
        <v>2.0</v>
      </c>
      <c r="X15" s="5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  <v>1</v>
      </c>
      <c r="Y15" s="4"/>
      <c r="Z15" s="5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  <v>0</v>
      </c>
      <c r="AA15" s="3">
        <f t="shared" si="2"/>
        <v>2</v>
      </c>
      <c r="AB15" s="3" t="str">
        <f>IFERROR(__xludf.DUMMYFUNCTION("
      Ifs( 
        ISBETWEEN(AA15, 0, 'Points-Table'!C$20, TRUE, False), 'Points-Table'!A$20,
        ISBETWEEN(AA15, 'Points-Table'!C$20, 'Points-Table'!C$21, TRUE, False), 'Points-Table'!A$21,
        ISBETWEEN(AA15, 'Points-Table'!C$22, 10000, TRUE, "&amp;"TRUE), 'Points-Table'!A$22,
        true, 
        0)
      "),"S")</f>
        <v>S</v>
      </c>
      <c r="AC15" s="3" t="s">
        <v>28</v>
      </c>
      <c r="AD15" s="3" t="s">
        <v>28</v>
      </c>
      <c r="AE15" s="3" t="s">
        <v>28</v>
      </c>
    </row>
    <row r="16" ht="24.75" customHeight="1">
      <c r="A16" s="3" t="s">
        <v>42</v>
      </c>
      <c r="B16" s="3" t="s">
        <v>43</v>
      </c>
      <c r="C16" s="3" t="s">
        <v>47</v>
      </c>
      <c r="D16" s="3"/>
      <c r="E16" s="3"/>
      <c r="F16" s="3"/>
      <c r="G16" s="3"/>
      <c r="H16" s="3"/>
      <c r="I16" s="3"/>
      <c r="J16" s="3"/>
      <c r="K16" s="3" t="s">
        <v>26</v>
      </c>
      <c r="L16" s="3" t="s">
        <v>27</v>
      </c>
      <c r="M16" s="3"/>
      <c r="N16" s="3"/>
      <c r="O16" s="3"/>
      <c r="P16" s="3"/>
      <c r="Q16" s="4">
        <v>2.0</v>
      </c>
      <c r="R16" s="5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  <v>1</v>
      </c>
      <c r="S16" s="4">
        <v>2.0</v>
      </c>
      <c r="T16" s="5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  <v>1</v>
      </c>
      <c r="U16" s="4">
        <v>2.0</v>
      </c>
      <c r="V16" s="5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  <v>1</v>
      </c>
      <c r="W16" s="4">
        <v>2.0</v>
      </c>
      <c r="X16" s="5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  <v>1</v>
      </c>
      <c r="Y16" s="4"/>
      <c r="Z16" s="5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  <v>0</v>
      </c>
      <c r="AA16" s="3">
        <f t="shared" si="2"/>
        <v>2</v>
      </c>
      <c r="AB16" s="3" t="str">
        <f>IFERROR(__xludf.DUMMYFUNCTION("
      Ifs( 
        ISBETWEEN(AA16, 0, 'Points-Table'!C$20, TRUE, False), 'Points-Table'!A$20,
        ISBETWEEN(AA16, 'Points-Table'!C$20, 'Points-Table'!C$21, TRUE, False), 'Points-Table'!A$21,
        ISBETWEEN(AA16, 'Points-Table'!C$22, 10000, TRUE, "&amp;"TRUE), 'Points-Table'!A$22,
        true, 
        0)
      "),"S")</f>
        <v>S</v>
      </c>
      <c r="AC16" s="3" t="s">
        <v>28</v>
      </c>
      <c r="AD16" s="3" t="s">
        <v>28</v>
      </c>
      <c r="AE16" s="3" t="s">
        <v>28</v>
      </c>
    </row>
    <row r="17" ht="24.75" customHeight="1">
      <c r="A17" s="3" t="s">
        <v>42</v>
      </c>
      <c r="B17" s="3" t="s">
        <v>43</v>
      </c>
      <c r="C17" s="3" t="s">
        <v>48</v>
      </c>
      <c r="D17" s="3"/>
      <c r="E17" s="3"/>
      <c r="F17" s="3"/>
      <c r="G17" s="3"/>
      <c r="H17" s="3"/>
      <c r="I17" s="3"/>
      <c r="J17" s="3"/>
      <c r="K17" s="3" t="s">
        <v>26</v>
      </c>
      <c r="L17" s="3" t="s">
        <v>27</v>
      </c>
      <c r="M17" s="3"/>
      <c r="N17" s="3"/>
      <c r="O17" s="3"/>
      <c r="P17" s="3"/>
      <c r="Q17" s="4">
        <v>0.0</v>
      </c>
      <c r="R17" s="5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  <v>0</v>
      </c>
      <c r="S17" s="4">
        <v>0.0</v>
      </c>
      <c r="T17" s="5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  <v>0</v>
      </c>
      <c r="U17" s="4">
        <v>2.0</v>
      </c>
      <c r="V17" s="5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  <v>1</v>
      </c>
      <c r="W17" s="4">
        <v>2.0</v>
      </c>
      <c r="X17" s="5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  <v>1</v>
      </c>
      <c r="Y17" s="4"/>
      <c r="Z17" s="5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  <v>0</v>
      </c>
      <c r="AA17" s="3">
        <f t="shared" si="2"/>
        <v>2</v>
      </c>
      <c r="AB17" s="3" t="str">
        <f>IFERROR(__xludf.DUMMYFUNCTION("
      Ifs( 
        ISBETWEEN(AA17, 0, 'Points-Table'!C$20, TRUE, False), 'Points-Table'!A$20,
        ISBETWEEN(AA17, 'Points-Table'!C$20, 'Points-Table'!C$21, TRUE, False), 'Points-Table'!A$21,
        ISBETWEEN(AA17, 'Points-Table'!C$22, 10000, TRUE, "&amp;"TRUE), 'Points-Table'!A$22,
        true, 
        0)
      "),"S")</f>
        <v>S</v>
      </c>
      <c r="AC17" s="3" t="s">
        <v>28</v>
      </c>
      <c r="AD17" s="3" t="s">
        <v>28</v>
      </c>
      <c r="AE17" s="3" t="s">
        <v>28</v>
      </c>
    </row>
    <row r="18" ht="24.75" customHeight="1">
      <c r="A18" s="3" t="s">
        <v>42</v>
      </c>
      <c r="B18" s="3" t="s">
        <v>43</v>
      </c>
      <c r="C18" s="3" t="s">
        <v>49</v>
      </c>
      <c r="D18" s="3"/>
      <c r="E18" s="3"/>
      <c r="F18" s="3"/>
      <c r="G18" s="3"/>
      <c r="H18" s="3"/>
      <c r="I18" s="3"/>
      <c r="J18" s="3"/>
      <c r="K18" s="3" t="s">
        <v>26</v>
      </c>
      <c r="L18" s="3" t="s">
        <v>27</v>
      </c>
      <c r="M18" s="3"/>
      <c r="N18" s="3"/>
      <c r="O18" s="3"/>
      <c r="P18" s="3"/>
      <c r="Q18" s="4"/>
      <c r="R18" s="5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  <v>0</v>
      </c>
      <c r="S18" s="4"/>
      <c r="T18" s="5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  <v>0</v>
      </c>
      <c r="U18" s="4">
        <v>2.0</v>
      </c>
      <c r="V18" s="5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  <v>1</v>
      </c>
      <c r="W18" s="4">
        <v>2.0</v>
      </c>
      <c r="X18" s="5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  <v>1</v>
      </c>
      <c r="Y18" s="4"/>
      <c r="Z18" s="5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  <v>0</v>
      </c>
      <c r="AA18" s="3">
        <f t="shared" si="2"/>
        <v>2</v>
      </c>
      <c r="AB18" s="3" t="str">
        <f>IFERROR(__xludf.DUMMYFUNCTION("
      Ifs( 
        ISBETWEEN(AA18, 0, 'Points-Table'!C$20, TRUE, False), 'Points-Table'!A$20,
        ISBETWEEN(AA18, 'Points-Table'!C$20, 'Points-Table'!C$21, TRUE, False), 'Points-Table'!A$21,
        ISBETWEEN(AA18, 'Points-Table'!C$22, 10000, TRUE, "&amp;"TRUE), 'Points-Table'!A$22,
        true, 
        0)
      "),"S")</f>
        <v>S</v>
      </c>
      <c r="AC18" s="3" t="s">
        <v>28</v>
      </c>
      <c r="AD18" s="3" t="s">
        <v>28</v>
      </c>
      <c r="AE18" s="3" t="s">
        <v>28</v>
      </c>
    </row>
    <row r="19" ht="24.75" customHeight="1">
      <c r="A19" s="3" t="s">
        <v>42</v>
      </c>
      <c r="B19" s="3" t="s">
        <v>43</v>
      </c>
      <c r="C19" s="3" t="s">
        <v>50</v>
      </c>
      <c r="D19" s="3"/>
      <c r="E19" s="3"/>
      <c r="F19" s="3"/>
      <c r="G19" s="3"/>
      <c r="H19" s="3"/>
      <c r="I19" s="3"/>
      <c r="J19" s="3"/>
      <c r="K19" s="3" t="s">
        <v>26</v>
      </c>
      <c r="L19" s="3" t="s">
        <v>27</v>
      </c>
      <c r="M19" s="3"/>
      <c r="N19" s="3"/>
      <c r="O19" s="3"/>
      <c r="P19" s="3"/>
      <c r="Q19" s="4"/>
      <c r="R19" s="5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  <v>0</v>
      </c>
      <c r="S19" s="4"/>
      <c r="T19" s="5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  <v>0</v>
      </c>
      <c r="U19" s="4">
        <v>2.0</v>
      </c>
      <c r="V19" s="5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  <v>1</v>
      </c>
      <c r="W19" s="4">
        <v>2.0</v>
      </c>
      <c r="X19" s="5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  <v>1</v>
      </c>
      <c r="Y19" s="4"/>
      <c r="Z19" s="5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  <v>0</v>
      </c>
      <c r="AA19" s="3">
        <f t="shared" si="2"/>
        <v>2</v>
      </c>
      <c r="AB19" s="3" t="str">
        <f>IFERROR(__xludf.DUMMYFUNCTION("
      Ifs( 
        ISBETWEEN(AA19, 0, 'Points-Table'!C$20, TRUE, False), 'Points-Table'!A$20,
        ISBETWEEN(AA19, 'Points-Table'!C$20, 'Points-Table'!C$21, TRUE, False), 'Points-Table'!A$21,
        ISBETWEEN(AA19, 'Points-Table'!C$22, 10000, TRUE, "&amp;"TRUE), 'Points-Table'!A$22,
        true, 
        0)
      "),"S")</f>
        <v>S</v>
      </c>
      <c r="AC19" s="3" t="s">
        <v>28</v>
      </c>
      <c r="AD19" s="3" t="s">
        <v>28</v>
      </c>
      <c r="AE19" s="3" t="s">
        <v>28</v>
      </c>
    </row>
    <row r="20" ht="24.75" customHeight="1">
      <c r="A20" s="3" t="s">
        <v>42</v>
      </c>
      <c r="B20" s="3" t="s">
        <v>43</v>
      </c>
      <c r="C20" s="3" t="s">
        <v>51</v>
      </c>
      <c r="D20" s="3"/>
      <c r="E20" s="3"/>
      <c r="F20" s="3"/>
      <c r="G20" s="3"/>
      <c r="H20" s="3"/>
      <c r="I20" s="3"/>
      <c r="J20" s="3"/>
      <c r="K20" s="3" t="s">
        <v>26</v>
      </c>
      <c r="L20" s="3" t="s">
        <v>27</v>
      </c>
      <c r="M20" s="3"/>
      <c r="N20" s="3"/>
      <c r="O20" s="3"/>
      <c r="P20" s="3"/>
      <c r="Q20" s="4"/>
      <c r="R20" s="5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  <v>0</v>
      </c>
      <c r="S20" s="4"/>
      <c r="T20" s="5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  <v>0</v>
      </c>
      <c r="U20" s="4">
        <v>2.0</v>
      </c>
      <c r="V20" s="5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  <v>1</v>
      </c>
      <c r="W20" s="4">
        <v>2.0</v>
      </c>
      <c r="X20" s="5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  <v>1</v>
      </c>
      <c r="Y20" s="4"/>
      <c r="Z20" s="5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  <v>0</v>
      </c>
      <c r="AA20" s="3">
        <f t="shared" si="2"/>
        <v>2</v>
      </c>
      <c r="AB20" s="3" t="str">
        <f>IFERROR(__xludf.DUMMYFUNCTION("
      Ifs( 
        ISBETWEEN(AA20, 0, 'Points-Table'!C$20, TRUE, False), 'Points-Table'!A$20,
        ISBETWEEN(AA20, 'Points-Table'!C$20, 'Points-Table'!C$21, TRUE, False), 'Points-Table'!A$21,
        ISBETWEEN(AA20, 'Points-Table'!C$22, 10000, TRUE, "&amp;"TRUE), 'Points-Table'!A$22,
        true, 
        0)
      "),"S")</f>
        <v>S</v>
      </c>
      <c r="AC20" s="3" t="s">
        <v>28</v>
      </c>
      <c r="AD20" s="3" t="s">
        <v>28</v>
      </c>
      <c r="AE20" s="3" t="s">
        <v>28</v>
      </c>
    </row>
    <row r="21" ht="24.75" customHeight="1">
      <c r="A21" s="3" t="s">
        <v>42</v>
      </c>
      <c r="B21" s="3" t="s">
        <v>52</v>
      </c>
      <c r="C21" s="3" t="s">
        <v>53</v>
      </c>
      <c r="D21" s="3"/>
      <c r="E21" s="3"/>
      <c r="F21" s="3"/>
      <c r="G21" s="3"/>
      <c r="H21" s="3"/>
      <c r="I21" s="3"/>
      <c r="J21" s="3"/>
      <c r="K21" s="3" t="s">
        <v>26</v>
      </c>
      <c r="L21" s="3" t="s">
        <v>27</v>
      </c>
      <c r="M21" s="3"/>
      <c r="N21" s="3"/>
      <c r="O21" s="3"/>
      <c r="P21" s="3"/>
      <c r="Q21" s="4">
        <v>2.0</v>
      </c>
      <c r="R21" s="5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  <v>1</v>
      </c>
      <c r="S21" s="4">
        <v>2.0</v>
      </c>
      <c r="T21" s="5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  <v>1</v>
      </c>
      <c r="U21" s="4">
        <v>8.0</v>
      </c>
      <c r="V21" s="5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  <v>7</v>
      </c>
      <c r="W21" s="4">
        <v>2.0</v>
      </c>
      <c r="X21" s="5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  <v>1</v>
      </c>
      <c r="Y21" s="4">
        <v>8.0</v>
      </c>
      <c r="Z21" s="5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  <v>7</v>
      </c>
      <c r="AA21" s="3">
        <f t="shared" si="2"/>
        <v>15</v>
      </c>
      <c r="AB21" s="3" t="str">
        <f>IFERROR(__xludf.DUMMYFUNCTION("
      Ifs( 
        ISBETWEEN(AA21, 0, 'Points-Table'!C$20, TRUE, False), 'Points-Table'!A$20,
        ISBETWEEN(AA21, 'Points-Table'!C$20, 'Points-Table'!C$21, TRUE, False), 'Points-Table'!A$21,
        ISBETWEEN(AA21, 'Points-Table'!C$22, 10000, TRUE, "&amp;"TRUE), 'Points-Table'!A$22,
        true, 
        0)
      "),"S")</f>
        <v>S</v>
      </c>
      <c r="AC21" s="3" t="s">
        <v>28</v>
      </c>
      <c r="AD21" s="3" t="s">
        <v>28</v>
      </c>
      <c r="AE21" s="3" t="s">
        <v>28</v>
      </c>
    </row>
    <row r="22" ht="24.75" customHeight="1">
      <c r="A22" s="3" t="s">
        <v>42</v>
      </c>
      <c r="B22" s="3" t="s">
        <v>52</v>
      </c>
      <c r="C22" s="3" t="s">
        <v>54</v>
      </c>
      <c r="D22" s="3"/>
      <c r="E22" s="3"/>
      <c r="F22" s="3"/>
      <c r="G22" s="3"/>
      <c r="H22" s="3"/>
      <c r="I22" s="3"/>
      <c r="J22" s="3"/>
      <c r="K22" s="3" t="s">
        <v>26</v>
      </c>
      <c r="L22" s="3" t="s">
        <v>27</v>
      </c>
      <c r="M22" s="3"/>
      <c r="N22" s="3"/>
      <c r="O22" s="3"/>
      <c r="P22" s="3"/>
      <c r="Q22" s="4"/>
      <c r="R22" s="5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  <v>0</v>
      </c>
      <c r="S22" s="4"/>
      <c r="T22" s="5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  <v>0</v>
      </c>
      <c r="U22" s="4">
        <v>3.0</v>
      </c>
      <c r="V22" s="5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  <v>2</v>
      </c>
      <c r="W22" s="4">
        <v>2.0</v>
      </c>
      <c r="X22" s="5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  <v>1</v>
      </c>
      <c r="Y22" s="4">
        <v>5.0</v>
      </c>
      <c r="Z22" s="5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  <v>4</v>
      </c>
      <c r="AA22" s="3">
        <f t="shared" si="2"/>
        <v>7</v>
      </c>
      <c r="AB22" s="3" t="str">
        <f>IFERROR(__xludf.DUMMYFUNCTION("
      Ifs( 
        ISBETWEEN(AA22, 0, 'Points-Table'!C$20, TRUE, False), 'Points-Table'!A$20,
        ISBETWEEN(AA22, 'Points-Table'!C$20, 'Points-Table'!C$21, TRUE, False), 'Points-Table'!A$21,
        ISBETWEEN(AA22, 'Points-Table'!C$22, 10000, TRUE, "&amp;"TRUE), 'Points-Table'!A$22,
        true, 
        0)
      "),"S")</f>
        <v>S</v>
      </c>
      <c r="AC22" s="3" t="s">
        <v>28</v>
      </c>
      <c r="AD22" s="3" t="s">
        <v>28</v>
      </c>
      <c r="AE22" s="3" t="s">
        <v>28</v>
      </c>
    </row>
    <row r="23" ht="24.75" customHeight="1">
      <c r="A23" s="3" t="s">
        <v>55</v>
      </c>
      <c r="B23" s="3" t="s">
        <v>56</v>
      </c>
      <c r="C23" s="3"/>
      <c r="D23" s="3"/>
      <c r="E23" s="3"/>
      <c r="F23" s="3" t="s">
        <v>28</v>
      </c>
      <c r="G23" s="3"/>
      <c r="H23" s="3"/>
      <c r="I23" s="3"/>
      <c r="J23" s="3"/>
      <c r="K23" s="3" t="s">
        <v>26</v>
      </c>
      <c r="L23" s="3" t="s">
        <v>27</v>
      </c>
      <c r="M23" s="3"/>
      <c r="N23" s="3"/>
      <c r="O23" s="3"/>
      <c r="P23" s="3"/>
      <c r="Q23" s="4">
        <v>3.0</v>
      </c>
      <c r="R23" s="5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  <v>2</v>
      </c>
      <c r="S23" s="4">
        <v>3.0</v>
      </c>
      <c r="T23" s="5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  <v>2</v>
      </c>
      <c r="U23" s="4">
        <v>21.0</v>
      </c>
      <c r="V23" s="5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  <v>16</v>
      </c>
      <c r="W23" s="4">
        <v>34.0</v>
      </c>
      <c r="X23" s="5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  <v>24</v>
      </c>
      <c r="Y23" s="4"/>
      <c r="Z23" s="5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  <v>0</v>
      </c>
      <c r="AA23" s="3">
        <f t="shared" si="2"/>
        <v>40</v>
      </c>
      <c r="AB23" s="3" t="str">
        <f>IFERROR(__xludf.DUMMYFUNCTION("
      Ifs( 
        ISBETWEEN(AA23, 0, 'Points-Table'!C$20, TRUE, False), 'Points-Table'!A$20,
        ISBETWEEN(AA23, 'Points-Table'!C$20, 'Points-Table'!C$21, TRUE, False), 'Points-Table'!A$21,
        ISBETWEEN(AA23, 'Points-Table'!C$22, 10000, TRUE, "&amp;"TRUE), 'Points-Table'!A$22,
        true, 
        0)
      "),"M")</f>
        <v>M</v>
      </c>
      <c r="AC23" s="3" t="s">
        <v>28</v>
      </c>
      <c r="AD23" s="3" t="s">
        <v>28</v>
      </c>
      <c r="AE23" s="3" t="s">
        <v>28</v>
      </c>
    </row>
    <row r="24" ht="24.75" customHeight="1">
      <c r="A24" s="3" t="s">
        <v>55</v>
      </c>
      <c r="B24" s="3" t="s">
        <v>57</v>
      </c>
      <c r="C24" s="3"/>
      <c r="D24" s="3"/>
      <c r="E24" s="3"/>
      <c r="F24" s="3"/>
      <c r="G24" s="3"/>
      <c r="H24" s="3"/>
      <c r="I24" s="3"/>
      <c r="J24" s="3"/>
      <c r="K24" s="3" t="s">
        <v>26</v>
      </c>
      <c r="L24" s="3" t="s">
        <v>27</v>
      </c>
      <c r="M24" s="3"/>
      <c r="N24" s="3"/>
      <c r="O24" s="3"/>
      <c r="P24" s="3"/>
      <c r="Q24" s="4">
        <v>5.0</v>
      </c>
      <c r="R24" s="5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  <v>4</v>
      </c>
      <c r="S24" s="4">
        <v>5.0</v>
      </c>
      <c r="T24" s="5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  <v>4</v>
      </c>
      <c r="U24" s="4">
        <v>21.0</v>
      </c>
      <c r="V24" s="5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  <v>16</v>
      </c>
      <c r="W24" s="4">
        <v>55.0</v>
      </c>
      <c r="X24" s="5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  <v>40</v>
      </c>
      <c r="Y24" s="4">
        <v>8.0</v>
      </c>
      <c r="Z24" s="5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  <v>7</v>
      </c>
      <c r="AA24" s="3">
        <f t="shared" si="2"/>
        <v>63</v>
      </c>
      <c r="AB24" s="3" t="str">
        <f>IFERROR(__xludf.DUMMYFUNCTION("
      Ifs( 
        ISBETWEEN(AA24, 0, 'Points-Table'!C$20, TRUE, False), 'Points-Table'!A$20,
        ISBETWEEN(AA24, 'Points-Table'!C$20, 'Points-Table'!C$21, TRUE, False), 'Points-Table'!A$21,
        ISBETWEEN(AA24, 'Points-Table'!C$22, 10000, TRUE, "&amp;"TRUE), 'Points-Table'!A$22,
        true, 
        0)
      "),"M")</f>
        <v>M</v>
      </c>
      <c r="AC24" s="3" t="s">
        <v>28</v>
      </c>
      <c r="AD24" s="3" t="s">
        <v>28</v>
      </c>
      <c r="AE24" s="3" t="s">
        <v>28</v>
      </c>
    </row>
    <row r="25" ht="24.75" customHeight="1">
      <c r="A25" s="3" t="s">
        <v>58</v>
      </c>
      <c r="B25" s="3" t="s">
        <v>59</v>
      </c>
      <c r="C25" s="3"/>
      <c r="D25" s="3"/>
      <c r="E25" s="3"/>
      <c r="F25" s="3"/>
      <c r="G25" s="3"/>
      <c r="H25" s="3"/>
      <c r="I25" s="3"/>
      <c r="J25" s="3"/>
      <c r="K25" s="3" t="s">
        <v>26</v>
      </c>
      <c r="L25" s="3" t="s">
        <v>27</v>
      </c>
      <c r="M25" s="3"/>
      <c r="N25" s="3"/>
      <c r="O25" s="3"/>
      <c r="P25" s="3"/>
      <c r="Q25" s="4">
        <v>2.0</v>
      </c>
      <c r="R25" s="5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  <v>1</v>
      </c>
      <c r="S25" s="4">
        <v>2.0</v>
      </c>
      <c r="T25" s="5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  <v>1</v>
      </c>
      <c r="U25" s="4">
        <v>8.0</v>
      </c>
      <c r="V25" s="5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  <v>7</v>
      </c>
      <c r="W25" s="4">
        <v>2.0</v>
      </c>
      <c r="X25" s="5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  <v>1</v>
      </c>
      <c r="Y25" s="4">
        <v>13.0</v>
      </c>
      <c r="Z25" s="5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  <v>11</v>
      </c>
      <c r="AA25" s="3">
        <f t="shared" si="2"/>
        <v>19</v>
      </c>
      <c r="AB25" s="3" t="str">
        <f>IFERROR(__xludf.DUMMYFUNCTION("
      Ifs( 
        ISBETWEEN(AA25, 0, 'Points-Table'!C$20, TRUE, False), 'Points-Table'!A$20,
        ISBETWEEN(AA25, 'Points-Table'!C$20, 'Points-Table'!C$21, TRUE, False), 'Points-Table'!A$21,
        ISBETWEEN(AA25, 'Points-Table'!C$22, 10000, TRUE, "&amp;"TRUE), 'Points-Table'!A$22,
        true, 
        0)
      "),"S")</f>
        <v>S</v>
      </c>
      <c r="AC25" s="3" t="s">
        <v>28</v>
      </c>
      <c r="AD25" s="3" t="s">
        <v>28</v>
      </c>
      <c r="AE25" s="3" t="s">
        <v>28</v>
      </c>
    </row>
    <row r="26" ht="24.75" customHeight="1">
      <c r="A26" s="3" t="s">
        <v>58</v>
      </c>
      <c r="B26" s="3" t="s">
        <v>60</v>
      </c>
      <c r="C26" s="3"/>
      <c r="D26" s="3"/>
      <c r="E26" s="3"/>
      <c r="F26" s="3"/>
      <c r="G26" s="3"/>
      <c r="H26" s="3"/>
      <c r="I26" s="3"/>
      <c r="J26" s="3"/>
      <c r="K26" s="3" t="s">
        <v>26</v>
      </c>
      <c r="L26" s="3" t="s">
        <v>27</v>
      </c>
      <c r="M26" s="3"/>
      <c r="N26" s="3"/>
      <c r="O26" s="3"/>
      <c r="P26" s="3"/>
      <c r="Q26" s="4">
        <v>2.0</v>
      </c>
      <c r="R26" s="5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  <v>1</v>
      </c>
      <c r="S26" s="4">
        <v>2.0</v>
      </c>
      <c r="T26" s="5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  <v>1</v>
      </c>
      <c r="U26" s="4">
        <v>2.0</v>
      </c>
      <c r="V26" s="5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  <v>1</v>
      </c>
      <c r="W26" s="4">
        <v>2.0</v>
      </c>
      <c r="X26" s="5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  <v>1</v>
      </c>
      <c r="Y26" s="4">
        <v>5.0</v>
      </c>
      <c r="Z26" s="5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  <v>4</v>
      </c>
      <c r="AA26" s="3">
        <f t="shared" si="2"/>
        <v>6</v>
      </c>
      <c r="AB26" s="3" t="str">
        <f>IFERROR(__xludf.DUMMYFUNCTION("
      Ifs( 
        ISBETWEEN(AA26, 0, 'Points-Table'!C$20, TRUE, False), 'Points-Table'!A$20,
        ISBETWEEN(AA26, 'Points-Table'!C$20, 'Points-Table'!C$21, TRUE, False), 'Points-Table'!A$21,
        ISBETWEEN(AA26, 'Points-Table'!C$22, 10000, TRUE, "&amp;"TRUE), 'Points-Table'!A$22,
        true, 
        0)
      "),"S")</f>
        <v>S</v>
      </c>
      <c r="AC26" s="3" t="s">
        <v>28</v>
      </c>
      <c r="AD26" s="3" t="s">
        <v>28</v>
      </c>
      <c r="AE26" s="3" t="s">
        <v>28</v>
      </c>
    </row>
    <row r="27" ht="24.75" customHeight="1">
      <c r="A27" s="3" t="s">
        <v>58</v>
      </c>
      <c r="B27" s="3" t="s">
        <v>61</v>
      </c>
      <c r="C27" s="3"/>
      <c r="D27" s="3"/>
      <c r="E27" s="3"/>
      <c r="F27" s="3"/>
      <c r="G27" s="3"/>
      <c r="H27" s="3"/>
      <c r="I27" s="3"/>
      <c r="J27" s="3"/>
      <c r="K27" s="3" t="s">
        <v>26</v>
      </c>
      <c r="L27" s="3" t="s">
        <v>27</v>
      </c>
      <c r="M27" s="3"/>
      <c r="N27" s="3"/>
      <c r="O27" s="3"/>
      <c r="P27" s="3"/>
      <c r="Q27" s="4">
        <v>2.0</v>
      </c>
      <c r="R27" s="5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  <v>1</v>
      </c>
      <c r="S27" s="4">
        <v>2.0</v>
      </c>
      <c r="T27" s="5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  <v>1</v>
      </c>
      <c r="U27" s="4">
        <v>2.0</v>
      </c>
      <c r="V27" s="5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  <v>1</v>
      </c>
      <c r="W27" s="4">
        <v>2.0</v>
      </c>
      <c r="X27" s="5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  <v>1</v>
      </c>
      <c r="Y27" s="4"/>
      <c r="Z27" s="5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  <v>0</v>
      </c>
      <c r="AA27" s="3">
        <f t="shared" si="2"/>
        <v>2</v>
      </c>
      <c r="AB27" s="3" t="str">
        <f>IFERROR(__xludf.DUMMYFUNCTION("
      Ifs( 
        ISBETWEEN(AA27, 0, 'Points-Table'!C$20, TRUE, False), 'Points-Table'!A$20,
        ISBETWEEN(AA27, 'Points-Table'!C$20, 'Points-Table'!C$21, TRUE, False), 'Points-Table'!A$21,
        ISBETWEEN(AA27, 'Points-Table'!C$22, 10000, TRUE, "&amp;"TRUE), 'Points-Table'!A$22,
        true, 
        0)
      "),"S")</f>
        <v>S</v>
      </c>
      <c r="AC27" s="3" t="s">
        <v>28</v>
      </c>
      <c r="AD27" s="3" t="s">
        <v>28</v>
      </c>
      <c r="AE27" s="3" t="s">
        <v>28</v>
      </c>
    </row>
    <row r="28" ht="24.75" customHeight="1">
      <c r="A28" s="3" t="s">
        <v>58</v>
      </c>
      <c r="B28" s="3" t="s">
        <v>62</v>
      </c>
      <c r="C28" s="3" t="s">
        <v>63</v>
      </c>
      <c r="D28" s="3"/>
      <c r="E28" s="3"/>
      <c r="F28" s="3"/>
      <c r="G28" s="3"/>
      <c r="H28" s="3"/>
      <c r="I28" s="3"/>
      <c r="J28" s="3"/>
      <c r="K28" s="3" t="s">
        <v>26</v>
      </c>
      <c r="L28" s="3" t="s">
        <v>27</v>
      </c>
      <c r="M28" s="3"/>
      <c r="N28" s="3"/>
      <c r="O28" s="3"/>
      <c r="P28" s="3"/>
      <c r="Q28" s="4">
        <v>2.0</v>
      </c>
      <c r="R28" s="5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  <v>1</v>
      </c>
      <c r="S28" s="4">
        <v>2.0</v>
      </c>
      <c r="T28" s="5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  <v>1</v>
      </c>
      <c r="U28" s="4">
        <v>3.0</v>
      </c>
      <c r="V28" s="5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  <v>2</v>
      </c>
      <c r="W28" s="4">
        <v>13.0</v>
      </c>
      <c r="X28" s="5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  <v>11</v>
      </c>
      <c r="Y28" s="4">
        <v>5.0</v>
      </c>
      <c r="Z28" s="5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  <v>4</v>
      </c>
      <c r="AA28" s="3">
        <f t="shared" si="2"/>
        <v>17</v>
      </c>
      <c r="AB28" s="3" t="str">
        <f>IFERROR(__xludf.DUMMYFUNCTION("
      Ifs( 
        ISBETWEEN(AA28, 0, 'Points-Table'!C$20, TRUE, False), 'Points-Table'!A$20,
        ISBETWEEN(AA28, 'Points-Table'!C$20, 'Points-Table'!C$21, TRUE, False), 'Points-Table'!A$21,
        ISBETWEEN(AA28, 'Points-Table'!C$22, 10000, TRUE, "&amp;"TRUE), 'Points-Table'!A$22,
        true, 
        0)
      "),"S")</f>
        <v>S</v>
      </c>
      <c r="AC28" s="3" t="s">
        <v>28</v>
      </c>
      <c r="AD28" s="3" t="s">
        <v>28</v>
      </c>
      <c r="AE28" s="3" t="s">
        <v>28</v>
      </c>
    </row>
    <row r="29" ht="24.75" customHeight="1">
      <c r="A29" s="3" t="s">
        <v>58</v>
      </c>
      <c r="B29" s="3" t="s">
        <v>62</v>
      </c>
      <c r="C29" s="3" t="s">
        <v>64</v>
      </c>
      <c r="D29" s="3" t="s">
        <v>65</v>
      </c>
      <c r="E29" s="3"/>
      <c r="F29" s="3"/>
      <c r="G29" s="3"/>
      <c r="H29" s="3"/>
      <c r="I29" s="3"/>
      <c r="J29" s="3"/>
      <c r="K29" s="3" t="s">
        <v>26</v>
      </c>
      <c r="L29" s="3" t="s">
        <v>27</v>
      </c>
      <c r="M29" s="3"/>
      <c r="N29" s="3"/>
      <c r="O29" s="3"/>
      <c r="P29" s="3"/>
      <c r="Q29" s="4">
        <v>2.0</v>
      </c>
      <c r="R29" s="5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  <v>1</v>
      </c>
      <c r="S29" s="4">
        <v>2.0</v>
      </c>
      <c r="T29" s="5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  <v>1</v>
      </c>
      <c r="U29" s="4">
        <v>3.0</v>
      </c>
      <c r="V29" s="5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  <v>2</v>
      </c>
      <c r="W29" s="4">
        <v>13.0</v>
      </c>
      <c r="X29" s="5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  <v>11</v>
      </c>
      <c r="Y29" s="4">
        <v>5.0</v>
      </c>
      <c r="Z29" s="5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  <v>4</v>
      </c>
      <c r="AA29" s="3">
        <f t="shared" si="2"/>
        <v>17</v>
      </c>
      <c r="AB29" s="3" t="str">
        <f>IFERROR(__xludf.DUMMYFUNCTION("
      Ifs( 
        ISBETWEEN(AA29, 0, 'Points-Table'!C$20, TRUE, False), 'Points-Table'!A$20,
        ISBETWEEN(AA29, 'Points-Table'!C$20, 'Points-Table'!C$21, TRUE, False), 'Points-Table'!A$21,
        ISBETWEEN(AA29, 'Points-Table'!C$22, 10000, TRUE, "&amp;"TRUE), 'Points-Table'!A$22,
        true, 
        0)
      "),"S")</f>
        <v>S</v>
      </c>
      <c r="AC29" s="3" t="s">
        <v>28</v>
      </c>
      <c r="AD29" s="3" t="s">
        <v>28</v>
      </c>
      <c r="AE29" s="3" t="s">
        <v>28</v>
      </c>
    </row>
    <row r="30" ht="24.75" customHeight="1">
      <c r="A30" s="3" t="s">
        <v>58</v>
      </c>
      <c r="B30" s="3" t="s">
        <v>62</v>
      </c>
      <c r="C30" s="3" t="s">
        <v>66</v>
      </c>
      <c r="D30" s="3"/>
      <c r="E30" s="3"/>
      <c r="F30" s="3"/>
      <c r="G30" s="3"/>
      <c r="H30" s="3"/>
      <c r="I30" s="3"/>
      <c r="J30" s="3"/>
      <c r="K30" s="3" t="s">
        <v>26</v>
      </c>
      <c r="L30" s="3" t="s">
        <v>27</v>
      </c>
      <c r="M30" s="3"/>
      <c r="N30" s="3"/>
      <c r="O30" s="3"/>
      <c r="P30" s="3"/>
      <c r="Q30" s="4"/>
      <c r="R30" s="5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  <v>0</v>
      </c>
      <c r="S30" s="4"/>
      <c r="T30" s="5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  <v>0</v>
      </c>
      <c r="U30" s="4">
        <v>5.0</v>
      </c>
      <c r="V30" s="5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  <v>4</v>
      </c>
      <c r="W30" s="4">
        <v>13.0</v>
      </c>
      <c r="X30" s="5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  <v>11</v>
      </c>
      <c r="Y30" s="4">
        <v>5.0</v>
      </c>
      <c r="Z30" s="5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  <v>4</v>
      </c>
      <c r="AA30" s="3">
        <f t="shared" si="2"/>
        <v>19</v>
      </c>
      <c r="AB30" s="3" t="str">
        <f>IFERROR(__xludf.DUMMYFUNCTION("
      Ifs( 
        ISBETWEEN(AA30, 0, 'Points-Table'!C$20, TRUE, False), 'Points-Table'!A$20,
        ISBETWEEN(AA30, 'Points-Table'!C$20, 'Points-Table'!C$21, TRUE, False), 'Points-Table'!A$21,
        ISBETWEEN(AA30, 'Points-Table'!C$22, 10000, TRUE, "&amp;"TRUE), 'Points-Table'!A$22,
        true, 
        0)
      "),"S")</f>
        <v>S</v>
      </c>
      <c r="AC30" s="3" t="s">
        <v>28</v>
      </c>
      <c r="AD30" s="3" t="s">
        <v>28</v>
      </c>
      <c r="AE30" s="3" t="s">
        <v>28</v>
      </c>
    </row>
    <row r="31" ht="24.75" customHeight="1">
      <c r="A31" s="3" t="s">
        <v>58</v>
      </c>
      <c r="B31" s="3" t="s">
        <v>62</v>
      </c>
      <c r="C31" s="3" t="s">
        <v>67</v>
      </c>
      <c r="D31" s="3"/>
      <c r="E31" s="3"/>
      <c r="F31" s="3"/>
      <c r="G31" s="3"/>
      <c r="H31" s="3"/>
      <c r="I31" s="3"/>
      <c r="J31" s="3"/>
      <c r="K31" s="3" t="s">
        <v>26</v>
      </c>
      <c r="L31" s="3" t="s">
        <v>27</v>
      </c>
      <c r="M31" s="3"/>
      <c r="N31" s="3"/>
      <c r="O31" s="3"/>
      <c r="P31" s="3"/>
      <c r="Q31" s="4"/>
      <c r="R31" s="5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  <v>0</v>
      </c>
      <c r="S31" s="4"/>
      <c r="T31" s="5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  <v>0</v>
      </c>
      <c r="U31" s="4">
        <v>5.0</v>
      </c>
      <c r="V31" s="5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  <v>4</v>
      </c>
      <c r="W31" s="4">
        <v>3.0</v>
      </c>
      <c r="X31" s="5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  <v>2</v>
      </c>
      <c r="Y31" s="4">
        <v>5.0</v>
      </c>
      <c r="Z31" s="5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  <v>4</v>
      </c>
      <c r="AA31" s="3">
        <f t="shared" si="2"/>
        <v>10</v>
      </c>
      <c r="AB31" s="3" t="str">
        <f>IFERROR(__xludf.DUMMYFUNCTION("
      Ifs( 
        ISBETWEEN(AA31, 0, 'Points-Table'!C$20, TRUE, False), 'Points-Table'!A$20,
        ISBETWEEN(AA31, 'Points-Table'!C$20, 'Points-Table'!C$21, TRUE, False), 'Points-Table'!A$21,
        ISBETWEEN(AA31, 'Points-Table'!C$22, 10000, TRUE, "&amp;"TRUE), 'Points-Table'!A$22,
        true, 
        0)
      "),"S")</f>
        <v>S</v>
      </c>
      <c r="AC31" s="3" t="s">
        <v>28</v>
      </c>
      <c r="AD31" s="3" t="s">
        <v>28</v>
      </c>
      <c r="AE31" s="3" t="s">
        <v>28</v>
      </c>
    </row>
    <row r="32" ht="24.75" customHeight="1">
      <c r="A32" s="6" t="s">
        <v>58</v>
      </c>
      <c r="B32" s="6" t="s">
        <v>62</v>
      </c>
      <c r="C32" s="6" t="s">
        <v>67</v>
      </c>
      <c r="D32" s="6"/>
      <c r="E32" s="6"/>
      <c r="F32" s="6"/>
      <c r="G32" s="6"/>
      <c r="H32" s="6"/>
      <c r="I32" s="6"/>
      <c r="J32" s="6"/>
      <c r="K32" s="6" t="s">
        <v>26</v>
      </c>
      <c r="L32" s="6" t="s">
        <v>27</v>
      </c>
      <c r="M32" s="6"/>
      <c r="N32" s="6"/>
      <c r="O32" s="6"/>
      <c r="P32" s="6"/>
      <c r="Q32" s="6"/>
      <c r="R32" s="6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  <v>0</v>
      </c>
      <c r="S32" s="6"/>
      <c r="T32" s="6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  <v>0</v>
      </c>
      <c r="U32" s="6"/>
      <c r="V32" s="6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  <v>0</v>
      </c>
      <c r="W32" s="6"/>
      <c r="X32" s="6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  <v>0</v>
      </c>
      <c r="Y32" s="6"/>
      <c r="Z32" s="6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  <v>0</v>
      </c>
      <c r="AA32" s="6">
        <f t="shared" si="2"/>
        <v>0</v>
      </c>
      <c r="AB32" s="6" t="str">
        <f>IFERROR(__xludf.DUMMYFUNCTION("
      Ifs( 
        ISBETWEEN(AA32, 0, 'Points-Table'!C$20, TRUE, False), 'Points-Table'!A$20,
        ISBETWEEN(AA32, 'Points-Table'!C$20, 'Points-Table'!C$21, TRUE, False), 'Points-Table'!A$21,
        ISBETWEEN(AA32, 'Points-Table'!C$22, 10000, TRUE, "&amp;"TRUE), 'Points-Table'!A$22,
        true, 
        0)
      "),"S")</f>
        <v>S</v>
      </c>
      <c r="AC32" s="6" t="s">
        <v>28</v>
      </c>
      <c r="AD32" s="6" t="s">
        <v>28</v>
      </c>
      <c r="AE32" s="6" t="s">
        <v>28</v>
      </c>
    </row>
    <row r="33" ht="24.75" customHeight="1">
      <c r="A33" s="6" t="s">
        <v>58</v>
      </c>
      <c r="B33" s="6" t="s">
        <v>62</v>
      </c>
      <c r="C33" s="6" t="s">
        <v>67</v>
      </c>
      <c r="D33" s="6"/>
      <c r="E33" s="6"/>
      <c r="F33" s="6"/>
      <c r="G33" s="6"/>
      <c r="H33" s="6"/>
      <c r="I33" s="6"/>
      <c r="J33" s="6"/>
      <c r="K33" s="6" t="s">
        <v>26</v>
      </c>
      <c r="L33" s="6" t="s">
        <v>27</v>
      </c>
      <c r="M33" s="6"/>
      <c r="N33" s="6"/>
      <c r="O33" s="6"/>
      <c r="P33" s="6"/>
      <c r="Q33" s="6"/>
      <c r="R33" s="6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  <v>0</v>
      </c>
      <c r="S33" s="6"/>
      <c r="T33" s="6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  <v>0</v>
      </c>
      <c r="U33" s="6"/>
      <c r="V33" s="6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  <v>0</v>
      </c>
      <c r="W33" s="6"/>
      <c r="X33" s="6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  <v>0</v>
      </c>
      <c r="Y33" s="6"/>
      <c r="Z33" s="6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  <v>0</v>
      </c>
      <c r="AA33" s="6">
        <f t="shared" si="2"/>
        <v>0</v>
      </c>
      <c r="AB33" s="6" t="str">
        <f>IFERROR(__xludf.DUMMYFUNCTION("
      Ifs( 
        ISBETWEEN(AA33, 0, 'Points-Table'!C$20, TRUE, False), 'Points-Table'!A$20,
        ISBETWEEN(AA33, 'Points-Table'!C$20, 'Points-Table'!C$21, TRUE, False), 'Points-Table'!A$21,
        ISBETWEEN(AA33, 'Points-Table'!C$22, 10000, TRUE, "&amp;"TRUE), 'Points-Table'!A$22,
        true, 
        0)
      "),"S")</f>
        <v>S</v>
      </c>
      <c r="AC33" s="6" t="s">
        <v>28</v>
      </c>
      <c r="AD33" s="6" t="s">
        <v>28</v>
      </c>
      <c r="AE33" s="6" t="s">
        <v>28</v>
      </c>
    </row>
    <row r="34" ht="24.75" customHeight="1">
      <c r="A34" s="6" t="s">
        <v>58</v>
      </c>
      <c r="B34" s="6" t="s">
        <v>62</v>
      </c>
      <c r="C34" s="6" t="s">
        <v>67</v>
      </c>
      <c r="D34" s="6"/>
      <c r="E34" s="6"/>
      <c r="F34" s="6"/>
      <c r="G34" s="6"/>
      <c r="H34" s="6"/>
      <c r="I34" s="6"/>
      <c r="J34" s="6"/>
      <c r="K34" s="6" t="s">
        <v>26</v>
      </c>
      <c r="L34" s="6" t="s">
        <v>27</v>
      </c>
      <c r="M34" s="6"/>
      <c r="N34" s="6"/>
      <c r="O34" s="6"/>
      <c r="P34" s="6"/>
      <c r="Q34" s="6"/>
      <c r="R34" s="6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  <v>0</v>
      </c>
      <c r="S34" s="6"/>
      <c r="T34" s="6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  <v>0</v>
      </c>
      <c r="U34" s="6"/>
      <c r="V34" s="6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  <v>0</v>
      </c>
      <c r="W34" s="6"/>
      <c r="X34" s="6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  <v>0</v>
      </c>
      <c r="Y34" s="6"/>
      <c r="Z34" s="6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  <v>0</v>
      </c>
      <c r="AA34" s="6">
        <f t="shared" si="2"/>
        <v>0</v>
      </c>
      <c r="AB34" s="6" t="str">
        <f>IFERROR(__xludf.DUMMYFUNCTION("
      Ifs( 
        ISBETWEEN(AA34, 0, 'Points-Table'!C$20, TRUE, False), 'Points-Table'!A$20,
        ISBETWEEN(AA34, 'Points-Table'!C$20, 'Points-Table'!C$21, TRUE, False), 'Points-Table'!A$21,
        ISBETWEEN(AA34, 'Points-Table'!C$22, 10000, TRUE, "&amp;"TRUE), 'Points-Table'!A$22,
        true, 
        0)
      "),"S")</f>
        <v>S</v>
      </c>
      <c r="AC34" s="6" t="s">
        <v>28</v>
      </c>
      <c r="AD34" s="6" t="s">
        <v>28</v>
      </c>
      <c r="AE34" s="6" t="s">
        <v>28</v>
      </c>
    </row>
    <row r="35" ht="24.75" customHeight="1">
      <c r="A35" s="6" t="s">
        <v>58</v>
      </c>
      <c r="B35" s="6" t="s">
        <v>62</v>
      </c>
      <c r="C35" s="6" t="s">
        <v>67</v>
      </c>
      <c r="D35" s="6"/>
      <c r="E35" s="6"/>
      <c r="F35" s="6"/>
      <c r="G35" s="6"/>
      <c r="H35" s="6"/>
      <c r="I35" s="6"/>
      <c r="J35" s="6"/>
      <c r="K35" s="6" t="s">
        <v>26</v>
      </c>
      <c r="L35" s="6" t="s">
        <v>27</v>
      </c>
      <c r="M35" s="6"/>
      <c r="N35" s="6"/>
      <c r="O35" s="6"/>
      <c r="P35" s="6"/>
      <c r="Q35" s="6"/>
      <c r="R35" s="6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  <v>0</v>
      </c>
      <c r="S35" s="6"/>
      <c r="T35" s="6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  <v>0</v>
      </c>
      <c r="U35" s="6"/>
      <c r="V35" s="6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  <v>0</v>
      </c>
      <c r="W35" s="6"/>
      <c r="X35" s="6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  <v>0</v>
      </c>
      <c r="Y35" s="6"/>
      <c r="Z35" s="6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  <v>0</v>
      </c>
      <c r="AA35" s="6">
        <f t="shared" si="2"/>
        <v>0</v>
      </c>
      <c r="AB35" s="6" t="str">
        <f>IFERROR(__xludf.DUMMYFUNCTION("
      Ifs( 
        ISBETWEEN(AA35, 0, 'Points-Table'!C$20, TRUE, False), 'Points-Table'!A$20,
        ISBETWEEN(AA35, 'Points-Table'!C$20, 'Points-Table'!C$21, TRUE, False), 'Points-Table'!A$21,
        ISBETWEEN(AA35, 'Points-Table'!C$22, 10000, TRUE, "&amp;"TRUE), 'Points-Table'!A$22,
        true, 
        0)
      "),"S")</f>
        <v>S</v>
      </c>
      <c r="AC35" s="6" t="s">
        <v>28</v>
      </c>
      <c r="AD35" s="6" t="s">
        <v>28</v>
      </c>
      <c r="AE35" s="6" t="s">
        <v>28</v>
      </c>
    </row>
    <row r="36" ht="24.75" customHeight="1">
      <c r="A36" s="3" t="s">
        <v>58</v>
      </c>
      <c r="B36" s="3" t="s">
        <v>68</v>
      </c>
      <c r="C36" s="3"/>
      <c r="D36" s="3"/>
      <c r="E36" s="3"/>
      <c r="F36" s="3"/>
      <c r="G36" s="3"/>
      <c r="H36" s="3"/>
      <c r="I36" s="3"/>
      <c r="J36" s="3"/>
      <c r="K36" s="3" t="s">
        <v>26</v>
      </c>
      <c r="L36" s="3" t="s">
        <v>27</v>
      </c>
      <c r="M36" s="3"/>
      <c r="N36" s="3"/>
      <c r="O36" s="3"/>
      <c r="P36" s="3"/>
      <c r="Q36" s="4">
        <v>2.0</v>
      </c>
      <c r="R36" s="5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  <v>1</v>
      </c>
      <c r="S36" s="4">
        <v>2.0</v>
      </c>
      <c r="T36" s="5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  <v>1</v>
      </c>
      <c r="U36" s="4">
        <v>2.0</v>
      </c>
      <c r="V36" s="5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  <v>1</v>
      </c>
      <c r="W36" s="4">
        <v>2.0</v>
      </c>
      <c r="X36" s="5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  <v>1</v>
      </c>
      <c r="Y36" s="4"/>
      <c r="Z36" s="5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  <v>0</v>
      </c>
      <c r="AA36" s="3">
        <f t="shared" si="2"/>
        <v>2</v>
      </c>
      <c r="AB36" s="3" t="str">
        <f>IFERROR(__xludf.DUMMYFUNCTION("
      Ifs( 
        ISBETWEEN(AA36, 0, 'Points-Table'!C$20, TRUE, False), 'Points-Table'!A$20,
        ISBETWEEN(AA36, 'Points-Table'!C$20, 'Points-Table'!C$21, TRUE, False), 'Points-Table'!A$21,
        ISBETWEEN(AA36, 'Points-Table'!C$22, 10000, TRUE, "&amp;"TRUE), 'Points-Table'!A$22,
        true, 
        0)
      "),"S")</f>
        <v>S</v>
      </c>
      <c r="AC36" s="3" t="s">
        <v>28</v>
      </c>
      <c r="AD36" s="3" t="s">
        <v>28</v>
      </c>
      <c r="AE36" s="3" t="s">
        <v>28</v>
      </c>
    </row>
    <row r="37" ht="24.75" customHeight="1">
      <c r="A37" s="3" t="s">
        <v>69</v>
      </c>
      <c r="B37" s="3" t="s">
        <v>70</v>
      </c>
      <c r="C37" s="3"/>
      <c r="D37" s="3"/>
      <c r="E37" s="3"/>
      <c r="F37" s="3"/>
      <c r="G37" s="3"/>
      <c r="H37" s="3"/>
      <c r="I37" s="3"/>
      <c r="J37" s="3"/>
      <c r="K37" s="3" t="s">
        <v>26</v>
      </c>
      <c r="L37" s="3" t="s">
        <v>27</v>
      </c>
      <c r="M37" s="3"/>
      <c r="N37" s="3"/>
      <c r="O37" s="3"/>
      <c r="P37" s="3"/>
      <c r="Q37" s="4">
        <v>2.0</v>
      </c>
      <c r="R37" s="5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  <v>1</v>
      </c>
      <c r="S37" s="4">
        <v>2.0</v>
      </c>
      <c r="T37" s="5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  <v>1</v>
      </c>
      <c r="U37" s="4">
        <v>13.0</v>
      </c>
      <c r="V37" s="5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  <v>11</v>
      </c>
      <c r="W37" s="4">
        <v>13.0</v>
      </c>
      <c r="X37" s="5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  <v>11</v>
      </c>
      <c r="Y37" s="4">
        <v>8.0</v>
      </c>
      <c r="Z37" s="5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  <v>7</v>
      </c>
      <c r="AA37" s="3">
        <f t="shared" si="2"/>
        <v>29</v>
      </c>
      <c r="AB37" s="3" t="str">
        <f>IFERROR(__xludf.DUMMYFUNCTION("
      Ifs( 
        ISBETWEEN(AA37, 0, 'Points-Table'!C$20, TRUE, False), 'Points-Table'!A$20,
        ISBETWEEN(AA37, 'Points-Table'!C$20, 'Points-Table'!C$21, TRUE, False), 'Points-Table'!A$21,
        ISBETWEEN(AA37, 'Points-Table'!C$22, 10000, TRUE, "&amp;"TRUE), 'Points-Table'!A$22,
        true, 
        0)
      "),"S")</f>
        <v>S</v>
      </c>
      <c r="AC37" s="3" t="s">
        <v>28</v>
      </c>
      <c r="AD37" s="3" t="s">
        <v>28</v>
      </c>
      <c r="AE37" s="3" t="s">
        <v>28</v>
      </c>
    </row>
    <row r="38" ht="24.75" customHeight="1">
      <c r="A38" s="3" t="s">
        <v>69</v>
      </c>
      <c r="B38" s="3" t="s">
        <v>71</v>
      </c>
      <c r="C38" s="3" t="s">
        <v>72</v>
      </c>
      <c r="D38" s="3"/>
      <c r="E38" s="3"/>
      <c r="F38" s="3"/>
      <c r="G38" s="3"/>
      <c r="H38" s="3"/>
      <c r="I38" s="3"/>
      <c r="J38" s="3"/>
      <c r="K38" s="3" t="s">
        <v>26</v>
      </c>
      <c r="L38" s="3" t="s">
        <v>27</v>
      </c>
      <c r="M38" s="3"/>
      <c r="N38" s="3"/>
      <c r="O38" s="3"/>
      <c r="P38" s="3"/>
      <c r="Q38" s="4"/>
      <c r="R38" s="5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  <v>0</v>
      </c>
      <c r="S38" s="4"/>
      <c r="T38" s="5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  <v>0</v>
      </c>
      <c r="U38" s="4">
        <v>3.0</v>
      </c>
      <c r="V38" s="5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  <v>2</v>
      </c>
      <c r="W38" s="4">
        <v>8.0</v>
      </c>
      <c r="X38" s="5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  <v>7</v>
      </c>
      <c r="Y38" s="4">
        <v>8.0</v>
      </c>
      <c r="Z38" s="5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  <v>7</v>
      </c>
      <c r="AA38" s="3">
        <f t="shared" si="2"/>
        <v>16</v>
      </c>
      <c r="AB38" s="3" t="str">
        <f>IFERROR(__xludf.DUMMYFUNCTION("
      Ifs( 
        ISBETWEEN(AA38, 0, 'Points-Table'!C$20, TRUE, False), 'Points-Table'!A$20,
        ISBETWEEN(AA38, 'Points-Table'!C$20, 'Points-Table'!C$21, TRUE, False), 'Points-Table'!A$21,
        ISBETWEEN(AA38, 'Points-Table'!C$22, 10000, TRUE, "&amp;"TRUE), 'Points-Table'!A$22,
        true, 
        0)
      "),"S")</f>
        <v>S</v>
      </c>
      <c r="AC38" s="3" t="s">
        <v>28</v>
      </c>
      <c r="AD38" s="3" t="s">
        <v>28</v>
      </c>
      <c r="AE38" s="3" t="s">
        <v>28</v>
      </c>
    </row>
    <row r="39" ht="24.75" customHeight="1">
      <c r="A39" s="3" t="s">
        <v>69</v>
      </c>
      <c r="B39" s="3" t="s">
        <v>71</v>
      </c>
      <c r="C39" s="3" t="s">
        <v>73</v>
      </c>
      <c r="D39" s="3"/>
      <c r="E39" s="3"/>
      <c r="F39" s="3"/>
      <c r="G39" s="3"/>
      <c r="H39" s="3"/>
      <c r="I39" s="3"/>
      <c r="J39" s="3"/>
      <c r="K39" s="3" t="s">
        <v>26</v>
      </c>
      <c r="L39" s="3" t="s">
        <v>27</v>
      </c>
      <c r="M39" s="3"/>
      <c r="N39" s="3"/>
      <c r="O39" s="3"/>
      <c r="P39" s="3"/>
      <c r="Q39" s="4">
        <v>2.0</v>
      </c>
      <c r="R39" s="5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  <v>1</v>
      </c>
      <c r="S39" s="4">
        <v>2.0</v>
      </c>
      <c r="T39" s="5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  <v>1</v>
      </c>
      <c r="U39" s="4">
        <v>3.0</v>
      </c>
      <c r="V39" s="5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  <v>2</v>
      </c>
      <c r="W39" s="4">
        <v>8.0</v>
      </c>
      <c r="X39" s="5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  <v>7</v>
      </c>
      <c r="Y39" s="4">
        <v>8.0</v>
      </c>
      <c r="Z39" s="5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  <v>7</v>
      </c>
      <c r="AA39" s="3">
        <f t="shared" si="2"/>
        <v>16</v>
      </c>
      <c r="AB39" s="3" t="str">
        <f>IFERROR(__xludf.DUMMYFUNCTION("
      Ifs( 
        ISBETWEEN(AA39, 0, 'Points-Table'!C$20, TRUE, False), 'Points-Table'!A$20,
        ISBETWEEN(AA39, 'Points-Table'!C$20, 'Points-Table'!C$21, TRUE, False), 'Points-Table'!A$21,
        ISBETWEEN(AA39, 'Points-Table'!C$22, 10000, TRUE, "&amp;"TRUE), 'Points-Table'!A$22,
        true, 
        0)
      "),"S")</f>
        <v>S</v>
      </c>
      <c r="AC39" s="3" t="s">
        <v>28</v>
      </c>
      <c r="AD39" s="3" t="s">
        <v>28</v>
      </c>
      <c r="AE39" s="3" t="s">
        <v>28</v>
      </c>
    </row>
    <row r="40" ht="24.75" customHeight="1">
      <c r="A40" s="3" t="s">
        <v>69</v>
      </c>
      <c r="B40" s="3" t="s">
        <v>74</v>
      </c>
      <c r="C40" s="3" t="s">
        <v>75</v>
      </c>
      <c r="D40" s="3"/>
      <c r="E40" s="3"/>
      <c r="F40" s="3"/>
      <c r="G40" s="3"/>
      <c r="H40" s="3"/>
      <c r="I40" s="3"/>
      <c r="J40" s="3"/>
      <c r="K40" s="3" t="s">
        <v>26</v>
      </c>
      <c r="L40" s="3" t="s">
        <v>27</v>
      </c>
      <c r="M40" s="3"/>
      <c r="N40" s="3"/>
      <c r="O40" s="3"/>
      <c r="P40" s="3"/>
      <c r="Q40" s="4">
        <v>2.0</v>
      </c>
      <c r="R40" s="5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  <v>1</v>
      </c>
      <c r="S40" s="4">
        <v>2.0</v>
      </c>
      <c r="T40" s="5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  <v>1</v>
      </c>
      <c r="U40" s="4">
        <v>3.0</v>
      </c>
      <c r="V40" s="5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  <v>2</v>
      </c>
      <c r="W40" s="4">
        <v>8.0</v>
      </c>
      <c r="X40" s="5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  <v>7</v>
      </c>
      <c r="Y40" s="4">
        <v>5.0</v>
      </c>
      <c r="Z40" s="5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  <v>4</v>
      </c>
      <c r="AA40" s="3">
        <f t="shared" si="2"/>
        <v>13</v>
      </c>
      <c r="AB40" s="3" t="str">
        <f>IFERROR(__xludf.DUMMYFUNCTION("
      Ifs( 
        ISBETWEEN(AA40, 0, 'Points-Table'!C$20, TRUE, False), 'Points-Table'!A$20,
        ISBETWEEN(AA40, 'Points-Table'!C$20, 'Points-Table'!C$21, TRUE, False), 'Points-Table'!A$21,
        ISBETWEEN(AA40, 'Points-Table'!C$22, 10000, TRUE, "&amp;"TRUE), 'Points-Table'!A$22,
        true, 
        0)
      "),"S")</f>
        <v>S</v>
      </c>
      <c r="AC40" s="3" t="s">
        <v>28</v>
      </c>
      <c r="AD40" s="3" t="s">
        <v>28</v>
      </c>
      <c r="AE40" s="3" t="s">
        <v>28</v>
      </c>
    </row>
    <row r="41" ht="24.75" customHeight="1">
      <c r="A41" s="3" t="s">
        <v>69</v>
      </c>
      <c r="B41" s="3" t="s">
        <v>74</v>
      </c>
      <c r="C41" s="3" t="s">
        <v>76</v>
      </c>
      <c r="D41" s="3"/>
      <c r="E41" s="3"/>
      <c r="F41" s="3"/>
      <c r="G41" s="3"/>
      <c r="H41" s="3"/>
      <c r="I41" s="3"/>
      <c r="J41" s="3"/>
      <c r="K41" s="3" t="s">
        <v>26</v>
      </c>
      <c r="L41" s="3" t="s">
        <v>27</v>
      </c>
      <c r="M41" s="3"/>
      <c r="N41" s="3"/>
      <c r="O41" s="3"/>
      <c r="P41" s="3"/>
      <c r="Q41" s="4"/>
      <c r="R41" s="5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  <v>0</v>
      </c>
      <c r="S41" s="4"/>
      <c r="T41" s="5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  <v>0</v>
      </c>
      <c r="U41" s="4">
        <v>3.0</v>
      </c>
      <c r="V41" s="5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  <v>2</v>
      </c>
      <c r="W41" s="4">
        <v>8.0</v>
      </c>
      <c r="X41" s="5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  <v>7</v>
      </c>
      <c r="Y41" s="4">
        <v>5.0</v>
      </c>
      <c r="Z41" s="5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  <v>4</v>
      </c>
      <c r="AA41" s="3">
        <f t="shared" si="2"/>
        <v>13</v>
      </c>
      <c r="AB41" s="3" t="str">
        <f>IFERROR(__xludf.DUMMYFUNCTION("
      Ifs( 
        ISBETWEEN(AA41, 0, 'Points-Table'!C$20, TRUE, False), 'Points-Table'!A$20,
        ISBETWEEN(AA41, 'Points-Table'!C$20, 'Points-Table'!C$21, TRUE, False), 'Points-Table'!A$21,
        ISBETWEEN(AA41, 'Points-Table'!C$22, 10000, TRUE, "&amp;"TRUE), 'Points-Table'!A$22,
        true, 
        0)
      "),"S")</f>
        <v>S</v>
      </c>
      <c r="AC41" s="3" t="s">
        <v>28</v>
      </c>
      <c r="AD41" s="3" t="s">
        <v>28</v>
      </c>
      <c r="AE41" s="3" t="s">
        <v>28</v>
      </c>
    </row>
    <row r="42" ht="24.75" customHeight="1">
      <c r="A42" s="3" t="s">
        <v>69</v>
      </c>
      <c r="B42" s="3" t="s">
        <v>77</v>
      </c>
      <c r="C42" s="3"/>
      <c r="D42" s="3"/>
      <c r="E42" s="3"/>
      <c r="F42" s="3"/>
      <c r="G42" s="3"/>
      <c r="H42" s="3"/>
      <c r="I42" s="3"/>
      <c r="J42" s="3"/>
      <c r="K42" s="3" t="s">
        <v>26</v>
      </c>
      <c r="L42" s="3" t="s">
        <v>27</v>
      </c>
      <c r="M42" s="3"/>
      <c r="N42" s="3"/>
      <c r="O42" s="3"/>
      <c r="P42" s="3"/>
      <c r="Q42" s="4">
        <v>2.0</v>
      </c>
      <c r="R42" s="5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  <v>1</v>
      </c>
      <c r="S42" s="4">
        <v>2.0</v>
      </c>
      <c r="T42" s="5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  <v>1</v>
      </c>
      <c r="U42" s="4">
        <v>2.0</v>
      </c>
      <c r="V42" s="5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  <v>1</v>
      </c>
      <c r="W42" s="4">
        <v>2.0</v>
      </c>
      <c r="X42" s="5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  <v>1</v>
      </c>
      <c r="Y42" s="4">
        <v>2.0</v>
      </c>
      <c r="Z42" s="5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  <v>1</v>
      </c>
      <c r="AA42" s="3">
        <f t="shared" si="2"/>
        <v>3</v>
      </c>
      <c r="AB42" s="3" t="str">
        <f>IFERROR(__xludf.DUMMYFUNCTION("
      Ifs( 
        ISBETWEEN(AA42, 0, 'Points-Table'!C$20, TRUE, False), 'Points-Table'!A$20,
        ISBETWEEN(AA42, 'Points-Table'!C$20, 'Points-Table'!C$21, TRUE, False), 'Points-Table'!A$21,
        ISBETWEEN(AA42, 'Points-Table'!C$22, 10000, TRUE, "&amp;"TRUE), 'Points-Table'!A$22,
        true, 
        0)
      "),"S")</f>
        <v>S</v>
      </c>
      <c r="AC42" s="3" t="s">
        <v>28</v>
      </c>
      <c r="AD42" s="3" t="s">
        <v>28</v>
      </c>
      <c r="AE42" s="3" t="s">
        <v>28</v>
      </c>
    </row>
    <row r="43" ht="24.75" customHeight="1">
      <c r="A43" s="3" t="s">
        <v>69</v>
      </c>
      <c r="B43" s="3" t="s">
        <v>78</v>
      </c>
      <c r="C43" s="3" t="s">
        <v>79</v>
      </c>
      <c r="D43" s="3"/>
      <c r="E43" s="3"/>
      <c r="F43" s="3"/>
      <c r="G43" s="3"/>
      <c r="H43" s="3"/>
      <c r="I43" s="3"/>
      <c r="J43" s="3"/>
      <c r="K43" s="3" t="s">
        <v>26</v>
      </c>
      <c r="L43" s="3" t="s">
        <v>27</v>
      </c>
      <c r="M43" s="3"/>
      <c r="N43" s="3"/>
      <c r="O43" s="3"/>
      <c r="P43" s="3"/>
      <c r="Q43" s="4">
        <v>2.0</v>
      </c>
      <c r="R43" s="5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  <v>1</v>
      </c>
      <c r="S43" s="4">
        <v>2.0</v>
      </c>
      <c r="T43" s="5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  <v>1</v>
      </c>
      <c r="U43" s="4">
        <v>1.0</v>
      </c>
      <c r="V43" s="5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  <v>0.5</v>
      </c>
      <c r="W43" s="4">
        <v>3.0</v>
      </c>
      <c r="X43" s="5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  <v>2</v>
      </c>
      <c r="Y43" s="4">
        <v>5.0</v>
      </c>
      <c r="Z43" s="5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  <v>4</v>
      </c>
      <c r="AA43" s="3">
        <f t="shared" si="2"/>
        <v>6.5</v>
      </c>
      <c r="AB43" s="3" t="str">
        <f>IFERROR(__xludf.DUMMYFUNCTION("
      Ifs( 
        ISBETWEEN(AA43, 0, 'Points-Table'!C$20, TRUE, False), 'Points-Table'!A$20,
        ISBETWEEN(AA43, 'Points-Table'!C$20, 'Points-Table'!C$21, TRUE, False), 'Points-Table'!A$21,
        ISBETWEEN(AA43, 'Points-Table'!C$22, 10000, TRUE, "&amp;"TRUE), 'Points-Table'!A$22,
        true, 
        0)
      "),"S")</f>
        <v>S</v>
      </c>
      <c r="AC43" s="3" t="s">
        <v>28</v>
      </c>
      <c r="AD43" s="3" t="s">
        <v>28</v>
      </c>
      <c r="AE43" s="3" t="s">
        <v>28</v>
      </c>
    </row>
    <row r="44" ht="24.75" customHeight="1">
      <c r="A44" s="3" t="s">
        <v>69</v>
      </c>
      <c r="B44" s="3" t="s">
        <v>78</v>
      </c>
      <c r="C44" s="3" t="s">
        <v>80</v>
      </c>
      <c r="D44" s="3"/>
      <c r="E44" s="3"/>
      <c r="F44" s="3"/>
      <c r="G44" s="3"/>
      <c r="H44" s="3"/>
      <c r="I44" s="3"/>
      <c r="J44" s="3"/>
      <c r="K44" s="3" t="s">
        <v>26</v>
      </c>
      <c r="L44" s="3" t="s">
        <v>27</v>
      </c>
      <c r="M44" s="3"/>
      <c r="N44" s="3"/>
      <c r="O44" s="3"/>
      <c r="P44" s="3"/>
      <c r="Q44" s="4"/>
      <c r="R44" s="5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  <v>0</v>
      </c>
      <c r="S44" s="4"/>
      <c r="T44" s="5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  <v>0</v>
      </c>
      <c r="U44" s="4">
        <v>1.0</v>
      </c>
      <c r="V44" s="5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  <v>0.5</v>
      </c>
      <c r="W44" s="4">
        <v>3.0</v>
      </c>
      <c r="X44" s="5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  <v>2</v>
      </c>
      <c r="Y44" s="4">
        <v>5.0</v>
      </c>
      <c r="Z44" s="5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  <v>4</v>
      </c>
      <c r="AA44" s="3">
        <f t="shared" si="2"/>
        <v>6.5</v>
      </c>
      <c r="AB44" s="3" t="str">
        <f>IFERROR(__xludf.DUMMYFUNCTION("
      Ifs( 
        ISBETWEEN(AA44, 0, 'Points-Table'!C$20, TRUE, False), 'Points-Table'!A$20,
        ISBETWEEN(AA44, 'Points-Table'!C$20, 'Points-Table'!C$21, TRUE, False), 'Points-Table'!A$21,
        ISBETWEEN(AA44, 'Points-Table'!C$22, 10000, TRUE, "&amp;"TRUE), 'Points-Table'!A$22,
        true, 
        0)
      "),"S")</f>
        <v>S</v>
      </c>
      <c r="AC44" s="3" t="s">
        <v>28</v>
      </c>
      <c r="AD44" s="3" t="s">
        <v>28</v>
      </c>
      <c r="AE44" s="3" t="s">
        <v>28</v>
      </c>
    </row>
    <row r="45" ht="24.75" customHeight="1">
      <c r="A45" s="3" t="s">
        <v>69</v>
      </c>
      <c r="B45" s="3" t="s">
        <v>81</v>
      </c>
      <c r="C45" s="3"/>
      <c r="D45" s="3"/>
      <c r="E45" s="3"/>
      <c r="F45" s="3"/>
      <c r="G45" s="3"/>
      <c r="H45" s="3"/>
      <c r="I45" s="3"/>
      <c r="J45" s="3"/>
      <c r="K45" s="3" t="s">
        <v>26</v>
      </c>
      <c r="L45" s="3" t="s">
        <v>27</v>
      </c>
      <c r="M45" s="3"/>
      <c r="N45" s="3"/>
      <c r="O45" s="3"/>
      <c r="P45" s="3"/>
      <c r="Q45" s="4"/>
      <c r="R45" s="5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  <v>0</v>
      </c>
      <c r="S45" s="4"/>
      <c r="T45" s="5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  <v>0</v>
      </c>
      <c r="U45" s="4">
        <v>3.0</v>
      </c>
      <c r="V45" s="5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  <v>2</v>
      </c>
      <c r="W45" s="4">
        <v>8.0</v>
      </c>
      <c r="X45" s="5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  <v>7</v>
      </c>
      <c r="Y45" s="4"/>
      <c r="Z45" s="5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  <v>0</v>
      </c>
      <c r="AA45" s="3">
        <f t="shared" si="2"/>
        <v>9</v>
      </c>
      <c r="AB45" s="3" t="str">
        <f>IFERROR(__xludf.DUMMYFUNCTION("
      Ifs( 
        ISBETWEEN(AA45, 0, 'Points-Table'!C$20, TRUE, False), 'Points-Table'!A$20,
        ISBETWEEN(AA45, 'Points-Table'!C$20, 'Points-Table'!C$21, TRUE, False), 'Points-Table'!A$21,
        ISBETWEEN(AA45, 'Points-Table'!C$22, 10000, TRUE, "&amp;"TRUE), 'Points-Table'!A$22,
        true, 
        0)
      "),"S")</f>
        <v>S</v>
      </c>
      <c r="AC45" s="3" t="s">
        <v>28</v>
      </c>
      <c r="AD45" s="3" t="s">
        <v>28</v>
      </c>
      <c r="AE45" s="3" t="s">
        <v>28</v>
      </c>
    </row>
    <row r="46" ht="24.75" customHeight="1">
      <c r="A46" s="3" t="s">
        <v>69</v>
      </c>
      <c r="B46" s="3" t="s">
        <v>82</v>
      </c>
      <c r="C46" s="3"/>
      <c r="D46" s="3"/>
      <c r="E46" s="3"/>
      <c r="F46" s="3"/>
      <c r="G46" s="3"/>
      <c r="H46" s="3"/>
      <c r="I46" s="3"/>
      <c r="J46" s="3"/>
      <c r="K46" s="3" t="s">
        <v>26</v>
      </c>
      <c r="L46" s="3" t="s">
        <v>27</v>
      </c>
      <c r="M46" s="3"/>
      <c r="N46" s="3"/>
      <c r="O46" s="3"/>
      <c r="P46" s="3"/>
      <c r="Q46" s="4">
        <v>2.0</v>
      </c>
      <c r="R46" s="5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  <v>1</v>
      </c>
      <c r="S46" s="4">
        <v>2.0</v>
      </c>
      <c r="T46" s="5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  <v>1</v>
      </c>
      <c r="U46" s="4">
        <v>5.0</v>
      </c>
      <c r="V46" s="5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  <v>4</v>
      </c>
      <c r="W46" s="4">
        <v>5.0</v>
      </c>
      <c r="X46" s="5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  <v>4</v>
      </c>
      <c r="Y46" s="4">
        <v>5.0</v>
      </c>
      <c r="Z46" s="5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  <v>4</v>
      </c>
      <c r="AA46" s="3">
        <f t="shared" si="2"/>
        <v>12</v>
      </c>
      <c r="AB46" s="3" t="str">
        <f>IFERROR(__xludf.DUMMYFUNCTION("
      Ifs( 
        ISBETWEEN(AA46, 0, 'Points-Table'!C$20, TRUE, False), 'Points-Table'!A$20,
        ISBETWEEN(AA46, 'Points-Table'!C$20, 'Points-Table'!C$21, TRUE, False), 'Points-Table'!A$21,
        ISBETWEEN(AA46, 'Points-Table'!C$22, 10000, TRUE, "&amp;"TRUE), 'Points-Table'!A$22,
        true, 
        0)
      "),"S")</f>
        <v>S</v>
      </c>
      <c r="AC46" s="3" t="s">
        <v>28</v>
      </c>
      <c r="AD46" s="3" t="s">
        <v>28</v>
      </c>
      <c r="AE46" s="3" t="s">
        <v>28</v>
      </c>
    </row>
    <row r="47" ht="24.75" customHeight="1">
      <c r="A47" s="3" t="s">
        <v>69</v>
      </c>
      <c r="B47" s="3" t="s">
        <v>83</v>
      </c>
      <c r="C47" s="3"/>
      <c r="D47" s="3"/>
      <c r="E47" s="3"/>
      <c r="F47" s="3"/>
      <c r="G47" s="3"/>
      <c r="H47" s="3"/>
      <c r="I47" s="3"/>
      <c r="J47" s="3"/>
      <c r="K47" s="3" t="s">
        <v>26</v>
      </c>
      <c r="L47" s="3" t="s">
        <v>27</v>
      </c>
      <c r="M47" s="3"/>
      <c r="N47" s="3"/>
      <c r="O47" s="3"/>
      <c r="P47" s="3"/>
      <c r="Q47" s="4"/>
      <c r="R47" s="5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  <v>0</v>
      </c>
      <c r="S47" s="4"/>
      <c r="T47" s="5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  <v>0</v>
      </c>
      <c r="U47" s="4">
        <v>13.0</v>
      </c>
      <c r="V47" s="5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  <v>11</v>
      </c>
      <c r="W47" s="4">
        <v>8.0</v>
      </c>
      <c r="X47" s="5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  <v>7</v>
      </c>
      <c r="Y47" s="4">
        <v>5.0</v>
      </c>
      <c r="Z47" s="5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  <v>4</v>
      </c>
      <c r="AA47" s="3">
        <f t="shared" si="2"/>
        <v>22</v>
      </c>
      <c r="AB47" s="3" t="str">
        <f>IFERROR(__xludf.DUMMYFUNCTION("
      Ifs( 
        ISBETWEEN(AA47, 0, 'Points-Table'!C$20, TRUE, False), 'Points-Table'!A$20,
        ISBETWEEN(AA47, 'Points-Table'!C$20, 'Points-Table'!C$21, TRUE, False), 'Points-Table'!A$21,
        ISBETWEEN(AA47, 'Points-Table'!C$22, 10000, TRUE, "&amp;"TRUE), 'Points-Table'!A$22,
        true, 
        0)
      "),"S")</f>
        <v>S</v>
      </c>
      <c r="AC47" s="3" t="s">
        <v>28</v>
      </c>
      <c r="AD47" s="3" t="s">
        <v>28</v>
      </c>
      <c r="AE47" s="3" t="s">
        <v>28</v>
      </c>
    </row>
    <row r="48" ht="24.75" customHeight="1">
      <c r="A48" s="3" t="s">
        <v>69</v>
      </c>
      <c r="B48" s="3" t="s">
        <v>84</v>
      </c>
      <c r="C48" s="3" t="s">
        <v>85</v>
      </c>
      <c r="D48" s="3"/>
      <c r="E48" s="3"/>
      <c r="F48" s="3"/>
      <c r="G48" s="3"/>
      <c r="H48" s="3"/>
      <c r="I48" s="3"/>
      <c r="J48" s="3"/>
      <c r="K48" s="3" t="s">
        <v>26</v>
      </c>
      <c r="L48" s="3" t="s">
        <v>27</v>
      </c>
      <c r="M48" s="3"/>
      <c r="N48" s="3"/>
      <c r="O48" s="3"/>
      <c r="P48" s="3"/>
      <c r="Q48" s="4"/>
      <c r="R48" s="5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  <v>0</v>
      </c>
      <c r="S48" s="4"/>
      <c r="T48" s="5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  <v>0</v>
      </c>
      <c r="U48" s="4">
        <v>5.0</v>
      </c>
      <c r="V48" s="5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  <v>4</v>
      </c>
      <c r="W48" s="4">
        <v>5.0</v>
      </c>
      <c r="X48" s="5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  <v>4</v>
      </c>
      <c r="Y48" s="4"/>
      <c r="Z48" s="5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  <v>0</v>
      </c>
      <c r="AA48" s="3">
        <f t="shared" si="2"/>
        <v>8</v>
      </c>
      <c r="AB48" s="3" t="str">
        <f>IFERROR(__xludf.DUMMYFUNCTION("
      Ifs( 
        ISBETWEEN(AA48, 0, 'Points-Table'!C$20, TRUE, False), 'Points-Table'!A$20,
        ISBETWEEN(AA48, 'Points-Table'!C$20, 'Points-Table'!C$21, TRUE, False), 'Points-Table'!A$21,
        ISBETWEEN(AA48, 'Points-Table'!C$22, 10000, TRUE, "&amp;"TRUE), 'Points-Table'!A$22,
        true, 
        0)
      "),"S")</f>
        <v>S</v>
      </c>
      <c r="AC48" s="3" t="s">
        <v>28</v>
      </c>
      <c r="AD48" s="3" t="s">
        <v>28</v>
      </c>
      <c r="AE48" s="3" t="s">
        <v>28</v>
      </c>
    </row>
    <row r="49" ht="24.75" customHeight="1">
      <c r="A49" s="3" t="s">
        <v>69</v>
      </c>
      <c r="B49" s="3" t="s">
        <v>84</v>
      </c>
      <c r="C49" s="3" t="s">
        <v>86</v>
      </c>
      <c r="D49" s="3"/>
      <c r="E49" s="3"/>
      <c r="F49" s="3"/>
      <c r="G49" s="3"/>
      <c r="H49" s="3"/>
      <c r="I49" s="3"/>
      <c r="J49" s="3"/>
      <c r="K49" s="3" t="s">
        <v>26</v>
      </c>
      <c r="L49" s="3" t="s">
        <v>27</v>
      </c>
      <c r="M49" s="3"/>
      <c r="N49" s="3"/>
      <c r="O49" s="3"/>
      <c r="P49" s="3"/>
      <c r="Q49" s="4"/>
      <c r="R49" s="5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  <v>0</v>
      </c>
      <c r="S49" s="4"/>
      <c r="T49" s="5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  <v>0</v>
      </c>
      <c r="U49" s="4">
        <v>2.0</v>
      </c>
      <c r="V49" s="5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  <v>1</v>
      </c>
      <c r="W49" s="4">
        <v>5.0</v>
      </c>
      <c r="X49" s="5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  <v>4</v>
      </c>
      <c r="Y49" s="4"/>
      <c r="Z49" s="5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  <v>0</v>
      </c>
      <c r="AA49" s="3">
        <f t="shared" si="2"/>
        <v>5</v>
      </c>
      <c r="AB49" s="3" t="str">
        <f>IFERROR(__xludf.DUMMYFUNCTION("
      Ifs( 
        ISBETWEEN(AA49, 0, 'Points-Table'!C$20, TRUE, False), 'Points-Table'!A$20,
        ISBETWEEN(AA49, 'Points-Table'!C$20, 'Points-Table'!C$21, TRUE, False), 'Points-Table'!A$21,
        ISBETWEEN(AA49, 'Points-Table'!C$22, 10000, TRUE, "&amp;"TRUE), 'Points-Table'!A$22,
        true, 
        0)
      "),"S")</f>
        <v>S</v>
      </c>
      <c r="AC49" s="3" t="s">
        <v>28</v>
      </c>
      <c r="AD49" s="3" t="s">
        <v>28</v>
      </c>
      <c r="AE49" s="3" t="s">
        <v>28</v>
      </c>
    </row>
    <row r="50" ht="24.75" customHeight="1">
      <c r="A50" s="3" t="s">
        <v>69</v>
      </c>
      <c r="B50" s="3" t="s">
        <v>84</v>
      </c>
      <c r="C50" s="3" t="s">
        <v>87</v>
      </c>
      <c r="D50" s="3"/>
      <c r="E50" s="3"/>
      <c r="F50" s="3"/>
      <c r="G50" s="3"/>
      <c r="H50" s="3"/>
      <c r="I50" s="3"/>
      <c r="J50" s="3"/>
      <c r="K50" s="3" t="s">
        <v>26</v>
      </c>
      <c r="L50" s="3" t="s">
        <v>27</v>
      </c>
      <c r="M50" s="3"/>
      <c r="N50" s="3"/>
      <c r="O50" s="3"/>
      <c r="P50" s="3"/>
      <c r="Q50" s="4"/>
      <c r="R50" s="5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  <v>0</v>
      </c>
      <c r="S50" s="4"/>
      <c r="T50" s="5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  <v>0</v>
      </c>
      <c r="U50" s="4">
        <v>8.0</v>
      </c>
      <c r="V50" s="5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  <v>7</v>
      </c>
      <c r="W50" s="4">
        <v>5.0</v>
      </c>
      <c r="X50" s="5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  <v>4</v>
      </c>
      <c r="Y50" s="4"/>
      <c r="Z50" s="5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  <v>0</v>
      </c>
      <c r="AA50" s="3">
        <f t="shared" si="2"/>
        <v>11</v>
      </c>
      <c r="AB50" s="3" t="str">
        <f>IFERROR(__xludf.DUMMYFUNCTION("
      Ifs( 
        ISBETWEEN(AA50, 0, 'Points-Table'!C$20, TRUE, False), 'Points-Table'!A$20,
        ISBETWEEN(AA50, 'Points-Table'!C$20, 'Points-Table'!C$21, TRUE, False), 'Points-Table'!A$21,
        ISBETWEEN(AA50, 'Points-Table'!C$22, 10000, TRUE, "&amp;"TRUE), 'Points-Table'!A$22,
        true, 
        0)
      "),"S")</f>
        <v>S</v>
      </c>
      <c r="AC50" s="3" t="s">
        <v>28</v>
      </c>
      <c r="AD50" s="3" t="s">
        <v>28</v>
      </c>
      <c r="AE50" s="3" t="s">
        <v>28</v>
      </c>
    </row>
    <row r="51" ht="24.75" customHeight="1">
      <c r="A51" s="3" t="s">
        <v>69</v>
      </c>
      <c r="B51" s="3" t="s">
        <v>84</v>
      </c>
      <c r="C51" s="3" t="s">
        <v>88</v>
      </c>
      <c r="D51" s="3"/>
      <c r="E51" s="3"/>
      <c r="F51" s="3"/>
      <c r="G51" s="3"/>
      <c r="H51" s="3"/>
      <c r="I51" s="3"/>
      <c r="J51" s="3"/>
      <c r="K51" s="3" t="s">
        <v>26</v>
      </c>
      <c r="L51" s="3" t="s">
        <v>27</v>
      </c>
      <c r="M51" s="3"/>
      <c r="N51" s="3"/>
      <c r="O51" s="3"/>
      <c r="P51" s="3"/>
      <c r="Q51" s="4"/>
      <c r="R51" s="5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  <v>0</v>
      </c>
      <c r="S51" s="4"/>
      <c r="T51" s="5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  <v>0</v>
      </c>
      <c r="U51" s="4">
        <v>2.0</v>
      </c>
      <c r="V51" s="5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  <v>1</v>
      </c>
      <c r="W51" s="4">
        <v>5.0</v>
      </c>
      <c r="X51" s="5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  <v>4</v>
      </c>
      <c r="Y51" s="4"/>
      <c r="Z51" s="5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  <v>0</v>
      </c>
      <c r="AA51" s="3">
        <f t="shared" si="2"/>
        <v>5</v>
      </c>
      <c r="AB51" s="3" t="str">
        <f>IFERROR(__xludf.DUMMYFUNCTION("
      Ifs( 
        ISBETWEEN(AA51, 0, 'Points-Table'!C$20, TRUE, False), 'Points-Table'!A$20,
        ISBETWEEN(AA51, 'Points-Table'!C$20, 'Points-Table'!C$21, TRUE, False), 'Points-Table'!A$21,
        ISBETWEEN(AA51, 'Points-Table'!C$22, 10000, TRUE, "&amp;"TRUE), 'Points-Table'!A$22,
        true, 
        0)
      "),"S")</f>
        <v>S</v>
      </c>
      <c r="AC51" s="3" t="s">
        <v>28</v>
      </c>
      <c r="AD51" s="3" t="s">
        <v>28</v>
      </c>
      <c r="AE51" s="3" t="s">
        <v>28</v>
      </c>
    </row>
    <row r="52" ht="24.75" customHeight="1">
      <c r="A52" s="3" t="s">
        <v>69</v>
      </c>
      <c r="B52" s="3" t="s">
        <v>89</v>
      </c>
      <c r="C52" s="3"/>
      <c r="D52" s="3"/>
      <c r="E52" s="3"/>
      <c r="F52" s="3"/>
      <c r="G52" s="3"/>
      <c r="H52" s="3"/>
      <c r="I52" s="3"/>
      <c r="J52" s="3"/>
      <c r="K52" s="3" t="s">
        <v>26</v>
      </c>
      <c r="L52" s="3" t="s">
        <v>27</v>
      </c>
      <c r="M52" s="3"/>
      <c r="N52" s="3"/>
      <c r="O52" s="3"/>
      <c r="P52" s="3"/>
      <c r="Q52" s="4"/>
      <c r="R52" s="5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  <v>0</v>
      </c>
      <c r="S52" s="4"/>
      <c r="T52" s="5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  <v>0</v>
      </c>
      <c r="U52" s="4">
        <v>2.0</v>
      </c>
      <c r="V52" s="5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  <v>1</v>
      </c>
      <c r="W52" s="4">
        <v>2.0</v>
      </c>
      <c r="X52" s="5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  <v>1</v>
      </c>
      <c r="Y52" s="4">
        <v>5.0</v>
      </c>
      <c r="Z52" s="5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  <v>4</v>
      </c>
      <c r="AA52" s="3">
        <f t="shared" si="2"/>
        <v>6</v>
      </c>
      <c r="AB52" s="3" t="str">
        <f>IFERROR(__xludf.DUMMYFUNCTION("
      Ifs( 
        ISBETWEEN(AA52, 0, 'Points-Table'!C$20, TRUE, False), 'Points-Table'!A$20,
        ISBETWEEN(AA52, 'Points-Table'!C$20, 'Points-Table'!C$21, TRUE, False), 'Points-Table'!A$21,
        ISBETWEEN(AA52, 'Points-Table'!C$22, 10000, TRUE, "&amp;"TRUE), 'Points-Table'!A$22,
        true, 
        0)
      "),"S")</f>
        <v>S</v>
      </c>
      <c r="AC52" s="3" t="s">
        <v>28</v>
      </c>
      <c r="AD52" s="3" t="s">
        <v>28</v>
      </c>
      <c r="AE52" s="3" t="s">
        <v>28</v>
      </c>
    </row>
    <row r="53" ht="24.75" customHeight="1">
      <c r="A53" s="3" t="s">
        <v>69</v>
      </c>
      <c r="B53" s="3" t="s">
        <v>90</v>
      </c>
      <c r="C53" s="3"/>
      <c r="D53" s="3"/>
      <c r="E53" s="3"/>
      <c r="F53" s="3"/>
      <c r="G53" s="3"/>
      <c r="H53" s="3"/>
      <c r="I53" s="3"/>
      <c r="J53" s="3"/>
      <c r="K53" s="3" t="s">
        <v>26</v>
      </c>
      <c r="L53" s="3" t="s">
        <v>27</v>
      </c>
      <c r="M53" s="3"/>
      <c r="N53" s="3"/>
      <c r="O53" s="3"/>
      <c r="P53" s="3"/>
      <c r="Q53" s="4"/>
      <c r="R53" s="5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  <v>0</v>
      </c>
      <c r="S53" s="4"/>
      <c r="T53" s="5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  <v>0</v>
      </c>
      <c r="U53" s="4">
        <v>2.0</v>
      </c>
      <c r="V53" s="5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  <v>1</v>
      </c>
      <c r="W53" s="4">
        <v>2.0</v>
      </c>
      <c r="X53" s="5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  <v>1</v>
      </c>
      <c r="Y53" s="4"/>
      <c r="Z53" s="5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  <v>0</v>
      </c>
      <c r="AA53" s="3">
        <f t="shared" si="2"/>
        <v>2</v>
      </c>
      <c r="AB53" s="3" t="str">
        <f>IFERROR(__xludf.DUMMYFUNCTION("
      Ifs( 
        ISBETWEEN(AA53, 0, 'Points-Table'!C$20, TRUE, False), 'Points-Table'!A$20,
        ISBETWEEN(AA53, 'Points-Table'!C$20, 'Points-Table'!C$21, TRUE, False), 'Points-Table'!A$21,
        ISBETWEEN(AA53, 'Points-Table'!C$22, 10000, TRUE, "&amp;"TRUE), 'Points-Table'!A$22,
        true, 
        0)
      "),"S")</f>
        <v>S</v>
      </c>
      <c r="AC53" s="3" t="s">
        <v>28</v>
      </c>
      <c r="AD53" s="3" t="s">
        <v>28</v>
      </c>
      <c r="AE53" s="3" t="s">
        <v>28</v>
      </c>
    </row>
    <row r="54" ht="24.75" customHeight="1">
      <c r="A54" s="3" t="s">
        <v>69</v>
      </c>
      <c r="B54" s="3" t="s">
        <v>91</v>
      </c>
      <c r="C54" s="3"/>
      <c r="D54" s="3"/>
      <c r="E54" s="3"/>
      <c r="F54" s="3"/>
      <c r="G54" s="3"/>
      <c r="H54" s="3"/>
      <c r="I54" s="3"/>
      <c r="J54" s="3"/>
      <c r="K54" s="3" t="s">
        <v>26</v>
      </c>
      <c r="L54" s="3" t="s">
        <v>27</v>
      </c>
      <c r="M54" s="3"/>
      <c r="N54" s="3"/>
      <c r="O54" s="3"/>
      <c r="P54" s="3"/>
      <c r="Q54" s="4"/>
      <c r="R54" s="5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  <v>0</v>
      </c>
      <c r="S54" s="4"/>
      <c r="T54" s="5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  <v>0</v>
      </c>
      <c r="U54" s="4">
        <v>2.0</v>
      </c>
      <c r="V54" s="5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  <v>1</v>
      </c>
      <c r="W54" s="4">
        <v>2.0</v>
      </c>
      <c r="X54" s="5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  <v>1</v>
      </c>
      <c r="Y54" s="4"/>
      <c r="Z54" s="5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  <v>0</v>
      </c>
      <c r="AA54" s="3">
        <f t="shared" si="2"/>
        <v>2</v>
      </c>
      <c r="AB54" s="3" t="str">
        <f>IFERROR(__xludf.DUMMYFUNCTION("
      Ifs( 
        ISBETWEEN(AA54, 0, 'Points-Table'!C$20, TRUE, False), 'Points-Table'!A$20,
        ISBETWEEN(AA54, 'Points-Table'!C$20, 'Points-Table'!C$21, TRUE, False), 'Points-Table'!A$21,
        ISBETWEEN(AA54, 'Points-Table'!C$22, 10000, TRUE, "&amp;"TRUE), 'Points-Table'!A$22,
        true, 
        0)
      "),"S")</f>
        <v>S</v>
      </c>
      <c r="AC54" s="3" t="s">
        <v>28</v>
      </c>
      <c r="AD54" s="3" t="s">
        <v>28</v>
      </c>
      <c r="AE54" s="3" t="s">
        <v>28</v>
      </c>
    </row>
    <row r="55" ht="24.75" customHeight="1">
      <c r="A55" s="3" t="s">
        <v>69</v>
      </c>
      <c r="B55" s="3" t="s">
        <v>92</v>
      </c>
      <c r="C55" s="3"/>
      <c r="D55" s="3"/>
      <c r="E55" s="3"/>
      <c r="F55" s="3"/>
      <c r="G55" s="3"/>
      <c r="H55" s="3"/>
      <c r="I55" s="3"/>
      <c r="J55" s="3"/>
      <c r="K55" s="3" t="s">
        <v>26</v>
      </c>
      <c r="L55" s="3" t="s">
        <v>27</v>
      </c>
      <c r="M55" s="3"/>
      <c r="N55" s="3"/>
      <c r="O55" s="3"/>
      <c r="P55" s="3"/>
      <c r="Q55" s="4"/>
      <c r="R55" s="5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  <v>0</v>
      </c>
      <c r="S55" s="4"/>
      <c r="T55" s="5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  <v>0</v>
      </c>
      <c r="U55" s="4">
        <v>5.0</v>
      </c>
      <c r="V55" s="5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  <v>4</v>
      </c>
      <c r="W55" s="4">
        <v>2.0</v>
      </c>
      <c r="X55" s="5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  <v>1</v>
      </c>
      <c r="Y55" s="4">
        <v>5.0</v>
      </c>
      <c r="Z55" s="5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  <v>4</v>
      </c>
      <c r="AA55" s="3">
        <f t="shared" si="2"/>
        <v>9</v>
      </c>
      <c r="AB55" s="3" t="str">
        <f>IFERROR(__xludf.DUMMYFUNCTION("
      Ifs( 
        ISBETWEEN(AA55, 0, 'Points-Table'!C$20, TRUE, False), 'Points-Table'!A$20,
        ISBETWEEN(AA55, 'Points-Table'!C$20, 'Points-Table'!C$21, TRUE, False), 'Points-Table'!A$21,
        ISBETWEEN(AA55, 'Points-Table'!C$22, 10000, TRUE, "&amp;"TRUE), 'Points-Table'!A$22,
        true, 
        0)
      "),"S")</f>
        <v>S</v>
      </c>
      <c r="AC55" s="3" t="s">
        <v>28</v>
      </c>
      <c r="AD55" s="3" t="s">
        <v>28</v>
      </c>
      <c r="AE55" s="3" t="s">
        <v>28</v>
      </c>
    </row>
    <row r="56" ht="24.75" customHeight="1">
      <c r="A56" s="3" t="s">
        <v>69</v>
      </c>
      <c r="B56" s="3" t="s">
        <v>93</v>
      </c>
      <c r="C56" s="3"/>
      <c r="D56" s="3"/>
      <c r="E56" s="3"/>
      <c r="F56" s="3"/>
      <c r="G56" s="3"/>
      <c r="H56" s="3"/>
      <c r="I56" s="3"/>
      <c r="J56" s="3"/>
      <c r="K56" s="3" t="s">
        <v>26</v>
      </c>
      <c r="L56" s="3" t="s">
        <v>27</v>
      </c>
      <c r="M56" s="3"/>
      <c r="N56" s="3"/>
      <c r="O56" s="3"/>
      <c r="P56" s="3"/>
      <c r="Q56" s="4"/>
      <c r="R56" s="5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  <v>0</v>
      </c>
      <c r="S56" s="4"/>
      <c r="T56" s="5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  <v>0</v>
      </c>
      <c r="U56" s="4">
        <v>5.0</v>
      </c>
      <c r="V56" s="5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  <v>4</v>
      </c>
      <c r="W56" s="4">
        <v>5.0</v>
      </c>
      <c r="X56" s="5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  <v>4</v>
      </c>
      <c r="Y56" s="4">
        <v>5.0</v>
      </c>
      <c r="Z56" s="5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  <v>4</v>
      </c>
      <c r="AA56" s="3">
        <f t="shared" si="2"/>
        <v>12</v>
      </c>
      <c r="AB56" s="3" t="str">
        <f>IFERROR(__xludf.DUMMYFUNCTION("
      Ifs( 
        ISBETWEEN(AA56, 0, 'Points-Table'!C$20, TRUE, False), 'Points-Table'!A$20,
        ISBETWEEN(AA56, 'Points-Table'!C$20, 'Points-Table'!C$21, TRUE, False), 'Points-Table'!A$21,
        ISBETWEEN(AA56, 'Points-Table'!C$22, 10000, TRUE, "&amp;"TRUE), 'Points-Table'!A$22,
        true, 
        0)
      "),"S")</f>
        <v>S</v>
      </c>
      <c r="AC56" s="3" t="s">
        <v>28</v>
      </c>
      <c r="AD56" s="3" t="s">
        <v>28</v>
      </c>
      <c r="AE56" s="3" t="s">
        <v>28</v>
      </c>
    </row>
    <row r="57" ht="24.75" customHeight="1">
      <c r="A57" s="3" t="s">
        <v>69</v>
      </c>
      <c r="B57" s="3" t="s">
        <v>94</v>
      </c>
      <c r="C57" s="3"/>
      <c r="D57" s="3"/>
      <c r="E57" s="3"/>
      <c r="F57" s="3"/>
      <c r="G57" s="3"/>
      <c r="H57" s="3"/>
      <c r="I57" s="3"/>
      <c r="J57" s="3"/>
      <c r="K57" s="3" t="s">
        <v>26</v>
      </c>
      <c r="L57" s="3" t="s">
        <v>27</v>
      </c>
      <c r="M57" s="3"/>
      <c r="N57" s="3"/>
      <c r="O57" s="3"/>
      <c r="P57" s="3"/>
      <c r="Q57" s="4"/>
      <c r="R57" s="5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  <v>0</v>
      </c>
      <c r="S57" s="4"/>
      <c r="T57" s="5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  <v>0</v>
      </c>
      <c r="U57" s="4">
        <v>13.0</v>
      </c>
      <c r="V57" s="5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  <v>11</v>
      </c>
      <c r="W57" s="4">
        <v>34.0</v>
      </c>
      <c r="X57" s="5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  <v>24</v>
      </c>
      <c r="Y57" s="4">
        <v>21.0</v>
      </c>
      <c r="Z57" s="5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  <v>16</v>
      </c>
      <c r="AA57" s="3">
        <f t="shared" si="2"/>
        <v>51</v>
      </c>
      <c r="AB57" s="3" t="str">
        <f>IFERROR(__xludf.DUMMYFUNCTION("
      Ifs( 
        ISBETWEEN(AA57, 0, 'Points-Table'!C$20, TRUE, False), 'Points-Table'!A$20,
        ISBETWEEN(AA57, 'Points-Table'!C$20, 'Points-Table'!C$21, TRUE, False), 'Points-Table'!A$21,
        ISBETWEEN(AA57, 'Points-Table'!C$22, 10000, TRUE, "&amp;"TRUE), 'Points-Table'!A$22,
        true, 
        0)
      "),"M")</f>
        <v>M</v>
      </c>
      <c r="AC57" s="3" t="s">
        <v>28</v>
      </c>
      <c r="AD57" s="3" t="s">
        <v>28</v>
      </c>
      <c r="AE57" s="3" t="s">
        <v>28</v>
      </c>
    </row>
    <row r="58" ht="24.75" customHeight="1">
      <c r="A58" s="3" t="s">
        <v>95</v>
      </c>
      <c r="B58" s="3" t="s">
        <v>96</v>
      </c>
      <c r="C58" s="3"/>
      <c r="D58" s="3"/>
      <c r="E58" s="3"/>
      <c r="F58" s="3"/>
      <c r="G58" s="3"/>
      <c r="H58" s="3"/>
      <c r="I58" s="3"/>
      <c r="J58" s="3"/>
      <c r="K58" s="3" t="s">
        <v>26</v>
      </c>
      <c r="L58" s="3" t="s">
        <v>27</v>
      </c>
      <c r="M58" s="3"/>
      <c r="N58" s="3"/>
      <c r="O58" s="3"/>
      <c r="P58" s="3"/>
      <c r="Q58" s="4">
        <v>2.0</v>
      </c>
      <c r="R58" s="5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  <v>1</v>
      </c>
      <c r="S58" s="4">
        <v>2.0</v>
      </c>
      <c r="T58" s="5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  <v>1</v>
      </c>
      <c r="U58" s="4">
        <v>3.0</v>
      </c>
      <c r="V58" s="5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  <v>2</v>
      </c>
      <c r="W58" s="4">
        <v>5.0</v>
      </c>
      <c r="X58" s="5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  <v>4</v>
      </c>
      <c r="Y58" s="4">
        <v>8.0</v>
      </c>
      <c r="Z58" s="5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  <v>7</v>
      </c>
      <c r="AA58" s="3">
        <f t="shared" si="2"/>
        <v>13</v>
      </c>
      <c r="AB58" s="3" t="str">
        <f>IFERROR(__xludf.DUMMYFUNCTION("
      Ifs( 
        ISBETWEEN(AA58, 0, 'Points-Table'!C$20, TRUE, False), 'Points-Table'!A$20,
        ISBETWEEN(AA58, 'Points-Table'!C$20, 'Points-Table'!C$21, TRUE, False), 'Points-Table'!A$21,
        ISBETWEEN(AA58, 'Points-Table'!C$22, 10000, TRUE, "&amp;"TRUE), 'Points-Table'!A$22,
        true, 
        0)
      "),"S")</f>
        <v>S</v>
      </c>
      <c r="AC58" s="3" t="s">
        <v>28</v>
      </c>
      <c r="AD58" s="3" t="s">
        <v>28</v>
      </c>
      <c r="AE58" s="3" t="s">
        <v>28</v>
      </c>
    </row>
    <row r="59" ht="24.75" customHeight="1">
      <c r="A59" s="3" t="s">
        <v>95</v>
      </c>
      <c r="B59" s="3" t="s">
        <v>97</v>
      </c>
      <c r="C59" s="3"/>
      <c r="D59" s="3"/>
      <c r="E59" s="3"/>
      <c r="F59" s="3"/>
      <c r="G59" s="3"/>
      <c r="H59" s="3"/>
      <c r="I59" s="3"/>
      <c r="J59" s="3"/>
      <c r="K59" s="3" t="s">
        <v>26</v>
      </c>
      <c r="L59" s="3" t="s">
        <v>27</v>
      </c>
      <c r="M59" s="3"/>
      <c r="N59" s="3"/>
      <c r="O59" s="3"/>
      <c r="P59" s="3"/>
      <c r="Q59" s="4">
        <v>2.0</v>
      </c>
      <c r="R59" s="5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  <v>1</v>
      </c>
      <c r="S59" s="4">
        <v>2.0</v>
      </c>
      <c r="T59" s="5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  <v>1</v>
      </c>
      <c r="U59" s="4">
        <v>2.0</v>
      </c>
      <c r="V59" s="5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  <v>1</v>
      </c>
      <c r="W59" s="4">
        <v>5.0</v>
      </c>
      <c r="X59" s="5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  <v>4</v>
      </c>
      <c r="Y59" s="4"/>
      <c r="Z59" s="5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  <v>0</v>
      </c>
      <c r="AA59" s="3">
        <f t="shared" si="2"/>
        <v>5</v>
      </c>
      <c r="AB59" s="3" t="str">
        <f>IFERROR(__xludf.DUMMYFUNCTION("
      Ifs( 
        ISBETWEEN(AA59, 0, 'Points-Table'!C$20, TRUE, False), 'Points-Table'!A$20,
        ISBETWEEN(AA59, 'Points-Table'!C$20, 'Points-Table'!C$21, TRUE, False), 'Points-Table'!A$21,
        ISBETWEEN(AA59, 'Points-Table'!C$22, 10000, TRUE, "&amp;"TRUE), 'Points-Table'!A$22,
        true, 
        0)
      "),"S")</f>
        <v>S</v>
      </c>
      <c r="AC59" s="3" t="s">
        <v>28</v>
      </c>
      <c r="AD59" s="3" t="s">
        <v>28</v>
      </c>
      <c r="AE59" s="3" t="s">
        <v>28</v>
      </c>
    </row>
    <row r="60" ht="24.75" customHeight="1">
      <c r="A60" s="3" t="s">
        <v>95</v>
      </c>
      <c r="B60" s="3" t="s">
        <v>98</v>
      </c>
      <c r="C60" s="3"/>
      <c r="D60" s="3"/>
      <c r="E60" s="3"/>
      <c r="F60" s="3"/>
      <c r="G60" s="3"/>
      <c r="H60" s="3"/>
      <c r="I60" s="3"/>
      <c r="J60" s="3"/>
      <c r="K60" s="3" t="s">
        <v>26</v>
      </c>
      <c r="L60" s="3" t="s">
        <v>27</v>
      </c>
      <c r="M60" s="3"/>
      <c r="N60" s="3"/>
      <c r="O60" s="3"/>
      <c r="P60" s="3"/>
      <c r="Q60" s="4"/>
      <c r="R60" s="5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  <v>0</v>
      </c>
      <c r="S60" s="4"/>
      <c r="T60" s="5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  <v>0</v>
      </c>
      <c r="U60" s="4">
        <v>3.0</v>
      </c>
      <c r="V60" s="5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  <v>2</v>
      </c>
      <c r="W60" s="4">
        <v>5.0</v>
      </c>
      <c r="X60" s="5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  <v>4</v>
      </c>
      <c r="Y60" s="4">
        <v>5.0</v>
      </c>
      <c r="Z60" s="5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  <v>4</v>
      </c>
      <c r="AA60" s="3">
        <f t="shared" si="2"/>
        <v>10</v>
      </c>
      <c r="AB60" s="3" t="str">
        <f>IFERROR(__xludf.DUMMYFUNCTION("
      Ifs( 
        ISBETWEEN(AA60, 0, 'Points-Table'!C$20, TRUE, False), 'Points-Table'!A$20,
        ISBETWEEN(AA60, 'Points-Table'!C$20, 'Points-Table'!C$21, TRUE, False), 'Points-Table'!A$21,
        ISBETWEEN(AA60, 'Points-Table'!C$22, 10000, TRUE, "&amp;"TRUE), 'Points-Table'!A$22,
        true, 
        0)
      "),"S")</f>
        <v>S</v>
      </c>
      <c r="AC60" s="3" t="s">
        <v>28</v>
      </c>
      <c r="AD60" s="3" t="s">
        <v>28</v>
      </c>
      <c r="AE60" s="3" t="s">
        <v>28</v>
      </c>
    </row>
    <row r="61" ht="24.75" customHeight="1">
      <c r="A61" s="3" t="s">
        <v>95</v>
      </c>
      <c r="B61" s="3" t="s">
        <v>99</v>
      </c>
      <c r="C61" s="3"/>
      <c r="D61" s="3"/>
      <c r="E61" s="3"/>
      <c r="F61" s="3"/>
      <c r="G61" s="3"/>
      <c r="H61" s="3"/>
      <c r="I61" s="3"/>
      <c r="J61" s="3"/>
      <c r="K61" s="3" t="s">
        <v>26</v>
      </c>
      <c r="L61" s="3" t="s">
        <v>27</v>
      </c>
      <c r="M61" s="3"/>
      <c r="N61" s="3"/>
      <c r="O61" s="3"/>
      <c r="P61" s="3"/>
      <c r="Q61" s="4"/>
      <c r="R61" s="5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  <v>0</v>
      </c>
      <c r="S61" s="4"/>
      <c r="T61" s="5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  <v>0</v>
      </c>
      <c r="U61" s="4">
        <v>13.0</v>
      </c>
      <c r="V61" s="5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  <v>11</v>
      </c>
      <c r="W61" s="4">
        <v>5.0</v>
      </c>
      <c r="X61" s="5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  <v>4</v>
      </c>
      <c r="Y61" s="4">
        <v>5.0</v>
      </c>
      <c r="Z61" s="5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  <v>4</v>
      </c>
      <c r="AA61" s="3">
        <f t="shared" si="2"/>
        <v>19</v>
      </c>
      <c r="AB61" s="3" t="str">
        <f>IFERROR(__xludf.DUMMYFUNCTION("
      Ifs( 
        ISBETWEEN(AA61, 0, 'Points-Table'!C$20, TRUE, False), 'Points-Table'!A$20,
        ISBETWEEN(AA61, 'Points-Table'!C$20, 'Points-Table'!C$21, TRUE, False), 'Points-Table'!A$21,
        ISBETWEEN(AA61, 'Points-Table'!C$22, 10000, TRUE, "&amp;"TRUE), 'Points-Table'!A$22,
        true, 
        0)
      "),"S")</f>
        <v>S</v>
      </c>
      <c r="AC61" s="3" t="s">
        <v>28</v>
      </c>
      <c r="AD61" s="3" t="s">
        <v>28</v>
      </c>
      <c r="AE61" s="3" t="s">
        <v>28</v>
      </c>
    </row>
    <row r="62" ht="24.75" customHeight="1">
      <c r="A62" s="3" t="s">
        <v>95</v>
      </c>
      <c r="B62" s="3" t="s">
        <v>89</v>
      </c>
      <c r="C62" s="3"/>
      <c r="D62" s="3"/>
      <c r="E62" s="3"/>
      <c r="F62" s="3"/>
      <c r="G62" s="3"/>
      <c r="H62" s="3"/>
      <c r="I62" s="3"/>
      <c r="J62" s="3"/>
      <c r="K62" s="3" t="s">
        <v>26</v>
      </c>
      <c r="L62" s="3" t="s">
        <v>27</v>
      </c>
      <c r="M62" s="3"/>
      <c r="N62" s="3"/>
      <c r="O62" s="3"/>
      <c r="P62" s="3"/>
      <c r="Q62" s="4"/>
      <c r="R62" s="5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  <v>0</v>
      </c>
      <c r="S62" s="4"/>
      <c r="T62" s="5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  <v>0</v>
      </c>
      <c r="U62" s="4">
        <v>5.0</v>
      </c>
      <c r="V62" s="5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  <v>4</v>
      </c>
      <c r="W62" s="4">
        <v>13.0</v>
      </c>
      <c r="X62" s="5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  <v>11</v>
      </c>
      <c r="Y62" s="4">
        <v>8.0</v>
      </c>
      <c r="Z62" s="5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  <v>7</v>
      </c>
      <c r="AA62" s="3">
        <f t="shared" si="2"/>
        <v>22</v>
      </c>
      <c r="AB62" s="3" t="str">
        <f>IFERROR(__xludf.DUMMYFUNCTION("
      Ifs( 
        ISBETWEEN(AA62, 0, 'Points-Table'!C$20, TRUE, False), 'Points-Table'!A$20,
        ISBETWEEN(AA62, 'Points-Table'!C$20, 'Points-Table'!C$21, TRUE, False), 'Points-Table'!A$21,
        ISBETWEEN(AA62, 'Points-Table'!C$22, 10000, TRUE, "&amp;"TRUE), 'Points-Table'!A$22,
        true, 
        0)
      "),"S")</f>
        <v>S</v>
      </c>
      <c r="AC62" s="3" t="s">
        <v>28</v>
      </c>
      <c r="AD62" s="3" t="s">
        <v>28</v>
      </c>
      <c r="AE62" s="3" t="s">
        <v>28</v>
      </c>
    </row>
    <row r="63" ht="24.75" customHeight="1">
      <c r="A63" s="3" t="s">
        <v>95</v>
      </c>
      <c r="B63" s="3" t="s">
        <v>100</v>
      </c>
      <c r="C63" s="3"/>
      <c r="D63" s="3"/>
      <c r="E63" s="3"/>
      <c r="F63" s="3"/>
      <c r="G63" s="3"/>
      <c r="H63" s="3"/>
      <c r="I63" s="3"/>
      <c r="J63" s="3"/>
      <c r="K63" s="3" t="s">
        <v>26</v>
      </c>
      <c r="L63" s="3" t="s">
        <v>27</v>
      </c>
      <c r="M63" s="3"/>
      <c r="N63" s="3"/>
      <c r="O63" s="3"/>
      <c r="P63" s="3"/>
      <c r="Q63" s="4"/>
      <c r="R63" s="5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  <v>0</v>
      </c>
      <c r="S63" s="4"/>
      <c r="T63" s="5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  <v>0</v>
      </c>
      <c r="U63" s="4">
        <v>13.0</v>
      </c>
      <c r="V63" s="5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  <v>11</v>
      </c>
      <c r="W63" s="4">
        <v>5.0</v>
      </c>
      <c r="X63" s="5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  <v>4</v>
      </c>
      <c r="Y63" s="4">
        <v>5.0</v>
      </c>
      <c r="Z63" s="5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  <v>4</v>
      </c>
      <c r="AA63" s="3">
        <f t="shared" si="2"/>
        <v>19</v>
      </c>
      <c r="AB63" s="3" t="str">
        <f>IFERROR(__xludf.DUMMYFUNCTION("
      Ifs( 
        ISBETWEEN(AA63, 0, 'Points-Table'!C$20, TRUE, False), 'Points-Table'!A$20,
        ISBETWEEN(AA63, 'Points-Table'!C$20, 'Points-Table'!C$21, TRUE, False), 'Points-Table'!A$21,
        ISBETWEEN(AA63, 'Points-Table'!C$22, 10000, TRUE, "&amp;"TRUE), 'Points-Table'!A$22,
        true, 
        0)
      "),"S")</f>
        <v>S</v>
      </c>
      <c r="AC63" s="3" t="s">
        <v>28</v>
      </c>
      <c r="AD63" s="3" t="s">
        <v>28</v>
      </c>
      <c r="AE63" s="3" t="s">
        <v>28</v>
      </c>
    </row>
    <row r="64" ht="24.75" customHeight="1">
      <c r="A64" s="3" t="s">
        <v>101</v>
      </c>
      <c r="B64" s="3" t="s">
        <v>102</v>
      </c>
      <c r="C64" s="3"/>
      <c r="D64" s="3"/>
      <c r="E64" s="3"/>
      <c r="F64" s="3"/>
      <c r="G64" s="3"/>
      <c r="H64" s="3"/>
      <c r="I64" s="3"/>
      <c r="J64" s="3"/>
      <c r="K64" s="3" t="s">
        <v>26</v>
      </c>
      <c r="L64" s="3" t="s">
        <v>27</v>
      </c>
      <c r="M64" s="3"/>
      <c r="N64" s="3"/>
      <c r="O64" s="3"/>
      <c r="P64" s="3"/>
      <c r="Q64" s="4">
        <v>2.0</v>
      </c>
      <c r="R64" s="5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  <v>1</v>
      </c>
      <c r="S64" s="4">
        <v>2.0</v>
      </c>
      <c r="T64" s="5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  <v>1</v>
      </c>
      <c r="U64" s="4">
        <v>5.0</v>
      </c>
      <c r="V64" s="5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  <v>4</v>
      </c>
      <c r="W64" s="4"/>
      <c r="X64" s="5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  <v>0</v>
      </c>
      <c r="Y64" s="4"/>
      <c r="Z64" s="5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  <v>0</v>
      </c>
      <c r="AA64" s="3">
        <f t="shared" si="2"/>
        <v>4</v>
      </c>
      <c r="AB64" s="3" t="str">
        <f>IFERROR(__xludf.DUMMYFUNCTION("
      Ifs( 
        ISBETWEEN(AA64, 0, 'Points-Table'!C$20, TRUE, False), 'Points-Table'!A$20,
        ISBETWEEN(AA64, 'Points-Table'!C$20, 'Points-Table'!C$21, TRUE, False), 'Points-Table'!A$21,
        ISBETWEEN(AA64, 'Points-Table'!C$22, 10000, TRUE, "&amp;"TRUE), 'Points-Table'!A$22,
        true, 
        0)
      "),"S")</f>
        <v>S</v>
      </c>
      <c r="AC64" s="3" t="s">
        <v>28</v>
      </c>
      <c r="AD64" s="3" t="s">
        <v>28</v>
      </c>
      <c r="AE64" s="3" t="s">
        <v>28</v>
      </c>
    </row>
    <row r="65" ht="24.75" customHeight="1">
      <c r="A65" s="3" t="s">
        <v>101</v>
      </c>
      <c r="B65" s="3" t="s">
        <v>103</v>
      </c>
      <c r="C65" s="3"/>
      <c r="D65" s="3"/>
      <c r="E65" s="3"/>
      <c r="F65" s="3"/>
      <c r="G65" s="3"/>
      <c r="H65" s="3"/>
      <c r="I65" s="3"/>
      <c r="J65" s="3"/>
      <c r="K65" s="3" t="s">
        <v>26</v>
      </c>
      <c r="L65" s="3" t="s">
        <v>27</v>
      </c>
      <c r="M65" s="3"/>
      <c r="N65" s="3"/>
      <c r="O65" s="3"/>
      <c r="P65" s="3"/>
      <c r="Q65" s="4">
        <v>2.0</v>
      </c>
      <c r="R65" s="5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  <v>1</v>
      </c>
      <c r="S65" s="4">
        <v>2.0</v>
      </c>
      <c r="T65" s="5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  <v>1</v>
      </c>
      <c r="U65" s="4">
        <v>5.0</v>
      </c>
      <c r="V65" s="5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  <v>4</v>
      </c>
      <c r="W65" s="4"/>
      <c r="X65" s="5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  <v>0</v>
      </c>
      <c r="Y65" s="4"/>
      <c r="Z65" s="5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  <v>0</v>
      </c>
      <c r="AA65" s="3">
        <f t="shared" si="2"/>
        <v>4</v>
      </c>
      <c r="AB65" s="3" t="str">
        <f>IFERROR(__xludf.DUMMYFUNCTION("
      Ifs( 
        ISBETWEEN(AA65, 0, 'Points-Table'!C$20, TRUE, False), 'Points-Table'!A$20,
        ISBETWEEN(AA65, 'Points-Table'!C$20, 'Points-Table'!C$21, TRUE, False), 'Points-Table'!A$21,
        ISBETWEEN(AA65, 'Points-Table'!C$22, 10000, TRUE, "&amp;"TRUE), 'Points-Table'!A$22,
        true, 
        0)
      "),"S")</f>
        <v>S</v>
      </c>
      <c r="AC65" s="3" t="s">
        <v>28</v>
      </c>
      <c r="AD65" s="3" t="s">
        <v>28</v>
      </c>
      <c r="AE65" s="3" t="s">
        <v>28</v>
      </c>
    </row>
    <row r="66" ht="24.75" customHeight="1">
      <c r="A66" s="3" t="s">
        <v>101</v>
      </c>
      <c r="B66" s="3" t="s">
        <v>104</v>
      </c>
      <c r="C66" s="3"/>
      <c r="D66" s="3"/>
      <c r="E66" s="3"/>
      <c r="F66" s="3"/>
      <c r="G66" s="3"/>
      <c r="H66" s="3"/>
      <c r="I66" s="3"/>
      <c r="J66" s="3"/>
      <c r="K66" s="3" t="s">
        <v>26</v>
      </c>
      <c r="L66" s="3" t="s">
        <v>27</v>
      </c>
      <c r="M66" s="3"/>
      <c r="N66" s="3"/>
      <c r="O66" s="3"/>
      <c r="P66" s="3"/>
      <c r="Q66" s="4">
        <v>2.0</v>
      </c>
      <c r="R66" s="5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  <v>1</v>
      </c>
      <c r="S66" s="4">
        <v>2.0</v>
      </c>
      <c r="T66" s="5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  <v>1</v>
      </c>
      <c r="U66" s="4">
        <v>5.0</v>
      </c>
      <c r="V66" s="5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  <v>4</v>
      </c>
      <c r="W66" s="4"/>
      <c r="X66" s="5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  <v>0</v>
      </c>
      <c r="Y66" s="4"/>
      <c r="Z66" s="5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  <v>0</v>
      </c>
      <c r="AA66" s="3">
        <f t="shared" si="2"/>
        <v>4</v>
      </c>
      <c r="AB66" s="3" t="str">
        <f>IFERROR(__xludf.DUMMYFUNCTION("
      Ifs( 
        ISBETWEEN(AA66, 0, 'Points-Table'!C$20, TRUE, False), 'Points-Table'!A$20,
        ISBETWEEN(AA66, 'Points-Table'!C$20, 'Points-Table'!C$21, TRUE, False), 'Points-Table'!A$21,
        ISBETWEEN(AA66, 'Points-Table'!C$22, 10000, TRUE, "&amp;"TRUE), 'Points-Table'!A$22,
        true, 
        0)
      "),"S")</f>
        <v>S</v>
      </c>
      <c r="AC66" s="3" t="s">
        <v>28</v>
      </c>
      <c r="AD66" s="3" t="s">
        <v>28</v>
      </c>
      <c r="AE66" s="3" t="s">
        <v>28</v>
      </c>
    </row>
    <row r="67" ht="24.75" customHeight="1">
      <c r="A67" s="3" t="s">
        <v>101</v>
      </c>
      <c r="B67" s="3" t="s">
        <v>105</v>
      </c>
      <c r="C67" s="3"/>
      <c r="D67" s="3"/>
      <c r="E67" s="3"/>
      <c r="F67" s="3"/>
      <c r="G67" s="3"/>
      <c r="H67" s="3"/>
      <c r="I67" s="3"/>
      <c r="J67" s="3"/>
      <c r="K67" s="3" t="s">
        <v>26</v>
      </c>
      <c r="L67" s="3" t="s">
        <v>27</v>
      </c>
      <c r="M67" s="3"/>
      <c r="N67" s="3"/>
      <c r="O67" s="3"/>
      <c r="P67" s="3"/>
      <c r="Q67" s="4"/>
      <c r="R67" s="5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  <v>0</v>
      </c>
      <c r="S67" s="4"/>
      <c r="T67" s="5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  <v>0</v>
      </c>
      <c r="U67" s="4">
        <v>5.0</v>
      </c>
      <c r="V67" s="5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  <v>4</v>
      </c>
      <c r="W67" s="4"/>
      <c r="X67" s="5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  <v>0</v>
      </c>
      <c r="Y67" s="4"/>
      <c r="Z67" s="5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  <v>0</v>
      </c>
      <c r="AA67" s="3">
        <f t="shared" si="2"/>
        <v>4</v>
      </c>
      <c r="AB67" s="3" t="str">
        <f>IFERROR(__xludf.DUMMYFUNCTION("
      Ifs( 
        ISBETWEEN(AA67, 0, 'Points-Table'!C$20, TRUE, False), 'Points-Table'!A$20,
        ISBETWEEN(AA67, 'Points-Table'!C$20, 'Points-Table'!C$21, TRUE, False), 'Points-Table'!A$21,
        ISBETWEEN(AA67, 'Points-Table'!C$22, 10000, TRUE, "&amp;"TRUE), 'Points-Table'!A$22,
        true, 
        0)
      "),"S")</f>
        <v>S</v>
      </c>
      <c r="AC67" s="3" t="s">
        <v>28</v>
      </c>
      <c r="AD67" s="3" t="s">
        <v>28</v>
      </c>
      <c r="AE67" s="3" t="s">
        <v>28</v>
      </c>
    </row>
    <row r="68" ht="24.75" customHeight="1">
      <c r="A68" s="3" t="s">
        <v>101</v>
      </c>
      <c r="B68" s="3" t="s">
        <v>106</v>
      </c>
      <c r="C68" s="3"/>
      <c r="D68" s="3"/>
      <c r="E68" s="3"/>
      <c r="F68" s="3"/>
      <c r="G68" s="3"/>
      <c r="H68" s="3"/>
      <c r="I68" s="3"/>
      <c r="J68" s="3"/>
      <c r="K68" s="3" t="s">
        <v>26</v>
      </c>
      <c r="L68" s="3" t="s">
        <v>27</v>
      </c>
      <c r="M68" s="3"/>
      <c r="N68" s="3"/>
      <c r="O68" s="3"/>
      <c r="P68" s="3"/>
      <c r="Q68" s="4"/>
      <c r="R68" s="5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  <v>0</v>
      </c>
      <c r="S68" s="4"/>
      <c r="T68" s="5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  <v>0</v>
      </c>
      <c r="U68" s="4">
        <v>5.0</v>
      </c>
      <c r="V68" s="5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  <v>4</v>
      </c>
      <c r="W68" s="4"/>
      <c r="X68" s="5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  <v>0</v>
      </c>
      <c r="Y68" s="4"/>
      <c r="Z68" s="5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  <v>0</v>
      </c>
      <c r="AA68" s="3">
        <f t="shared" si="2"/>
        <v>4</v>
      </c>
      <c r="AB68" s="3" t="str">
        <f>IFERROR(__xludf.DUMMYFUNCTION("
      Ifs( 
        ISBETWEEN(AA68, 0, 'Points-Table'!C$20, TRUE, False), 'Points-Table'!A$20,
        ISBETWEEN(AA68, 'Points-Table'!C$20, 'Points-Table'!C$21, TRUE, False), 'Points-Table'!A$21,
        ISBETWEEN(AA68, 'Points-Table'!C$22, 10000, TRUE, "&amp;"TRUE), 'Points-Table'!A$22,
        true, 
        0)
      "),"S")</f>
        <v>S</v>
      </c>
      <c r="AC68" s="3" t="s">
        <v>28</v>
      </c>
      <c r="AD68" s="3" t="s">
        <v>28</v>
      </c>
      <c r="AE68" s="3" t="s">
        <v>28</v>
      </c>
    </row>
    <row r="69" ht="24.75" customHeight="1">
      <c r="A69" s="3" t="s">
        <v>101</v>
      </c>
      <c r="B69" s="3" t="s">
        <v>107</v>
      </c>
      <c r="C69" s="3"/>
      <c r="D69" s="3"/>
      <c r="E69" s="3"/>
      <c r="F69" s="3"/>
      <c r="G69" s="3"/>
      <c r="H69" s="3"/>
      <c r="I69" s="3"/>
      <c r="J69" s="3"/>
      <c r="K69" s="3" t="s">
        <v>26</v>
      </c>
      <c r="L69" s="3" t="s">
        <v>27</v>
      </c>
      <c r="M69" s="3"/>
      <c r="N69" s="3"/>
      <c r="O69" s="3"/>
      <c r="P69" s="3"/>
      <c r="Q69" s="4"/>
      <c r="R69" s="5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  <v>0</v>
      </c>
      <c r="S69" s="4"/>
      <c r="T69" s="5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  <v>0</v>
      </c>
      <c r="U69" s="4">
        <v>5.0</v>
      </c>
      <c r="V69" s="5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  <v>4</v>
      </c>
      <c r="W69" s="4"/>
      <c r="X69" s="5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  <v>0</v>
      </c>
      <c r="Y69" s="4"/>
      <c r="Z69" s="5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  <v>0</v>
      </c>
      <c r="AA69" s="3">
        <f t="shared" si="2"/>
        <v>4</v>
      </c>
      <c r="AB69" s="3" t="str">
        <f>IFERROR(__xludf.DUMMYFUNCTION("
      Ifs( 
        ISBETWEEN(AA69, 0, 'Points-Table'!C$20, TRUE, False), 'Points-Table'!A$20,
        ISBETWEEN(AA69, 'Points-Table'!C$20, 'Points-Table'!C$21, TRUE, False), 'Points-Table'!A$21,
        ISBETWEEN(AA69, 'Points-Table'!C$22, 10000, TRUE, "&amp;"TRUE), 'Points-Table'!A$22,
        true, 
        0)
      "),"S")</f>
        <v>S</v>
      </c>
      <c r="AC69" s="3" t="s">
        <v>28</v>
      </c>
      <c r="AD69" s="3" t="s">
        <v>28</v>
      </c>
      <c r="AE69" s="3" t="s">
        <v>28</v>
      </c>
    </row>
    <row r="70" ht="24.75" customHeight="1">
      <c r="A70" s="3" t="s">
        <v>101</v>
      </c>
      <c r="B70" s="3" t="s">
        <v>108</v>
      </c>
      <c r="C70" s="3"/>
      <c r="D70" s="3"/>
      <c r="E70" s="3"/>
      <c r="F70" s="3"/>
      <c r="G70" s="3"/>
      <c r="H70" s="3"/>
      <c r="I70" s="3"/>
      <c r="J70" s="3"/>
      <c r="K70" s="3" t="s">
        <v>26</v>
      </c>
      <c r="L70" s="3" t="s">
        <v>27</v>
      </c>
      <c r="M70" s="3"/>
      <c r="N70" s="3"/>
      <c r="O70" s="3"/>
      <c r="P70" s="3"/>
      <c r="Q70" s="4"/>
      <c r="R70" s="5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  <v>0</v>
      </c>
      <c r="S70" s="4"/>
      <c r="T70" s="5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  <v>0</v>
      </c>
      <c r="U70" s="4">
        <v>5.0</v>
      </c>
      <c r="V70" s="5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  <v>4</v>
      </c>
      <c r="W70" s="4"/>
      <c r="X70" s="5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  <v>0</v>
      </c>
      <c r="Y70" s="4"/>
      <c r="Z70" s="5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  <v>0</v>
      </c>
      <c r="AA70" s="3">
        <f t="shared" si="2"/>
        <v>4</v>
      </c>
      <c r="AB70" s="3" t="str">
        <f>IFERROR(__xludf.DUMMYFUNCTION("
      Ifs( 
        ISBETWEEN(AA70, 0, 'Points-Table'!C$20, TRUE, False), 'Points-Table'!A$20,
        ISBETWEEN(AA70, 'Points-Table'!C$20, 'Points-Table'!C$21, TRUE, False), 'Points-Table'!A$21,
        ISBETWEEN(AA70, 'Points-Table'!C$22, 10000, TRUE, "&amp;"TRUE), 'Points-Table'!A$22,
        true, 
        0)
      "),"S")</f>
        <v>S</v>
      </c>
      <c r="AC70" s="3" t="s">
        <v>28</v>
      </c>
      <c r="AD70" s="3" t="s">
        <v>28</v>
      </c>
      <c r="AE70" s="3" t="s">
        <v>28</v>
      </c>
    </row>
    <row r="71" ht="24.75" customHeight="1">
      <c r="A71" s="3" t="s">
        <v>101</v>
      </c>
      <c r="B71" s="3" t="s">
        <v>109</v>
      </c>
      <c r="C71" s="3"/>
      <c r="D71" s="3"/>
      <c r="E71" s="3"/>
      <c r="F71" s="3"/>
      <c r="G71" s="3"/>
      <c r="H71" s="3"/>
      <c r="I71" s="3"/>
      <c r="J71" s="3"/>
      <c r="K71" s="3" t="s">
        <v>26</v>
      </c>
      <c r="L71" s="3" t="s">
        <v>27</v>
      </c>
      <c r="M71" s="3"/>
      <c r="N71" s="3"/>
      <c r="O71" s="3"/>
      <c r="P71" s="3"/>
      <c r="Q71" s="4"/>
      <c r="R71" s="5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  <v>0</v>
      </c>
      <c r="S71" s="4"/>
      <c r="T71" s="5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  <v>0</v>
      </c>
      <c r="U71" s="4">
        <v>5.0</v>
      </c>
      <c r="V71" s="5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  <v>4</v>
      </c>
      <c r="W71" s="4"/>
      <c r="X71" s="5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  <v>0</v>
      </c>
      <c r="Y71" s="4"/>
      <c r="Z71" s="5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  <v>0</v>
      </c>
      <c r="AA71" s="3">
        <f t="shared" si="2"/>
        <v>4</v>
      </c>
      <c r="AB71" s="3" t="str">
        <f>IFERROR(__xludf.DUMMYFUNCTION("
      Ifs( 
        ISBETWEEN(AA71, 0, 'Points-Table'!C$20, TRUE, False), 'Points-Table'!A$20,
        ISBETWEEN(AA71, 'Points-Table'!C$20, 'Points-Table'!C$21, TRUE, False), 'Points-Table'!A$21,
        ISBETWEEN(AA71, 'Points-Table'!C$22, 10000, TRUE, "&amp;"TRUE), 'Points-Table'!A$22,
        true, 
        0)
      "),"S")</f>
        <v>S</v>
      </c>
      <c r="AC71" s="3" t="s">
        <v>28</v>
      </c>
      <c r="AD71" s="3" t="s">
        <v>28</v>
      </c>
      <c r="AE71" s="3" t="s">
        <v>28</v>
      </c>
    </row>
    <row r="72" ht="24.75" customHeight="1">
      <c r="A72" s="3" t="s">
        <v>110</v>
      </c>
      <c r="B72" s="3"/>
      <c r="C72" s="3"/>
      <c r="D72" s="3"/>
      <c r="E72" s="3"/>
      <c r="F72" s="3"/>
      <c r="G72" s="3"/>
      <c r="H72" s="3"/>
      <c r="I72" s="3"/>
      <c r="J72" s="3"/>
      <c r="K72" s="3" t="s">
        <v>26</v>
      </c>
      <c r="L72" s="3" t="s">
        <v>27</v>
      </c>
      <c r="M72" s="3"/>
      <c r="N72" s="3"/>
      <c r="O72" s="3"/>
      <c r="P72" s="3"/>
      <c r="Q72" s="4">
        <v>55.0</v>
      </c>
      <c r="R72" s="5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  <v>40</v>
      </c>
      <c r="S72" s="4">
        <v>0.0</v>
      </c>
      <c r="T72" s="5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  <v>0</v>
      </c>
      <c r="U72" s="4"/>
      <c r="V72" s="5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  <v>0</v>
      </c>
      <c r="W72" s="4"/>
      <c r="X72" s="5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  <v>0</v>
      </c>
      <c r="Y72" s="4"/>
      <c r="Z72" s="5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  <v>0</v>
      </c>
      <c r="AA72" s="3">
        <f t="shared" si="2"/>
        <v>0</v>
      </c>
      <c r="AB72" s="3" t="str">
        <f>IFERROR(__xludf.DUMMYFUNCTION("
      Ifs( 
        ISBETWEEN(AA72, 0, 'Points-Table'!C$20, TRUE, False), 'Points-Table'!A$20,
        ISBETWEEN(AA72, 'Points-Table'!C$20, 'Points-Table'!C$21, TRUE, False), 'Points-Table'!A$21,
        ISBETWEEN(AA72, 'Points-Table'!C$22, 10000, TRUE, "&amp;"TRUE), 'Points-Table'!A$22,
        true, 
        0)
      "),"S")</f>
        <v>S</v>
      </c>
      <c r="AC72" s="3" t="s">
        <v>28</v>
      </c>
      <c r="AD72" s="3" t="s">
        <v>28</v>
      </c>
      <c r="AE72" s="3" t="s">
        <v>28</v>
      </c>
    </row>
    <row r="73" ht="24.75" customHeight="1">
      <c r="A73" s="3" t="s">
        <v>111</v>
      </c>
      <c r="B73" s="3"/>
      <c r="C73" s="3"/>
      <c r="D73" s="3"/>
      <c r="E73" s="3"/>
      <c r="F73" s="3"/>
      <c r="G73" s="3"/>
      <c r="H73" s="3"/>
      <c r="I73" s="3"/>
      <c r="J73" s="3"/>
      <c r="K73" s="3" t="s">
        <v>26</v>
      </c>
      <c r="L73" s="3" t="s">
        <v>27</v>
      </c>
      <c r="M73" s="3"/>
      <c r="N73" s="3"/>
      <c r="O73" s="3"/>
      <c r="P73" s="3"/>
      <c r="Q73" s="4"/>
      <c r="R73" s="5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  <v>0</v>
      </c>
      <c r="S73" s="4">
        <v>8.0</v>
      </c>
      <c r="T73" s="5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  <v>7</v>
      </c>
      <c r="U73" s="4"/>
      <c r="V73" s="5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  <v>0</v>
      </c>
      <c r="W73" s="4"/>
      <c r="X73" s="5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  <v>0</v>
      </c>
      <c r="Y73" s="4"/>
      <c r="Z73" s="5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  <v>0</v>
      </c>
      <c r="AA73" s="3">
        <f t="shared" si="2"/>
        <v>0</v>
      </c>
      <c r="AB73" s="3" t="str">
        <f>IFERROR(__xludf.DUMMYFUNCTION("
      Ifs( 
        ISBETWEEN(AA73, 0, 'Points-Table'!C$20, TRUE, False), 'Points-Table'!A$20,
        ISBETWEEN(AA73, 'Points-Table'!C$20, 'Points-Table'!C$21, TRUE, False), 'Points-Table'!A$21,
        ISBETWEEN(AA73, 'Points-Table'!C$22, 10000, TRUE, "&amp;"TRUE), 'Points-Table'!A$22,
        true, 
        0)
      "),"S")</f>
        <v>S</v>
      </c>
      <c r="AC73" s="3" t="s">
        <v>28</v>
      </c>
      <c r="AD73" s="3" t="s">
        <v>28</v>
      </c>
      <c r="AE73" s="3" t="s">
        <v>28</v>
      </c>
    </row>
    <row r="74" ht="24.75" customHeight="1">
      <c r="A74" s="3" t="s">
        <v>112</v>
      </c>
      <c r="B74" s="3"/>
      <c r="C74" s="3"/>
      <c r="D74" s="3"/>
      <c r="E74" s="3"/>
      <c r="F74" s="3"/>
      <c r="G74" s="3"/>
      <c r="H74" s="3"/>
      <c r="I74" s="3"/>
      <c r="J74" s="3"/>
      <c r="K74" s="3" t="s">
        <v>26</v>
      </c>
      <c r="L74" s="3" t="s">
        <v>27</v>
      </c>
      <c r="M74" s="3"/>
      <c r="N74" s="3"/>
      <c r="O74" s="3"/>
      <c r="P74" s="3"/>
      <c r="Q74" s="4"/>
      <c r="R74" s="5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  <v>0</v>
      </c>
      <c r="S74" s="4">
        <v>8.0</v>
      </c>
      <c r="T74" s="5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  <v>7</v>
      </c>
      <c r="U74" s="4"/>
      <c r="V74" s="5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  <v>0</v>
      </c>
      <c r="W74" s="4"/>
      <c r="X74" s="5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  <v>0</v>
      </c>
      <c r="Y74" s="4"/>
      <c r="Z74" s="5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  <v>0</v>
      </c>
      <c r="AA74" s="3">
        <f t="shared" si="2"/>
        <v>0</v>
      </c>
      <c r="AB74" s="3" t="str">
        <f>IFERROR(__xludf.DUMMYFUNCTION("
      Ifs( 
        ISBETWEEN(AA74, 0, 'Points-Table'!C$20, TRUE, False), 'Points-Table'!A$20,
        ISBETWEEN(AA74, 'Points-Table'!C$20, 'Points-Table'!C$21, TRUE, False), 'Points-Table'!A$21,
        ISBETWEEN(AA74, 'Points-Table'!C$22, 10000, TRUE, "&amp;"TRUE), 'Points-Table'!A$22,
        true, 
        0)
      "),"S")</f>
        <v>S</v>
      </c>
      <c r="AC74" s="3" t="s">
        <v>28</v>
      </c>
      <c r="AD74" s="3" t="s">
        <v>28</v>
      </c>
      <c r="AE74" s="3" t="s">
        <v>28</v>
      </c>
    </row>
    <row r="75" ht="24.75" customHeight="1">
      <c r="A75" s="3" t="s">
        <v>113</v>
      </c>
      <c r="B75" s="3"/>
      <c r="C75" s="3"/>
      <c r="D75" s="3"/>
      <c r="E75" s="3"/>
      <c r="F75" s="3"/>
      <c r="G75" s="3"/>
      <c r="H75" s="3"/>
      <c r="I75" s="3"/>
      <c r="J75" s="3"/>
      <c r="K75" s="3" t="s">
        <v>26</v>
      </c>
      <c r="L75" s="3" t="s">
        <v>27</v>
      </c>
      <c r="M75" s="3"/>
      <c r="N75" s="3"/>
      <c r="O75" s="3"/>
      <c r="P75" s="3"/>
      <c r="Q75" s="4"/>
      <c r="R75" s="5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  <v>0</v>
      </c>
      <c r="S75" s="4">
        <v>8.0</v>
      </c>
      <c r="T75" s="5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  <v>7</v>
      </c>
      <c r="U75" s="4">
        <v>55.0</v>
      </c>
      <c r="V75" s="5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  <v>40</v>
      </c>
      <c r="W75" s="4"/>
      <c r="X75" s="5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  <v>0</v>
      </c>
      <c r="Y75" s="4"/>
      <c r="Z75" s="5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  <v>0</v>
      </c>
      <c r="AA75" s="3">
        <f t="shared" si="2"/>
        <v>40</v>
      </c>
      <c r="AB75" s="3" t="str">
        <f>IFERROR(__xludf.DUMMYFUNCTION("
      Ifs( 
        ISBETWEEN(AA75, 0, 'Points-Table'!C$20, TRUE, False), 'Points-Table'!A$20,
        ISBETWEEN(AA75, 'Points-Table'!C$20, 'Points-Table'!C$21, TRUE, False), 'Points-Table'!A$21,
        ISBETWEEN(AA75, 'Points-Table'!C$22, 10000, TRUE, "&amp;"TRUE), 'Points-Table'!A$22,
        true, 
        0)
      "),"M")</f>
        <v>M</v>
      </c>
      <c r="AC75" s="3" t="s">
        <v>28</v>
      </c>
      <c r="AD75" s="3" t="s">
        <v>28</v>
      </c>
      <c r="AE75" s="3" t="s">
        <v>28</v>
      </c>
    </row>
    <row r="76" ht="24.75" customHeight="1">
      <c r="L76" s="7"/>
      <c r="Q76" s="8"/>
      <c r="R76" s="9"/>
      <c r="S76" s="8"/>
      <c r="T76" s="9"/>
      <c r="U76" s="8"/>
      <c r="V76" s="9"/>
      <c r="W76" s="8"/>
      <c r="X76" s="9"/>
      <c r="Y76" s="8"/>
      <c r="Z76" s="9"/>
    </row>
    <row r="77" ht="24.75" customHeight="1">
      <c r="L77" s="7"/>
      <c r="Q77" s="8"/>
      <c r="R77" s="9"/>
      <c r="S77" s="8"/>
      <c r="T77" s="9"/>
      <c r="U77" s="8"/>
      <c r="V77" s="9"/>
      <c r="W77" s="8"/>
      <c r="X77" s="9"/>
      <c r="Y77" s="8"/>
      <c r="Z77" s="9"/>
    </row>
    <row r="78" ht="24.75" customHeight="1">
      <c r="L78" s="7"/>
      <c r="Q78" s="8"/>
      <c r="R78" s="9"/>
      <c r="S78" s="8"/>
      <c r="T78" s="9"/>
      <c r="U78" s="8"/>
      <c r="V78" s="9"/>
      <c r="W78" s="8"/>
      <c r="X78" s="9"/>
      <c r="Y78" s="8"/>
      <c r="Z78" s="9"/>
    </row>
    <row r="79" ht="24.75" customHeight="1">
      <c r="L79" s="7"/>
      <c r="Q79" s="8"/>
      <c r="R79" s="9"/>
      <c r="S79" s="8"/>
      <c r="T79" s="9"/>
      <c r="U79" s="8"/>
      <c r="V79" s="9"/>
      <c r="W79" s="8"/>
      <c r="X79" s="9"/>
      <c r="Y79" s="8"/>
      <c r="Z79" s="9"/>
    </row>
    <row r="80" ht="24.75" customHeight="1">
      <c r="L80" s="7"/>
      <c r="Q80" s="8"/>
      <c r="R80" s="9"/>
      <c r="S80" s="8"/>
      <c r="T80" s="9"/>
      <c r="U80" s="8"/>
      <c r="V80" s="9"/>
      <c r="W80" s="8"/>
      <c r="X80" s="9"/>
      <c r="Y80" s="8"/>
      <c r="Z80" s="9"/>
    </row>
    <row r="81" ht="24.75" customHeight="1">
      <c r="L81" s="7"/>
      <c r="Q81" s="8"/>
      <c r="R81" s="9"/>
      <c r="S81" s="8"/>
      <c r="T81" s="9"/>
      <c r="U81" s="8"/>
      <c r="V81" s="9"/>
      <c r="W81" s="8"/>
      <c r="X81" s="9"/>
      <c r="Y81" s="8"/>
      <c r="Z81" s="9"/>
    </row>
    <row r="82" ht="24.75" customHeight="1">
      <c r="L82" s="7"/>
      <c r="Q82" s="8"/>
      <c r="R82" s="9"/>
      <c r="S82" s="8"/>
      <c r="T82" s="9"/>
      <c r="U82" s="8"/>
      <c r="V82" s="9"/>
      <c r="W82" s="8"/>
      <c r="X82" s="9"/>
      <c r="Y82" s="8"/>
      <c r="Z82" s="9"/>
    </row>
    <row r="83" ht="24.75" customHeight="1">
      <c r="L83" s="7"/>
      <c r="Q83" s="8"/>
      <c r="R83" s="9"/>
      <c r="S83" s="8"/>
      <c r="T83" s="9"/>
      <c r="U83" s="8"/>
      <c r="V83" s="9"/>
      <c r="W83" s="8"/>
      <c r="X83" s="9"/>
      <c r="Y83" s="8"/>
      <c r="Z83" s="9"/>
    </row>
    <row r="84" ht="24.75" customHeight="1">
      <c r="L84" s="7"/>
      <c r="Q84" s="8"/>
      <c r="R84" s="9"/>
      <c r="S84" s="8"/>
      <c r="T84" s="9"/>
      <c r="U84" s="8"/>
      <c r="V84" s="9"/>
      <c r="W84" s="8"/>
      <c r="X84" s="9"/>
      <c r="Y84" s="8"/>
      <c r="Z84" s="9"/>
    </row>
    <row r="85" ht="24.75" customHeight="1">
      <c r="L85" s="7"/>
      <c r="Q85" s="8"/>
      <c r="R85" s="9"/>
      <c r="S85" s="8"/>
      <c r="T85" s="9"/>
      <c r="U85" s="8"/>
      <c r="V85" s="9"/>
      <c r="W85" s="8"/>
      <c r="X85" s="9"/>
      <c r="Y85" s="8"/>
      <c r="Z85" s="9"/>
    </row>
    <row r="86" ht="24.75" customHeight="1">
      <c r="L86" s="7"/>
      <c r="Q86" s="8"/>
      <c r="R86" s="9"/>
      <c r="S86" s="8"/>
      <c r="T86" s="9"/>
      <c r="U86" s="8"/>
      <c r="V86" s="9"/>
      <c r="W86" s="8"/>
      <c r="X86" s="9"/>
      <c r="Y86" s="8"/>
      <c r="Z86" s="9"/>
    </row>
    <row r="87" ht="24.75" customHeight="1">
      <c r="L87" s="7"/>
      <c r="Q87" s="8"/>
      <c r="R87" s="9"/>
      <c r="S87" s="8"/>
      <c r="T87" s="9"/>
      <c r="U87" s="8"/>
      <c r="V87" s="9"/>
      <c r="W87" s="8"/>
      <c r="X87" s="9"/>
      <c r="Y87" s="8"/>
      <c r="Z87" s="9"/>
    </row>
    <row r="88" ht="24.75" customHeight="1">
      <c r="L88" s="7"/>
      <c r="Q88" s="8"/>
      <c r="R88" s="9"/>
      <c r="S88" s="8"/>
      <c r="T88" s="9"/>
      <c r="U88" s="8"/>
      <c r="V88" s="9"/>
      <c r="W88" s="8"/>
      <c r="X88" s="9"/>
      <c r="Y88" s="8"/>
      <c r="Z88" s="9"/>
    </row>
    <row r="89" ht="24.75" customHeight="1">
      <c r="L89" s="7"/>
      <c r="Q89" s="8"/>
      <c r="R89" s="9"/>
      <c r="S89" s="8"/>
      <c r="T89" s="9"/>
      <c r="U89" s="8"/>
      <c r="V89" s="9"/>
      <c r="W89" s="8"/>
      <c r="X89" s="9"/>
      <c r="Y89" s="8"/>
      <c r="Z89" s="9"/>
    </row>
    <row r="90" ht="24.75" customHeight="1">
      <c r="L90" s="7"/>
      <c r="Q90" s="8"/>
      <c r="R90" s="9"/>
      <c r="S90" s="8"/>
      <c r="T90" s="9"/>
      <c r="U90" s="8"/>
      <c r="V90" s="9"/>
      <c r="W90" s="8"/>
      <c r="X90" s="9"/>
      <c r="Y90" s="8"/>
      <c r="Z90" s="9"/>
    </row>
    <row r="91" ht="24.75" customHeight="1">
      <c r="L91" s="7"/>
      <c r="Q91" s="8"/>
      <c r="R91" s="9"/>
      <c r="S91" s="8"/>
      <c r="T91" s="9"/>
      <c r="U91" s="8"/>
      <c r="V91" s="9"/>
      <c r="W91" s="8"/>
      <c r="X91" s="9"/>
      <c r="Y91" s="8"/>
      <c r="Z91" s="9"/>
    </row>
    <row r="92" ht="24.75" customHeight="1">
      <c r="L92" s="7"/>
      <c r="Q92" s="8"/>
      <c r="R92" s="9"/>
      <c r="S92" s="8"/>
      <c r="T92" s="9"/>
      <c r="U92" s="8"/>
      <c r="V92" s="9"/>
      <c r="W92" s="8"/>
      <c r="X92" s="9"/>
      <c r="Y92" s="8"/>
      <c r="Z92" s="9"/>
    </row>
    <row r="93" ht="24.75" customHeight="1">
      <c r="L93" s="7"/>
      <c r="Q93" s="8"/>
      <c r="R93" s="9"/>
      <c r="S93" s="8"/>
      <c r="T93" s="9"/>
      <c r="U93" s="8"/>
      <c r="V93" s="9"/>
      <c r="W93" s="8"/>
      <c r="X93" s="9"/>
      <c r="Y93" s="8"/>
      <c r="Z93" s="9"/>
    </row>
    <row r="94" ht="24.75" customHeight="1">
      <c r="L94" s="7"/>
      <c r="Q94" s="8"/>
      <c r="R94" s="9"/>
      <c r="S94" s="8"/>
      <c r="T94" s="9"/>
      <c r="U94" s="8"/>
      <c r="V94" s="9"/>
      <c r="W94" s="8"/>
      <c r="X94" s="9"/>
      <c r="Y94" s="8"/>
      <c r="Z94" s="9"/>
    </row>
    <row r="95" ht="24.75" customHeight="1">
      <c r="L95" s="7"/>
      <c r="Q95" s="8"/>
      <c r="R95" s="9"/>
      <c r="S95" s="8"/>
      <c r="T95" s="9"/>
      <c r="U95" s="8"/>
      <c r="V95" s="9"/>
      <c r="W95" s="8"/>
      <c r="X95" s="9"/>
      <c r="Y95" s="8"/>
      <c r="Z95" s="9"/>
    </row>
    <row r="96" ht="24.75" customHeight="1">
      <c r="L96" s="7"/>
      <c r="Q96" s="8"/>
      <c r="R96" s="9"/>
      <c r="S96" s="8"/>
      <c r="T96" s="9"/>
      <c r="U96" s="8"/>
      <c r="V96" s="9"/>
      <c r="W96" s="8"/>
      <c r="X96" s="9"/>
      <c r="Y96" s="8"/>
      <c r="Z96" s="9"/>
    </row>
    <row r="97" ht="24.75" customHeight="1">
      <c r="L97" s="7"/>
      <c r="Q97" s="8"/>
      <c r="R97" s="9"/>
      <c r="S97" s="8"/>
      <c r="T97" s="9"/>
      <c r="U97" s="8"/>
      <c r="V97" s="9"/>
      <c r="W97" s="8"/>
      <c r="X97" s="9"/>
      <c r="Y97" s="8"/>
      <c r="Z97" s="9"/>
    </row>
    <row r="98" ht="24.75" customHeight="1">
      <c r="L98" s="7"/>
      <c r="Q98" s="8"/>
      <c r="R98" s="9"/>
      <c r="S98" s="8"/>
      <c r="T98" s="9"/>
      <c r="U98" s="8"/>
      <c r="V98" s="9"/>
      <c r="W98" s="8"/>
      <c r="X98" s="9"/>
      <c r="Y98" s="8"/>
      <c r="Z98" s="9"/>
    </row>
    <row r="99" ht="24.75" customHeight="1">
      <c r="L99" s="7"/>
      <c r="Q99" s="8"/>
      <c r="R99" s="9"/>
      <c r="S99" s="8"/>
      <c r="T99" s="9"/>
      <c r="U99" s="8"/>
      <c r="V99" s="9"/>
      <c r="W99" s="8"/>
      <c r="X99" s="9"/>
      <c r="Y99" s="8"/>
      <c r="Z99" s="9"/>
    </row>
    <row r="100" ht="24.75" customHeight="1">
      <c r="L100" s="7"/>
      <c r="Q100" s="8"/>
      <c r="R100" s="9"/>
      <c r="S100" s="8"/>
      <c r="T100" s="9"/>
      <c r="U100" s="8"/>
      <c r="V100" s="9"/>
      <c r="W100" s="8"/>
      <c r="X100" s="9"/>
      <c r="Y100" s="8"/>
      <c r="Z100" s="9"/>
    </row>
    <row r="101" ht="24.75" customHeight="1">
      <c r="L101" s="7"/>
      <c r="Q101" s="8"/>
      <c r="R101" s="9"/>
      <c r="S101" s="8"/>
      <c r="T101" s="9"/>
      <c r="U101" s="8"/>
      <c r="V101" s="9"/>
      <c r="W101" s="8"/>
      <c r="X101" s="9"/>
      <c r="Y101" s="8"/>
      <c r="Z101" s="9"/>
    </row>
    <row r="102" ht="24.75" customHeight="1">
      <c r="L102" s="7"/>
      <c r="Q102" s="8"/>
      <c r="R102" s="9"/>
      <c r="S102" s="8"/>
      <c r="T102" s="9"/>
      <c r="U102" s="8"/>
      <c r="V102" s="9"/>
      <c r="W102" s="8"/>
      <c r="X102" s="9"/>
      <c r="Y102" s="8"/>
      <c r="Z102" s="9"/>
    </row>
    <row r="103" ht="24.75" customHeight="1">
      <c r="L103" s="7"/>
      <c r="Q103" s="8"/>
      <c r="R103" s="9"/>
      <c r="S103" s="8"/>
      <c r="T103" s="9"/>
      <c r="U103" s="8"/>
      <c r="V103" s="9"/>
      <c r="W103" s="8"/>
      <c r="X103" s="9"/>
      <c r="Y103" s="8"/>
      <c r="Z103" s="9"/>
    </row>
    <row r="104" ht="24.75" customHeight="1">
      <c r="L104" s="7"/>
      <c r="Q104" s="8"/>
      <c r="R104" s="9"/>
      <c r="S104" s="8"/>
      <c r="T104" s="9"/>
      <c r="U104" s="8"/>
      <c r="V104" s="9"/>
      <c r="W104" s="8"/>
      <c r="X104" s="9"/>
      <c r="Y104" s="8"/>
      <c r="Z104" s="9"/>
    </row>
    <row r="105" ht="24.75" customHeight="1">
      <c r="L105" s="7"/>
      <c r="Q105" s="8"/>
      <c r="R105" s="9"/>
      <c r="S105" s="8"/>
      <c r="T105" s="9"/>
      <c r="U105" s="8"/>
      <c r="V105" s="9"/>
      <c r="W105" s="8"/>
      <c r="X105" s="9"/>
      <c r="Y105" s="8"/>
      <c r="Z105" s="9"/>
    </row>
    <row r="106" ht="24.75" customHeight="1">
      <c r="L106" s="7"/>
      <c r="Q106" s="8"/>
      <c r="R106" s="9"/>
      <c r="S106" s="8"/>
      <c r="T106" s="9"/>
      <c r="U106" s="8"/>
      <c r="V106" s="9"/>
      <c r="W106" s="8"/>
      <c r="X106" s="9"/>
      <c r="Y106" s="8"/>
      <c r="Z106" s="9"/>
    </row>
    <row r="107" ht="24.75" customHeight="1">
      <c r="L107" s="7"/>
      <c r="Q107" s="8"/>
      <c r="R107" s="9"/>
      <c r="S107" s="8"/>
      <c r="T107" s="9"/>
      <c r="U107" s="8"/>
      <c r="V107" s="9"/>
      <c r="W107" s="8"/>
      <c r="X107" s="9"/>
      <c r="Y107" s="8"/>
      <c r="Z107" s="9"/>
    </row>
    <row r="108" ht="24.75" customHeight="1">
      <c r="L108" s="7"/>
      <c r="Q108" s="8"/>
      <c r="R108" s="9"/>
      <c r="S108" s="8"/>
      <c r="T108" s="9"/>
      <c r="U108" s="8"/>
      <c r="V108" s="9"/>
      <c r="W108" s="8"/>
      <c r="X108" s="9"/>
      <c r="Y108" s="8"/>
      <c r="Z108" s="9"/>
    </row>
    <row r="109" ht="24.75" customHeight="1">
      <c r="L109" s="7"/>
      <c r="Q109" s="8"/>
      <c r="R109" s="9"/>
      <c r="S109" s="8"/>
      <c r="T109" s="9"/>
      <c r="U109" s="8"/>
      <c r="V109" s="9"/>
      <c r="W109" s="8"/>
      <c r="X109" s="9"/>
      <c r="Y109" s="8"/>
      <c r="Z109" s="9"/>
    </row>
    <row r="110" ht="24.75" customHeight="1">
      <c r="L110" s="7"/>
      <c r="Q110" s="8"/>
      <c r="R110" s="9"/>
      <c r="S110" s="8"/>
      <c r="T110" s="9"/>
      <c r="U110" s="8"/>
      <c r="V110" s="9"/>
      <c r="W110" s="8"/>
      <c r="X110" s="9"/>
      <c r="Y110" s="8"/>
      <c r="Z110" s="9"/>
    </row>
    <row r="111" ht="24.75" customHeight="1">
      <c r="L111" s="7"/>
      <c r="Q111" s="8"/>
      <c r="R111" s="9"/>
      <c r="S111" s="8"/>
      <c r="T111" s="9"/>
      <c r="U111" s="8"/>
      <c r="V111" s="9"/>
      <c r="W111" s="8"/>
      <c r="X111" s="9"/>
      <c r="Y111" s="8"/>
      <c r="Z111" s="9"/>
    </row>
    <row r="112" ht="24.75" customHeight="1">
      <c r="L112" s="7"/>
      <c r="Q112" s="8"/>
      <c r="R112" s="9"/>
      <c r="S112" s="8"/>
      <c r="T112" s="9"/>
      <c r="U112" s="8"/>
      <c r="V112" s="9"/>
      <c r="W112" s="8"/>
      <c r="X112" s="9"/>
      <c r="Y112" s="8"/>
      <c r="Z112" s="9"/>
    </row>
    <row r="113" ht="24.75" customHeight="1">
      <c r="L113" s="7"/>
      <c r="Q113" s="8"/>
      <c r="R113" s="9"/>
      <c r="S113" s="8"/>
      <c r="T113" s="9"/>
      <c r="U113" s="8"/>
      <c r="V113" s="9"/>
      <c r="W113" s="8"/>
      <c r="X113" s="9"/>
      <c r="Y113" s="8"/>
      <c r="Z113" s="9"/>
    </row>
    <row r="114" ht="24.75" customHeight="1">
      <c r="L114" s="7"/>
      <c r="Q114" s="8"/>
      <c r="R114" s="9"/>
      <c r="S114" s="8"/>
      <c r="T114" s="9"/>
      <c r="U114" s="8"/>
      <c r="V114" s="9"/>
      <c r="W114" s="8"/>
      <c r="X114" s="9"/>
      <c r="Y114" s="8"/>
      <c r="Z114" s="9"/>
    </row>
    <row r="115" ht="24.75" customHeight="1">
      <c r="L115" s="7"/>
      <c r="Q115" s="8"/>
      <c r="R115" s="9"/>
      <c r="S115" s="8"/>
      <c r="T115" s="9"/>
      <c r="U115" s="8"/>
      <c r="V115" s="9"/>
      <c r="W115" s="8"/>
      <c r="X115" s="9"/>
      <c r="Y115" s="8"/>
      <c r="Z115" s="9"/>
    </row>
    <row r="116" ht="24.75" customHeight="1">
      <c r="L116" s="7"/>
      <c r="Q116" s="8"/>
      <c r="R116" s="9"/>
      <c r="S116" s="8"/>
      <c r="T116" s="9"/>
      <c r="U116" s="8"/>
      <c r="V116" s="9"/>
      <c r="W116" s="8"/>
      <c r="X116" s="9"/>
      <c r="Y116" s="8"/>
      <c r="Z116" s="9"/>
    </row>
    <row r="117" ht="24.75" customHeight="1">
      <c r="L117" s="7"/>
      <c r="Q117" s="8"/>
      <c r="R117" s="9"/>
      <c r="S117" s="8"/>
      <c r="T117" s="9"/>
      <c r="U117" s="8"/>
      <c r="V117" s="9"/>
      <c r="W117" s="8"/>
      <c r="X117" s="9"/>
      <c r="Y117" s="8"/>
      <c r="Z117" s="9"/>
    </row>
    <row r="118" ht="24.75" customHeight="1">
      <c r="L118" s="7"/>
      <c r="Q118" s="8"/>
      <c r="R118" s="9"/>
      <c r="S118" s="8"/>
      <c r="T118" s="9"/>
      <c r="U118" s="8"/>
      <c r="V118" s="9"/>
      <c r="W118" s="8"/>
      <c r="X118" s="9"/>
      <c r="Y118" s="8"/>
      <c r="Z118" s="9"/>
    </row>
    <row r="119" ht="24.75" customHeight="1">
      <c r="L119" s="7"/>
      <c r="Q119" s="8"/>
      <c r="R119" s="9"/>
      <c r="S119" s="8"/>
      <c r="T119" s="9"/>
      <c r="U119" s="8"/>
      <c r="V119" s="9"/>
      <c r="W119" s="8"/>
      <c r="X119" s="9"/>
      <c r="Y119" s="8"/>
      <c r="Z119" s="9"/>
    </row>
    <row r="120" ht="24.75" customHeight="1">
      <c r="L120" s="7"/>
      <c r="Q120" s="8"/>
      <c r="R120" s="9"/>
      <c r="S120" s="8"/>
      <c r="T120" s="9"/>
      <c r="U120" s="8"/>
      <c r="V120" s="9"/>
      <c r="W120" s="8"/>
      <c r="X120" s="9"/>
      <c r="Y120" s="8"/>
      <c r="Z120" s="9"/>
    </row>
    <row r="121" ht="24.75" customHeight="1">
      <c r="L121" s="7"/>
      <c r="Q121" s="8"/>
      <c r="R121" s="9"/>
      <c r="S121" s="8"/>
      <c r="T121" s="9"/>
      <c r="U121" s="8"/>
      <c r="V121" s="9"/>
      <c r="W121" s="8"/>
      <c r="X121" s="9"/>
      <c r="Y121" s="8"/>
      <c r="Z121" s="9"/>
    </row>
    <row r="122" ht="24.75" customHeight="1">
      <c r="L122" s="7"/>
      <c r="Q122" s="8"/>
      <c r="R122" s="9"/>
      <c r="S122" s="8"/>
      <c r="T122" s="9"/>
      <c r="U122" s="8"/>
      <c r="V122" s="9"/>
      <c r="W122" s="8"/>
      <c r="X122" s="9"/>
      <c r="Y122" s="8"/>
      <c r="Z122" s="9"/>
    </row>
    <row r="123" ht="24.75" customHeight="1">
      <c r="L123" s="7"/>
      <c r="Q123" s="8"/>
      <c r="R123" s="9"/>
      <c r="S123" s="8"/>
      <c r="T123" s="9"/>
      <c r="U123" s="8"/>
      <c r="V123" s="9"/>
      <c r="W123" s="8"/>
      <c r="X123" s="9"/>
      <c r="Y123" s="8"/>
      <c r="Z123" s="9"/>
    </row>
    <row r="124" ht="24.75" customHeight="1">
      <c r="L124" s="7"/>
      <c r="Q124" s="8"/>
      <c r="R124" s="9"/>
      <c r="S124" s="8"/>
      <c r="T124" s="9"/>
      <c r="U124" s="8"/>
      <c r="V124" s="9"/>
      <c r="W124" s="8"/>
      <c r="X124" s="9"/>
      <c r="Y124" s="8"/>
      <c r="Z124" s="9"/>
    </row>
    <row r="125" ht="24.75" customHeight="1">
      <c r="L125" s="7"/>
      <c r="Q125" s="8"/>
      <c r="R125" s="9"/>
      <c r="S125" s="8"/>
      <c r="T125" s="9"/>
      <c r="U125" s="8"/>
      <c r="V125" s="9"/>
      <c r="W125" s="8"/>
      <c r="X125" s="9"/>
      <c r="Y125" s="8"/>
      <c r="Z125" s="9"/>
    </row>
    <row r="126" ht="24.75" customHeight="1">
      <c r="L126" s="7"/>
      <c r="Q126" s="8"/>
      <c r="R126" s="9"/>
      <c r="S126" s="8"/>
      <c r="T126" s="9"/>
      <c r="U126" s="8"/>
      <c r="V126" s="9"/>
      <c r="W126" s="8"/>
      <c r="X126" s="9"/>
      <c r="Y126" s="8"/>
      <c r="Z126" s="9"/>
    </row>
    <row r="127" ht="24.75" customHeight="1">
      <c r="L127" s="7"/>
      <c r="Q127" s="8"/>
      <c r="R127" s="9"/>
      <c r="S127" s="8"/>
      <c r="T127" s="9"/>
      <c r="U127" s="8"/>
      <c r="V127" s="9"/>
      <c r="W127" s="8"/>
      <c r="X127" s="9"/>
      <c r="Y127" s="8"/>
      <c r="Z127" s="9"/>
    </row>
    <row r="128" ht="24.75" customHeight="1">
      <c r="L128" s="7"/>
      <c r="Q128" s="8"/>
      <c r="R128" s="9"/>
      <c r="S128" s="8"/>
      <c r="T128" s="9"/>
      <c r="U128" s="8"/>
      <c r="V128" s="9"/>
      <c r="W128" s="8"/>
      <c r="X128" s="9"/>
      <c r="Y128" s="8"/>
      <c r="Z128" s="9"/>
    </row>
    <row r="129" ht="24.75" customHeight="1">
      <c r="L129" s="7"/>
      <c r="Q129" s="8"/>
      <c r="R129" s="9"/>
      <c r="S129" s="8"/>
      <c r="T129" s="9"/>
      <c r="U129" s="8"/>
      <c r="V129" s="9"/>
      <c r="W129" s="8"/>
      <c r="X129" s="9"/>
      <c r="Y129" s="8"/>
      <c r="Z129" s="9"/>
    </row>
    <row r="130" ht="24.75" customHeight="1">
      <c r="L130" s="7"/>
      <c r="Q130" s="8"/>
      <c r="R130" s="9"/>
      <c r="S130" s="8"/>
      <c r="T130" s="9"/>
      <c r="U130" s="8"/>
      <c r="V130" s="9"/>
      <c r="W130" s="8"/>
      <c r="X130" s="9"/>
      <c r="Y130" s="8"/>
      <c r="Z130" s="9"/>
    </row>
    <row r="131" ht="24.75" customHeight="1">
      <c r="L131" s="7"/>
      <c r="Q131" s="8"/>
      <c r="R131" s="9"/>
      <c r="S131" s="8"/>
      <c r="T131" s="9"/>
      <c r="U131" s="8"/>
      <c r="V131" s="9"/>
      <c r="W131" s="8"/>
      <c r="X131" s="9"/>
      <c r="Y131" s="8"/>
      <c r="Z131" s="9"/>
    </row>
    <row r="132" ht="24.75" customHeight="1">
      <c r="L132" s="7"/>
      <c r="Q132" s="8"/>
      <c r="R132" s="9"/>
      <c r="S132" s="8"/>
      <c r="T132" s="9"/>
      <c r="U132" s="8"/>
      <c r="V132" s="9"/>
      <c r="W132" s="8"/>
      <c r="X132" s="9"/>
      <c r="Y132" s="8"/>
      <c r="Z132" s="9"/>
    </row>
    <row r="133" ht="24.75" customHeight="1">
      <c r="L133" s="7"/>
      <c r="Q133" s="8"/>
      <c r="R133" s="9"/>
      <c r="S133" s="8"/>
      <c r="T133" s="9"/>
      <c r="U133" s="8"/>
      <c r="V133" s="9"/>
      <c r="W133" s="8"/>
      <c r="X133" s="9"/>
      <c r="Y133" s="8"/>
      <c r="Z133" s="9"/>
    </row>
    <row r="134" ht="24.75" customHeight="1">
      <c r="L134" s="7"/>
      <c r="Q134" s="8"/>
      <c r="R134" s="9"/>
      <c r="S134" s="8"/>
      <c r="T134" s="9"/>
      <c r="U134" s="8"/>
      <c r="V134" s="9"/>
      <c r="W134" s="8"/>
      <c r="X134" s="9"/>
      <c r="Y134" s="8"/>
      <c r="Z134" s="9"/>
    </row>
    <row r="135" ht="24.75" customHeight="1">
      <c r="L135" s="7"/>
      <c r="Q135" s="8"/>
      <c r="R135" s="9"/>
      <c r="S135" s="8"/>
      <c r="T135" s="9"/>
      <c r="U135" s="8"/>
      <c r="V135" s="9"/>
      <c r="W135" s="8"/>
      <c r="X135" s="9"/>
      <c r="Y135" s="8"/>
      <c r="Z135" s="9"/>
    </row>
    <row r="136" ht="24.75" customHeight="1">
      <c r="L136" s="7"/>
      <c r="Q136" s="8"/>
      <c r="R136" s="9"/>
      <c r="S136" s="8"/>
      <c r="T136" s="9"/>
      <c r="U136" s="8"/>
      <c r="V136" s="9"/>
      <c r="W136" s="8"/>
      <c r="X136" s="9"/>
      <c r="Y136" s="8"/>
      <c r="Z136" s="9"/>
    </row>
    <row r="137" ht="24.75" customHeight="1">
      <c r="L137" s="7"/>
      <c r="Q137" s="8"/>
      <c r="R137" s="9"/>
      <c r="S137" s="8"/>
      <c r="T137" s="9"/>
      <c r="U137" s="8"/>
      <c r="V137" s="9"/>
      <c r="W137" s="8"/>
      <c r="X137" s="9"/>
      <c r="Y137" s="8"/>
      <c r="Z137" s="9"/>
    </row>
    <row r="138" ht="24.75" customHeight="1">
      <c r="L138" s="7"/>
      <c r="Q138" s="8"/>
      <c r="R138" s="9"/>
      <c r="S138" s="8"/>
      <c r="T138" s="9"/>
      <c r="U138" s="8"/>
      <c r="V138" s="9"/>
      <c r="W138" s="8"/>
      <c r="X138" s="9"/>
      <c r="Y138" s="8"/>
      <c r="Z138" s="9"/>
    </row>
    <row r="139" ht="24.75" customHeight="1">
      <c r="L139" s="7"/>
      <c r="Q139" s="8"/>
      <c r="R139" s="9"/>
      <c r="S139" s="8"/>
      <c r="T139" s="9"/>
      <c r="U139" s="8"/>
      <c r="V139" s="9"/>
      <c r="W139" s="8"/>
      <c r="X139" s="9"/>
      <c r="Y139" s="8"/>
      <c r="Z139" s="9"/>
    </row>
    <row r="140" ht="24.75" customHeight="1">
      <c r="L140" s="7"/>
      <c r="Q140" s="8"/>
      <c r="R140" s="9"/>
      <c r="S140" s="8"/>
      <c r="T140" s="9"/>
      <c r="U140" s="8"/>
      <c r="V140" s="9"/>
      <c r="W140" s="8"/>
      <c r="X140" s="9"/>
      <c r="Y140" s="8"/>
      <c r="Z140" s="9"/>
    </row>
    <row r="141" ht="24.75" customHeight="1">
      <c r="L141" s="7"/>
      <c r="Q141" s="8"/>
      <c r="R141" s="9"/>
      <c r="S141" s="8"/>
      <c r="T141" s="9"/>
      <c r="U141" s="8"/>
      <c r="V141" s="9"/>
      <c r="W141" s="8"/>
      <c r="X141" s="9"/>
      <c r="Y141" s="8"/>
      <c r="Z141" s="9"/>
    </row>
    <row r="142" ht="24.75" customHeight="1">
      <c r="L142" s="7"/>
      <c r="Q142" s="8"/>
      <c r="R142" s="9"/>
      <c r="S142" s="8"/>
      <c r="T142" s="9"/>
      <c r="U142" s="8"/>
      <c r="V142" s="9"/>
      <c r="W142" s="8"/>
      <c r="X142" s="9"/>
      <c r="Y142" s="8"/>
      <c r="Z142" s="9"/>
    </row>
    <row r="143" ht="24.75" customHeight="1">
      <c r="L143" s="7"/>
      <c r="Q143" s="8"/>
      <c r="R143" s="9"/>
      <c r="S143" s="8"/>
      <c r="T143" s="9"/>
      <c r="U143" s="8"/>
      <c r="V143" s="9"/>
      <c r="W143" s="8"/>
      <c r="X143" s="9"/>
      <c r="Y143" s="8"/>
      <c r="Z143" s="9"/>
    </row>
    <row r="144" ht="24.75" customHeight="1">
      <c r="L144" s="7"/>
      <c r="Q144" s="8"/>
      <c r="R144" s="9"/>
      <c r="S144" s="8"/>
      <c r="T144" s="9"/>
      <c r="U144" s="8"/>
      <c r="V144" s="9"/>
      <c r="W144" s="8"/>
      <c r="X144" s="9"/>
      <c r="Y144" s="8"/>
      <c r="Z144" s="9"/>
    </row>
    <row r="145" ht="24.75" customHeight="1">
      <c r="L145" s="7"/>
      <c r="Q145" s="8"/>
      <c r="R145" s="9"/>
      <c r="S145" s="8"/>
      <c r="T145" s="9"/>
      <c r="U145" s="8"/>
      <c r="V145" s="9"/>
      <c r="W145" s="8"/>
      <c r="X145" s="9"/>
      <c r="Y145" s="8"/>
      <c r="Z145" s="9"/>
    </row>
    <row r="146" ht="24.75" customHeight="1">
      <c r="L146" s="7"/>
      <c r="Q146" s="8"/>
      <c r="R146" s="9"/>
      <c r="S146" s="8"/>
      <c r="T146" s="9"/>
      <c r="U146" s="8"/>
      <c r="V146" s="9"/>
      <c r="W146" s="8"/>
      <c r="X146" s="9"/>
      <c r="Y146" s="8"/>
      <c r="Z146" s="9"/>
    </row>
    <row r="147" ht="24.75" customHeight="1">
      <c r="L147" s="7"/>
      <c r="Q147" s="8"/>
      <c r="R147" s="9"/>
      <c r="S147" s="8"/>
      <c r="T147" s="9"/>
      <c r="U147" s="8"/>
      <c r="V147" s="9"/>
      <c r="W147" s="8"/>
      <c r="X147" s="9"/>
      <c r="Y147" s="8"/>
      <c r="Z147" s="9"/>
    </row>
    <row r="148" ht="24.75" customHeight="1">
      <c r="L148" s="7"/>
      <c r="Q148" s="8"/>
      <c r="R148" s="9"/>
      <c r="S148" s="8"/>
      <c r="T148" s="9"/>
      <c r="U148" s="8"/>
      <c r="V148" s="9"/>
      <c r="W148" s="8"/>
      <c r="X148" s="9"/>
      <c r="Y148" s="8"/>
      <c r="Z148" s="9"/>
    </row>
    <row r="149" ht="24.75" customHeight="1">
      <c r="L149" s="7"/>
      <c r="Q149" s="8"/>
      <c r="R149" s="9"/>
      <c r="S149" s="8"/>
      <c r="T149" s="9"/>
      <c r="U149" s="8"/>
      <c r="V149" s="9"/>
      <c r="W149" s="8"/>
      <c r="X149" s="9"/>
      <c r="Y149" s="8"/>
      <c r="Z149" s="9"/>
    </row>
    <row r="150" ht="24.75" customHeight="1">
      <c r="L150" s="7"/>
      <c r="Q150" s="8"/>
      <c r="R150" s="9"/>
      <c r="S150" s="8"/>
      <c r="T150" s="9"/>
      <c r="U150" s="8"/>
      <c r="V150" s="9"/>
      <c r="W150" s="8"/>
      <c r="X150" s="9"/>
      <c r="Y150" s="8"/>
      <c r="Z150" s="9"/>
    </row>
    <row r="151" ht="24.75" customHeight="1">
      <c r="L151" s="7"/>
      <c r="Q151" s="8"/>
      <c r="R151" s="9"/>
      <c r="S151" s="8"/>
      <c r="T151" s="9"/>
      <c r="U151" s="8"/>
      <c r="V151" s="9"/>
      <c r="W151" s="8"/>
      <c r="X151" s="9"/>
      <c r="Y151" s="8"/>
      <c r="Z151" s="9"/>
    </row>
    <row r="152" ht="24.75" customHeight="1">
      <c r="L152" s="7"/>
      <c r="Q152" s="8"/>
      <c r="R152" s="9"/>
      <c r="S152" s="8"/>
      <c r="T152" s="9"/>
      <c r="U152" s="8"/>
      <c r="V152" s="9"/>
      <c r="W152" s="8"/>
      <c r="X152" s="9"/>
      <c r="Y152" s="8"/>
      <c r="Z152" s="9"/>
    </row>
    <row r="153" ht="24.75" customHeight="1">
      <c r="L153" s="7"/>
      <c r="Q153" s="8"/>
      <c r="R153" s="9"/>
      <c r="S153" s="8"/>
      <c r="T153" s="9"/>
      <c r="U153" s="8"/>
      <c r="V153" s="9"/>
      <c r="W153" s="8"/>
      <c r="X153" s="9"/>
      <c r="Y153" s="8"/>
      <c r="Z153" s="9"/>
    </row>
    <row r="154" ht="24.75" customHeight="1">
      <c r="L154" s="7"/>
      <c r="Q154" s="8"/>
      <c r="R154" s="9"/>
      <c r="S154" s="8"/>
      <c r="T154" s="9"/>
      <c r="U154" s="8"/>
      <c r="V154" s="9"/>
      <c r="W154" s="8"/>
      <c r="X154" s="9"/>
      <c r="Y154" s="8"/>
      <c r="Z154" s="9"/>
    </row>
    <row r="155" ht="24.75" customHeight="1">
      <c r="L155" s="7"/>
      <c r="Q155" s="8"/>
      <c r="R155" s="9"/>
      <c r="S155" s="8"/>
      <c r="T155" s="9"/>
      <c r="U155" s="8"/>
      <c r="V155" s="9"/>
      <c r="W155" s="8"/>
      <c r="X155" s="9"/>
      <c r="Y155" s="8"/>
      <c r="Z155" s="9"/>
    </row>
    <row r="156" ht="24.75" customHeight="1">
      <c r="L156" s="7"/>
      <c r="Q156" s="8"/>
      <c r="R156" s="9"/>
      <c r="S156" s="8"/>
      <c r="T156" s="9"/>
      <c r="U156" s="8"/>
      <c r="V156" s="9"/>
      <c r="W156" s="8"/>
      <c r="X156" s="9"/>
      <c r="Y156" s="8"/>
      <c r="Z156" s="9"/>
    </row>
    <row r="157" ht="24.75" customHeight="1">
      <c r="L157" s="7"/>
      <c r="Q157" s="8"/>
      <c r="R157" s="9"/>
      <c r="S157" s="8"/>
      <c r="T157" s="9"/>
      <c r="U157" s="8"/>
      <c r="V157" s="9"/>
      <c r="W157" s="8"/>
      <c r="X157" s="9"/>
      <c r="Y157" s="8"/>
      <c r="Z157" s="9"/>
    </row>
    <row r="158" ht="24.75" customHeight="1">
      <c r="L158" s="7"/>
      <c r="Q158" s="8"/>
      <c r="R158" s="9"/>
      <c r="S158" s="8"/>
      <c r="T158" s="9"/>
      <c r="U158" s="8"/>
      <c r="V158" s="9"/>
      <c r="W158" s="8"/>
      <c r="X158" s="9"/>
      <c r="Y158" s="8"/>
      <c r="Z158" s="9"/>
    </row>
    <row r="159" ht="24.75" customHeight="1">
      <c r="L159" s="7"/>
      <c r="Q159" s="8"/>
      <c r="R159" s="9"/>
      <c r="S159" s="8"/>
      <c r="T159" s="9"/>
      <c r="U159" s="8"/>
      <c r="V159" s="9"/>
      <c r="W159" s="8"/>
      <c r="X159" s="9"/>
      <c r="Y159" s="8"/>
      <c r="Z159" s="9"/>
    </row>
    <row r="160" ht="24.75" customHeight="1">
      <c r="L160" s="7"/>
      <c r="Q160" s="8"/>
      <c r="R160" s="9"/>
      <c r="S160" s="8"/>
      <c r="T160" s="9"/>
      <c r="U160" s="8"/>
      <c r="V160" s="9"/>
      <c r="W160" s="8"/>
      <c r="X160" s="9"/>
      <c r="Y160" s="8"/>
      <c r="Z160" s="9"/>
    </row>
    <row r="161" ht="24.75" customHeight="1">
      <c r="L161" s="7"/>
      <c r="Q161" s="8"/>
      <c r="R161" s="9"/>
      <c r="S161" s="8"/>
      <c r="T161" s="9"/>
      <c r="U161" s="8"/>
      <c r="V161" s="9"/>
      <c r="W161" s="8"/>
      <c r="X161" s="9"/>
      <c r="Y161" s="8"/>
      <c r="Z161" s="9"/>
    </row>
    <row r="162" ht="24.75" customHeight="1">
      <c r="L162" s="7"/>
      <c r="Q162" s="8"/>
      <c r="R162" s="9"/>
      <c r="S162" s="8"/>
      <c r="T162" s="9"/>
      <c r="U162" s="8"/>
      <c r="V162" s="9"/>
      <c r="W162" s="8"/>
      <c r="X162" s="9"/>
      <c r="Y162" s="8"/>
      <c r="Z162" s="9"/>
    </row>
    <row r="163" ht="24.75" customHeight="1">
      <c r="L163" s="7"/>
      <c r="Q163" s="8"/>
      <c r="R163" s="9"/>
      <c r="S163" s="8"/>
      <c r="T163" s="9"/>
      <c r="U163" s="8"/>
      <c r="V163" s="9"/>
      <c r="W163" s="8"/>
      <c r="X163" s="9"/>
      <c r="Y163" s="8"/>
      <c r="Z163" s="9"/>
    </row>
    <row r="164" ht="24.75" customHeight="1">
      <c r="L164" s="7"/>
      <c r="Q164" s="8"/>
      <c r="R164" s="9"/>
      <c r="S164" s="8"/>
      <c r="T164" s="9"/>
      <c r="U164" s="8"/>
      <c r="V164" s="9"/>
      <c r="W164" s="8"/>
      <c r="X164" s="9"/>
      <c r="Y164" s="8"/>
      <c r="Z164" s="9"/>
    </row>
    <row r="165" ht="24.75" customHeight="1">
      <c r="L165" s="7"/>
      <c r="Q165" s="8"/>
      <c r="R165" s="9"/>
      <c r="S165" s="8"/>
      <c r="T165" s="9"/>
      <c r="U165" s="8"/>
      <c r="V165" s="9"/>
      <c r="W165" s="8"/>
      <c r="X165" s="9"/>
      <c r="Y165" s="8"/>
      <c r="Z165" s="9"/>
    </row>
    <row r="166" ht="24.75" customHeight="1">
      <c r="L166" s="7"/>
      <c r="Q166" s="8"/>
      <c r="R166" s="9"/>
      <c r="S166" s="8"/>
      <c r="T166" s="9"/>
      <c r="U166" s="8"/>
      <c r="V166" s="9"/>
      <c r="W166" s="8"/>
      <c r="X166" s="9"/>
      <c r="Y166" s="8"/>
      <c r="Z166" s="9"/>
    </row>
    <row r="167" ht="24.75" customHeight="1">
      <c r="L167" s="7"/>
      <c r="Q167" s="8"/>
      <c r="R167" s="9"/>
      <c r="S167" s="8"/>
      <c r="T167" s="9"/>
      <c r="U167" s="8"/>
      <c r="V167" s="9"/>
      <c r="W167" s="8"/>
      <c r="X167" s="9"/>
      <c r="Y167" s="8"/>
      <c r="Z167" s="9"/>
    </row>
    <row r="168" ht="24.75" customHeight="1">
      <c r="L168" s="7"/>
      <c r="Q168" s="8"/>
      <c r="R168" s="9"/>
      <c r="S168" s="8"/>
      <c r="T168" s="9"/>
      <c r="U168" s="8"/>
      <c r="V168" s="9"/>
      <c r="W168" s="8"/>
      <c r="X168" s="9"/>
      <c r="Y168" s="8"/>
      <c r="Z168" s="9"/>
    </row>
    <row r="169" ht="24.75" customHeight="1">
      <c r="L169" s="7"/>
      <c r="Q169" s="8"/>
      <c r="R169" s="9"/>
      <c r="S169" s="8"/>
      <c r="T169" s="9"/>
      <c r="U169" s="8"/>
      <c r="V169" s="9"/>
      <c r="W169" s="8"/>
      <c r="X169" s="9"/>
      <c r="Y169" s="8"/>
      <c r="Z169" s="9"/>
    </row>
    <row r="170" ht="24.75" customHeight="1">
      <c r="L170" s="7"/>
      <c r="Q170" s="8"/>
      <c r="R170" s="9"/>
      <c r="S170" s="8"/>
      <c r="T170" s="9"/>
      <c r="U170" s="8"/>
      <c r="V170" s="9"/>
      <c r="W170" s="8"/>
      <c r="X170" s="9"/>
      <c r="Y170" s="8"/>
      <c r="Z170" s="9"/>
    </row>
    <row r="171" ht="24.75" customHeight="1">
      <c r="L171" s="7"/>
      <c r="Q171" s="8"/>
      <c r="R171" s="9"/>
      <c r="S171" s="8"/>
      <c r="T171" s="9"/>
      <c r="U171" s="8"/>
      <c r="V171" s="9"/>
      <c r="W171" s="8"/>
      <c r="X171" s="9"/>
      <c r="Y171" s="8"/>
      <c r="Z171" s="9"/>
    </row>
    <row r="172" ht="24.75" customHeight="1">
      <c r="L172" s="7"/>
      <c r="Q172" s="8"/>
      <c r="R172" s="9"/>
      <c r="S172" s="8"/>
      <c r="T172" s="9"/>
      <c r="U172" s="8"/>
      <c r="V172" s="9"/>
      <c r="W172" s="8"/>
      <c r="X172" s="9"/>
      <c r="Y172" s="8"/>
      <c r="Z172" s="9"/>
    </row>
    <row r="173" ht="24.75" customHeight="1">
      <c r="L173" s="7"/>
      <c r="Q173" s="8"/>
      <c r="R173" s="9"/>
      <c r="S173" s="8"/>
      <c r="T173" s="9"/>
      <c r="U173" s="8"/>
      <c r="V173" s="9"/>
      <c r="W173" s="8"/>
      <c r="X173" s="9"/>
      <c r="Y173" s="8"/>
      <c r="Z173" s="9"/>
    </row>
    <row r="174" ht="24.75" customHeight="1">
      <c r="L174" s="7"/>
      <c r="Q174" s="8"/>
      <c r="R174" s="9"/>
      <c r="S174" s="8"/>
      <c r="T174" s="9"/>
      <c r="U174" s="8"/>
      <c r="V174" s="9"/>
      <c r="W174" s="8"/>
      <c r="X174" s="9"/>
      <c r="Y174" s="8"/>
      <c r="Z174" s="9"/>
    </row>
    <row r="175" ht="24.75" customHeight="1">
      <c r="L175" s="7"/>
      <c r="Q175" s="8"/>
      <c r="R175" s="9"/>
      <c r="S175" s="8"/>
      <c r="T175" s="9"/>
      <c r="U175" s="8"/>
      <c r="V175" s="9"/>
      <c r="W175" s="8"/>
      <c r="X175" s="9"/>
      <c r="Y175" s="8"/>
      <c r="Z175" s="9"/>
    </row>
    <row r="176" ht="24.75" customHeight="1">
      <c r="L176" s="7"/>
      <c r="Q176" s="8"/>
      <c r="R176" s="9"/>
      <c r="S176" s="8"/>
      <c r="T176" s="9"/>
      <c r="U176" s="8"/>
      <c r="V176" s="9"/>
      <c r="W176" s="8"/>
      <c r="X176" s="9"/>
      <c r="Y176" s="8"/>
      <c r="Z176" s="9"/>
    </row>
    <row r="177" ht="24.75" customHeight="1">
      <c r="L177" s="7"/>
      <c r="Q177" s="8"/>
      <c r="R177" s="9"/>
      <c r="S177" s="8"/>
      <c r="T177" s="9"/>
      <c r="U177" s="8"/>
      <c r="V177" s="9"/>
      <c r="W177" s="8"/>
      <c r="X177" s="9"/>
      <c r="Y177" s="8"/>
      <c r="Z177" s="9"/>
    </row>
    <row r="178" ht="24.75" customHeight="1">
      <c r="L178" s="7"/>
      <c r="Q178" s="8"/>
      <c r="R178" s="9"/>
      <c r="S178" s="8"/>
      <c r="T178" s="9"/>
      <c r="U178" s="8"/>
      <c r="V178" s="9"/>
      <c r="W178" s="8"/>
      <c r="X178" s="9"/>
      <c r="Y178" s="8"/>
      <c r="Z178" s="9"/>
    </row>
    <row r="179" ht="24.75" customHeight="1">
      <c r="L179" s="7"/>
      <c r="Q179" s="8"/>
      <c r="R179" s="9"/>
      <c r="S179" s="8"/>
      <c r="T179" s="9"/>
      <c r="U179" s="8"/>
      <c r="V179" s="9"/>
      <c r="W179" s="8"/>
      <c r="X179" s="9"/>
      <c r="Y179" s="8"/>
      <c r="Z179" s="9"/>
    </row>
    <row r="180" ht="24.75" customHeight="1">
      <c r="L180" s="7"/>
      <c r="Q180" s="8"/>
      <c r="R180" s="9"/>
      <c r="S180" s="8"/>
      <c r="T180" s="9"/>
      <c r="U180" s="8"/>
      <c r="V180" s="9"/>
      <c r="W180" s="8"/>
      <c r="X180" s="9"/>
      <c r="Y180" s="8"/>
      <c r="Z180" s="9"/>
    </row>
    <row r="181" ht="24.75" customHeight="1">
      <c r="L181" s="7"/>
      <c r="Q181" s="8"/>
      <c r="R181" s="9"/>
      <c r="S181" s="8"/>
      <c r="T181" s="9"/>
      <c r="U181" s="8"/>
      <c r="V181" s="9"/>
      <c r="W181" s="8"/>
      <c r="X181" s="9"/>
      <c r="Y181" s="8"/>
      <c r="Z181" s="9"/>
    </row>
    <row r="182" ht="24.75" customHeight="1">
      <c r="L182" s="7"/>
      <c r="Q182" s="8"/>
      <c r="R182" s="9"/>
      <c r="S182" s="8"/>
      <c r="T182" s="9"/>
      <c r="U182" s="8"/>
      <c r="V182" s="9"/>
      <c r="W182" s="8"/>
      <c r="X182" s="9"/>
      <c r="Y182" s="8"/>
      <c r="Z182" s="9"/>
    </row>
    <row r="183" ht="24.75" customHeight="1">
      <c r="L183" s="7"/>
      <c r="Q183" s="8"/>
      <c r="R183" s="9"/>
      <c r="S183" s="8"/>
      <c r="T183" s="9"/>
      <c r="U183" s="8"/>
      <c r="V183" s="9"/>
      <c r="W183" s="8"/>
      <c r="X183" s="9"/>
      <c r="Y183" s="8"/>
      <c r="Z183" s="9"/>
    </row>
    <row r="184" ht="24.75" customHeight="1">
      <c r="L184" s="7"/>
      <c r="Q184" s="8"/>
      <c r="R184" s="9"/>
      <c r="S184" s="8"/>
      <c r="T184" s="9"/>
      <c r="U184" s="8"/>
      <c r="V184" s="9"/>
      <c r="W184" s="8"/>
      <c r="X184" s="9"/>
      <c r="Y184" s="8"/>
      <c r="Z184" s="9"/>
    </row>
    <row r="185" ht="24.75" customHeight="1">
      <c r="L185" s="7"/>
      <c r="Q185" s="8"/>
      <c r="R185" s="9"/>
      <c r="S185" s="8"/>
      <c r="T185" s="9"/>
      <c r="U185" s="8"/>
      <c r="V185" s="9"/>
      <c r="W185" s="8"/>
      <c r="X185" s="9"/>
      <c r="Y185" s="8"/>
      <c r="Z185" s="9"/>
    </row>
    <row r="186" ht="24.75" customHeight="1">
      <c r="L186" s="7"/>
      <c r="Q186" s="8"/>
      <c r="R186" s="9"/>
      <c r="S186" s="8"/>
      <c r="T186" s="9"/>
      <c r="U186" s="8"/>
      <c r="V186" s="9"/>
      <c r="W186" s="8"/>
      <c r="X186" s="9"/>
      <c r="Y186" s="8"/>
      <c r="Z186" s="9"/>
    </row>
    <row r="187" ht="24.75" customHeight="1">
      <c r="L187" s="7"/>
      <c r="Q187" s="8"/>
      <c r="R187" s="9"/>
      <c r="S187" s="8"/>
      <c r="T187" s="9"/>
      <c r="U187" s="8"/>
      <c r="V187" s="9"/>
      <c r="W187" s="8"/>
      <c r="X187" s="9"/>
      <c r="Y187" s="8"/>
      <c r="Z187" s="9"/>
    </row>
    <row r="188" ht="24.75" customHeight="1">
      <c r="L188" s="7"/>
      <c r="Q188" s="8"/>
      <c r="R188" s="9"/>
      <c r="S188" s="8"/>
      <c r="T188" s="9"/>
      <c r="U188" s="8"/>
      <c r="V188" s="9"/>
      <c r="W188" s="8"/>
      <c r="X188" s="9"/>
      <c r="Y188" s="8"/>
      <c r="Z188" s="9"/>
    </row>
    <row r="189" ht="24.75" customHeight="1">
      <c r="L189" s="7"/>
      <c r="Q189" s="8"/>
      <c r="R189" s="9"/>
      <c r="S189" s="8"/>
      <c r="T189" s="9"/>
      <c r="U189" s="8"/>
      <c r="V189" s="9"/>
      <c r="W189" s="8"/>
      <c r="X189" s="9"/>
      <c r="Y189" s="8"/>
      <c r="Z189" s="9"/>
    </row>
    <row r="190" ht="24.75" customHeight="1">
      <c r="L190" s="7"/>
      <c r="Q190" s="8"/>
      <c r="R190" s="9"/>
      <c r="S190" s="8"/>
      <c r="T190" s="9"/>
      <c r="U190" s="8"/>
      <c r="V190" s="9"/>
      <c r="W190" s="8"/>
      <c r="X190" s="9"/>
      <c r="Y190" s="8"/>
      <c r="Z190" s="9"/>
    </row>
    <row r="191" ht="24.75" customHeight="1">
      <c r="L191" s="7"/>
      <c r="Q191" s="8"/>
      <c r="R191" s="9"/>
      <c r="S191" s="8"/>
      <c r="T191" s="9"/>
      <c r="U191" s="8"/>
      <c r="V191" s="9"/>
      <c r="W191" s="8"/>
      <c r="X191" s="9"/>
      <c r="Y191" s="8"/>
      <c r="Z191" s="9"/>
    </row>
    <row r="192" ht="24.75" customHeight="1">
      <c r="L192" s="7"/>
      <c r="Q192" s="8"/>
      <c r="R192" s="9"/>
      <c r="S192" s="8"/>
      <c r="T192" s="9"/>
      <c r="U192" s="8"/>
      <c r="V192" s="9"/>
      <c r="W192" s="8"/>
      <c r="X192" s="9"/>
      <c r="Y192" s="8"/>
      <c r="Z192" s="9"/>
    </row>
    <row r="193" ht="24.75" customHeight="1">
      <c r="L193" s="7"/>
      <c r="Q193" s="8"/>
      <c r="R193" s="9"/>
      <c r="S193" s="8"/>
      <c r="T193" s="9"/>
      <c r="U193" s="8"/>
      <c r="V193" s="9"/>
      <c r="W193" s="8"/>
      <c r="X193" s="9"/>
      <c r="Y193" s="8"/>
      <c r="Z193" s="9"/>
    </row>
    <row r="194" ht="24.75" customHeight="1">
      <c r="L194" s="7"/>
      <c r="Q194" s="8"/>
      <c r="R194" s="9"/>
      <c r="S194" s="8"/>
      <c r="T194" s="9"/>
      <c r="U194" s="8"/>
      <c r="V194" s="9"/>
      <c r="W194" s="8"/>
      <c r="X194" s="9"/>
      <c r="Y194" s="8"/>
      <c r="Z194" s="9"/>
    </row>
    <row r="195" ht="24.75" customHeight="1">
      <c r="L195" s="7"/>
      <c r="Q195" s="8"/>
      <c r="R195" s="9"/>
      <c r="S195" s="8"/>
      <c r="T195" s="9"/>
      <c r="U195" s="8"/>
      <c r="V195" s="9"/>
      <c r="W195" s="8"/>
      <c r="X195" s="9"/>
      <c r="Y195" s="8"/>
      <c r="Z195" s="9"/>
    </row>
    <row r="196" ht="24.75" customHeight="1">
      <c r="L196" s="7"/>
      <c r="Q196" s="8"/>
      <c r="R196" s="9"/>
      <c r="S196" s="8"/>
      <c r="T196" s="9"/>
      <c r="U196" s="8"/>
      <c r="V196" s="9"/>
      <c r="W196" s="8"/>
      <c r="X196" s="9"/>
      <c r="Y196" s="8"/>
      <c r="Z196" s="9"/>
    </row>
    <row r="197" ht="24.75" customHeight="1">
      <c r="L197" s="7"/>
      <c r="Q197" s="8"/>
      <c r="R197" s="9"/>
      <c r="S197" s="8"/>
      <c r="T197" s="9"/>
      <c r="U197" s="8"/>
      <c r="V197" s="9"/>
      <c r="W197" s="8"/>
      <c r="X197" s="9"/>
      <c r="Y197" s="8"/>
      <c r="Z197" s="9"/>
    </row>
    <row r="198" ht="24.75" customHeight="1">
      <c r="L198" s="7"/>
      <c r="Q198" s="8"/>
      <c r="R198" s="9"/>
      <c r="S198" s="8"/>
      <c r="T198" s="9"/>
      <c r="U198" s="8"/>
      <c r="V198" s="9"/>
      <c r="W198" s="8"/>
      <c r="X198" s="9"/>
      <c r="Y198" s="8"/>
      <c r="Z198" s="9"/>
    </row>
    <row r="199" ht="24.75" customHeight="1">
      <c r="L199" s="7"/>
      <c r="Q199" s="8"/>
      <c r="R199" s="9"/>
      <c r="S199" s="8"/>
      <c r="T199" s="9"/>
      <c r="U199" s="8"/>
      <c r="V199" s="9"/>
      <c r="W199" s="8"/>
      <c r="X199" s="9"/>
      <c r="Y199" s="8"/>
      <c r="Z199" s="9"/>
    </row>
    <row r="200" ht="24.75" customHeight="1">
      <c r="L200" s="7"/>
      <c r="Q200" s="8"/>
      <c r="R200" s="9"/>
      <c r="S200" s="8"/>
      <c r="T200" s="9"/>
      <c r="U200" s="8"/>
      <c r="V200" s="9"/>
      <c r="W200" s="8"/>
      <c r="X200" s="9"/>
      <c r="Y200" s="8"/>
      <c r="Z200" s="9"/>
    </row>
    <row r="201" ht="24.75" customHeight="1">
      <c r="L201" s="7"/>
      <c r="Q201" s="8"/>
      <c r="R201" s="9"/>
      <c r="S201" s="8"/>
      <c r="T201" s="9"/>
      <c r="U201" s="8"/>
      <c r="V201" s="9"/>
      <c r="W201" s="8"/>
      <c r="X201" s="9"/>
      <c r="Y201" s="8"/>
      <c r="Z201" s="9"/>
    </row>
    <row r="202" ht="24.75" customHeight="1">
      <c r="L202" s="7"/>
      <c r="Q202" s="8"/>
      <c r="R202" s="9"/>
      <c r="S202" s="8"/>
      <c r="T202" s="9"/>
      <c r="U202" s="8"/>
      <c r="V202" s="9"/>
      <c r="W202" s="8"/>
      <c r="X202" s="9"/>
      <c r="Y202" s="8"/>
      <c r="Z202" s="9"/>
    </row>
    <row r="203" ht="24.75" customHeight="1">
      <c r="L203" s="7"/>
      <c r="Q203" s="8"/>
      <c r="R203" s="9"/>
      <c r="S203" s="8"/>
      <c r="T203" s="9"/>
      <c r="U203" s="8"/>
      <c r="V203" s="9"/>
      <c r="W203" s="8"/>
      <c r="X203" s="9"/>
      <c r="Y203" s="8"/>
      <c r="Z203" s="9"/>
    </row>
    <row r="204" ht="24.75" customHeight="1">
      <c r="L204" s="7"/>
      <c r="Q204" s="8"/>
      <c r="R204" s="9"/>
      <c r="S204" s="8"/>
      <c r="T204" s="9"/>
      <c r="U204" s="8"/>
      <c r="V204" s="9"/>
      <c r="W204" s="8"/>
      <c r="X204" s="9"/>
      <c r="Y204" s="8"/>
      <c r="Z204" s="9"/>
    </row>
    <row r="205" ht="24.75" customHeight="1">
      <c r="L205" s="7"/>
      <c r="Q205" s="8"/>
      <c r="R205" s="9"/>
      <c r="S205" s="8"/>
      <c r="T205" s="9"/>
      <c r="U205" s="8"/>
      <c r="V205" s="9"/>
      <c r="W205" s="8"/>
      <c r="X205" s="9"/>
      <c r="Y205" s="8"/>
      <c r="Z205" s="9"/>
    </row>
    <row r="206" ht="24.75" customHeight="1">
      <c r="L206" s="7"/>
      <c r="Q206" s="8"/>
      <c r="R206" s="9"/>
      <c r="S206" s="8"/>
      <c r="T206" s="9"/>
      <c r="U206" s="8"/>
      <c r="V206" s="9"/>
      <c r="W206" s="8"/>
      <c r="X206" s="9"/>
      <c r="Y206" s="8"/>
      <c r="Z206" s="9"/>
    </row>
    <row r="207" ht="24.75" customHeight="1">
      <c r="L207" s="7"/>
      <c r="Q207" s="8"/>
      <c r="R207" s="9"/>
      <c r="S207" s="8"/>
      <c r="T207" s="9"/>
      <c r="U207" s="8"/>
      <c r="V207" s="9"/>
      <c r="W207" s="8"/>
      <c r="X207" s="9"/>
      <c r="Y207" s="8"/>
      <c r="Z207" s="9"/>
    </row>
    <row r="208" ht="24.75" customHeight="1">
      <c r="L208" s="7"/>
      <c r="Q208" s="8"/>
      <c r="R208" s="9"/>
      <c r="S208" s="8"/>
      <c r="T208" s="9"/>
      <c r="U208" s="8"/>
      <c r="V208" s="9"/>
      <c r="W208" s="8"/>
      <c r="X208" s="9"/>
      <c r="Y208" s="8"/>
      <c r="Z208" s="9"/>
    </row>
    <row r="209" ht="24.75" customHeight="1">
      <c r="L209" s="7"/>
      <c r="Q209" s="8"/>
      <c r="R209" s="9"/>
      <c r="S209" s="8"/>
      <c r="T209" s="9"/>
      <c r="U209" s="8"/>
      <c r="V209" s="9"/>
      <c r="W209" s="8"/>
      <c r="X209" s="9"/>
      <c r="Y209" s="8"/>
      <c r="Z209" s="9"/>
    </row>
    <row r="210" ht="24.75" customHeight="1">
      <c r="L210" s="7"/>
      <c r="Q210" s="8"/>
      <c r="R210" s="9"/>
      <c r="S210" s="8"/>
      <c r="T210" s="9"/>
      <c r="U210" s="8"/>
      <c r="V210" s="9"/>
      <c r="W210" s="8"/>
      <c r="X210" s="9"/>
      <c r="Y210" s="8"/>
      <c r="Z210" s="9"/>
    </row>
    <row r="211" ht="24.75" customHeight="1">
      <c r="L211" s="7"/>
      <c r="Q211" s="8"/>
      <c r="R211" s="9"/>
      <c r="S211" s="8"/>
      <c r="T211" s="9"/>
      <c r="U211" s="8"/>
      <c r="V211" s="9"/>
      <c r="W211" s="8"/>
      <c r="X211" s="9"/>
      <c r="Y211" s="8"/>
      <c r="Z211" s="9"/>
    </row>
    <row r="212" ht="24.75" customHeight="1">
      <c r="L212" s="7"/>
      <c r="Q212" s="8"/>
      <c r="R212" s="9"/>
      <c r="S212" s="8"/>
      <c r="T212" s="9"/>
      <c r="U212" s="8"/>
      <c r="V212" s="9"/>
      <c r="W212" s="8"/>
      <c r="X212" s="9"/>
      <c r="Y212" s="8"/>
      <c r="Z212" s="9"/>
    </row>
    <row r="213" ht="24.75" customHeight="1">
      <c r="L213" s="7"/>
      <c r="Q213" s="8"/>
      <c r="R213" s="9"/>
      <c r="S213" s="8"/>
      <c r="T213" s="9"/>
      <c r="U213" s="8"/>
      <c r="V213" s="9"/>
      <c r="W213" s="8"/>
      <c r="X213" s="9"/>
      <c r="Y213" s="8"/>
      <c r="Z213" s="9"/>
    </row>
    <row r="214" ht="24.75" customHeight="1">
      <c r="L214" s="7"/>
      <c r="Q214" s="8"/>
      <c r="R214" s="9"/>
      <c r="S214" s="8"/>
      <c r="T214" s="9"/>
      <c r="U214" s="8"/>
      <c r="V214" s="9"/>
      <c r="W214" s="8"/>
      <c r="X214" s="9"/>
      <c r="Y214" s="8"/>
      <c r="Z214" s="9"/>
    </row>
    <row r="215" ht="24.75" customHeight="1">
      <c r="L215" s="7"/>
      <c r="Q215" s="8"/>
      <c r="R215" s="9"/>
      <c r="S215" s="8"/>
      <c r="T215" s="9"/>
      <c r="U215" s="8"/>
      <c r="V215" s="9"/>
      <c r="W215" s="8"/>
      <c r="X215" s="9"/>
      <c r="Y215" s="8"/>
      <c r="Z215" s="9"/>
    </row>
    <row r="216" ht="24.75" customHeight="1">
      <c r="L216" s="7"/>
      <c r="Q216" s="8"/>
      <c r="R216" s="9"/>
      <c r="S216" s="8"/>
      <c r="T216" s="9"/>
      <c r="U216" s="8"/>
      <c r="V216" s="9"/>
      <c r="W216" s="8"/>
      <c r="X216" s="9"/>
      <c r="Y216" s="8"/>
      <c r="Z216" s="9"/>
    </row>
    <row r="217" ht="24.75" customHeight="1">
      <c r="L217" s="7"/>
      <c r="Q217" s="8"/>
      <c r="R217" s="9"/>
      <c r="S217" s="8"/>
      <c r="T217" s="9"/>
      <c r="U217" s="8"/>
      <c r="V217" s="9"/>
      <c r="W217" s="8"/>
      <c r="X217" s="9"/>
      <c r="Y217" s="8"/>
      <c r="Z217" s="9"/>
    </row>
    <row r="218" ht="24.75" customHeight="1">
      <c r="L218" s="7"/>
      <c r="Q218" s="8"/>
      <c r="R218" s="9"/>
      <c r="S218" s="8"/>
      <c r="T218" s="9"/>
      <c r="U218" s="8"/>
      <c r="V218" s="9"/>
      <c r="W218" s="8"/>
      <c r="X218" s="9"/>
      <c r="Y218" s="8"/>
      <c r="Z218" s="9"/>
    </row>
    <row r="219" ht="24.75" customHeight="1">
      <c r="L219" s="7"/>
      <c r="Q219" s="8"/>
      <c r="R219" s="9"/>
      <c r="S219" s="8"/>
      <c r="T219" s="9"/>
      <c r="U219" s="8"/>
      <c r="V219" s="9"/>
      <c r="W219" s="8"/>
      <c r="X219" s="9"/>
      <c r="Y219" s="8"/>
      <c r="Z219" s="9"/>
    </row>
    <row r="220" ht="24.75" customHeight="1">
      <c r="L220" s="7"/>
      <c r="Q220" s="8"/>
      <c r="R220" s="9"/>
      <c r="S220" s="8"/>
      <c r="T220" s="9"/>
      <c r="U220" s="8"/>
      <c r="V220" s="9"/>
      <c r="W220" s="8"/>
      <c r="X220" s="9"/>
      <c r="Y220" s="8"/>
      <c r="Z220" s="9"/>
    </row>
    <row r="221" ht="24.75" customHeight="1">
      <c r="L221" s="7"/>
      <c r="Q221" s="8"/>
      <c r="R221" s="9"/>
      <c r="S221" s="8"/>
      <c r="T221" s="9"/>
      <c r="U221" s="8"/>
      <c r="V221" s="9"/>
      <c r="W221" s="8"/>
      <c r="X221" s="9"/>
      <c r="Y221" s="8"/>
      <c r="Z221" s="9"/>
    </row>
    <row r="222" ht="24.75" customHeight="1">
      <c r="L222" s="7"/>
      <c r="Q222" s="8"/>
      <c r="R222" s="9"/>
      <c r="S222" s="8"/>
      <c r="T222" s="9"/>
      <c r="U222" s="8"/>
      <c r="V222" s="9"/>
      <c r="W222" s="8"/>
      <c r="X222" s="9"/>
      <c r="Y222" s="8"/>
      <c r="Z222" s="9"/>
    </row>
    <row r="223" ht="24.75" customHeight="1">
      <c r="L223" s="7"/>
      <c r="Q223" s="8"/>
      <c r="R223" s="9"/>
      <c r="S223" s="8"/>
      <c r="T223" s="9"/>
      <c r="U223" s="8"/>
      <c r="V223" s="9"/>
      <c r="W223" s="8"/>
      <c r="X223" s="9"/>
      <c r="Y223" s="8"/>
      <c r="Z223" s="9"/>
    </row>
    <row r="224" ht="24.75" customHeight="1">
      <c r="L224" s="7"/>
      <c r="Q224" s="8"/>
      <c r="R224" s="9"/>
      <c r="S224" s="8"/>
      <c r="T224" s="9"/>
      <c r="U224" s="8"/>
      <c r="V224" s="9"/>
      <c r="W224" s="8"/>
      <c r="X224" s="9"/>
      <c r="Y224" s="8"/>
      <c r="Z224" s="9"/>
    </row>
    <row r="225" ht="24.75" customHeight="1">
      <c r="L225" s="7"/>
      <c r="Q225" s="8"/>
      <c r="R225" s="9"/>
      <c r="S225" s="8"/>
      <c r="T225" s="9"/>
      <c r="U225" s="8"/>
      <c r="V225" s="9"/>
      <c r="W225" s="8"/>
      <c r="X225" s="9"/>
      <c r="Y225" s="8"/>
      <c r="Z225" s="9"/>
    </row>
    <row r="226" ht="24.75" customHeight="1">
      <c r="L226" s="7"/>
      <c r="Q226" s="8"/>
      <c r="R226" s="9"/>
      <c r="S226" s="8"/>
      <c r="T226" s="9"/>
      <c r="U226" s="8"/>
      <c r="V226" s="9"/>
      <c r="W226" s="8"/>
      <c r="X226" s="9"/>
      <c r="Y226" s="8"/>
      <c r="Z226" s="9"/>
    </row>
    <row r="227" ht="24.75" customHeight="1">
      <c r="L227" s="7"/>
      <c r="Q227" s="8"/>
      <c r="R227" s="9"/>
      <c r="S227" s="8"/>
      <c r="T227" s="9"/>
      <c r="U227" s="8"/>
      <c r="V227" s="9"/>
      <c r="W227" s="8"/>
      <c r="X227" s="9"/>
      <c r="Y227" s="8"/>
      <c r="Z227" s="9"/>
    </row>
    <row r="228" ht="24.75" customHeight="1">
      <c r="L228" s="7"/>
      <c r="Q228" s="8"/>
      <c r="R228" s="9"/>
      <c r="S228" s="8"/>
      <c r="T228" s="9"/>
      <c r="U228" s="8"/>
      <c r="V228" s="9"/>
      <c r="W228" s="8"/>
      <c r="X228" s="9"/>
      <c r="Y228" s="8"/>
      <c r="Z228" s="9"/>
    </row>
    <row r="229" ht="24.75" customHeight="1">
      <c r="L229" s="7"/>
      <c r="Q229" s="8"/>
      <c r="R229" s="9"/>
      <c r="S229" s="8"/>
      <c r="T229" s="9"/>
      <c r="U229" s="8"/>
      <c r="V229" s="9"/>
      <c r="W229" s="8"/>
      <c r="X229" s="9"/>
      <c r="Y229" s="8"/>
      <c r="Z229" s="9"/>
    </row>
    <row r="230" ht="24.75" customHeight="1">
      <c r="L230" s="7"/>
      <c r="Q230" s="8"/>
      <c r="R230" s="9"/>
      <c r="S230" s="8"/>
      <c r="T230" s="9"/>
      <c r="U230" s="8"/>
      <c r="V230" s="9"/>
      <c r="W230" s="8"/>
      <c r="X230" s="9"/>
      <c r="Y230" s="8"/>
      <c r="Z230" s="9"/>
    </row>
    <row r="231" ht="24.75" customHeight="1">
      <c r="L231" s="7"/>
      <c r="Q231" s="8"/>
      <c r="R231" s="9"/>
      <c r="S231" s="8"/>
      <c r="T231" s="9"/>
      <c r="U231" s="8"/>
      <c r="V231" s="9"/>
      <c r="W231" s="8"/>
      <c r="X231" s="9"/>
      <c r="Y231" s="8"/>
      <c r="Z231" s="9"/>
    </row>
    <row r="232" ht="24.75" customHeight="1">
      <c r="L232" s="7"/>
      <c r="Q232" s="8"/>
      <c r="R232" s="9"/>
      <c r="S232" s="8"/>
      <c r="T232" s="9"/>
      <c r="U232" s="8"/>
      <c r="V232" s="9"/>
      <c r="W232" s="8"/>
      <c r="X232" s="9"/>
      <c r="Y232" s="8"/>
      <c r="Z232" s="9"/>
    </row>
    <row r="233" ht="24.75" customHeight="1">
      <c r="L233" s="7"/>
      <c r="Q233" s="8"/>
      <c r="R233" s="9"/>
      <c r="S233" s="8"/>
      <c r="T233" s="9"/>
      <c r="U233" s="8"/>
      <c r="V233" s="9"/>
      <c r="W233" s="8"/>
      <c r="X233" s="9"/>
      <c r="Y233" s="8"/>
      <c r="Z233" s="9"/>
    </row>
    <row r="234" ht="24.75" customHeight="1">
      <c r="L234" s="7"/>
      <c r="Q234" s="8"/>
      <c r="R234" s="9"/>
      <c r="S234" s="8"/>
      <c r="T234" s="9"/>
      <c r="U234" s="8"/>
      <c r="V234" s="9"/>
      <c r="W234" s="8"/>
      <c r="X234" s="9"/>
      <c r="Y234" s="8"/>
      <c r="Z234" s="9"/>
    </row>
    <row r="235" ht="24.75" customHeight="1">
      <c r="L235" s="7"/>
      <c r="Q235" s="8"/>
      <c r="R235" s="9"/>
      <c r="S235" s="8"/>
      <c r="T235" s="9"/>
      <c r="U235" s="8"/>
      <c r="V235" s="9"/>
      <c r="W235" s="8"/>
      <c r="X235" s="9"/>
      <c r="Y235" s="8"/>
      <c r="Z235" s="9"/>
    </row>
    <row r="236" ht="24.75" customHeight="1">
      <c r="L236" s="7"/>
      <c r="Q236" s="8"/>
      <c r="R236" s="9"/>
      <c r="S236" s="8"/>
      <c r="T236" s="9"/>
      <c r="U236" s="8"/>
      <c r="V236" s="9"/>
      <c r="W236" s="8"/>
      <c r="X236" s="9"/>
      <c r="Y236" s="8"/>
      <c r="Z236" s="9"/>
    </row>
    <row r="237" ht="24.75" customHeight="1">
      <c r="L237" s="7"/>
      <c r="Q237" s="8"/>
      <c r="R237" s="9"/>
      <c r="S237" s="8"/>
      <c r="T237" s="9"/>
      <c r="U237" s="8"/>
      <c r="V237" s="9"/>
      <c r="W237" s="8"/>
      <c r="X237" s="9"/>
      <c r="Y237" s="8"/>
      <c r="Z237" s="9"/>
    </row>
    <row r="238" ht="24.75" customHeight="1">
      <c r="L238" s="7"/>
      <c r="Q238" s="8"/>
      <c r="R238" s="9"/>
      <c r="S238" s="8"/>
      <c r="T238" s="9"/>
      <c r="U238" s="8"/>
      <c r="V238" s="9"/>
      <c r="W238" s="8"/>
      <c r="X238" s="9"/>
      <c r="Y238" s="8"/>
      <c r="Z238" s="9"/>
    </row>
    <row r="239" ht="24.75" customHeight="1">
      <c r="L239" s="7"/>
      <c r="Q239" s="8"/>
      <c r="R239" s="9"/>
      <c r="S239" s="8"/>
      <c r="T239" s="9"/>
      <c r="U239" s="8"/>
      <c r="V239" s="9"/>
      <c r="W239" s="8"/>
      <c r="X239" s="9"/>
      <c r="Y239" s="8"/>
      <c r="Z239" s="9"/>
    </row>
    <row r="240" ht="24.75" customHeight="1">
      <c r="L240" s="7"/>
      <c r="Q240" s="8"/>
      <c r="R240" s="9"/>
      <c r="S240" s="8"/>
      <c r="T240" s="9"/>
      <c r="U240" s="8"/>
      <c r="V240" s="9"/>
      <c r="W240" s="8"/>
      <c r="X240" s="9"/>
      <c r="Y240" s="8"/>
      <c r="Z240" s="9"/>
    </row>
    <row r="241" ht="24.75" customHeight="1">
      <c r="L241" s="7"/>
      <c r="Q241" s="8"/>
      <c r="R241" s="9"/>
      <c r="S241" s="8"/>
      <c r="T241" s="9"/>
      <c r="U241" s="8"/>
      <c r="V241" s="9"/>
      <c r="W241" s="8"/>
      <c r="X241" s="9"/>
      <c r="Y241" s="8"/>
      <c r="Z241" s="9"/>
    </row>
    <row r="242" ht="24.75" customHeight="1">
      <c r="L242" s="7"/>
      <c r="Q242" s="8"/>
      <c r="R242" s="9"/>
      <c r="S242" s="8"/>
      <c r="T242" s="9"/>
      <c r="U242" s="8"/>
      <c r="V242" s="9"/>
      <c r="W242" s="8"/>
      <c r="X242" s="9"/>
      <c r="Y242" s="8"/>
      <c r="Z242" s="9"/>
    </row>
    <row r="243" ht="24.75" customHeight="1">
      <c r="L243" s="7"/>
      <c r="Q243" s="8"/>
      <c r="R243" s="9"/>
      <c r="S243" s="8"/>
      <c r="T243" s="9"/>
      <c r="U243" s="8"/>
      <c r="V243" s="9"/>
      <c r="W243" s="8"/>
      <c r="X243" s="9"/>
      <c r="Y243" s="8"/>
      <c r="Z243" s="9"/>
    </row>
    <row r="244" ht="24.75" customHeight="1">
      <c r="L244" s="7"/>
      <c r="Q244" s="8"/>
      <c r="R244" s="9"/>
      <c r="S244" s="8"/>
      <c r="T244" s="9"/>
      <c r="U244" s="8"/>
      <c r="V244" s="9"/>
      <c r="W244" s="8"/>
      <c r="X244" s="9"/>
      <c r="Y244" s="8"/>
      <c r="Z244" s="9"/>
    </row>
    <row r="245" ht="24.75" customHeight="1">
      <c r="L245" s="7"/>
      <c r="Q245" s="8"/>
      <c r="R245" s="9"/>
      <c r="S245" s="8"/>
      <c r="T245" s="9"/>
      <c r="U245" s="8"/>
      <c r="V245" s="9"/>
      <c r="W245" s="8"/>
      <c r="X245" s="9"/>
      <c r="Y245" s="8"/>
      <c r="Z245" s="9"/>
    </row>
    <row r="246" ht="24.75" customHeight="1">
      <c r="L246" s="7"/>
      <c r="Q246" s="8"/>
      <c r="R246" s="9"/>
      <c r="S246" s="8"/>
      <c r="T246" s="9"/>
      <c r="U246" s="8"/>
      <c r="V246" s="9"/>
      <c r="W246" s="8"/>
      <c r="X246" s="9"/>
      <c r="Y246" s="8"/>
      <c r="Z246" s="9"/>
    </row>
    <row r="247" ht="24.75" customHeight="1">
      <c r="L247" s="7"/>
      <c r="Q247" s="8"/>
      <c r="R247" s="9"/>
      <c r="S247" s="8"/>
      <c r="T247" s="9"/>
      <c r="U247" s="8"/>
      <c r="V247" s="9"/>
      <c r="W247" s="8"/>
      <c r="X247" s="9"/>
      <c r="Y247" s="8"/>
      <c r="Z247" s="9"/>
    </row>
    <row r="248" ht="24.75" customHeight="1">
      <c r="L248" s="7"/>
      <c r="Q248" s="8"/>
      <c r="R248" s="9"/>
      <c r="S248" s="8"/>
      <c r="T248" s="9"/>
      <c r="U248" s="8"/>
      <c r="V248" s="9"/>
      <c r="W248" s="8"/>
      <c r="X248" s="9"/>
      <c r="Y248" s="8"/>
      <c r="Z248" s="9"/>
    </row>
    <row r="249" ht="24.75" customHeight="1">
      <c r="L249" s="7"/>
      <c r="Q249" s="8"/>
      <c r="R249" s="9"/>
      <c r="S249" s="8"/>
      <c r="T249" s="9"/>
      <c r="U249" s="8"/>
      <c r="V249" s="9"/>
      <c r="W249" s="8"/>
      <c r="X249" s="9"/>
      <c r="Y249" s="8"/>
      <c r="Z249" s="9"/>
    </row>
    <row r="250" ht="24.75" customHeight="1">
      <c r="L250" s="7"/>
      <c r="Q250" s="8"/>
      <c r="R250" s="9"/>
      <c r="S250" s="8"/>
      <c r="T250" s="9"/>
      <c r="U250" s="8"/>
      <c r="V250" s="9"/>
      <c r="W250" s="8"/>
      <c r="X250" s="9"/>
      <c r="Y250" s="8"/>
      <c r="Z250" s="9"/>
    </row>
    <row r="251" ht="24.75" customHeight="1">
      <c r="L251" s="7"/>
      <c r="Q251" s="8"/>
      <c r="R251" s="9"/>
      <c r="S251" s="8"/>
      <c r="T251" s="9"/>
      <c r="U251" s="8"/>
      <c r="V251" s="9"/>
      <c r="W251" s="8"/>
      <c r="X251" s="9"/>
      <c r="Y251" s="8"/>
      <c r="Z251" s="9"/>
    </row>
    <row r="252" ht="24.75" customHeight="1">
      <c r="L252" s="7"/>
      <c r="Q252" s="8"/>
      <c r="R252" s="9"/>
      <c r="S252" s="8"/>
      <c r="T252" s="9"/>
      <c r="U252" s="8"/>
      <c r="V252" s="9"/>
      <c r="W252" s="8"/>
      <c r="X252" s="9"/>
      <c r="Y252" s="8"/>
      <c r="Z252" s="9"/>
    </row>
    <row r="253" ht="24.75" customHeight="1">
      <c r="L253" s="7"/>
      <c r="Q253" s="8"/>
      <c r="R253" s="9"/>
      <c r="S253" s="8"/>
      <c r="T253" s="9"/>
      <c r="U253" s="8"/>
      <c r="V253" s="9"/>
      <c r="W253" s="8"/>
      <c r="X253" s="9"/>
      <c r="Y253" s="8"/>
      <c r="Z253" s="9"/>
    </row>
    <row r="254" ht="24.75" customHeight="1">
      <c r="L254" s="7"/>
      <c r="Q254" s="8"/>
      <c r="R254" s="9"/>
      <c r="S254" s="8"/>
      <c r="T254" s="9"/>
      <c r="U254" s="8"/>
      <c r="V254" s="9"/>
      <c r="W254" s="8"/>
      <c r="X254" s="9"/>
      <c r="Y254" s="8"/>
      <c r="Z254" s="9"/>
    </row>
    <row r="255" ht="24.75" customHeight="1">
      <c r="L255" s="7"/>
      <c r="Q255" s="8"/>
      <c r="R255" s="9"/>
      <c r="S255" s="8"/>
      <c r="T255" s="9"/>
      <c r="U255" s="8"/>
      <c r="V255" s="9"/>
      <c r="W255" s="8"/>
      <c r="X255" s="9"/>
      <c r="Y255" s="8"/>
      <c r="Z255" s="9"/>
    </row>
    <row r="256" ht="24.75" customHeight="1">
      <c r="L256" s="7"/>
      <c r="Q256" s="8"/>
      <c r="R256" s="9"/>
      <c r="S256" s="8"/>
      <c r="T256" s="9"/>
      <c r="U256" s="8"/>
      <c r="V256" s="9"/>
      <c r="W256" s="8"/>
      <c r="X256" s="9"/>
      <c r="Y256" s="8"/>
      <c r="Z256" s="9"/>
    </row>
    <row r="257" ht="24.75" customHeight="1">
      <c r="L257" s="7"/>
      <c r="Q257" s="8"/>
      <c r="R257" s="9"/>
      <c r="S257" s="8"/>
      <c r="T257" s="9"/>
      <c r="U257" s="8"/>
      <c r="V257" s="9"/>
      <c r="W257" s="8"/>
      <c r="X257" s="9"/>
      <c r="Y257" s="8"/>
      <c r="Z257" s="9"/>
    </row>
    <row r="258" ht="24.75" customHeight="1">
      <c r="L258" s="7"/>
      <c r="Q258" s="8"/>
      <c r="R258" s="9"/>
      <c r="S258" s="8"/>
      <c r="T258" s="9"/>
      <c r="U258" s="8"/>
      <c r="V258" s="9"/>
      <c r="W258" s="8"/>
      <c r="X258" s="9"/>
      <c r="Y258" s="8"/>
      <c r="Z258" s="9"/>
    </row>
    <row r="259" ht="24.75" customHeight="1">
      <c r="L259" s="7"/>
      <c r="Q259" s="8"/>
      <c r="R259" s="9"/>
      <c r="S259" s="8"/>
      <c r="T259" s="9"/>
      <c r="U259" s="8"/>
      <c r="V259" s="9"/>
      <c r="W259" s="8"/>
      <c r="X259" s="9"/>
      <c r="Y259" s="8"/>
      <c r="Z259" s="9"/>
    </row>
    <row r="260" ht="24.75" customHeight="1">
      <c r="L260" s="7"/>
      <c r="Q260" s="8"/>
      <c r="R260" s="9"/>
      <c r="S260" s="8"/>
      <c r="T260" s="9"/>
      <c r="U260" s="8"/>
      <c r="V260" s="9"/>
      <c r="W260" s="8"/>
      <c r="X260" s="9"/>
      <c r="Y260" s="8"/>
      <c r="Z260" s="9"/>
    </row>
    <row r="261" ht="24.75" customHeight="1">
      <c r="L261" s="7"/>
      <c r="Q261" s="8"/>
      <c r="R261" s="9"/>
      <c r="S261" s="8"/>
      <c r="T261" s="9"/>
      <c r="U261" s="8"/>
      <c r="V261" s="9"/>
      <c r="W261" s="8"/>
      <c r="X261" s="9"/>
      <c r="Y261" s="8"/>
      <c r="Z261" s="9"/>
    </row>
    <row r="262" ht="24.75" customHeight="1">
      <c r="L262" s="7"/>
      <c r="Q262" s="8"/>
      <c r="R262" s="9"/>
      <c r="S262" s="8"/>
      <c r="T262" s="9"/>
      <c r="U262" s="8"/>
      <c r="V262" s="9"/>
      <c r="W262" s="8"/>
      <c r="X262" s="9"/>
      <c r="Y262" s="8"/>
      <c r="Z262" s="9"/>
    </row>
    <row r="263" ht="24.75" customHeight="1">
      <c r="L263" s="7"/>
      <c r="Q263" s="8"/>
      <c r="R263" s="9"/>
      <c r="S263" s="8"/>
      <c r="T263" s="9"/>
      <c r="U263" s="8"/>
      <c r="V263" s="9"/>
      <c r="W263" s="8"/>
      <c r="X263" s="9"/>
      <c r="Y263" s="8"/>
      <c r="Z263" s="9"/>
    </row>
    <row r="264" ht="24.75" customHeight="1">
      <c r="L264" s="7"/>
      <c r="Q264" s="8"/>
      <c r="R264" s="9"/>
      <c r="S264" s="8"/>
      <c r="T264" s="9"/>
      <c r="U264" s="8"/>
      <c r="V264" s="9"/>
      <c r="W264" s="8"/>
      <c r="X264" s="9"/>
      <c r="Y264" s="8"/>
      <c r="Z264" s="9"/>
    </row>
    <row r="265" ht="24.75" customHeight="1">
      <c r="L265" s="7"/>
      <c r="Q265" s="8"/>
      <c r="R265" s="9"/>
      <c r="S265" s="8"/>
      <c r="T265" s="9"/>
      <c r="U265" s="8"/>
      <c r="V265" s="9"/>
      <c r="W265" s="8"/>
      <c r="X265" s="9"/>
      <c r="Y265" s="8"/>
      <c r="Z265" s="9"/>
    </row>
    <row r="266" ht="24.75" customHeight="1">
      <c r="L266" s="7"/>
      <c r="Q266" s="8"/>
      <c r="R266" s="9"/>
      <c r="S266" s="8"/>
      <c r="T266" s="9"/>
      <c r="U266" s="8"/>
      <c r="V266" s="9"/>
      <c r="W266" s="8"/>
      <c r="X266" s="9"/>
      <c r="Y266" s="8"/>
      <c r="Z266" s="9"/>
    </row>
    <row r="267" ht="24.75" customHeight="1">
      <c r="L267" s="7"/>
      <c r="Q267" s="8"/>
      <c r="R267" s="9"/>
      <c r="S267" s="8"/>
      <c r="T267" s="9"/>
      <c r="U267" s="8"/>
      <c r="V267" s="9"/>
      <c r="W267" s="8"/>
      <c r="X267" s="9"/>
      <c r="Y267" s="8"/>
      <c r="Z267" s="9"/>
    </row>
    <row r="268" ht="24.75" customHeight="1">
      <c r="L268" s="7"/>
      <c r="Q268" s="8"/>
      <c r="R268" s="9"/>
      <c r="S268" s="8"/>
      <c r="T268" s="9"/>
      <c r="U268" s="8"/>
      <c r="V268" s="9"/>
      <c r="W268" s="8"/>
      <c r="X268" s="9"/>
      <c r="Y268" s="8"/>
      <c r="Z268" s="9"/>
    </row>
    <row r="269" ht="24.75" customHeight="1">
      <c r="L269" s="7"/>
      <c r="Q269" s="8"/>
      <c r="R269" s="9"/>
      <c r="S269" s="8"/>
      <c r="T269" s="9"/>
      <c r="U269" s="8"/>
      <c r="V269" s="9"/>
      <c r="W269" s="8"/>
      <c r="X269" s="9"/>
      <c r="Y269" s="8"/>
      <c r="Z269" s="9"/>
    </row>
    <row r="270" ht="24.75" customHeight="1">
      <c r="L270" s="7"/>
      <c r="Q270" s="8"/>
      <c r="R270" s="9"/>
      <c r="S270" s="8"/>
      <c r="T270" s="9"/>
      <c r="U270" s="8"/>
      <c r="V270" s="9"/>
      <c r="W270" s="8"/>
      <c r="X270" s="9"/>
      <c r="Y270" s="8"/>
      <c r="Z270" s="9"/>
    </row>
    <row r="271" ht="24.75" customHeight="1">
      <c r="L271" s="7"/>
      <c r="Q271" s="8"/>
      <c r="R271" s="9"/>
      <c r="S271" s="8"/>
      <c r="T271" s="9"/>
      <c r="U271" s="8"/>
      <c r="V271" s="9"/>
      <c r="W271" s="8"/>
      <c r="X271" s="9"/>
      <c r="Y271" s="8"/>
      <c r="Z271" s="9"/>
    </row>
    <row r="272" ht="24.75" customHeight="1">
      <c r="L272" s="7"/>
      <c r="Q272" s="8"/>
      <c r="R272" s="9"/>
      <c r="S272" s="8"/>
      <c r="T272" s="9"/>
      <c r="U272" s="8"/>
      <c r="V272" s="9"/>
      <c r="W272" s="8"/>
      <c r="X272" s="9"/>
      <c r="Y272" s="8"/>
      <c r="Z272" s="9"/>
    </row>
    <row r="273" ht="24.75" customHeight="1">
      <c r="L273" s="7"/>
      <c r="Q273" s="8"/>
      <c r="R273" s="9"/>
      <c r="S273" s="8"/>
      <c r="T273" s="9"/>
      <c r="U273" s="8"/>
      <c r="V273" s="9"/>
      <c r="W273" s="8"/>
      <c r="X273" s="9"/>
      <c r="Y273" s="8"/>
      <c r="Z273" s="9"/>
    </row>
    <row r="274" ht="24.75" customHeight="1">
      <c r="L274" s="7"/>
      <c r="Q274" s="8"/>
      <c r="R274" s="9"/>
      <c r="S274" s="8"/>
      <c r="T274" s="9"/>
      <c r="U274" s="8"/>
      <c r="V274" s="9"/>
      <c r="W274" s="8"/>
      <c r="X274" s="9"/>
      <c r="Y274" s="8"/>
      <c r="Z274" s="9"/>
    </row>
    <row r="275" ht="24.75" customHeight="1">
      <c r="L275" s="7"/>
      <c r="Q275" s="8"/>
      <c r="R275" s="9"/>
      <c r="S275" s="8"/>
      <c r="T275" s="9"/>
      <c r="U275" s="8"/>
      <c r="V275" s="9"/>
      <c r="W275" s="8"/>
      <c r="X275" s="9"/>
      <c r="Y275" s="8"/>
      <c r="Z275" s="9"/>
    </row>
    <row r="276" ht="24.75" customHeight="1">
      <c r="L276" s="7"/>
      <c r="Q276" s="7"/>
      <c r="S276" s="7"/>
      <c r="U276" s="7"/>
      <c r="W276" s="7"/>
      <c r="Y276" s="7"/>
    </row>
    <row r="277" ht="24.75" customHeight="1">
      <c r="L277" s="7"/>
      <c r="Q277" s="7"/>
      <c r="S277" s="7"/>
      <c r="U277" s="7"/>
      <c r="W277" s="7"/>
      <c r="Y277" s="7"/>
    </row>
    <row r="278" ht="24.75" customHeight="1">
      <c r="L278" s="7"/>
      <c r="Q278" s="7"/>
      <c r="S278" s="7"/>
      <c r="U278" s="7"/>
      <c r="W278" s="7"/>
      <c r="Y278" s="7"/>
    </row>
    <row r="279" ht="24.75" customHeight="1">
      <c r="L279" s="7"/>
      <c r="Q279" s="7"/>
      <c r="S279" s="7"/>
      <c r="U279" s="7"/>
      <c r="W279" s="7"/>
      <c r="Y279" s="7"/>
    </row>
    <row r="280" ht="24.75" customHeight="1">
      <c r="L280" s="7"/>
      <c r="Q280" s="7"/>
      <c r="S280" s="7"/>
      <c r="U280" s="7"/>
      <c r="W280" s="7"/>
      <c r="Y280" s="7"/>
    </row>
    <row r="281" ht="24.75" customHeight="1">
      <c r="L281" s="7"/>
      <c r="Q281" s="7"/>
      <c r="S281" s="7"/>
      <c r="U281" s="7"/>
      <c r="W281" s="7"/>
      <c r="Y281" s="7"/>
    </row>
    <row r="282" ht="24.75" customHeight="1">
      <c r="L282" s="7"/>
      <c r="Q282" s="7"/>
      <c r="S282" s="7"/>
      <c r="U282" s="7"/>
      <c r="W282" s="7"/>
      <c r="Y282" s="7"/>
    </row>
    <row r="283" ht="24.75" customHeight="1">
      <c r="L283" s="7"/>
      <c r="Q283" s="7"/>
      <c r="S283" s="7"/>
      <c r="U283" s="7"/>
      <c r="W283" s="7"/>
      <c r="Y283" s="7"/>
    </row>
    <row r="284" ht="24.75" customHeight="1">
      <c r="L284" s="7"/>
      <c r="Q284" s="7"/>
      <c r="S284" s="7"/>
      <c r="U284" s="7"/>
      <c r="W284" s="7"/>
      <c r="Y284" s="7"/>
    </row>
    <row r="285" ht="24.75" customHeight="1">
      <c r="L285" s="7"/>
      <c r="Q285" s="7"/>
      <c r="S285" s="7"/>
      <c r="U285" s="7"/>
      <c r="W285" s="7"/>
      <c r="Y285" s="7"/>
    </row>
    <row r="286" ht="24.75" customHeight="1">
      <c r="L286" s="7"/>
      <c r="Q286" s="7"/>
      <c r="S286" s="7"/>
      <c r="U286" s="7"/>
      <c r="W286" s="7"/>
      <c r="Y286" s="7"/>
    </row>
    <row r="287" ht="24.75" customHeight="1">
      <c r="L287" s="7"/>
      <c r="Q287" s="7"/>
      <c r="S287" s="7"/>
      <c r="U287" s="7"/>
      <c r="W287" s="7"/>
      <c r="Y287" s="7"/>
    </row>
    <row r="288" ht="24.75" customHeight="1">
      <c r="L288" s="7"/>
      <c r="Q288" s="7"/>
      <c r="S288" s="7"/>
      <c r="U288" s="7"/>
      <c r="W288" s="7"/>
      <c r="Y288" s="7"/>
    </row>
    <row r="289" ht="24.75" customHeight="1">
      <c r="L289" s="7"/>
      <c r="Q289" s="7"/>
      <c r="S289" s="7"/>
      <c r="U289" s="7"/>
      <c r="W289" s="7"/>
      <c r="Y289" s="7"/>
    </row>
    <row r="290" ht="24.75" customHeight="1">
      <c r="L290" s="7"/>
      <c r="Q290" s="7"/>
      <c r="S290" s="7"/>
      <c r="U290" s="7"/>
      <c r="W290" s="7"/>
      <c r="Y290" s="7"/>
    </row>
    <row r="291" ht="24.75" customHeight="1">
      <c r="L291" s="7"/>
      <c r="Q291" s="7"/>
      <c r="S291" s="7"/>
      <c r="U291" s="7"/>
      <c r="W291" s="7"/>
      <c r="Y291" s="7"/>
    </row>
    <row r="292" ht="24.75" customHeight="1">
      <c r="L292" s="7"/>
      <c r="Q292" s="7"/>
      <c r="S292" s="7"/>
      <c r="U292" s="7"/>
      <c r="W292" s="7"/>
      <c r="Y292" s="7"/>
    </row>
    <row r="293" ht="24.75" customHeight="1">
      <c r="L293" s="7"/>
      <c r="Q293" s="7"/>
      <c r="S293" s="7"/>
      <c r="U293" s="7"/>
      <c r="W293" s="7"/>
      <c r="Y293" s="7"/>
    </row>
    <row r="294" ht="24.75" customHeight="1">
      <c r="L294" s="7"/>
      <c r="Q294" s="7"/>
      <c r="S294" s="7"/>
      <c r="U294" s="7"/>
      <c r="W294" s="7"/>
      <c r="Y294" s="7"/>
    </row>
    <row r="295" ht="24.75" customHeight="1">
      <c r="L295" s="7"/>
      <c r="Q295" s="7"/>
      <c r="S295" s="7"/>
      <c r="U295" s="7"/>
      <c r="W295" s="7"/>
      <c r="Y295" s="7"/>
    </row>
    <row r="296" ht="24.75" customHeight="1">
      <c r="L296" s="7"/>
      <c r="Q296" s="7"/>
      <c r="S296" s="7"/>
      <c r="U296" s="7"/>
      <c r="W296" s="7"/>
      <c r="Y296" s="7"/>
    </row>
    <row r="297" ht="24.75" customHeight="1">
      <c r="L297" s="7"/>
      <c r="Q297" s="7"/>
      <c r="S297" s="7"/>
      <c r="U297" s="7"/>
      <c r="W297" s="7"/>
      <c r="Y297" s="7"/>
    </row>
    <row r="298" ht="24.75" customHeight="1">
      <c r="L298" s="7"/>
      <c r="Q298" s="7"/>
      <c r="S298" s="7"/>
      <c r="U298" s="7"/>
      <c r="W298" s="7"/>
      <c r="Y298" s="7"/>
    </row>
    <row r="299" ht="24.75" customHeight="1">
      <c r="L299" s="7"/>
      <c r="Q299" s="7"/>
      <c r="S299" s="7"/>
      <c r="U299" s="7"/>
      <c r="W299" s="7"/>
      <c r="Y299" s="7"/>
    </row>
    <row r="300" ht="24.75" customHeight="1">
      <c r="L300" s="7"/>
      <c r="Q300" s="7"/>
      <c r="S300" s="7"/>
      <c r="U300" s="7"/>
      <c r="W300" s="7"/>
      <c r="Y300" s="7"/>
    </row>
    <row r="301" ht="24.75" customHeight="1">
      <c r="L301" s="7"/>
      <c r="Q301" s="7"/>
      <c r="S301" s="7"/>
      <c r="U301" s="7"/>
      <c r="W301" s="7"/>
      <c r="Y301" s="7"/>
    </row>
    <row r="302" ht="24.75" customHeight="1">
      <c r="L302" s="7"/>
      <c r="Q302" s="7"/>
      <c r="S302" s="7"/>
      <c r="U302" s="7"/>
      <c r="W302" s="7"/>
      <c r="Y302" s="7"/>
    </row>
    <row r="303" ht="24.75" customHeight="1">
      <c r="L303" s="7"/>
      <c r="Q303" s="7"/>
      <c r="S303" s="7"/>
      <c r="U303" s="7"/>
      <c r="W303" s="7"/>
      <c r="Y303" s="7"/>
    </row>
    <row r="304" ht="24.75" customHeight="1">
      <c r="L304" s="7"/>
      <c r="Q304" s="7"/>
      <c r="S304" s="7"/>
      <c r="U304" s="7"/>
      <c r="W304" s="7"/>
      <c r="Y304" s="7"/>
    </row>
    <row r="305" ht="24.75" customHeight="1">
      <c r="L305" s="7"/>
      <c r="Q305" s="7"/>
      <c r="S305" s="7"/>
      <c r="U305" s="7"/>
      <c r="W305" s="7"/>
      <c r="Y305" s="7"/>
    </row>
    <row r="306" ht="24.75" customHeight="1">
      <c r="L306" s="7"/>
      <c r="Q306" s="7"/>
      <c r="S306" s="7"/>
      <c r="U306" s="7"/>
      <c r="W306" s="7"/>
      <c r="Y306" s="7"/>
    </row>
    <row r="307" ht="24.75" customHeight="1">
      <c r="L307" s="7"/>
      <c r="Q307" s="7"/>
      <c r="S307" s="7"/>
      <c r="U307" s="7"/>
      <c r="W307" s="7"/>
      <c r="Y307" s="7"/>
    </row>
    <row r="308" ht="24.75" customHeight="1">
      <c r="L308" s="7"/>
      <c r="Q308" s="7"/>
      <c r="S308" s="7"/>
      <c r="U308" s="7"/>
      <c r="W308" s="7"/>
      <c r="Y308" s="7"/>
    </row>
    <row r="309" ht="24.75" customHeight="1">
      <c r="L309" s="7"/>
      <c r="Q309" s="7"/>
      <c r="S309" s="7"/>
      <c r="U309" s="7"/>
      <c r="W309" s="7"/>
      <c r="Y309" s="7"/>
    </row>
    <row r="310" ht="24.75" customHeight="1">
      <c r="L310" s="7"/>
      <c r="Q310" s="7"/>
      <c r="S310" s="7"/>
      <c r="U310" s="7"/>
      <c r="W310" s="7"/>
      <c r="Y310" s="7"/>
    </row>
    <row r="311" ht="24.75" customHeight="1">
      <c r="L311" s="7"/>
      <c r="Q311" s="7"/>
      <c r="S311" s="7"/>
      <c r="U311" s="7"/>
      <c r="W311" s="7"/>
      <c r="Y311" s="7"/>
    </row>
    <row r="312" ht="24.75" customHeight="1">
      <c r="L312" s="7"/>
      <c r="Q312" s="7"/>
      <c r="S312" s="7"/>
      <c r="U312" s="7"/>
      <c r="W312" s="7"/>
      <c r="Y312" s="7"/>
    </row>
    <row r="313" ht="24.75" customHeight="1">
      <c r="L313" s="7"/>
      <c r="Q313" s="7"/>
      <c r="S313" s="7"/>
      <c r="U313" s="7"/>
      <c r="W313" s="7"/>
      <c r="Y313" s="7"/>
    </row>
    <row r="314" ht="24.75" customHeight="1">
      <c r="L314" s="7"/>
      <c r="Q314" s="7"/>
      <c r="S314" s="7"/>
      <c r="U314" s="7"/>
      <c r="W314" s="7"/>
      <c r="Y314" s="7"/>
    </row>
    <row r="315" ht="24.75" customHeight="1">
      <c r="L315" s="7"/>
      <c r="Q315" s="7"/>
      <c r="S315" s="7"/>
      <c r="U315" s="7"/>
      <c r="W315" s="7"/>
      <c r="Y315" s="7"/>
    </row>
    <row r="316" ht="24.75" customHeight="1">
      <c r="L316" s="7"/>
      <c r="Q316" s="7"/>
      <c r="S316" s="7"/>
      <c r="U316" s="7"/>
      <c r="W316" s="7"/>
      <c r="Y316" s="7"/>
    </row>
    <row r="317" ht="24.75" customHeight="1">
      <c r="L317" s="7"/>
      <c r="Q317" s="7"/>
      <c r="S317" s="7"/>
      <c r="U317" s="7"/>
      <c r="W317" s="7"/>
      <c r="Y317" s="7"/>
    </row>
    <row r="318" ht="24.75" customHeight="1">
      <c r="L318" s="7"/>
      <c r="Q318" s="7"/>
      <c r="S318" s="7"/>
      <c r="U318" s="7"/>
      <c r="W318" s="7"/>
      <c r="Y318" s="7"/>
    </row>
    <row r="319" ht="24.75" customHeight="1">
      <c r="L319" s="7"/>
      <c r="Q319" s="7"/>
      <c r="S319" s="7"/>
      <c r="U319" s="7"/>
      <c r="W319" s="7"/>
      <c r="Y319" s="7"/>
    </row>
    <row r="320" ht="24.75" customHeight="1">
      <c r="L320" s="7"/>
      <c r="Q320" s="7"/>
      <c r="S320" s="7"/>
      <c r="U320" s="7"/>
      <c r="W320" s="7"/>
      <c r="Y320" s="7"/>
    </row>
    <row r="321" ht="24.75" customHeight="1">
      <c r="L321" s="7"/>
      <c r="Q321" s="7"/>
      <c r="S321" s="7"/>
      <c r="U321" s="7"/>
      <c r="W321" s="7"/>
      <c r="Y321" s="7"/>
    </row>
    <row r="322" ht="24.75" customHeight="1">
      <c r="L322" s="7"/>
      <c r="Q322" s="7"/>
      <c r="S322" s="7"/>
      <c r="U322" s="7"/>
      <c r="W322" s="7"/>
      <c r="Y322" s="7"/>
    </row>
    <row r="323" ht="24.75" customHeight="1">
      <c r="L323" s="7"/>
      <c r="Q323" s="7"/>
      <c r="S323" s="7"/>
      <c r="U323" s="7"/>
      <c r="W323" s="7"/>
      <c r="Y323" s="7"/>
    </row>
    <row r="324" ht="24.75" customHeight="1">
      <c r="L324" s="7"/>
      <c r="Q324" s="7"/>
      <c r="S324" s="7"/>
      <c r="U324" s="7"/>
      <c r="W324" s="7"/>
      <c r="Y324" s="7"/>
    </row>
    <row r="325" ht="24.75" customHeight="1">
      <c r="L325" s="7"/>
      <c r="Q325" s="7"/>
      <c r="S325" s="7"/>
      <c r="U325" s="7"/>
      <c r="W325" s="7"/>
      <c r="Y325" s="7"/>
    </row>
    <row r="326" ht="24.75" customHeight="1">
      <c r="L326" s="7"/>
      <c r="Q326" s="7"/>
      <c r="S326" s="7"/>
      <c r="U326" s="7"/>
      <c r="W326" s="7"/>
      <c r="Y326" s="7"/>
    </row>
    <row r="327" ht="24.75" customHeight="1">
      <c r="L327" s="7"/>
      <c r="Q327" s="7"/>
      <c r="S327" s="7"/>
      <c r="U327" s="7"/>
      <c r="W327" s="7"/>
      <c r="Y327" s="7"/>
    </row>
    <row r="328" ht="24.75" customHeight="1">
      <c r="L328" s="7"/>
      <c r="Q328" s="7"/>
      <c r="S328" s="7"/>
      <c r="U328" s="7"/>
      <c r="W328" s="7"/>
      <c r="Y328" s="7"/>
    </row>
    <row r="329" ht="24.75" customHeight="1">
      <c r="L329" s="7"/>
      <c r="Q329" s="7"/>
      <c r="S329" s="7"/>
      <c r="U329" s="7"/>
      <c r="W329" s="7"/>
      <c r="Y329" s="7"/>
    </row>
    <row r="330" ht="24.75" customHeight="1">
      <c r="L330" s="7"/>
      <c r="Q330" s="7"/>
      <c r="S330" s="7"/>
      <c r="U330" s="7"/>
      <c r="W330" s="7"/>
      <c r="Y330" s="7"/>
    </row>
    <row r="331" ht="24.75" customHeight="1">
      <c r="L331" s="7"/>
      <c r="Q331" s="7"/>
      <c r="S331" s="7"/>
      <c r="U331" s="7"/>
      <c r="W331" s="7"/>
      <c r="Y331" s="7"/>
    </row>
    <row r="332" ht="24.75" customHeight="1">
      <c r="L332" s="7"/>
      <c r="Q332" s="7"/>
      <c r="S332" s="7"/>
      <c r="U332" s="7"/>
      <c r="W332" s="7"/>
      <c r="Y332" s="7"/>
    </row>
    <row r="333" ht="24.75" customHeight="1">
      <c r="L333" s="7"/>
      <c r="Q333" s="7"/>
      <c r="S333" s="7"/>
      <c r="U333" s="7"/>
      <c r="W333" s="7"/>
      <c r="Y333" s="7"/>
    </row>
    <row r="334" ht="24.75" customHeight="1">
      <c r="L334" s="7"/>
      <c r="Q334" s="7"/>
      <c r="S334" s="7"/>
      <c r="U334" s="7"/>
      <c r="W334" s="7"/>
      <c r="Y334" s="7"/>
    </row>
    <row r="335" ht="24.75" customHeight="1">
      <c r="L335" s="7"/>
      <c r="Q335" s="7"/>
      <c r="S335" s="7"/>
      <c r="U335" s="7"/>
      <c r="W335" s="7"/>
      <c r="Y335" s="7"/>
    </row>
    <row r="336" ht="24.75" customHeight="1">
      <c r="L336" s="7"/>
      <c r="Q336" s="7"/>
      <c r="S336" s="7"/>
      <c r="U336" s="7"/>
      <c r="W336" s="7"/>
      <c r="Y336" s="7"/>
    </row>
    <row r="337" ht="24.75" customHeight="1">
      <c r="L337" s="7"/>
      <c r="Q337" s="7"/>
      <c r="S337" s="7"/>
      <c r="U337" s="7"/>
      <c r="W337" s="7"/>
      <c r="Y337" s="7"/>
    </row>
    <row r="338" ht="24.75" customHeight="1">
      <c r="L338" s="7"/>
      <c r="Q338" s="7"/>
      <c r="S338" s="7"/>
      <c r="U338" s="7"/>
      <c r="W338" s="7"/>
      <c r="Y338" s="7"/>
    </row>
    <row r="339" ht="24.75" customHeight="1">
      <c r="L339" s="7"/>
      <c r="Q339" s="7"/>
      <c r="S339" s="7"/>
      <c r="U339" s="7"/>
      <c r="W339" s="7"/>
      <c r="Y339" s="7"/>
    </row>
    <row r="340" ht="24.75" customHeight="1">
      <c r="L340" s="7"/>
      <c r="Q340" s="7"/>
      <c r="S340" s="7"/>
      <c r="U340" s="7"/>
      <c r="W340" s="7"/>
      <c r="Y340" s="7"/>
    </row>
    <row r="341" ht="24.75" customHeight="1">
      <c r="L341" s="7"/>
      <c r="Q341" s="7"/>
      <c r="S341" s="7"/>
      <c r="U341" s="7"/>
      <c r="W341" s="7"/>
      <c r="Y341" s="7"/>
    </row>
    <row r="342" ht="24.75" customHeight="1">
      <c r="L342" s="7"/>
      <c r="Q342" s="7"/>
      <c r="S342" s="7"/>
      <c r="U342" s="7"/>
      <c r="W342" s="7"/>
      <c r="Y342" s="7"/>
    </row>
    <row r="343" ht="24.75" customHeight="1">
      <c r="L343" s="7"/>
      <c r="Q343" s="7"/>
      <c r="S343" s="7"/>
      <c r="U343" s="7"/>
      <c r="W343" s="7"/>
      <c r="Y343" s="7"/>
    </row>
    <row r="344" ht="24.75" customHeight="1">
      <c r="L344" s="7"/>
      <c r="Q344" s="7"/>
      <c r="S344" s="7"/>
      <c r="U344" s="7"/>
      <c r="W344" s="7"/>
      <c r="Y344" s="7"/>
    </row>
    <row r="345" ht="24.75" customHeight="1">
      <c r="L345" s="7"/>
      <c r="Q345" s="7"/>
      <c r="S345" s="7"/>
      <c r="U345" s="7"/>
      <c r="W345" s="7"/>
      <c r="Y345" s="7"/>
    </row>
    <row r="346" ht="24.75" customHeight="1">
      <c r="L346" s="7"/>
      <c r="Q346" s="7"/>
      <c r="S346" s="7"/>
      <c r="U346" s="7"/>
      <c r="W346" s="7"/>
      <c r="Y346" s="7"/>
    </row>
    <row r="347" ht="24.75" customHeight="1">
      <c r="L347" s="7"/>
      <c r="Q347" s="7"/>
      <c r="S347" s="7"/>
      <c r="U347" s="7"/>
      <c r="W347" s="7"/>
      <c r="Y347" s="7"/>
    </row>
    <row r="348" ht="24.75" customHeight="1">
      <c r="L348" s="7"/>
      <c r="Q348" s="7"/>
      <c r="S348" s="7"/>
      <c r="U348" s="7"/>
      <c r="W348" s="7"/>
      <c r="Y348" s="7"/>
    </row>
    <row r="349" ht="24.75" customHeight="1">
      <c r="L349" s="7"/>
      <c r="Q349" s="7"/>
      <c r="S349" s="7"/>
      <c r="U349" s="7"/>
      <c r="W349" s="7"/>
      <c r="Y349" s="7"/>
    </row>
    <row r="350" ht="24.75" customHeight="1">
      <c r="L350" s="7"/>
      <c r="Q350" s="7"/>
      <c r="S350" s="7"/>
      <c r="U350" s="7"/>
      <c r="W350" s="7"/>
      <c r="Y350" s="7"/>
    </row>
    <row r="351" ht="24.75" customHeight="1">
      <c r="L351" s="7"/>
      <c r="Q351" s="7"/>
      <c r="S351" s="7"/>
      <c r="U351" s="7"/>
      <c r="W351" s="7"/>
      <c r="Y351" s="7"/>
    </row>
    <row r="352" ht="24.75" customHeight="1">
      <c r="L352" s="7"/>
      <c r="Q352" s="7"/>
      <c r="S352" s="7"/>
      <c r="U352" s="7"/>
      <c r="W352" s="7"/>
      <c r="Y352" s="7"/>
    </row>
    <row r="353" ht="24.75" customHeight="1">
      <c r="L353" s="7"/>
      <c r="Q353" s="7"/>
      <c r="S353" s="7"/>
      <c r="U353" s="7"/>
      <c r="W353" s="7"/>
      <c r="Y353" s="7"/>
    </row>
    <row r="354" ht="24.75" customHeight="1">
      <c r="L354" s="7"/>
      <c r="Q354" s="7"/>
      <c r="S354" s="7"/>
      <c r="U354" s="7"/>
      <c r="W354" s="7"/>
      <c r="Y354" s="7"/>
    </row>
    <row r="355" ht="24.75" customHeight="1">
      <c r="L355" s="7"/>
      <c r="Q355" s="7"/>
      <c r="S355" s="7"/>
      <c r="U355" s="7"/>
      <c r="W355" s="7"/>
      <c r="Y355" s="7"/>
    </row>
    <row r="356" ht="24.75" customHeight="1">
      <c r="L356" s="7"/>
      <c r="Q356" s="7"/>
      <c r="S356" s="7"/>
      <c r="U356" s="7"/>
      <c r="W356" s="7"/>
      <c r="Y356" s="7"/>
    </row>
    <row r="357" ht="24.75" customHeight="1">
      <c r="L357" s="7"/>
      <c r="Q357" s="7"/>
      <c r="S357" s="7"/>
      <c r="U357" s="7"/>
      <c r="W357" s="7"/>
      <c r="Y357" s="7"/>
    </row>
    <row r="358" ht="24.75" customHeight="1">
      <c r="L358" s="7"/>
      <c r="Q358" s="7"/>
      <c r="S358" s="7"/>
      <c r="U358" s="7"/>
      <c r="W358" s="7"/>
      <c r="Y358" s="7"/>
    </row>
    <row r="359" ht="24.75" customHeight="1">
      <c r="L359" s="7"/>
      <c r="Q359" s="7"/>
      <c r="S359" s="7"/>
      <c r="U359" s="7"/>
      <c r="W359" s="7"/>
      <c r="Y359" s="7"/>
    </row>
    <row r="360" ht="24.75" customHeight="1">
      <c r="L360" s="7"/>
      <c r="Q360" s="7"/>
      <c r="S360" s="7"/>
      <c r="U360" s="7"/>
      <c r="W360" s="7"/>
      <c r="Y360" s="7"/>
    </row>
    <row r="361" ht="24.75" customHeight="1">
      <c r="L361" s="7"/>
      <c r="Q361" s="7"/>
      <c r="S361" s="7"/>
      <c r="U361" s="7"/>
      <c r="W361" s="7"/>
      <c r="Y361" s="7"/>
    </row>
    <row r="362" ht="24.75" customHeight="1">
      <c r="L362" s="7"/>
      <c r="Q362" s="7"/>
      <c r="S362" s="7"/>
      <c r="U362" s="7"/>
      <c r="W362" s="7"/>
      <c r="Y362" s="7"/>
    </row>
    <row r="363" ht="24.75" customHeight="1">
      <c r="L363" s="7"/>
      <c r="Q363" s="7"/>
      <c r="S363" s="7"/>
      <c r="U363" s="7"/>
      <c r="W363" s="7"/>
      <c r="Y363" s="7"/>
    </row>
    <row r="364" ht="24.75" customHeight="1">
      <c r="L364" s="7"/>
      <c r="Q364" s="7"/>
      <c r="S364" s="7"/>
      <c r="U364" s="7"/>
      <c r="W364" s="7"/>
      <c r="Y364" s="7"/>
    </row>
    <row r="365" ht="24.75" customHeight="1">
      <c r="L365" s="7"/>
      <c r="Q365" s="7"/>
      <c r="S365" s="7"/>
      <c r="U365" s="7"/>
      <c r="W365" s="7"/>
      <c r="Y365" s="7"/>
    </row>
    <row r="366" ht="24.75" customHeight="1">
      <c r="L366" s="7"/>
      <c r="Q366" s="7"/>
      <c r="S366" s="7"/>
      <c r="U366" s="7"/>
      <c r="W366" s="7"/>
      <c r="Y366" s="7"/>
    </row>
    <row r="367" ht="24.75" customHeight="1">
      <c r="L367" s="7"/>
      <c r="Q367" s="7"/>
      <c r="S367" s="7"/>
      <c r="U367" s="7"/>
      <c r="W367" s="7"/>
      <c r="Y367" s="7"/>
    </row>
    <row r="368" ht="24.75" customHeight="1">
      <c r="L368" s="7"/>
      <c r="Q368" s="7"/>
      <c r="S368" s="7"/>
      <c r="U368" s="7"/>
      <c r="W368" s="7"/>
      <c r="Y368" s="7"/>
    </row>
    <row r="369" ht="24.75" customHeight="1">
      <c r="L369" s="7"/>
      <c r="Q369" s="7"/>
      <c r="S369" s="7"/>
      <c r="U369" s="7"/>
      <c r="W369" s="7"/>
      <c r="Y369" s="7"/>
    </row>
    <row r="370" ht="24.75" customHeight="1">
      <c r="L370" s="7"/>
      <c r="Q370" s="7"/>
      <c r="S370" s="7"/>
      <c r="U370" s="7"/>
      <c r="W370" s="7"/>
      <c r="Y370" s="7"/>
    </row>
    <row r="371" ht="24.75" customHeight="1">
      <c r="L371" s="7"/>
      <c r="Q371" s="7"/>
      <c r="S371" s="7"/>
      <c r="U371" s="7"/>
      <c r="W371" s="7"/>
      <c r="Y371" s="7"/>
    </row>
    <row r="372" ht="24.75" customHeight="1">
      <c r="L372" s="7"/>
      <c r="Q372" s="7"/>
      <c r="S372" s="7"/>
      <c r="U372" s="7"/>
      <c r="W372" s="7"/>
      <c r="Y372" s="7"/>
    </row>
    <row r="373" ht="24.75" customHeight="1">
      <c r="L373" s="7"/>
      <c r="Q373" s="7"/>
      <c r="S373" s="7"/>
      <c r="U373" s="7"/>
      <c r="W373" s="7"/>
      <c r="Y373" s="7"/>
    </row>
    <row r="374" ht="24.75" customHeight="1">
      <c r="L374" s="7"/>
      <c r="Q374" s="7"/>
      <c r="S374" s="7"/>
      <c r="U374" s="7"/>
      <c r="W374" s="7"/>
      <c r="Y374" s="7"/>
    </row>
    <row r="375" ht="24.75" customHeight="1">
      <c r="L375" s="7"/>
      <c r="Q375" s="7"/>
      <c r="S375" s="7"/>
      <c r="U375" s="7"/>
      <c r="W375" s="7"/>
      <c r="Y375" s="7"/>
    </row>
    <row r="376" ht="24.75" customHeight="1">
      <c r="L376" s="7"/>
      <c r="Q376" s="7"/>
      <c r="S376" s="7"/>
      <c r="U376" s="7"/>
      <c r="W376" s="7"/>
      <c r="Y376" s="7"/>
    </row>
    <row r="377" ht="24.75" customHeight="1">
      <c r="L377" s="7"/>
      <c r="Q377" s="7"/>
      <c r="S377" s="7"/>
      <c r="U377" s="7"/>
      <c r="W377" s="7"/>
      <c r="Y377" s="7"/>
    </row>
    <row r="378" ht="24.75" customHeight="1">
      <c r="L378" s="7"/>
      <c r="Q378" s="7"/>
      <c r="S378" s="7"/>
      <c r="U378" s="7"/>
      <c r="W378" s="7"/>
      <c r="Y378" s="7"/>
    </row>
    <row r="379" ht="24.75" customHeight="1">
      <c r="L379" s="7"/>
      <c r="Q379" s="7"/>
      <c r="S379" s="7"/>
      <c r="U379" s="7"/>
      <c r="W379" s="7"/>
      <c r="Y379" s="7"/>
    </row>
    <row r="380" ht="24.75" customHeight="1">
      <c r="L380" s="7"/>
      <c r="Q380" s="7"/>
      <c r="S380" s="7"/>
      <c r="U380" s="7"/>
      <c r="W380" s="7"/>
      <c r="Y380" s="7"/>
    </row>
    <row r="381" ht="24.75" customHeight="1">
      <c r="L381" s="7"/>
      <c r="Q381" s="7"/>
      <c r="S381" s="7"/>
      <c r="U381" s="7"/>
      <c r="W381" s="7"/>
      <c r="Y381" s="7"/>
    </row>
    <row r="382" ht="24.75" customHeight="1">
      <c r="L382" s="7"/>
      <c r="Q382" s="7"/>
      <c r="S382" s="7"/>
      <c r="U382" s="7"/>
      <c r="W382" s="7"/>
      <c r="Y382" s="7"/>
    </row>
    <row r="383" ht="24.75" customHeight="1">
      <c r="L383" s="7"/>
      <c r="Q383" s="7"/>
      <c r="S383" s="7"/>
      <c r="U383" s="7"/>
      <c r="W383" s="7"/>
      <c r="Y383" s="7"/>
    </row>
    <row r="384" ht="24.75" customHeight="1">
      <c r="L384" s="7"/>
      <c r="Q384" s="7"/>
      <c r="S384" s="7"/>
      <c r="U384" s="7"/>
      <c r="W384" s="7"/>
      <c r="Y384" s="7"/>
    </row>
    <row r="385" ht="24.75" customHeight="1">
      <c r="L385" s="7"/>
      <c r="Q385" s="7"/>
      <c r="S385" s="7"/>
      <c r="U385" s="7"/>
      <c r="W385" s="7"/>
      <c r="Y385" s="7"/>
    </row>
    <row r="386" ht="24.75" customHeight="1">
      <c r="L386" s="7"/>
      <c r="Q386" s="7"/>
      <c r="S386" s="7"/>
      <c r="U386" s="7"/>
      <c r="W386" s="7"/>
      <c r="Y386" s="7"/>
    </row>
    <row r="387" ht="24.75" customHeight="1">
      <c r="L387" s="7"/>
      <c r="Q387" s="7"/>
      <c r="S387" s="7"/>
      <c r="U387" s="7"/>
      <c r="W387" s="7"/>
      <c r="Y387" s="7"/>
    </row>
    <row r="388" ht="24.75" customHeight="1">
      <c r="L388" s="7"/>
      <c r="Q388" s="7"/>
      <c r="S388" s="7"/>
      <c r="U388" s="7"/>
      <c r="W388" s="7"/>
      <c r="Y388" s="7"/>
    </row>
    <row r="389" ht="24.75" customHeight="1">
      <c r="L389" s="7"/>
      <c r="Q389" s="7"/>
      <c r="S389" s="7"/>
      <c r="U389" s="7"/>
      <c r="W389" s="7"/>
      <c r="Y389" s="7"/>
    </row>
    <row r="390" ht="24.75" customHeight="1">
      <c r="L390" s="7"/>
      <c r="Q390" s="7"/>
      <c r="S390" s="7"/>
      <c r="U390" s="7"/>
      <c r="W390" s="7"/>
      <c r="Y390" s="7"/>
    </row>
    <row r="391" ht="24.75" customHeight="1">
      <c r="L391" s="7"/>
      <c r="Q391" s="7"/>
      <c r="S391" s="7"/>
      <c r="U391" s="7"/>
      <c r="W391" s="7"/>
      <c r="Y391" s="7"/>
    </row>
    <row r="392" ht="24.75" customHeight="1">
      <c r="L392" s="7"/>
      <c r="Q392" s="7"/>
      <c r="S392" s="7"/>
      <c r="U392" s="7"/>
      <c r="W392" s="7"/>
      <c r="Y392" s="7"/>
    </row>
    <row r="393" ht="24.75" customHeight="1">
      <c r="L393" s="7"/>
      <c r="Q393" s="7"/>
      <c r="S393" s="7"/>
      <c r="U393" s="7"/>
      <c r="W393" s="7"/>
      <c r="Y393" s="7"/>
    </row>
    <row r="394" ht="24.75" customHeight="1">
      <c r="L394" s="7"/>
      <c r="Q394" s="7"/>
      <c r="S394" s="7"/>
      <c r="U394" s="7"/>
      <c r="W394" s="7"/>
      <c r="Y394" s="7"/>
    </row>
    <row r="395" ht="24.75" customHeight="1">
      <c r="L395" s="7"/>
      <c r="Q395" s="7"/>
      <c r="S395" s="7"/>
      <c r="U395" s="7"/>
      <c r="W395" s="7"/>
      <c r="Y395" s="7"/>
    </row>
    <row r="396" ht="24.75" customHeight="1">
      <c r="L396" s="7"/>
      <c r="Q396" s="7"/>
      <c r="S396" s="7"/>
      <c r="U396" s="7"/>
      <c r="W396" s="7"/>
      <c r="Y396" s="7"/>
    </row>
    <row r="397" ht="24.75" customHeight="1">
      <c r="L397" s="7"/>
      <c r="Q397" s="7"/>
      <c r="S397" s="7"/>
      <c r="U397" s="7"/>
      <c r="W397" s="7"/>
      <c r="Y397" s="7"/>
    </row>
    <row r="398" ht="24.75" customHeight="1">
      <c r="L398" s="7"/>
      <c r="Q398" s="7"/>
      <c r="S398" s="7"/>
      <c r="U398" s="7"/>
      <c r="W398" s="7"/>
      <c r="Y398" s="7"/>
    </row>
    <row r="399" ht="24.75" customHeight="1">
      <c r="L399" s="7"/>
      <c r="Q399" s="7"/>
      <c r="S399" s="7"/>
      <c r="U399" s="7"/>
      <c r="W399" s="7"/>
      <c r="Y399" s="7"/>
    </row>
    <row r="400" ht="24.75" customHeight="1">
      <c r="L400" s="7"/>
      <c r="Q400" s="7"/>
      <c r="S400" s="7"/>
      <c r="U400" s="7"/>
      <c r="W400" s="7"/>
      <c r="Y400" s="7"/>
    </row>
    <row r="401" ht="24.75" customHeight="1">
      <c r="L401" s="7"/>
      <c r="Q401" s="7"/>
      <c r="S401" s="7"/>
      <c r="U401" s="7"/>
      <c r="W401" s="7"/>
      <c r="Y401" s="7"/>
    </row>
    <row r="402" ht="24.75" customHeight="1">
      <c r="L402" s="7"/>
      <c r="Q402" s="7"/>
      <c r="S402" s="7"/>
      <c r="U402" s="7"/>
      <c r="W402" s="7"/>
      <c r="Y402" s="7"/>
    </row>
    <row r="403" ht="24.75" customHeight="1">
      <c r="L403" s="7"/>
      <c r="Q403" s="7"/>
      <c r="S403" s="7"/>
      <c r="U403" s="7"/>
      <c r="W403" s="7"/>
      <c r="Y403" s="7"/>
    </row>
    <row r="404" ht="24.75" customHeight="1">
      <c r="L404" s="7"/>
      <c r="Q404" s="7"/>
      <c r="S404" s="7"/>
      <c r="U404" s="7"/>
      <c r="W404" s="7"/>
      <c r="Y404" s="7"/>
    </row>
    <row r="405" ht="24.75" customHeight="1">
      <c r="L405" s="7"/>
      <c r="Q405" s="7"/>
      <c r="S405" s="7"/>
      <c r="U405" s="7"/>
      <c r="W405" s="7"/>
      <c r="Y405" s="7"/>
    </row>
    <row r="406" ht="24.75" customHeight="1">
      <c r="L406" s="7"/>
      <c r="Q406" s="7"/>
      <c r="S406" s="7"/>
      <c r="U406" s="7"/>
      <c r="W406" s="7"/>
      <c r="Y406" s="7"/>
    </row>
    <row r="407" ht="24.75" customHeight="1">
      <c r="L407" s="7"/>
      <c r="Q407" s="7"/>
      <c r="S407" s="7"/>
      <c r="U407" s="7"/>
      <c r="W407" s="7"/>
      <c r="Y407" s="7"/>
    </row>
    <row r="408" ht="24.75" customHeight="1">
      <c r="L408" s="7"/>
      <c r="Q408" s="7"/>
      <c r="S408" s="7"/>
      <c r="U408" s="7"/>
      <c r="W408" s="7"/>
      <c r="Y408" s="7"/>
    </row>
    <row r="409" ht="24.75" customHeight="1">
      <c r="L409" s="7"/>
      <c r="Q409" s="7"/>
      <c r="S409" s="7"/>
      <c r="U409" s="7"/>
      <c r="W409" s="7"/>
      <c r="Y409" s="7"/>
    </row>
    <row r="410" ht="24.75" customHeight="1">
      <c r="L410" s="7"/>
      <c r="Q410" s="7"/>
      <c r="S410" s="7"/>
      <c r="U410" s="7"/>
      <c r="W410" s="7"/>
      <c r="Y410" s="7"/>
    </row>
    <row r="411" ht="24.75" customHeight="1">
      <c r="L411" s="7"/>
      <c r="Q411" s="7"/>
      <c r="S411" s="7"/>
      <c r="U411" s="7"/>
      <c r="W411" s="7"/>
      <c r="Y411" s="7"/>
    </row>
    <row r="412" ht="24.75" customHeight="1">
      <c r="L412" s="7"/>
      <c r="Q412" s="7"/>
      <c r="S412" s="7"/>
      <c r="U412" s="7"/>
      <c r="W412" s="7"/>
      <c r="Y412" s="7"/>
    </row>
    <row r="413" ht="24.75" customHeight="1">
      <c r="L413" s="7"/>
      <c r="Q413" s="7"/>
      <c r="S413" s="7"/>
      <c r="U413" s="7"/>
      <c r="W413" s="7"/>
      <c r="Y413" s="7"/>
    </row>
    <row r="414" ht="24.75" customHeight="1">
      <c r="L414" s="7"/>
      <c r="Q414" s="7"/>
      <c r="S414" s="7"/>
      <c r="U414" s="7"/>
      <c r="W414" s="7"/>
      <c r="Y414" s="7"/>
    </row>
    <row r="415" ht="24.75" customHeight="1">
      <c r="L415" s="7"/>
      <c r="Q415" s="7"/>
      <c r="S415" s="7"/>
      <c r="U415" s="7"/>
      <c r="W415" s="7"/>
      <c r="Y415" s="7"/>
    </row>
    <row r="416" ht="24.75" customHeight="1">
      <c r="L416" s="7"/>
      <c r="Q416" s="7"/>
      <c r="S416" s="7"/>
      <c r="U416" s="7"/>
      <c r="W416" s="7"/>
      <c r="Y416" s="7"/>
    </row>
    <row r="417" ht="24.75" customHeight="1">
      <c r="L417" s="7"/>
      <c r="Q417" s="7"/>
      <c r="S417" s="7"/>
      <c r="U417" s="7"/>
      <c r="W417" s="7"/>
      <c r="Y417" s="7"/>
    </row>
    <row r="418" ht="24.75" customHeight="1">
      <c r="L418" s="7"/>
      <c r="Q418" s="7"/>
      <c r="S418" s="7"/>
      <c r="U418" s="7"/>
      <c r="W418" s="7"/>
      <c r="Y418" s="7"/>
    </row>
    <row r="419" ht="24.75" customHeight="1">
      <c r="L419" s="7"/>
      <c r="Q419" s="7"/>
      <c r="S419" s="7"/>
      <c r="U419" s="7"/>
      <c r="W419" s="7"/>
      <c r="Y419" s="7"/>
    </row>
    <row r="420" ht="24.75" customHeight="1">
      <c r="L420" s="7"/>
      <c r="Q420" s="7"/>
      <c r="S420" s="7"/>
      <c r="U420" s="7"/>
      <c r="W420" s="7"/>
      <c r="Y420" s="7"/>
    </row>
    <row r="421" ht="24.75" customHeight="1">
      <c r="L421" s="7"/>
      <c r="Q421" s="7"/>
      <c r="S421" s="7"/>
      <c r="U421" s="7"/>
      <c r="W421" s="7"/>
      <c r="Y421" s="7"/>
    </row>
    <row r="422" ht="24.75" customHeight="1">
      <c r="L422" s="7"/>
      <c r="Q422" s="7"/>
      <c r="S422" s="7"/>
      <c r="U422" s="7"/>
      <c r="W422" s="7"/>
      <c r="Y422" s="7"/>
    </row>
    <row r="423" ht="24.75" customHeight="1">
      <c r="L423" s="7"/>
      <c r="Q423" s="7"/>
      <c r="S423" s="7"/>
      <c r="U423" s="7"/>
      <c r="W423" s="7"/>
      <c r="Y423" s="7"/>
    </row>
    <row r="424" ht="24.75" customHeight="1">
      <c r="L424" s="7"/>
      <c r="Q424" s="7"/>
      <c r="S424" s="7"/>
      <c r="U424" s="7"/>
      <c r="W424" s="7"/>
      <c r="Y424" s="7"/>
    </row>
    <row r="425" ht="24.75" customHeight="1">
      <c r="L425" s="7"/>
      <c r="Q425" s="7"/>
      <c r="S425" s="7"/>
      <c r="U425" s="7"/>
      <c r="W425" s="7"/>
      <c r="Y425" s="7"/>
    </row>
    <row r="426" ht="24.75" customHeight="1">
      <c r="L426" s="7"/>
      <c r="Q426" s="7"/>
      <c r="S426" s="7"/>
      <c r="U426" s="7"/>
      <c r="W426" s="7"/>
      <c r="Y426" s="7"/>
    </row>
    <row r="427" ht="24.75" customHeight="1">
      <c r="L427" s="7"/>
      <c r="Q427" s="7"/>
      <c r="S427" s="7"/>
      <c r="U427" s="7"/>
      <c r="W427" s="7"/>
      <c r="Y427" s="7"/>
    </row>
    <row r="428" ht="24.75" customHeight="1">
      <c r="L428" s="7"/>
      <c r="Q428" s="7"/>
      <c r="S428" s="7"/>
      <c r="U428" s="7"/>
      <c r="W428" s="7"/>
      <c r="Y428" s="7"/>
    </row>
    <row r="429" ht="24.75" customHeight="1">
      <c r="L429" s="7"/>
      <c r="Q429" s="7"/>
      <c r="S429" s="7"/>
      <c r="U429" s="7"/>
      <c r="W429" s="7"/>
      <c r="Y429" s="7"/>
    </row>
    <row r="430" ht="24.75" customHeight="1">
      <c r="L430" s="7"/>
      <c r="Q430" s="7"/>
      <c r="S430" s="7"/>
      <c r="U430" s="7"/>
      <c r="W430" s="7"/>
      <c r="Y430" s="7"/>
    </row>
    <row r="431" ht="24.75" customHeight="1">
      <c r="L431" s="7"/>
      <c r="Q431" s="7"/>
      <c r="S431" s="7"/>
      <c r="U431" s="7"/>
      <c r="W431" s="7"/>
      <c r="Y431" s="7"/>
    </row>
    <row r="432" ht="24.75" customHeight="1">
      <c r="L432" s="7"/>
      <c r="Q432" s="7"/>
      <c r="S432" s="7"/>
      <c r="U432" s="7"/>
      <c r="W432" s="7"/>
      <c r="Y432" s="7"/>
    </row>
    <row r="433" ht="24.75" customHeight="1">
      <c r="L433" s="7"/>
      <c r="Q433" s="7"/>
      <c r="S433" s="7"/>
      <c r="U433" s="7"/>
      <c r="W433" s="7"/>
      <c r="Y433" s="7"/>
    </row>
    <row r="434" ht="24.75" customHeight="1">
      <c r="L434" s="7"/>
      <c r="Q434" s="7"/>
      <c r="S434" s="7"/>
      <c r="U434" s="7"/>
      <c r="W434" s="7"/>
      <c r="Y434" s="7"/>
    </row>
    <row r="435" ht="24.75" customHeight="1">
      <c r="L435" s="7"/>
      <c r="Q435" s="7"/>
      <c r="S435" s="7"/>
      <c r="U435" s="7"/>
      <c r="W435" s="7"/>
      <c r="Y435" s="7"/>
    </row>
    <row r="436" ht="24.75" customHeight="1">
      <c r="L436" s="7"/>
      <c r="Q436" s="7"/>
      <c r="S436" s="7"/>
      <c r="U436" s="7"/>
      <c r="W436" s="7"/>
      <c r="Y436" s="7"/>
    </row>
    <row r="437" ht="24.75" customHeight="1">
      <c r="L437" s="7"/>
      <c r="Q437" s="7"/>
      <c r="S437" s="7"/>
      <c r="U437" s="7"/>
      <c r="W437" s="7"/>
      <c r="Y437" s="7"/>
    </row>
    <row r="438" ht="24.75" customHeight="1">
      <c r="L438" s="7"/>
      <c r="Q438" s="7"/>
      <c r="S438" s="7"/>
      <c r="U438" s="7"/>
      <c r="W438" s="7"/>
      <c r="Y438" s="7"/>
    </row>
    <row r="439" ht="24.75" customHeight="1">
      <c r="L439" s="7"/>
      <c r="Q439" s="7"/>
      <c r="S439" s="7"/>
      <c r="U439" s="7"/>
      <c r="W439" s="7"/>
      <c r="Y439" s="7"/>
    </row>
    <row r="440" ht="24.75" customHeight="1">
      <c r="L440" s="7"/>
      <c r="Q440" s="7"/>
      <c r="S440" s="7"/>
      <c r="U440" s="7"/>
      <c r="W440" s="7"/>
      <c r="Y440" s="7"/>
    </row>
    <row r="441" ht="24.75" customHeight="1">
      <c r="L441" s="7"/>
      <c r="Q441" s="7"/>
      <c r="S441" s="7"/>
      <c r="U441" s="7"/>
      <c r="W441" s="7"/>
      <c r="Y441" s="7"/>
    </row>
    <row r="442" ht="24.75" customHeight="1">
      <c r="L442" s="7"/>
      <c r="Q442" s="7"/>
      <c r="S442" s="7"/>
      <c r="U442" s="7"/>
      <c r="W442" s="7"/>
      <c r="Y442" s="7"/>
    </row>
    <row r="443" ht="24.75" customHeight="1">
      <c r="L443" s="7"/>
      <c r="Q443" s="7"/>
      <c r="S443" s="7"/>
      <c r="U443" s="7"/>
      <c r="W443" s="7"/>
      <c r="Y443" s="7"/>
    </row>
    <row r="444" ht="24.75" customHeight="1">
      <c r="L444" s="7"/>
      <c r="Q444" s="7"/>
      <c r="S444" s="7"/>
      <c r="U444" s="7"/>
      <c r="W444" s="7"/>
      <c r="Y444" s="7"/>
    </row>
    <row r="445" ht="24.75" customHeight="1">
      <c r="L445" s="7"/>
      <c r="Q445" s="7"/>
      <c r="S445" s="7"/>
      <c r="U445" s="7"/>
      <c r="W445" s="7"/>
      <c r="Y445" s="7"/>
    </row>
    <row r="446" ht="24.75" customHeight="1">
      <c r="L446" s="7"/>
      <c r="Q446" s="7"/>
      <c r="S446" s="7"/>
      <c r="U446" s="7"/>
      <c r="W446" s="7"/>
      <c r="Y446" s="7"/>
    </row>
    <row r="447" ht="24.75" customHeight="1">
      <c r="L447" s="7"/>
      <c r="Q447" s="7"/>
      <c r="S447" s="7"/>
      <c r="U447" s="7"/>
      <c r="W447" s="7"/>
      <c r="Y447" s="7"/>
    </row>
    <row r="448" ht="24.75" customHeight="1">
      <c r="L448" s="7"/>
      <c r="Q448" s="7"/>
      <c r="S448" s="7"/>
      <c r="U448" s="7"/>
      <c r="W448" s="7"/>
      <c r="Y448" s="7"/>
    </row>
    <row r="449" ht="24.75" customHeight="1">
      <c r="L449" s="7"/>
      <c r="Q449" s="7"/>
      <c r="S449" s="7"/>
      <c r="U449" s="7"/>
      <c r="W449" s="7"/>
      <c r="Y449" s="7"/>
    </row>
    <row r="450" ht="24.75" customHeight="1">
      <c r="L450" s="7"/>
      <c r="Q450" s="7"/>
      <c r="S450" s="7"/>
      <c r="U450" s="7"/>
      <c r="W450" s="7"/>
      <c r="Y450" s="7"/>
    </row>
    <row r="451" ht="24.75" customHeight="1">
      <c r="L451" s="7"/>
      <c r="Q451" s="7"/>
      <c r="S451" s="7"/>
      <c r="U451" s="7"/>
      <c r="W451" s="7"/>
      <c r="Y451" s="7"/>
    </row>
    <row r="452" ht="24.75" customHeight="1">
      <c r="L452" s="7"/>
      <c r="Q452" s="7"/>
      <c r="S452" s="7"/>
      <c r="U452" s="7"/>
      <c r="W452" s="7"/>
      <c r="Y452" s="7"/>
    </row>
    <row r="453" ht="24.75" customHeight="1">
      <c r="L453" s="7"/>
      <c r="Q453" s="7"/>
      <c r="S453" s="7"/>
      <c r="U453" s="7"/>
      <c r="W453" s="7"/>
      <c r="Y453" s="7"/>
    </row>
    <row r="454" ht="24.75" customHeight="1">
      <c r="L454" s="7"/>
      <c r="Q454" s="7"/>
      <c r="S454" s="7"/>
      <c r="U454" s="7"/>
      <c r="W454" s="7"/>
      <c r="Y454" s="7"/>
    </row>
    <row r="455" ht="24.75" customHeight="1">
      <c r="L455" s="7"/>
      <c r="Q455" s="7"/>
      <c r="S455" s="7"/>
      <c r="U455" s="7"/>
      <c r="W455" s="7"/>
      <c r="Y455" s="7"/>
    </row>
    <row r="456" ht="24.75" customHeight="1">
      <c r="L456" s="7"/>
      <c r="Q456" s="7"/>
      <c r="S456" s="7"/>
      <c r="U456" s="7"/>
      <c r="W456" s="7"/>
      <c r="Y456" s="7"/>
    </row>
    <row r="457" ht="24.75" customHeight="1">
      <c r="L457" s="7"/>
      <c r="Q457" s="7"/>
      <c r="S457" s="7"/>
      <c r="U457" s="7"/>
      <c r="W457" s="7"/>
      <c r="Y457" s="7"/>
    </row>
    <row r="458" ht="24.75" customHeight="1">
      <c r="L458" s="7"/>
      <c r="Q458" s="7"/>
      <c r="S458" s="7"/>
      <c r="U458" s="7"/>
      <c r="W458" s="7"/>
      <c r="Y458" s="7"/>
    </row>
    <row r="459" ht="24.75" customHeight="1">
      <c r="L459" s="7"/>
      <c r="Q459" s="7"/>
      <c r="S459" s="7"/>
      <c r="U459" s="7"/>
      <c r="W459" s="7"/>
      <c r="Y459" s="7"/>
    </row>
    <row r="460" ht="24.75" customHeight="1">
      <c r="L460" s="7"/>
      <c r="Q460" s="7"/>
      <c r="S460" s="7"/>
      <c r="U460" s="7"/>
      <c r="W460" s="7"/>
      <c r="Y460" s="7"/>
    </row>
    <row r="461" ht="24.75" customHeight="1">
      <c r="L461" s="7"/>
      <c r="Q461" s="7"/>
      <c r="S461" s="7"/>
      <c r="U461" s="7"/>
      <c r="W461" s="7"/>
      <c r="Y461" s="7"/>
    </row>
    <row r="462" ht="24.75" customHeight="1">
      <c r="L462" s="7"/>
      <c r="Q462" s="7"/>
      <c r="S462" s="7"/>
      <c r="U462" s="7"/>
      <c r="W462" s="7"/>
      <c r="Y462" s="7"/>
    </row>
    <row r="463" ht="24.75" customHeight="1">
      <c r="L463" s="7"/>
      <c r="Q463" s="7"/>
      <c r="S463" s="7"/>
      <c r="U463" s="7"/>
      <c r="W463" s="7"/>
      <c r="Y463" s="7"/>
    </row>
    <row r="464" ht="24.75" customHeight="1">
      <c r="L464" s="7"/>
      <c r="Q464" s="7"/>
      <c r="S464" s="7"/>
      <c r="U464" s="7"/>
      <c r="W464" s="7"/>
      <c r="Y464" s="7"/>
    </row>
    <row r="465" ht="24.75" customHeight="1">
      <c r="L465" s="7"/>
      <c r="Q465" s="7"/>
      <c r="S465" s="7"/>
      <c r="U465" s="7"/>
      <c r="W465" s="7"/>
      <c r="Y465" s="7"/>
    </row>
    <row r="466" ht="24.75" customHeight="1">
      <c r="L466" s="7"/>
      <c r="Q466" s="7"/>
      <c r="S466" s="7"/>
      <c r="U466" s="7"/>
      <c r="W466" s="7"/>
      <c r="Y466" s="7"/>
    </row>
    <row r="467" ht="24.75" customHeight="1">
      <c r="L467" s="7"/>
      <c r="Q467" s="7"/>
      <c r="S467" s="7"/>
      <c r="U467" s="7"/>
      <c r="W467" s="7"/>
      <c r="Y467" s="7"/>
    </row>
    <row r="468" ht="24.75" customHeight="1">
      <c r="L468" s="7"/>
      <c r="Q468" s="7"/>
      <c r="S468" s="7"/>
      <c r="U468" s="7"/>
      <c r="W468" s="7"/>
      <c r="Y468" s="7"/>
    </row>
    <row r="469" ht="24.75" customHeight="1">
      <c r="L469" s="7"/>
      <c r="Q469" s="7"/>
      <c r="S469" s="7"/>
      <c r="U469" s="7"/>
      <c r="W469" s="7"/>
      <c r="Y469" s="7"/>
    </row>
    <row r="470" ht="24.75" customHeight="1">
      <c r="L470" s="7"/>
      <c r="Q470" s="7"/>
      <c r="S470" s="7"/>
      <c r="U470" s="7"/>
      <c r="W470" s="7"/>
      <c r="Y470" s="7"/>
    </row>
    <row r="471" ht="24.75" customHeight="1">
      <c r="L471" s="7"/>
      <c r="Q471" s="7"/>
      <c r="S471" s="7"/>
      <c r="U471" s="7"/>
      <c r="W471" s="7"/>
      <c r="Y471" s="7"/>
    </row>
    <row r="472" ht="24.75" customHeight="1">
      <c r="L472" s="7"/>
      <c r="Q472" s="7"/>
      <c r="S472" s="7"/>
      <c r="U472" s="7"/>
      <c r="W472" s="7"/>
      <c r="Y472" s="7"/>
    </row>
    <row r="473" ht="24.75" customHeight="1">
      <c r="L473" s="7"/>
      <c r="Q473" s="7"/>
      <c r="S473" s="7"/>
      <c r="U473" s="7"/>
      <c r="W473" s="7"/>
      <c r="Y473" s="7"/>
    </row>
    <row r="474" ht="24.75" customHeight="1">
      <c r="L474" s="7"/>
      <c r="Q474" s="7"/>
      <c r="S474" s="7"/>
      <c r="U474" s="7"/>
      <c r="W474" s="7"/>
      <c r="Y474" s="7"/>
    </row>
    <row r="475" ht="24.75" customHeight="1">
      <c r="L475" s="7"/>
      <c r="Q475" s="7"/>
      <c r="S475" s="7"/>
      <c r="U475" s="7"/>
      <c r="W475" s="7"/>
      <c r="Y475" s="7"/>
    </row>
    <row r="476" ht="24.75" customHeight="1">
      <c r="L476" s="7"/>
      <c r="Q476" s="7"/>
      <c r="S476" s="7"/>
      <c r="U476" s="7"/>
      <c r="W476" s="7"/>
      <c r="Y476" s="7"/>
    </row>
    <row r="477" ht="24.75" customHeight="1">
      <c r="L477" s="7"/>
      <c r="Q477" s="7"/>
      <c r="S477" s="7"/>
      <c r="U477" s="7"/>
      <c r="W477" s="7"/>
      <c r="Y477" s="7"/>
    </row>
    <row r="478" ht="24.75" customHeight="1">
      <c r="L478" s="7"/>
      <c r="Q478" s="7"/>
      <c r="S478" s="7"/>
      <c r="U478" s="7"/>
      <c r="W478" s="7"/>
      <c r="Y478" s="7"/>
    </row>
    <row r="479" ht="24.75" customHeight="1">
      <c r="L479" s="7"/>
      <c r="Q479" s="7"/>
      <c r="S479" s="7"/>
      <c r="U479" s="7"/>
      <c r="W479" s="7"/>
      <c r="Y479" s="7"/>
    </row>
    <row r="480" ht="24.75" customHeight="1">
      <c r="L480" s="7"/>
      <c r="Q480" s="7"/>
      <c r="S480" s="7"/>
      <c r="U480" s="7"/>
      <c r="W480" s="7"/>
      <c r="Y480" s="7"/>
    </row>
    <row r="481" ht="24.75" customHeight="1">
      <c r="L481" s="7"/>
      <c r="Q481" s="7"/>
      <c r="S481" s="7"/>
      <c r="U481" s="7"/>
      <c r="W481" s="7"/>
      <c r="Y481" s="7"/>
    </row>
    <row r="482" ht="24.75" customHeight="1">
      <c r="L482" s="7"/>
      <c r="Q482" s="7"/>
      <c r="S482" s="7"/>
      <c r="U482" s="7"/>
      <c r="W482" s="7"/>
      <c r="Y482" s="7"/>
    </row>
    <row r="483" ht="24.75" customHeight="1">
      <c r="L483" s="7"/>
      <c r="Q483" s="7"/>
      <c r="S483" s="7"/>
      <c r="U483" s="7"/>
      <c r="W483" s="7"/>
      <c r="Y483" s="7"/>
    </row>
    <row r="484" ht="24.75" customHeight="1">
      <c r="L484" s="7"/>
      <c r="Q484" s="7"/>
      <c r="S484" s="7"/>
      <c r="U484" s="7"/>
      <c r="W484" s="7"/>
      <c r="Y484" s="7"/>
    </row>
    <row r="485" ht="24.75" customHeight="1">
      <c r="L485" s="7"/>
      <c r="Q485" s="7"/>
      <c r="S485" s="7"/>
      <c r="U485" s="7"/>
      <c r="W485" s="7"/>
      <c r="Y485" s="7"/>
    </row>
    <row r="486" ht="24.75" customHeight="1">
      <c r="L486" s="7"/>
      <c r="Q486" s="7"/>
      <c r="S486" s="7"/>
      <c r="U486" s="7"/>
      <c r="W486" s="7"/>
      <c r="Y486" s="7"/>
    </row>
    <row r="487" ht="24.75" customHeight="1">
      <c r="L487" s="7"/>
      <c r="Q487" s="7"/>
      <c r="S487" s="7"/>
      <c r="U487" s="7"/>
      <c r="W487" s="7"/>
      <c r="Y487" s="7"/>
    </row>
    <row r="488" ht="24.75" customHeight="1">
      <c r="L488" s="7"/>
      <c r="Q488" s="7"/>
      <c r="S488" s="7"/>
      <c r="U488" s="7"/>
      <c r="W488" s="7"/>
      <c r="Y488" s="7"/>
    </row>
    <row r="489" ht="24.75" customHeight="1">
      <c r="L489" s="7"/>
      <c r="Q489" s="7"/>
      <c r="S489" s="7"/>
      <c r="U489" s="7"/>
      <c r="W489" s="7"/>
      <c r="Y489" s="7"/>
    </row>
    <row r="490" ht="24.75" customHeight="1">
      <c r="L490" s="7"/>
      <c r="Q490" s="7"/>
      <c r="S490" s="7"/>
      <c r="U490" s="7"/>
      <c r="W490" s="7"/>
      <c r="Y490" s="7"/>
    </row>
    <row r="491" ht="24.75" customHeight="1">
      <c r="L491" s="7"/>
      <c r="Q491" s="7"/>
      <c r="S491" s="7"/>
      <c r="U491" s="7"/>
      <c r="W491" s="7"/>
      <c r="Y491" s="7"/>
    </row>
    <row r="492" ht="24.75" customHeight="1">
      <c r="L492" s="7"/>
      <c r="Q492" s="7"/>
      <c r="S492" s="7"/>
      <c r="U492" s="7"/>
      <c r="W492" s="7"/>
      <c r="Y492" s="7"/>
    </row>
    <row r="493" ht="24.75" customHeight="1">
      <c r="L493" s="7"/>
      <c r="Q493" s="7"/>
      <c r="S493" s="7"/>
      <c r="U493" s="7"/>
      <c r="W493" s="7"/>
      <c r="Y493" s="7"/>
    </row>
    <row r="494" ht="24.75" customHeight="1">
      <c r="L494" s="7"/>
      <c r="Q494" s="7"/>
      <c r="S494" s="7"/>
      <c r="U494" s="7"/>
      <c r="W494" s="7"/>
      <c r="Y494" s="7"/>
    </row>
    <row r="495" ht="24.75" customHeight="1">
      <c r="L495" s="7"/>
      <c r="Q495" s="7"/>
      <c r="S495" s="7"/>
      <c r="U495" s="7"/>
      <c r="W495" s="7"/>
      <c r="Y495" s="7"/>
    </row>
    <row r="496" ht="24.75" customHeight="1">
      <c r="L496" s="7"/>
      <c r="Q496" s="7"/>
      <c r="S496" s="7"/>
      <c r="U496" s="7"/>
      <c r="W496" s="7"/>
      <c r="Y496" s="7"/>
    </row>
    <row r="497" ht="24.75" customHeight="1">
      <c r="L497" s="7"/>
      <c r="Q497" s="7"/>
      <c r="S497" s="7"/>
      <c r="U497" s="7"/>
      <c r="W497" s="7"/>
      <c r="Y497" s="7"/>
    </row>
    <row r="498" ht="24.75" customHeight="1">
      <c r="L498" s="7"/>
      <c r="Q498" s="7"/>
      <c r="S498" s="7"/>
      <c r="U498" s="7"/>
      <c r="W498" s="7"/>
      <c r="Y498" s="7"/>
    </row>
    <row r="499" ht="24.75" customHeight="1">
      <c r="L499" s="7"/>
      <c r="Q499" s="7"/>
      <c r="S499" s="7"/>
      <c r="U499" s="7"/>
      <c r="W499" s="7"/>
      <c r="Y499" s="7"/>
    </row>
    <row r="500" ht="24.75" customHeight="1">
      <c r="L500" s="7"/>
      <c r="Q500" s="7"/>
      <c r="S500" s="7"/>
      <c r="U500" s="7"/>
      <c r="W500" s="7"/>
      <c r="Y500" s="7"/>
    </row>
    <row r="501" ht="24.75" customHeight="1">
      <c r="L501" s="7"/>
      <c r="Q501" s="7"/>
      <c r="S501" s="7"/>
      <c r="U501" s="7"/>
      <c r="W501" s="7"/>
      <c r="Y501" s="7"/>
    </row>
    <row r="502" ht="24.75" customHeight="1">
      <c r="L502" s="7"/>
      <c r="Q502" s="7"/>
      <c r="S502" s="7"/>
      <c r="U502" s="7"/>
      <c r="W502" s="7"/>
      <c r="Y502" s="7"/>
    </row>
    <row r="503" ht="24.75" customHeight="1">
      <c r="L503" s="7"/>
      <c r="Q503" s="7"/>
      <c r="S503" s="7"/>
      <c r="U503" s="7"/>
      <c r="W503" s="7"/>
      <c r="Y503" s="7"/>
    </row>
    <row r="504" ht="24.75" customHeight="1">
      <c r="L504" s="7"/>
      <c r="Q504" s="7"/>
      <c r="S504" s="7"/>
      <c r="U504" s="7"/>
      <c r="W504" s="7"/>
      <c r="Y504" s="7"/>
    </row>
    <row r="505" ht="24.75" customHeight="1">
      <c r="L505" s="7"/>
      <c r="Q505" s="7"/>
      <c r="S505" s="7"/>
      <c r="U505" s="7"/>
      <c r="W505" s="7"/>
      <c r="Y505" s="7"/>
    </row>
    <row r="506" ht="24.75" customHeight="1">
      <c r="L506" s="7"/>
      <c r="Q506" s="7"/>
      <c r="S506" s="7"/>
      <c r="U506" s="7"/>
      <c r="W506" s="7"/>
      <c r="Y506" s="7"/>
    </row>
    <row r="507" ht="24.75" customHeight="1">
      <c r="L507" s="7"/>
      <c r="Q507" s="7"/>
      <c r="S507" s="7"/>
      <c r="U507" s="7"/>
      <c r="W507" s="7"/>
      <c r="Y507" s="7"/>
    </row>
    <row r="508" ht="24.75" customHeight="1">
      <c r="L508" s="7"/>
      <c r="Q508" s="7"/>
      <c r="S508" s="7"/>
      <c r="U508" s="7"/>
      <c r="W508" s="7"/>
      <c r="Y508" s="7"/>
    </row>
    <row r="509" ht="24.75" customHeight="1">
      <c r="L509" s="7"/>
      <c r="Q509" s="7"/>
      <c r="S509" s="7"/>
      <c r="U509" s="7"/>
      <c r="W509" s="7"/>
      <c r="Y509" s="7"/>
    </row>
    <row r="510" ht="24.75" customHeight="1">
      <c r="L510" s="7"/>
      <c r="Q510" s="7"/>
      <c r="S510" s="7"/>
      <c r="U510" s="7"/>
      <c r="W510" s="7"/>
      <c r="Y510" s="7"/>
    </row>
    <row r="511" ht="24.75" customHeight="1">
      <c r="L511" s="7"/>
      <c r="Q511" s="7"/>
      <c r="S511" s="7"/>
      <c r="U511" s="7"/>
      <c r="W511" s="7"/>
      <c r="Y511" s="7"/>
    </row>
    <row r="512" ht="24.75" customHeight="1">
      <c r="L512" s="7"/>
      <c r="Q512" s="7"/>
      <c r="S512" s="7"/>
      <c r="U512" s="7"/>
      <c r="W512" s="7"/>
      <c r="Y512" s="7"/>
    </row>
    <row r="513" ht="24.75" customHeight="1">
      <c r="L513" s="7"/>
      <c r="Q513" s="7"/>
      <c r="S513" s="7"/>
      <c r="U513" s="7"/>
      <c r="W513" s="7"/>
      <c r="Y513" s="7"/>
    </row>
    <row r="514" ht="24.75" customHeight="1">
      <c r="L514" s="7"/>
      <c r="Q514" s="7"/>
      <c r="S514" s="7"/>
      <c r="U514" s="7"/>
      <c r="W514" s="7"/>
      <c r="Y514" s="7"/>
    </row>
    <row r="515" ht="24.75" customHeight="1">
      <c r="L515" s="7"/>
      <c r="Q515" s="7"/>
      <c r="S515" s="7"/>
      <c r="U515" s="7"/>
      <c r="W515" s="7"/>
      <c r="Y515" s="7"/>
    </row>
    <row r="516" ht="24.75" customHeight="1">
      <c r="L516" s="7"/>
      <c r="Q516" s="7"/>
      <c r="S516" s="7"/>
      <c r="U516" s="7"/>
      <c r="W516" s="7"/>
      <c r="Y516" s="7"/>
    </row>
    <row r="517" ht="24.75" customHeight="1">
      <c r="L517" s="7"/>
      <c r="Q517" s="7"/>
      <c r="S517" s="7"/>
      <c r="U517" s="7"/>
      <c r="W517" s="7"/>
      <c r="Y517" s="7"/>
    </row>
    <row r="518" ht="24.75" customHeight="1">
      <c r="L518" s="7"/>
      <c r="Q518" s="7"/>
      <c r="S518" s="7"/>
      <c r="U518" s="7"/>
      <c r="W518" s="7"/>
      <c r="Y518" s="7"/>
    </row>
    <row r="519" ht="24.75" customHeight="1">
      <c r="L519" s="7"/>
      <c r="Q519" s="7"/>
      <c r="S519" s="7"/>
      <c r="U519" s="7"/>
      <c r="W519" s="7"/>
      <c r="Y519" s="7"/>
    </row>
    <row r="520" ht="24.75" customHeight="1">
      <c r="L520" s="7"/>
      <c r="Q520" s="7"/>
      <c r="S520" s="7"/>
      <c r="U520" s="7"/>
      <c r="W520" s="7"/>
      <c r="Y520" s="7"/>
    </row>
    <row r="521" ht="24.75" customHeight="1">
      <c r="L521" s="7"/>
      <c r="Q521" s="7"/>
      <c r="S521" s="7"/>
      <c r="U521" s="7"/>
      <c r="W521" s="7"/>
      <c r="Y521" s="7"/>
    </row>
    <row r="522" ht="24.75" customHeight="1">
      <c r="L522" s="7"/>
      <c r="Q522" s="7"/>
      <c r="S522" s="7"/>
      <c r="U522" s="7"/>
      <c r="W522" s="7"/>
      <c r="Y522" s="7"/>
    </row>
    <row r="523" ht="24.75" customHeight="1">
      <c r="L523" s="7"/>
      <c r="Q523" s="7"/>
      <c r="S523" s="7"/>
      <c r="U523" s="7"/>
      <c r="W523" s="7"/>
      <c r="Y523" s="7"/>
    </row>
    <row r="524" ht="24.75" customHeight="1">
      <c r="L524" s="7"/>
      <c r="Q524" s="7"/>
      <c r="S524" s="7"/>
      <c r="U524" s="7"/>
      <c r="W524" s="7"/>
      <c r="Y524" s="7"/>
    </row>
    <row r="525" ht="24.75" customHeight="1">
      <c r="L525" s="7"/>
      <c r="Q525" s="7"/>
      <c r="S525" s="7"/>
      <c r="U525" s="7"/>
      <c r="W525" s="7"/>
      <c r="Y525" s="7"/>
    </row>
    <row r="526" ht="24.75" customHeight="1">
      <c r="L526" s="7"/>
      <c r="Q526" s="7"/>
      <c r="S526" s="7"/>
      <c r="U526" s="7"/>
      <c r="W526" s="7"/>
      <c r="Y526" s="7"/>
    </row>
    <row r="527" ht="24.75" customHeight="1">
      <c r="L527" s="7"/>
      <c r="Q527" s="7"/>
      <c r="S527" s="7"/>
      <c r="U527" s="7"/>
      <c r="W527" s="7"/>
      <c r="Y527" s="7"/>
    </row>
    <row r="528" ht="24.75" customHeight="1">
      <c r="L528" s="7"/>
      <c r="Q528" s="7"/>
      <c r="S528" s="7"/>
      <c r="U528" s="7"/>
      <c r="W528" s="7"/>
      <c r="Y528" s="7"/>
    </row>
    <row r="529" ht="24.75" customHeight="1">
      <c r="L529" s="7"/>
      <c r="Q529" s="7"/>
      <c r="S529" s="7"/>
      <c r="U529" s="7"/>
      <c r="W529" s="7"/>
      <c r="Y529" s="7"/>
    </row>
    <row r="530" ht="24.75" customHeight="1">
      <c r="L530" s="7"/>
      <c r="Q530" s="7"/>
      <c r="S530" s="7"/>
      <c r="U530" s="7"/>
      <c r="W530" s="7"/>
      <c r="Y530" s="7"/>
    </row>
    <row r="531" ht="24.75" customHeight="1">
      <c r="L531" s="7"/>
      <c r="Q531" s="7"/>
      <c r="S531" s="7"/>
      <c r="U531" s="7"/>
      <c r="W531" s="7"/>
      <c r="Y531" s="7"/>
    </row>
    <row r="532" ht="24.75" customHeight="1">
      <c r="L532" s="7"/>
      <c r="Q532" s="7"/>
      <c r="S532" s="7"/>
      <c r="U532" s="7"/>
      <c r="W532" s="7"/>
      <c r="Y532" s="7"/>
    </row>
    <row r="533" ht="24.75" customHeight="1">
      <c r="L533" s="7"/>
      <c r="Q533" s="7"/>
      <c r="S533" s="7"/>
      <c r="U533" s="7"/>
      <c r="W533" s="7"/>
      <c r="Y533" s="7"/>
    </row>
    <row r="534" ht="24.75" customHeight="1">
      <c r="L534" s="7"/>
      <c r="Q534" s="7"/>
      <c r="S534" s="7"/>
      <c r="U534" s="7"/>
      <c r="W534" s="7"/>
      <c r="Y534" s="7"/>
    </row>
    <row r="535" ht="24.75" customHeight="1">
      <c r="L535" s="7"/>
      <c r="Q535" s="7"/>
      <c r="S535" s="7"/>
      <c r="U535" s="7"/>
      <c r="W535" s="7"/>
      <c r="Y535" s="7"/>
    </row>
    <row r="536" ht="24.75" customHeight="1">
      <c r="L536" s="7"/>
      <c r="Q536" s="7"/>
      <c r="S536" s="7"/>
      <c r="U536" s="7"/>
      <c r="W536" s="7"/>
      <c r="Y536" s="7"/>
    </row>
    <row r="537" ht="24.75" customHeight="1">
      <c r="L537" s="7"/>
      <c r="Q537" s="7"/>
      <c r="S537" s="7"/>
      <c r="U537" s="7"/>
      <c r="W537" s="7"/>
      <c r="Y537" s="7"/>
    </row>
    <row r="538" ht="24.75" customHeight="1">
      <c r="L538" s="7"/>
      <c r="Q538" s="7"/>
      <c r="S538" s="7"/>
      <c r="U538" s="7"/>
      <c r="W538" s="7"/>
      <c r="Y538" s="7"/>
    </row>
    <row r="539" ht="24.75" customHeight="1">
      <c r="L539" s="7"/>
      <c r="Q539" s="7"/>
      <c r="S539" s="7"/>
      <c r="U539" s="7"/>
      <c r="W539" s="7"/>
      <c r="Y539" s="7"/>
    </row>
    <row r="540" ht="24.75" customHeight="1">
      <c r="L540" s="7"/>
      <c r="Q540" s="7"/>
      <c r="S540" s="7"/>
      <c r="U540" s="7"/>
      <c r="W540" s="7"/>
      <c r="Y540" s="7"/>
    </row>
    <row r="541" ht="24.75" customHeight="1">
      <c r="L541" s="7"/>
      <c r="Q541" s="7"/>
      <c r="S541" s="7"/>
      <c r="U541" s="7"/>
      <c r="W541" s="7"/>
      <c r="Y541" s="7"/>
    </row>
    <row r="542" ht="24.75" customHeight="1">
      <c r="L542" s="7"/>
      <c r="Q542" s="7"/>
      <c r="S542" s="7"/>
      <c r="U542" s="7"/>
      <c r="W542" s="7"/>
      <c r="Y542" s="7"/>
    </row>
    <row r="543" ht="24.75" customHeight="1">
      <c r="L543" s="7"/>
      <c r="Q543" s="7"/>
      <c r="S543" s="7"/>
      <c r="U543" s="7"/>
      <c r="W543" s="7"/>
      <c r="Y543" s="7"/>
    </row>
    <row r="544" ht="24.75" customHeight="1">
      <c r="L544" s="7"/>
      <c r="Q544" s="7"/>
      <c r="S544" s="7"/>
      <c r="U544" s="7"/>
      <c r="W544" s="7"/>
      <c r="Y544" s="7"/>
    </row>
    <row r="545" ht="24.75" customHeight="1">
      <c r="L545" s="7"/>
      <c r="Q545" s="7"/>
      <c r="S545" s="7"/>
      <c r="U545" s="7"/>
      <c r="W545" s="7"/>
      <c r="Y545" s="7"/>
    </row>
    <row r="546" ht="24.75" customHeight="1">
      <c r="L546" s="7"/>
      <c r="Q546" s="7"/>
      <c r="S546" s="7"/>
      <c r="U546" s="7"/>
      <c r="W546" s="7"/>
      <c r="Y546" s="7"/>
    </row>
    <row r="547" ht="24.75" customHeight="1">
      <c r="L547" s="7"/>
      <c r="Q547" s="7"/>
      <c r="S547" s="7"/>
      <c r="U547" s="7"/>
      <c r="W547" s="7"/>
      <c r="Y547" s="7"/>
    </row>
    <row r="548" ht="24.75" customHeight="1">
      <c r="L548" s="7"/>
      <c r="Q548" s="7"/>
      <c r="S548" s="7"/>
      <c r="U548" s="7"/>
      <c r="W548" s="7"/>
      <c r="Y548" s="7"/>
    </row>
    <row r="549" ht="24.75" customHeight="1">
      <c r="L549" s="7"/>
      <c r="Q549" s="7"/>
      <c r="S549" s="7"/>
      <c r="U549" s="7"/>
      <c r="W549" s="7"/>
      <c r="Y549" s="7"/>
    </row>
    <row r="550" ht="24.75" customHeight="1">
      <c r="L550" s="7"/>
      <c r="Q550" s="7"/>
      <c r="S550" s="7"/>
      <c r="U550" s="7"/>
      <c r="W550" s="7"/>
      <c r="Y550" s="7"/>
    </row>
    <row r="551" ht="24.75" customHeight="1">
      <c r="L551" s="7"/>
      <c r="Q551" s="7"/>
      <c r="S551" s="7"/>
      <c r="U551" s="7"/>
      <c r="W551" s="7"/>
      <c r="Y551" s="7"/>
    </row>
    <row r="552" ht="24.75" customHeight="1">
      <c r="L552" s="7"/>
      <c r="Q552" s="7"/>
      <c r="S552" s="7"/>
      <c r="U552" s="7"/>
      <c r="W552" s="7"/>
      <c r="Y552" s="7"/>
    </row>
    <row r="553" ht="24.75" customHeight="1">
      <c r="L553" s="7"/>
      <c r="Q553" s="7"/>
      <c r="S553" s="7"/>
      <c r="U553" s="7"/>
      <c r="W553" s="7"/>
      <c r="Y553" s="7"/>
    </row>
    <row r="554" ht="24.75" customHeight="1">
      <c r="L554" s="7"/>
      <c r="Q554" s="7"/>
      <c r="S554" s="7"/>
      <c r="U554" s="7"/>
      <c r="W554" s="7"/>
      <c r="Y554" s="7"/>
    </row>
    <row r="555" ht="24.75" customHeight="1">
      <c r="L555" s="7"/>
      <c r="Q555" s="7"/>
      <c r="S555" s="7"/>
      <c r="U555" s="7"/>
      <c r="W555" s="7"/>
      <c r="Y555" s="7"/>
    </row>
    <row r="556" ht="24.75" customHeight="1">
      <c r="L556" s="7"/>
      <c r="Q556" s="7"/>
      <c r="S556" s="7"/>
      <c r="U556" s="7"/>
      <c r="W556" s="7"/>
      <c r="Y556" s="7"/>
    </row>
    <row r="557" ht="24.75" customHeight="1">
      <c r="L557" s="7"/>
      <c r="Q557" s="7"/>
      <c r="S557" s="7"/>
      <c r="U557" s="7"/>
      <c r="W557" s="7"/>
      <c r="Y557" s="7"/>
    </row>
    <row r="558" ht="24.75" customHeight="1">
      <c r="L558" s="7"/>
      <c r="Q558" s="7"/>
      <c r="S558" s="7"/>
      <c r="U558" s="7"/>
      <c r="W558" s="7"/>
      <c r="Y558" s="7"/>
    </row>
    <row r="559" ht="24.75" customHeight="1">
      <c r="L559" s="7"/>
      <c r="Q559" s="7"/>
      <c r="S559" s="7"/>
      <c r="U559" s="7"/>
      <c r="W559" s="7"/>
      <c r="Y559" s="7"/>
    </row>
    <row r="560" ht="24.75" customHeight="1">
      <c r="L560" s="7"/>
      <c r="Q560" s="7"/>
      <c r="S560" s="7"/>
      <c r="U560" s="7"/>
      <c r="W560" s="7"/>
      <c r="Y560" s="7"/>
    </row>
    <row r="561" ht="24.75" customHeight="1">
      <c r="L561" s="7"/>
      <c r="Q561" s="7"/>
      <c r="S561" s="7"/>
      <c r="U561" s="7"/>
      <c r="W561" s="7"/>
      <c r="Y561" s="7"/>
    </row>
    <row r="562" ht="24.75" customHeight="1">
      <c r="L562" s="7"/>
      <c r="Q562" s="7"/>
      <c r="S562" s="7"/>
      <c r="U562" s="7"/>
      <c r="W562" s="7"/>
      <c r="Y562" s="7"/>
    </row>
    <row r="563" ht="24.75" customHeight="1">
      <c r="L563" s="7"/>
      <c r="Q563" s="7"/>
      <c r="S563" s="7"/>
      <c r="U563" s="7"/>
      <c r="W563" s="7"/>
      <c r="Y563" s="7"/>
    </row>
    <row r="564" ht="24.75" customHeight="1">
      <c r="L564" s="7"/>
      <c r="Q564" s="7"/>
      <c r="S564" s="7"/>
      <c r="U564" s="7"/>
      <c r="W564" s="7"/>
      <c r="Y564" s="7"/>
    </row>
    <row r="565" ht="24.75" customHeight="1">
      <c r="L565" s="7"/>
      <c r="Q565" s="7"/>
      <c r="S565" s="7"/>
      <c r="U565" s="7"/>
      <c r="W565" s="7"/>
      <c r="Y565" s="7"/>
    </row>
    <row r="566" ht="24.75" customHeight="1">
      <c r="L566" s="7"/>
      <c r="Q566" s="7"/>
      <c r="S566" s="7"/>
      <c r="U566" s="7"/>
      <c r="W566" s="7"/>
      <c r="Y566" s="7"/>
    </row>
    <row r="567" ht="24.75" customHeight="1">
      <c r="L567" s="7"/>
      <c r="Q567" s="7"/>
      <c r="S567" s="7"/>
      <c r="U567" s="7"/>
      <c r="W567" s="7"/>
      <c r="Y567" s="7"/>
    </row>
    <row r="568" ht="24.75" customHeight="1">
      <c r="L568" s="7"/>
      <c r="Q568" s="7"/>
      <c r="S568" s="7"/>
      <c r="U568" s="7"/>
      <c r="W568" s="7"/>
      <c r="Y568" s="7"/>
    </row>
    <row r="569" ht="24.75" customHeight="1">
      <c r="L569" s="7"/>
      <c r="Q569" s="7"/>
      <c r="S569" s="7"/>
      <c r="U569" s="7"/>
      <c r="W569" s="7"/>
      <c r="Y569" s="7"/>
    </row>
    <row r="570" ht="24.75" customHeight="1">
      <c r="L570" s="7"/>
      <c r="Q570" s="7"/>
      <c r="S570" s="7"/>
      <c r="U570" s="7"/>
      <c r="W570" s="7"/>
      <c r="Y570" s="7"/>
    </row>
    <row r="571" ht="24.75" customHeight="1">
      <c r="L571" s="7"/>
      <c r="Q571" s="7"/>
      <c r="S571" s="7"/>
      <c r="U571" s="7"/>
      <c r="W571" s="7"/>
      <c r="Y571" s="7"/>
    </row>
    <row r="572" ht="24.75" customHeight="1">
      <c r="L572" s="7"/>
      <c r="Q572" s="7"/>
      <c r="S572" s="7"/>
      <c r="U572" s="7"/>
      <c r="W572" s="7"/>
      <c r="Y572" s="7"/>
    </row>
    <row r="573" ht="24.75" customHeight="1">
      <c r="L573" s="7"/>
      <c r="Q573" s="7"/>
      <c r="S573" s="7"/>
      <c r="U573" s="7"/>
      <c r="W573" s="7"/>
      <c r="Y573" s="7"/>
    </row>
    <row r="574" ht="24.75" customHeight="1">
      <c r="L574" s="7"/>
      <c r="Q574" s="7"/>
      <c r="S574" s="7"/>
      <c r="U574" s="7"/>
      <c r="W574" s="7"/>
      <c r="Y574" s="7"/>
    </row>
    <row r="575" ht="24.75" customHeight="1">
      <c r="L575" s="7"/>
      <c r="Q575" s="7"/>
      <c r="S575" s="7"/>
      <c r="U575" s="7"/>
      <c r="W575" s="7"/>
      <c r="Y575" s="7"/>
    </row>
    <row r="576" ht="24.75" customHeight="1">
      <c r="L576" s="7"/>
      <c r="Q576" s="7"/>
      <c r="S576" s="7"/>
      <c r="U576" s="7"/>
      <c r="W576" s="7"/>
      <c r="Y576" s="7"/>
    </row>
    <row r="577" ht="24.75" customHeight="1">
      <c r="L577" s="7"/>
      <c r="Q577" s="7"/>
      <c r="S577" s="7"/>
      <c r="U577" s="7"/>
      <c r="W577" s="7"/>
      <c r="Y577" s="7"/>
    </row>
    <row r="578" ht="24.75" customHeight="1">
      <c r="L578" s="7"/>
      <c r="Q578" s="7"/>
      <c r="S578" s="7"/>
      <c r="U578" s="7"/>
      <c r="W578" s="7"/>
      <c r="Y578" s="7"/>
    </row>
    <row r="579" ht="24.75" customHeight="1">
      <c r="L579" s="7"/>
      <c r="Q579" s="7"/>
      <c r="S579" s="7"/>
      <c r="U579" s="7"/>
      <c r="W579" s="7"/>
      <c r="Y579" s="7"/>
    </row>
    <row r="580" ht="24.75" customHeight="1">
      <c r="L580" s="7"/>
      <c r="Q580" s="7"/>
      <c r="S580" s="7"/>
      <c r="U580" s="7"/>
      <c r="W580" s="7"/>
      <c r="Y580" s="7"/>
    </row>
    <row r="581" ht="24.75" customHeight="1">
      <c r="L581" s="7"/>
      <c r="Q581" s="7"/>
      <c r="S581" s="7"/>
      <c r="U581" s="7"/>
      <c r="W581" s="7"/>
      <c r="Y581" s="7"/>
    </row>
    <row r="582" ht="24.75" customHeight="1">
      <c r="L582" s="7"/>
      <c r="Q582" s="7"/>
      <c r="S582" s="7"/>
      <c r="U582" s="7"/>
      <c r="W582" s="7"/>
      <c r="Y582" s="7"/>
    </row>
    <row r="583" ht="24.75" customHeight="1">
      <c r="L583" s="7"/>
      <c r="Q583" s="7"/>
      <c r="S583" s="7"/>
      <c r="U583" s="7"/>
      <c r="W583" s="7"/>
      <c r="Y583" s="7"/>
    </row>
    <row r="584" ht="24.75" customHeight="1">
      <c r="L584" s="7"/>
      <c r="Q584" s="7"/>
      <c r="S584" s="7"/>
      <c r="U584" s="7"/>
      <c r="W584" s="7"/>
      <c r="Y584" s="7"/>
    </row>
    <row r="585" ht="24.75" customHeight="1">
      <c r="L585" s="7"/>
      <c r="Q585" s="7"/>
      <c r="S585" s="7"/>
      <c r="U585" s="7"/>
      <c r="W585" s="7"/>
      <c r="Y585" s="7"/>
    </row>
    <row r="586" ht="24.75" customHeight="1">
      <c r="L586" s="7"/>
      <c r="Q586" s="7"/>
      <c r="S586" s="7"/>
      <c r="U586" s="7"/>
      <c r="W586" s="7"/>
      <c r="Y586" s="7"/>
    </row>
    <row r="587" ht="24.75" customHeight="1">
      <c r="L587" s="7"/>
      <c r="Q587" s="7"/>
      <c r="S587" s="7"/>
      <c r="U587" s="7"/>
      <c r="W587" s="7"/>
      <c r="Y587" s="7"/>
    </row>
    <row r="588" ht="24.75" customHeight="1">
      <c r="L588" s="7"/>
      <c r="Q588" s="7"/>
      <c r="S588" s="7"/>
      <c r="U588" s="7"/>
      <c r="W588" s="7"/>
      <c r="Y588" s="7"/>
    </row>
    <row r="589" ht="24.75" customHeight="1">
      <c r="L589" s="7"/>
      <c r="Q589" s="7"/>
      <c r="S589" s="7"/>
      <c r="U589" s="7"/>
      <c r="W589" s="7"/>
      <c r="Y589" s="7"/>
    </row>
    <row r="590" ht="24.75" customHeight="1">
      <c r="L590" s="7"/>
      <c r="Q590" s="7"/>
      <c r="S590" s="7"/>
      <c r="U590" s="7"/>
      <c r="W590" s="7"/>
      <c r="Y590" s="7"/>
    </row>
    <row r="591" ht="24.75" customHeight="1">
      <c r="L591" s="7"/>
      <c r="Q591" s="7"/>
      <c r="S591" s="7"/>
      <c r="U591" s="7"/>
      <c r="W591" s="7"/>
      <c r="Y591" s="7"/>
    </row>
    <row r="592" ht="24.75" customHeight="1">
      <c r="L592" s="7"/>
      <c r="Q592" s="7"/>
      <c r="S592" s="7"/>
      <c r="U592" s="7"/>
      <c r="W592" s="7"/>
      <c r="Y592" s="7"/>
    </row>
    <row r="593" ht="24.75" customHeight="1">
      <c r="L593" s="7"/>
      <c r="Q593" s="7"/>
      <c r="S593" s="7"/>
      <c r="U593" s="7"/>
      <c r="W593" s="7"/>
      <c r="Y593" s="7"/>
    </row>
    <row r="594" ht="24.75" customHeight="1">
      <c r="L594" s="7"/>
      <c r="Q594" s="7"/>
      <c r="S594" s="7"/>
      <c r="U594" s="7"/>
      <c r="W594" s="7"/>
      <c r="Y594" s="7"/>
    </row>
    <row r="595" ht="24.75" customHeight="1">
      <c r="L595" s="7"/>
      <c r="Q595" s="7"/>
      <c r="S595" s="7"/>
      <c r="U595" s="7"/>
      <c r="W595" s="7"/>
      <c r="Y595" s="7"/>
    </row>
    <row r="596" ht="24.75" customHeight="1">
      <c r="L596" s="7"/>
      <c r="Q596" s="7"/>
      <c r="S596" s="7"/>
      <c r="U596" s="7"/>
      <c r="W596" s="7"/>
      <c r="Y596" s="7"/>
    </row>
    <row r="597" ht="24.75" customHeight="1">
      <c r="L597" s="7"/>
      <c r="Q597" s="7"/>
      <c r="S597" s="7"/>
      <c r="U597" s="7"/>
      <c r="W597" s="7"/>
      <c r="Y597" s="7"/>
    </row>
    <row r="598" ht="24.75" customHeight="1">
      <c r="L598" s="7"/>
      <c r="Q598" s="7"/>
      <c r="S598" s="7"/>
      <c r="U598" s="7"/>
      <c r="W598" s="7"/>
      <c r="Y598" s="7"/>
    </row>
    <row r="599" ht="24.75" customHeight="1">
      <c r="L599" s="7"/>
      <c r="Q599" s="7"/>
      <c r="S599" s="7"/>
      <c r="U599" s="7"/>
      <c r="W599" s="7"/>
      <c r="Y599" s="7"/>
    </row>
    <row r="600" ht="24.75" customHeight="1">
      <c r="L600" s="7"/>
      <c r="Q600" s="7"/>
      <c r="S600" s="7"/>
      <c r="U600" s="7"/>
      <c r="W600" s="7"/>
      <c r="Y600" s="7"/>
    </row>
    <row r="601" ht="24.75" customHeight="1">
      <c r="L601" s="7"/>
      <c r="Q601" s="7"/>
      <c r="S601" s="7"/>
      <c r="U601" s="7"/>
      <c r="W601" s="7"/>
      <c r="Y601" s="7"/>
    </row>
    <row r="602" ht="24.75" customHeight="1">
      <c r="L602" s="7"/>
      <c r="Q602" s="7"/>
      <c r="S602" s="7"/>
      <c r="U602" s="7"/>
      <c r="W602" s="7"/>
      <c r="Y602" s="7"/>
    </row>
    <row r="603" ht="24.75" customHeight="1">
      <c r="L603" s="7"/>
      <c r="Q603" s="7"/>
      <c r="S603" s="7"/>
      <c r="U603" s="7"/>
      <c r="W603" s="7"/>
      <c r="Y603" s="7"/>
    </row>
    <row r="604" ht="24.75" customHeight="1">
      <c r="L604" s="7"/>
      <c r="Q604" s="7"/>
      <c r="S604" s="7"/>
      <c r="U604" s="7"/>
      <c r="W604" s="7"/>
      <c r="Y604" s="7"/>
    </row>
    <row r="605" ht="24.75" customHeight="1">
      <c r="L605" s="7"/>
      <c r="Q605" s="7"/>
      <c r="S605" s="7"/>
      <c r="U605" s="7"/>
      <c r="W605" s="7"/>
      <c r="Y605" s="7"/>
    </row>
    <row r="606" ht="24.75" customHeight="1">
      <c r="L606" s="7"/>
      <c r="Q606" s="7"/>
      <c r="S606" s="7"/>
      <c r="U606" s="7"/>
      <c r="W606" s="7"/>
      <c r="Y606" s="7"/>
    </row>
    <row r="607" ht="24.75" customHeight="1">
      <c r="L607" s="7"/>
      <c r="Q607" s="7"/>
      <c r="S607" s="7"/>
      <c r="U607" s="7"/>
      <c r="W607" s="7"/>
      <c r="Y607" s="7"/>
    </row>
    <row r="608" ht="24.75" customHeight="1">
      <c r="L608" s="7"/>
      <c r="Q608" s="7"/>
      <c r="S608" s="7"/>
      <c r="U608" s="7"/>
      <c r="W608" s="7"/>
      <c r="Y608" s="7"/>
    </row>
    <row r="609" ht="24.75" customHeight="1">
      <c r="L609" s="7"/>
      <c r="Q609" s="7"/>
      <c r="S609" s="7"/>
      <c r="U609" s="7"/>
      <c r="W609" s="7"/>
      <c r="Y609" s="7"/>
    </row>
    <row r="610" ht="24.75" customHeight="1">
      <c r="L610" s="7"/>
      <c r="Q610" s="7"/>
      <c r="S610" s="7"/>
      <c r="U610" s="7"/>
      <c r="W610" s="7"/>
      <c r="Y610" s="7"/>
    </row>
    <row r="611" ht="24.75" customHeight="1">
      <c r="L611" s="7"/>
      <c r="Q611" s="7"/>
      <c r="S611" s="7"/>
      <c r="U611" s="7"/>
      <c r="W611" s="7"/>
      <c r="Y611" s="7"/>
    </row>
    <row r="612" ht="24.75" customHeight="1">
      <c r="L612" s="7"/>
      <c r="Q612" s="7"/>
      <c r="S612" s="7"/>
      <c r="U612" s="7"/>
      <c r="W612" s="7"/>
      <c r="Y612" s="7"/>
    </row>
    <row r="613" ht="24.75" customHeight="1">
      <c r="L613" s="7"/>
      <c r="Q613" s="7"/>
      <c r="S613" s="7"/>
      <c r="U613" s="7"/>
      <c r="W613" s="7"/>
      <c r="Y613" s="7"/>
    </row>
    <row r="614" ht="24.75" customHeight="1">
      <c r="L614" s="7"/>
      <c r="Q614" s="7"/>
      <c r="S614" s="7"/>
      <c r="U614" s="7"/>
      <c r="W614" s="7"/>
      <c r="Y614" s="7"/>
    </row>
    <row r="615" ht="24.75" customHeight="1">
      <c r="L615" s="7"/>
      <c r="Q615" s="7"/>
      <c r="S615" s="7"/>
      <c r="U615" s="7"/>
      <c r="W615" s="7"/>
      <c r="Y615" s="7"/>
    </row>
    <row r="616" ht="24.75" customHeight="1">
      <c r="L616" s="7"/>
      <c r="Q616" s="7"/>
      <c r="S616" s="7"/>
      <c r="U616" s="7"/>
      <c r="W616" s="7"/>
      <c r="Y616" s="7"/>
    </row>
    <row r="617" ht="24.75" customHeight="1">
      <c r="L617" s="7"/>
      <c r="Q617" s="7"/>
      <c r="S617" s="7"/>
      <c r="U617" s="7"/>
      <c r="W617" s="7"/>
      <c r="Y617" s="7"/>
    </row>
    <row r="618" ht="24.75" customHeight="1">
      <c r="L618" s="7"/>
      <c r="Q618" s="7"/>
      <c r="S618" s="7"/>
      <c r="U618" s="7"/>
      <c r="W618" s="7"/>
      <c r="Y618" s="7"/>
    </row>
    <row r="619" ht="24.75" customHeight="1">
      <c r="L619" s="7"/>
      <c r="Q619" s="7"/>
      <c r="S619" s="7"/>
      <c r="U619" s="7"/>
      <c r="W619" s="7"/>
      <c r="Y619" s="7"/>
    </row>
    <row r="620" ht="24.75" customHeight="1">
      <c r="L620" s="7"/>
      <c r="Q620" s="7"/>
      <c r="S620" s="7"/>
      <c r="U620" s="7"/>
      <c r="W620" s="7"/>
      <c r="Y620" s="7"/>
    </row>
    <row r="621" ht="24.75" customHeight="1">
      <c r="L621" s="7"/>
      <c r="Q621" s="7"/>
      <c r="S621" s="7"/>
      <c r="U621" s="7"/>
      <c r="W621" s="7"/>
      <c r="Y621" s="7"/>
    </row>
    <row r="622" ht="24.75" customHeight="1">
      <c r="L622" s="7"/>
      <c r="Q622" s="7"/>
      <c r="S622" s="7"/>
      <c r="U622" s="7"/>
      <c r="W622" s="7"/>
      <c r="Y622" s="7"/>
    </row>
    <row r="623" ht="24.75" customHeight="1">
      <c r="L623" s="7"/>
      <c r="Q623" s="7"/>
      <c r="S623" s="7"/>
      <c r="U623" s="7"/>
      <c r="W623" s="7"/>
      <c r="Y623" s="7"/>
    </row>
    <row r="624" ht="24.75" customHeight="1">
      <c r="L624" s="7"/>
      <c r="Q624" s="7"/>
      <c r="S624" s="7"/>
      <c r="U624" s="7"/>
      <c r="W624" s="7"/>
      <c r="Y624" s="7"/>
    </row>
    <row r="625" ht="24.75" customHeight="1">
      <c r="L625" s="7"/>
      <c r="Q625" s="7"/>
      <c r="S625" s="7"/>
      <c r="U625" s="7"/>
      <c r="W625" s="7"/>
      <c r="Y625" s="7"/>
    </row>
    <row r="626" ht="24.75" customHeight="1">
      <c r="L626" s="7"/>
      <c r="Q626" s="7"/>
      <c r="S626" s="7"/>
      <c r="U626" s="7"/>
      <c r="W626" s="7"/>
      <c r="Y626" s="7"/>
    </row>
    <row r="627" ht="24.75" customHeight="1">
      <c r="L627" s="7"/>
      <c r="Q627" s="7"/>
      <c r="S627" s="7"/>
      <c r="U627" s="7"/>
      <c r="W627" s="7"/>
      <c r="Y627" s="7"/>
    </row>
    <row r="628" ht="24.75" customHeight="1">
      <c r="L628" s="7"/>
      <c r="Q628" s="7"/>
      <c r="S628" s="7"/>
      <c r="U628" s="7"/>
      <c r="W628" s="7"/>
      <c r="Y628" s="7"/>
    </row>
    <row r="629" ht="24.75" customHeight="1">
      <c r="L629" s="7"/>
      <c r="Q629" s="7"/>
      <c r="S629" s="7"/>
      <c r="U629" s="7"/>
      <c r="W629" s="7"/>
      <c r="Y629" s="7"/>
    </row>
    <row r="630" ht="24.75" customHeight="1">
      <c r="L630" s="7"/>
      <c r="Q630" s="7"/>
      <c r="S630" s="7"/>
      <c r="U630" s="7"/>
      <c r="W630" s="7"/>
      <c r="Y630" s="7"/>
    </row>
    <row r="631" ht="24.75" customHeight="1">
      <c r="L631" s="7"/>
      <c r="Q631" s="7"/>
      <c r="S631" s="7"/>
      <c r="U631" s="7"/>
      <c r="W631" s="7"/>
      <c r="Y631" s="7"/>
    </row>
    <row r="632" ht="24.75" customHeight="1">
      <c r="L632" s="7"/>
      <c r="Q632" s="7"/>
      <c r="S632" s="7"/>
      <c r="U632" s="7"/>
      <c r="W632" s="7"/>
      <c r="Y632" s="7"/>
    </row>
    <row r="633" ht="24.75" customHeight="1">
      <c r="L633" s="7"/>
      <c r="Q633" s="7"/>
      <c r="S633" s="7"/>
      <c r="U633" s="7"/>
      <c r="W633" s="7"/>
      <c r="Y633" s="7"/>
    </row>
    <row r="634" ht="24.75" customHeight="1">
      <c r="L634" s="7"/>
      <c r="Q634" s="7"/>
      <c r="S634" s="7"/>
      <c r="U634" s="7"/>
      <c r="W634" s="7"/>
      <c r="Y634" s="7"/>
    </row>
    <row r="635" ht="24.75" customHeight="1">
      <c r="L635" s="7"/>
      <c r="Q635" s="7"/>
      <c r="S635" s="7"/>
      <c r="U635" s="7"/>
      <c r="W635" s="7"/>
      <c r="Y635" s="7"/>
    </row>
    <row r="636" ht="24.75" customHeight="1">
      <c r="L636" s="7"/>
      <c r="Q636" s="7"/>
      <c r="S636" s="7"/>
      <c r="U636" s="7"/>
      <c r="W636" s="7"/>
      <c r="Y636" s="7"/>
    </row>
    <row r="637" ht="24.75" customHeight="1">
      <c r="L637" s="7"/>
      <c r="Q637" s="7"/>
      <c r="S637" s="7"/>
      <c r="U637" s="7"/>
      <c r="W637" s="7"/>
      <c r="Y637" s="7"/>
    </row>
    <row r="638" ht="24.75" customHeight="1">
      <c r="L638" s="7"/>
      <c r="Q638" s="7"/>
      <c r="S638" s="7"/>
      <c r="U638" s="7"/>
      <c r="W638" s="7"/>
      <c r="Y638" s="7"/>
    </row>
    <row r="639" ht="24.75" customHeight="1">
      <c r="L639" s="7"/>
      <c r="Q639" s="7"/>
      <c r="S639" s="7"/>
      <c r="U639" s="7"/>
      <c r="W639" s="7"/>
      <c r="Y639" s="7"/>
    </row>
    <row r="640" ht="24.75" customHeight="1">
      <c r="L640" s="7"/>
      <c r="Q640" s="7"/>
      <c r="S640" s="7"/>
      <c r="U640" s="7"/>
      <c r="W640" s="7"/>
      <c r="Y640" s="7"/>
    </row>
    <row r="641" ht="24.75" customHeight="1">
      <c r="L641" s="7"/>
      <c r="Q641" s="7"/>
      <c r="S641" s="7"/>
      <c r="U641" s="7"/>
      <c r="W641" s="7"/>
      <c r="Y641" s="7"/>
    </row>
    <row r="642" ht="24.75" customHeight="1">
      <c r="L642" s="7"/>
      <c r="Q642" s="7"/>
      <c r="S642" s="7"/>
      <c r="U642" s="7"/>
      <c r="W642" s="7"/>
      <c r="Y642" s="7"/>
    </row>
    <row r="643" ht="24.75" customHeight="1">
      <c r="L643" s="7"/>
      <c r="Q643" s="7"/>
      <c r="S643" s="7"/>
      <c r="U643" s="7"/>
      <c r="W643" s="7"/>
      <c r="Y643" s="7"/>
    </row>
    <row r="644" ht="24.75" customHeight="1">
      <c r="L644" s="7"/>
      <c r="Q644" s="7"/>
      <c r="S644" s="7"/>
      <c r="U644" s="7"/>
      <c r="W644" s="7"/>
      <c r="Y644" s="7"/>
    </row>
    <row r="645" ht="24.75" customHeight="1">
      <c r="L645" s="7"/>
      <c r="Q645" s="7"/>
      <c r="S645" s="7"/>
      <c r="U645" s="7"/>
      <c r="W645" s="7"/>
      <c r="Y645" s="7"/>
    </row>
    <row r="646" ht="24.75" customHeight="1">
      <c r="L646" s="7"/>
      <c r="Q646" s="7"/>
      <c r="S646" s="7"/>
      <c r="U646" s="7"/>
      <c r="W646" s="7"/>
      <c r="Y646" s="7"/>
    </row>
    <row r="647" ht="24.75" customHeight="1">
      <c r="L647" s="7"/>
      <c r="Q647" s="7"/>
      <c r="S647" s="7"/>
      <c r="U647" s="7"/>
      <c r="W647" s="7"/>
      <c r="Y647" s="7"/>
    </row>
    <row r="648" ht="24.75" customHeight="1">
      <c r="L648" s="7"/>
      <c r="Q648" s="7"/>
      <c r="S648" s="7"/>
      <c r="U648" s="7"/>
      <c r="W648" s="7"/>
      <c r="Y648" s="7"/>
    </row>
    <row r="649" ht="24.75" customHeight="1">
      <c r="L649" s="7"/>
      <c r="Q649" s="7"/>
      <c r="S649" s="7"/>
      <c r="U649" s="7"/>
      <c r="W649" s="7"/>
      <c r="Y649" s="7"/>
    </row>
    <row r="650" ht="24.75" customHeight="1">
      <c r="L650" s="7"/>
      <c r="Q650" s="7"/>
      <c r="S650" s="7"/>
      <c r="U650" s="7"/>
      <c r="W650" s="7"/>
      <c r="Y650" s="7"/>
    </row>
    <row r="651" ht="24.75" customHeight="1">
      <c r="L651" s="7"/>
      <c r="Q651" s="7"/>
      <c r="S651" s="7"/>
      <c r="U651" s="7"/>
      <c r="W651" s="7"/>
      <c r="Y651" s="7"/>
    </row>
    <row r="652" ht="24.75" customHeight="1">
      <c r="L652" s="7"/>
      <c r="Q652" s="7"/>
      <c r="S652" s="7"/>
      <c r="U652" s="7"/>
      <c r="W652" s="7"/>
      <c r="Y652" s="7"/>
    </row>
    <row r="653" ht="24.75" customHeight="1">
      <c r="L653" s="7"/>
      <c r="Q653" s="7"/>
      <c r="S653" s="7"/>
      <c r="U653" s="7"/>
      <c r="W653" s="7"/>
      <c r="Y653" s="7"/>
    </row>
    <row r="654" ht="24.75" customHeight="1">
      <c r="L654" s="7"/>
      <c r="Q654" s="7"/>
      <c r="S654" s="7"/>
      <c r="U654" s="7"/>
      <c r="W654" s="7"/>
      <c r="Y654" s="7"/>
    </row>
    <row r="655" ht="24.75" customHeight="1">
      <c r="L655" s="7"/>
      <c r="Q655" s="7"/>
      <c r="S655" s="7"/>
      <c r="U655" s="7"/>
      <c r="W655" s="7"/>
      <c r="Y655" s="7"/>
    </row>
    <row r="656" ht="24.75" customHeight="1">
      <c r="L656" s="7"/>
      <c r="Q656" s="7"/>
      <c r="S656" s="7"/>
      <c r="U656" s="7"/>
      <c r="W656" s="7"/>
      <c r="Y656" s="7"/>
    </row>
    <row r="657" ht="24.75" customHeight="1">
      <c r="L657" s="7"/>
      <c r="Q657" s="7"/>
      <c r="S657" s="7"/>
      <c r="U657" s="7"/>
      <c r="W657" s="7"/>
      <c r="Y657" s="7"/>
    </row>
    <row r="658" ht="24.75" customHeight="1">
      <c r="L658" s="7"/>
      <c r="Q658" s="7"/>
      <c r="S658" s="7"/>
      <c r="U658" s="7"/>
      <c r="W658" s="7"/>
      <c r="Y658" s="7"/>
    </row>
    <row r="659" ht="24.75" customHeight="1">
      <c r="L659" s="7"/>
      <c r="Q659" s="7"/>
      <c r="S659" s="7"/>
      <c r="U659" s="7"/>
      <c r="W659" s="7"/>
      <c r="Y659" s="7"/>
    </row>
    <row r="660" ht="24.75" customHeight="1">
      <c r="L660" s="7"/>
      <c r="Q660" s="7"/>
      <c r="S660" s="7"/>
      <c r="U660" s="7"/>
      <c r="W660" s="7"/>
      <c r="Y660" s="7"/>
    </row>
    <row r="661" ht="24.75" customHeight="1">
      <c r="L661" s="7"/>
      <c r="Q661" s="7"/>
      <c r="S661" s="7"/>
      <c r="U661" s="7"/>
      <c r="W661" s="7"/>
      <c r="Y661" s="7"/>
    </row>
    <row r="662" ht="24.75" customHeight="1">
      <c r="L662" s="7"/>
      <c r="Q662" s="7"/>
      <c r="S662" s="7"/>
      <c r="U662" s="7"/>
      <c r="W662" s="7"/>
      <c r="Y662" s="7"/>
    </row>
    <row r="663" ht="24.75" customHeight="1">
      <c r="L663" s="7"/>
      <c r="Q663" s="7"/>
      <c r="S663" s="7"/>
      <c r="U663" s="7"/>
      <c r="W663" s="7"/>
      <c r="Y663" s="7"/>
    </row>
    <row r="664" ht="24.75" customHeight="1">
      <c r="L664" s="7"/>
      <c r="Q664" s="7"/>
      <c r="S664" s="7"/>
      <c r="U664" s="7"/>
      <c r="W664" s="7"/>
      <c r="Y664" s="7"/>
    </row>
    <row r="665" ht="24.75" customHeight="1">
      <c r="L665" s="7"/>
      <c r="Q665" s="7"/>
      <c r="S665" s="7"/>
      <c r="U665" s="7"/>
      <c r="W665" s="7"/>
      <c r="Y665" s="7"/>
    </row>
    <row r="666" ht="24.75" customHeight="1">
      <c r="L666" s="7"/>
      <c r="Q666" s="7"/>
      <c r="S666" s="7"/>
      <c r="U666" s="7"/>
      <c r="W666" s="7"/>
      <c r="Y666" s="7"/>
    </row>
    <row r="667" ht="24.75" customHeight="1">
      <c r="L667" s="7"/>
      <c r="Q667" s="7"/>
      <c r="S667" s="7"/>
      <c r="U667" s="7"/>
      <c r="W667" s="7"/>
      <c r="Y667" s="7"/>
    </row>
    <row r="668" ht="24.75" customHeight="1">
      <c r="L668" s="7"/>
      <c r="Q668" s="7"/>
      <c r="S668" s="7"/>
      <c r="U668" s="7"/>
      <c r="W668" s="7"/>
      <c r="Y668" s="7"/>
    </row>
    <row r="669" ht="24.75" customHeight="1">
      <c r="L669" s="7"/>
      <c r="Q669" s="7"/>
      <c r="S669" s="7"/>
      <c r="U669" s="7"/>
      <c r="W669" s="7"/>
      <c r="Y669" s="7"/>
    </row>
    <row r="670" ht="24.75" customHeight="1">
      <c r="L670" s="7"/>
      <c r="Q670" s="7"/>
      <c r="S670" s="7"/>
      <c r="U670" s="7"/>
      <c r="W670" s="7"/>
      <c r="Y670" s="7"/>
    </row>
    <row r="671" ht="24.75" customHeight="1">
      <c r="L671" s="7"/>
      <c r="Q671" s="7"/>
      <c r="S671" s="7"/>
      <c r="U671" s="7"/>
      <c r="W671" s="7"/>
      <c r="Y671" s="7"/>
    </row>
    <row r="672" ht="24.75" customHeight="1">
      <c r="L672" s="7"/>
      <c r="Q672" s="7"/>
      <c r="S672" s="7"/>
      <c r="U672" s="7"/>
      <c r="W672" s="7"/>
      <c r="Y672" s="7"/>
    </row>
    <row r="673" ht="24.75" customHeight="1">
      <c r="L673" s="7"/>
      <c r="Q673" s="7"/>
      <c r="S673" s="7"/>
      <c r="U673" s="7"/>
      <c r="W673" s="7"/>
      <c r="Y673" s="7"/>
    </row>
    <row r="674" ht="24.75" customHeight="1">
      <c r="L674" s="7"/>
      <c r="Q674" s="7"/>
      <c r="S674" s="7"/>
      <c r="U674" s="7"/>
      <c r="W674" s="7"/>
      <c r="Y674" s="7"/>
    </row>
    <row r="675" ht="24.75" customHeight="1">
      <c r="L675" s="7"/>
      <c r="Q675" s="7"/>
      <c r="S675" s="7"/>
      <c r="U675" s="7"/>
      <c r="W675" s="7"/>
      <c r="Y675" s="7"/>
    </row>
    <row r="676" ht="24.75" customHeight="1">
      <c r="L676" s="7"/>
      <c r="Q676" s="7"/>
      <c r="S676" s="7"/>
      <c r="U676" s="7"/>
      <c r="W676" s="7"/>
      <c r="Y676" s="7"/>
    </row>
    <row r="677" ht="24.75" customHeight="1">
      <c r="L677" s="7"/>
      <c r="Q677" s="7"/>
      <c r="S677" s="7"/>
      <c r="U677" s="7"/>
      <c r="W677" s="7"/>
      <c r="Y677" s="7"/>
    </row>
    <row r="678" ht="24.75" customHeight="1">
      <c r="L678" s="7"/>
      <c r="Q678" s="7"/>
      <c r="S678" s="7"/>
      <c r="U678" s="7"/>
      <c r="W678" s="7"/>
      <c r="Y678" s="7"/>
    </row>
    <row r="679" ht="24.75" customHeight="1">
      <c r="L679" s="7"/>
      <c r="Q679" s="7"/>
      <c r="S679" s="7"/>
      <c r="U679" s="7"/>
      <c r="W679" s="7"/>
      <c r="Y679" s="7"/>
    </row>
    <row r="680" ht="24.75" customHeight="1">
      <c r="L680" s="7"/>
      <c r="Q680" s="7"/>
      <c r="S680" s="7"/>
      <c r="U680" s="7"/>
      <c r="W680" s="7"/>
      <c r="Y680" s="7"/>
    </row>
    <row r="681" ht="24.75" customHeight="1">
      <c r="L681" s="7"/>
      <c r="Q681" s="7"/>
      <c r="S681" s="7"/>
      <c r="U681" s="7"/>
      <c r="W681" s="7"/>
      <c r="Y681" s="7"/>
    </row>
    <row r="682" ht="24.75" customHeight="1">
      <c r="L682" s="7"/>
      <c r="Q682" s="7"/>
      <c r="S682" s="7"/>
      <c r="U682" s="7"/>
      <c r="W682" s="7"/>
      <c r="Y682" s="7"/>
    </row>
    <row r="683" ht="24.75" customHeight="1">
      <c r="L683" s="7"/>
      <c r="Q683" s="7"/>
      <c r="S683" s="7"/>
      <c r="U683" s="7"/>
      <c r="W683" s="7"/>
      <c r="Y683" s="7"/>
    </row>
    <row r="684" ht="24.75" customHeight="1">
      <c r="L684" s="7"/>
      <c r="Q684" s="7"/>
      <c r="S684" s="7"/>
      <c r="U684" s="7"/>
      <c r="W684" s="7"/>
      <c r="Y684" s="7"/>
    </row>
    <row r="685" ht="24.75" customHeight="1">
      <c r="L685" s="7"/>
      <c r="Q685" s="7"/>
      <c r="S685" s="7"/>
      <c r="U685" s="7"/>
      <c r="W685" s="7"/>
      <c r="Y685" s="7"/>
    </row>
    <row r="686" ht="24.75" customHeight="1">
      <c r="L686" s="7"/>
      <c r="Q686" s="7"/>
      <c r="S686" s="7"/>
      <c r="U686" s="7"/>
      <c r="W686" s="7"/>
      <c r="Y686" s="7"/>
    </row>
    <row r="687" ht="24.75" customHeight="1">
      <c r="L687" s="7"/>
      <c r="Q687" s="7"/>
      <c r="S687" s="7"/>
      <c r="U687" s="7"/>
      <c r="W687" s="7"/>
      <c r="Y687" s="7"/>
    </row>
    <row r="688" ht="24.75" customHeight="1">
      <c r="L688" s="7"/>
      <c r="Q688" s="7"/>
      <c r="S688" s="7"/>
      <c r="U688" s="7"/>
      <c r="W688" s="7"/>
      <c r="Y688" s="7"/>
    </row>
    <row r="689" ht="24.75" customHeight="1">
      <c r="L689" s="7"/>
      <c r="Q689" s="7"/>
      <c r="S689" s="7"/>
      <c r="U689" s="7"/>
      <c r="W689" s="7"/>
      <c r="Y689" s="7"/>
    </row>
    <row r="690" ht="24.75" customHeight="1">
      <c r="L690" s="7"/>
      <c r="Q690" s="7"/>
      <c r="S690" s="7"/>
      <c r="U690" s="7"/>
      <c r="W690" s="7"/>
      <c r="Y690" s="7"/>
    </row>
    <row r="691" ht="24.75" customHeight="1">
      <c r="L691" s="7"/>
      <c r="Q691" s="7"/>
      <c r="S691" s="7"/>
      <c r="U691" s="7"/>
      <c r="W691" s="7"/>
      <c r="Y691" s="7"/>
    </row>
    <row r="692" ht="24.75" customHeight="1">
      <c r="L692" s="7"/>
      <c r="Q692" s="7"/>
      <c r="S692" s="7"/>
      <c r="U692" s="7"/>
      <c r="W692" s="7"/>
      <c r="Y692" s="7"/>
    </row>
    <row r="693" ht="24.75" customHeight="1">
      <c r="L693" s="7"/>
      <c r="Q693" s="7"/>
      <c r="S693" s="7"/>
      <c r="U693" s="7"/>
      <c r="W693" s="7"/>
      <c r="Y693" s="7"/>
    </row>
    <row r="694" ht="24.75" customHeight="1">
      <c r="L694" s="7"/>
      <c r="Q694" s="7"/>
      <c r="S694" s="7"/>
      <c r="U694" s="7"/>
      <c r="W694" s="7"/>
      <c r="Y694" s="7"/>
    </row>
    <row r="695" ht="24.75" customHeight="1">
      <c r="L695" s="7"/>
      <c r="Q695" s="7"/>
      <c r="S695" s="7"/>
      <c r="U695" s="7"/>
      <c r="W695" s="7"/>
      <c r="Y695" s="7"/>
    </row>
    <row r="696" ht="24.75" customHeight="1">
      <c r="L696" s="7"/>
      <c r="Q696" s="7"/>
      <c r="S696" s="7"/>
      <c r="U696" s="7"/>
      <c r="W696" s="7"/>
      <c r="Y696" s="7"/>
    </row>
    <row r="697" ht="24.75" customHeight="1">
      <c r="L697" s="7"/>
      <c r="Q697" s="7"/>
      <c r="S697" s="7"/>
      <c r="U697" s="7"/>
      <c r="W697" s="7"/>
      <c r="Y697" s="7"/>
    </row>
    <row r="698" ht="24.75" customHeight="1">
      <c r="L698" s="7"/>
      <c r="Q698" s="7"/>
      <c r="S698" s="7"/>
      <c r="U698" s="7"/>
      <c r="W698" s="7"/>
      <c r="Y698" s="7"/>
    </row>
    <row r="699" ht="24.75" customHeight="1">
      <c r="L699" s="7"/>
      <c r="Q699" s="7"/>
      <c r="S699" s="7"/>
      <c r="U699" s="7"/>
      <c r="W699" s="7"/>
      <c r="Y699" s="7"/>
    </row>
    <row r="700" ht="24.75" customHeight="1">
      <c r="L700" s="7"/>
      <c r="Q700" s="7"/>
      <c r="S700" s="7"/>
      <c r="U700" s="7"/>
      <c r="W700" s="7"/>
      <c r="Y700" s="7"/>
    </row>
    <row r="701" ht="24.75" customHeight="1">
      <c r="L701" s="7"/>
      <c r="Q701" s="7"/>
      <c r="S701" s="7"/>
      <c r="U701" s="7"/>
      <c r="W701" s="7"/>
      <c r="Y701" s="7"/>
    </row>
    <row r="702" ht="24.75" customHeight="1">
      <c r="L702" s="7"/>
      <c r="Q702" s="7"/>
      <c r="S702" s="7"/>
      <c r="U702" s="7"/>
      <c r="W702" s="7"/>
      <c r="Y702" s="7"/>
    </row>
    <row r="703" ht="24.75" customHeight="1">
      <c r="L703" s="7"/>
      <c r="Q703" s="7"/>
      <c r="S703" s="7"/>
      <c r="U703" s="7"/>
      <c r="W703" s="7"/>
      <c r="Y703" s="7"/>
    </row>
    <row r="704" ht="24.75" customHeight="1">
      <c r="L704" s="7"/>
      <c r="Q704" s="7"/>
      <c r="S704" s="7"/>
      <c r="U704" s="7"/>
      <c r="W704" s="7"/>
      <c r="Y704" s="7"/>
    </row>
    <row r="705" ht="24.75" customHeight="1">
      <c r="L705" s="7"/>
      <c r="Q705" s="7"/>
      <c r="S705" s="7"/>
      <c r="U705" s="7"/>
      <c r="W705" s="7"/>
      <c r="Y705" s="7"/>
    </row>
    <row r="706" ht="24.75" customHeight="1">
      <c r="L706" s="7"/>
      <c r="Q706" s="7"/>
      <c r="S706" s="7"/>
      <c r="U706" s="7"/>
      <c r="W706" s="7"/>
      <c r="Y706" s="7"/>
    </row>
    <row r="707" ht="24.75" customHeight="1">
      <c r="L707" s="7"/>
      <c r="Q707" s="7"/>
      <c r="S707" s="7"/>
      <c r="U707" s="7"/>
      <c r="W707" s="7"/>
      <c r="Y707" s="7"/>
    </row>
    <row r="708" ht="24.75" customHeight="1">
      <c r="L708" s="7"/>
      <c r="Q708" s="7"/>
      <c r="S708" s="7"/>
      <c r="U708" s="7"/>
      <c r="W708" s="7"/>
      <c r="Y708" s="7"/>
    </row>
    <row r="709" ht="24.75" customHeight="1">
      <c r="L709" s="7"/>
      <c r="Q709" s="7"/>
      <c r="S709" s="7"/>
      <c r="U709" s="7"/>
      <c r="W709" s="7"/>
      <c r="Y709" s="7"/>
    </row>
    <row r="710" ht="24.75" customHeight="1">
      <c r="L710" s="7"/>
      <c r="Q710" s="7"/>
      <c r="S710" s="7"/>
      <c r="U710" s="7"/>
      <c r="W710" s="7"/>
      <c r="Y710" s="7"/>
    </row>
    <row r="711" ht="24.75" customHeight="1">
      <c r="L711" s="7"/>
      <c r="Q711" s="7"/>
      <c r="S711" s="7"/>
      <c r="U711" s="7"/>
      <c r="W711" s="7"/>
      <c r="Y711" s="7"/>
    </row>
    <row r="712" ht="24.75" customHeight="1">
      <c r="L712" s="7"/>
      <c r="Q712" s="7"/>
      <c r="S712" s="7"/>
      <c r="U712" s="7"/>
      <c r="W712" s="7"/>
      <c r="Y712" s="7"/>
    </row>
    <row r="713" ht="24.75" customHeight="1">
      <c r="L713" s="7"/>
      <c r="Q713" s="7"/>
      <c r="S713" s="7"/>
      <c r="U713" s="7"/>
      <c r="W713" s="7"/>
      <c r="Y713" s="7"/>
    </row>
    <row r="714" ht="24.75" customHeight="1">
      <c r="L714" s="7"/>
      <c r="Q714" s="7"/>
      <c r="S714" s="7"/>
      <c r="U714" s="7"/>
      <c r="W714" s="7"/>
      <c r="Y714" s="7"/>
    </row>
    <row r="715" ht="24.75" customHeight="1">
      <c r="L715" s="7"/>
      <c r="Q715" s="7"/>
      <c r="S715" s="7"/>
      <c r="U715" s="7"/>
      <c r="W715" s="7"/>
      <c r="Y715" s="7"/>
    </row>
    <row r="716" ht="24.75" customHeight="1">
      <c r="L716" s="7"/>
      <c r="Q716" s="7"/>
      <c r="S716" s="7"/>
      <c r="U716" s="7"/>
      <c r="W716" s="7"/>
      <c r="Y716" s="7"/>
    </row>
    <row r="717" ht="24.75" customHeight="1">
      <c r="L717" s="7"/>
      <c r="Q717" s="7"/>
      <c r="S717" s="7"/>
      <c r="U717" s="7"/>
      <c r="W717" s="7"/>
      <c r="Y717" s="7"/>
    </row>
    <row r="718" ht="24.75" customHeight="1">
      <c r="L718" s="7"/>
      <c r="Q718" s="7"/>
      <c r="S718" s="7"/>
      <c r="U718" s="7"/>
      <c r="W718" s="7"/>
      <c r="Y718" s="7"/>
    </row>
    <row r="719" ht="24.75" customHeight="1">
      <c r="L719" s="7"/>
      <c r="Q719" s="7"/>
      <c r="S719" s="7"/>
      <c r="U719" s="7"/>
      <c r="W719" s="7"/>
      <c r="Y719" s="7"/>
    </row>
    <row r="720" ht="24.75" customHeight="1">
      <c r="L720" s="7"/>
      <c r="Q720" s="7"/>
      <c r="S720" s="7"/>
      <c r="U720" s="7"/>
      <c r="W720" s="7"/>
      <c r="Y720" s="7"/>
    </row>
    <row r="721" ht="24.75" customHeight="1">
      <c r="L721" s="7"/>
      <c r="Q721" s="7"/>
      <c r="S721" s="7"/>
      <c r="U721" s="7"/>
      <c r="W721" s="7"/>
      <c r="Y721" s="7"/>
    </row>
    <row r="722" ht="24.75" customHeight="1">
      <c r="L722" s="7"/>
      <c r="Q722" s="7"/>
      <c r="S722" s="7"/>
      <c r="U722" s="7"/>
      <c r="W722" s="7"/>
      <c r="Y722" s="7"/>
    </row>
    <row r="723" ht="24.75" customHeight="1">
      <c r="L723" s="7"/>
      <c r="Q723" s="7"/>
      <c r="S723" s="7"/>
      <c r="U723" s="7"/>
      <c r="W723" s="7"/>
      <c r="Y723" s="7"/>
    </row>
    <row r="724" ht="24.75" customHeight="1">
      <c r="L724" s="7"/>
      <c r="Q724" s="7"/>
      <c r="S724" s="7"/>
      <c r="U724" s="7"/>
      <c r="W724" s="7"/>
      <c r="Y724" s="7"/>
    </row>
    <row r="725" ht="24.75" customHeight="1">
      <c r="L725" s="7"/>
      <c r="Q725" s="7"/>
      <c r="S725" s="7"/>
      <c r="U725" s="7"/>
      <c r="W725" s="7"/>
      <c r="Y725" s="7"/>
    </row>
    <row r="726" ht="24.75" customHeight="1">
      <c r="L726" s="7"/>
      <c r="Q726" s="7"/>
      <c r="S726" s="7"/>
      <c r="U726" s="7"/>
      <c r="W726" s="7"/>
      <c r="Y726" s="7"/>
    </row>
    <row r="727" ht="24.75" customHeight="1">
      <c r="L727" s="7"/>
      <c r="Q727" s="7"/>
      <c r="S727" s="7"/>
      <c r="U727" s="7"/>
      <c r="W727" s="7"/>
      <c r="Y727" s="7"/>
    </row>
    <row r="728" ht="24.75" customHeight="1">
      <c r="L728" s="7"/>
      <c r="Q728" s="7"/>
      <c r="S728" s="7"/>
      <c r="U728" s="7"/>
      <c r="W728" s="7"/>
      <c r="Y728" s="7"/>
    </row>
    <row r="729" ht="24.75" customHeight="1">
      <c r="L729" s="7"/>
      <c r="Q729" s="7"/>
      <c r="S729" s="7"/>
      <c r="U729" s="7"/>
      <c r="W729" s="7"/>
      <c r="Y729" s="7"/>
    </row>
    <row r="730" ht="24.75" customHeight="1">
      <c r="L730" s="7"/>
      <c r="Q730" s="7"/>
      <c r="S730" s="7"/>
      <c r="U730" s="7"/>
      <c r="W730" s="7"/>
      <c r="Y730" s="7"/>
    </row>
    <row r="731" ht="24.75" customHeight="1">
      <c r="L731" s="7"/>
      <c r="Q731" s="7"/>
      <c r="S731" s="7"/>
      <c r="U731" s="7"/>
      <c r="W731" s="7"/>
      <c r="Y731" s="7"/>
    </row>
    <row r="732" ht="24.75" customHeight="1">
      <c r="L732" s="7"/>
      <c r="Q732" s="7"/>
      <c r="S732" s="7"/>
      <c r="U732" s="7"/>
      <c r="W732" s="7"/>
      <c r="Y732" s="7"/>
    </row>
    <row r="733" ht="24.75" customHeight="1">
      <c r="L733" s="7"/>
      <c r="Q733" s="7"/>
      <c r="S733" s="7"/>
      <c r="U733" s="7"/>
      <c r="W733" s="7"/>
      <c r="Y733" s="7"/>
    </row>
    <row r="734" ht="24.75" customHeight="1">
      <c r="L734" s="7"/>
      <c r="Q734" s="7"/>
      <c r="S734" s="7"/>
      <c r="U734" s="7"/>
      <c r="W734" s="7"/>
      <c r="Y734" s="7"/>
    </row>
    <row r="735" ht="24.75" customHeight="1">
      <c r="L735" s="7"/>
      <c r="Q735" s="7"/>
      <c r="S735" s="7"/>
      <c r="U735" s="7"/>
      <c r="W735" s="7"/>
      <c r="Y735" s="7"/>
    </row>
    <row r="736" ht="24.75" customHeight="1">
      <c r="L736" s="7"/>
      <c r="Q736" s="7"/>
      <c r="S736" s="7"/>
      <c r="U736" s="7"/>
      <c r="W736" s="7"/>
      <c r="Y736" s="7"/>
    </row>
    <row r="737" ht="24.75" customHeight="1">
      <c r="L737" s="7"/>
      <c r="Q737" s="7"/>
      <c r="S737" s="7"/>
      <c r="U737" s="7"/>
      <c r="W737" s="7"/>
      <c r="Y737" s="7"/>
    </row>
    <row r="738" ht="24.75" customHeight="1">
      <c r="L738" s="7"/>
      <c r="Q738" s="7"/>
      <c r="S738" s="7"/>
      <c r="U738" s="7"/>
      <c r="W738" s="7"/>
      <c r="Y738" s="7"/>
    </row>
    <row r="739" ht="24.75" customHeight="1">
      <c r="L739" s="7"/>
      <c r="Q739" s="7"/>
      <c r="S739" s="7"/>
      <c r="U739" s="7"/>
      <c r="W739" s="7"/>
      <c r="Y739" s="7"/>
    </row>
    <row r="740" ht="24.75" customHeight="1">
      <c r="L740" s="7"/>
      <c r="Q740" s="7"/>
      <c r="S740" s="7"/>
      <c r="U740" s="7"/>
      <c r="W740" s="7"/>
      <c r="Y740" s="7"/>
    </row>
    <row r="741" ht="24.75" customHeight="1">
      <c r="L741" s="7"/>
      <c r="Q741" s="7"/>
      <c r="S741" s="7"/>
      <c r="U741" s="7"/>
      <c r="W741" s="7"/>
      <c r="Y741" s="7"/>
    </row>
    <row r="742" ht="24.75" customHeight="1">
      <c r="L742" s="7"/>
      <c r="Q742" s="7"/>
      <c r="S742" s="7"/>
      <c r="U742" s="7"/>
      <c r="W742" s="7"/>
      <c r="Y742" s="7"/>
    </row>
    <row r="743" ht="24.75" customHeight="1">
      <c r="L743" s="7"/>
      <c r="Q743" s="7"/>
      <c r="S743" s="7"/>
      <c r="U743" s="7"/>
      <c r="W743" s="7"/>
      <c r="Y743" s="7"/>
    </row>
    <row r="744" ht="24.75" customHeight="1">
      <c r="L744" s="7"/>
      <c r="Q744" s="7"/>
      <c r="S744" s="7"/>
      <c r="U744" s="7"/>
      <c r="W744" s="7"/>
      <c r="Y744" s="7"/>
    </row>
    <row r="745" ht="24.75" customHeight="1">
      <c r="L745" s="7"/>
      <c r="Q745" s="7"/>
      <c r="S745" s="7"/>
      <c r="U745" s="7"/>
      <c r="W745" s="7"/>
      <c r="Y745" s="7"/>
    </row>
    <row r="746" ht="24.75" customHeight="1">
      <c r="L746" s="7"/>
      <c r="Q746" s="7"/>
      <c r="S746" s="7"/>
      <c r="U746" s="7"/>
      <c r="W746" s="7"/>
      <c r="Y746" s="7"/>
    </row>
    <row r="747" ht="24.75" customHeight="1">
      <c r="L747" s="7"/>
      <c r="Q747" s="7"/>
      <c r="S747" s="7"/>
      <c r="U747" s="7"/>
      <c r="W747" s="7"/>
      <c r="Y747" s="7"/>
    </row>
    <row r="748" ht="24.75" customHeight="1">
      <c r="L748" s="7"/>
      <c r="Q748" s="7"/>
      <c r="S748" s="7"/>
      <c r="U748" s="7"/>
      <c r="W748" s="7"/>
      <c r="Y748" s="7"/>
    </row>
    <row r="749" ht="24.75" customHeight="1">
      <c r="L749" s="7"/>
      <c r="Q749" s="7"/>
      <c r="S749" s="7"/>
      <c r="U749" s="7"/>
      <c r="W749" s="7"/>
      <c r="Y749" s="7"/>
    </row>
    <row r="750" ht="24.75" customHeight="1">
      <c r="L750" s="7"/>
      <c r="Q750" s="7"/>
      <c r="S750" s="7"/>
      <c r="U750" s="7"/>
      <c r="W750" s="7"/>
      <c r="Y750" s="7"/>
    </row>
    <row r="751" ht="24.75" customHeight="1">
      <c r="L751" s="7"/>
      <c r="Q751" s="7"/>
      <c r="S751" s="7"/>
      <c r="U751" s="7"/>
      <c r="W751" s="7"/>
      <c r="Y751" s="7"/>
    </row>
    <row r="752" ht="24.75" customHeight="1">
      <c r="L752" s="7"/>
      <c r="Q752" s="7"/>
      <c r="S752" s="7"/>
      <c r="U752" s="7"/>
      <c r="W752" s="7"/>
      <c r="Y752" s="7"/>
    </row>
    <row r="753" ht="24.75" customHeight="1">
      <c r="L753" s="7"/>
      <c r="Q753" s="7"/>
      <c r="S753" s="7"/>
      <c r="U753" s="7"/>
      <c r="W753" s="7"/>
      <c r="Y753" s="7"/>
    </row>
    <row r="754" ht="24.75" customHeight="1">
      <c r="L754" s="7"/>
      <c r="Q754" s="7"/>
      <c r="S754" s="7"/>
      <c r="U754" s="7"/>
      <c r="W754" s="7"/>
      <c r="Y754" s="7"/>
    </row>
    <row r="755" ht="24.75" customHeight="1">
      <c r="L755" s="7"/>
      <c r="Q755" s="7"/>
      <c r="S755" s="7"/>
      <c r="U755" s="7"/>
      <c r="W755" s="7"/>
      <c r="Y755" s="7"/>
    </row>
    <row r="756" ht="24.75" customHeight="1">
      <c r="L756" s="7"/>
      <c r="Q756" s="7"/>
      <c r="S756" s="7"/>
      <c r="U756" s="7"/>
      <c r="W756" s="7"/>
      <c r="Y756" s="7"/>
    </row>
    <row r="757" ht="24.75" customHeight="1">
      <c r="L757" s="7"/>
      <c r="Q757" s="7"/>
      <c r="S757" s="7"/>
      <c r="U757" s="7"/>
      <c r="W757" s="7"/>
      <c r="Y757" s="7"/>
    </row>
    <row r="758" ht="24.75" customHeight="1">
      <c r="L758" s="7"/>
      <c r="Q758" s="7"/>
      <c r="S758" s="7"/>
      <c r="U758" s="7"/>
      <c r="W758" s="7"/>
      <c r="Y758" s="7"/>
    </row>
    <row r="759" ht="24.75" customHeight="1">
      <c r="L759" s="7"/>
      <c r="Q759" s="7"/>
      <c r="S759" s="7"/>
      <c r="U759" s="7"/>
      <c r="W759" s="7"/>
      <c r="Y759" s="7"/>
    </row>
    <row r="760" ht="24.75" customHeight="1">
      <c r="L760" s="7"/>
      <c r="Q760" s="7"/>
      <c r="S760" s="7"/>
      <c r="U760" s="7"/>
      <c r="W760" s="7"/>
      <c r="Y760" s="7"/>
    </row>
    <row r="761" ht="24.75" customHeight="1">
      <c r="L761" s="7"/>
      <c r="Q761" s="7"/>
      <c r="S761" s="7"/>
      <c r="U761" s="7"/>
      <c r="W761" s="7"/>
      <c r="Y761" s="7"/>
    </row>
    <row r="762" ht="24.75" customHeight="1">
      <c r="L762" s="7"/>
      <c r="Q762" s="7"/>
      <c r="S762" s="7"/>
      <c r="U762" s="7"/>
      <c r="W762" s="7"/>
      <c r="Y762" s="7"/>
    </row>
    <row r="763" ht="24.75" customHeight="1">
      <c r="L763" s="7"/>
      <c r="Q763" s="7"/>
      <c r="S763" s="7"/>
      <c r="U763" s="7"/>
      <c r="W763" s="7"/>
      <c r="Y763" s="7"/>
    </row>
    <row r="764" ht="24.75" customHeight="1">
      <c r="L764" s="7"/>
      <c r="Q764" s="7"/>
      <c r="S764" s="7"/>
      <c r="U764" s="7"/>
      <c r="W764" s="7"/>
      <c r="Y764" s="7"/>
    </row>
    <row r="765" ht="24.75" customHeight="1">
      <c r="L765" s="7"/>
      <c r="Q765" s="7"/>
      <c r="S765" s="7"/>
      <c r="U765" s="7"/>
      <c r="W765" s="7"/>
      <c r="Y765" s="7"/>
    </row>
    <row r="766" ht="24.75" customHeight="1">
      <c r="L766" s="7"/>
      <c r="Q766" s="7"/>
      <c r="S766" s="7"/>
      <c r="U766" s="7"/>
      <c r="W766" s="7"/>
      <c r="Y766" s="7"/>
    </row>
    <row r="767" ht="24.75" customHeight="1">
      <c r="L767" s="7"/>
      <c r="Q767" s="7"/>
      <c r="S767" s="7"/>
      <c r="U767" s="7"/>
      <c r="W767" s="7"/>
      <c r="Y767" s="7"/>
    </row>
    <row r="768" ht="24.75" customHeight="1">
      <c r="L768" s="7"/>
      <c r="Q768" s="7"/>
      <c r="S768" s="7"/>
      <c r="U768" s="7"/>
      <c r="W768" s="7"/>
      <c r="Y768" s="7"/>
    </row>
    <row r="769" ht="24.75" customHeight="1">
      <c r="L769" s="7"/>
      <c r="Q769" s="7"/>
      <c r="S769" s="7"/>
      <c r="U769" s="7"/>
      <c r="W769" s="7"/>
      <c r="Y769" s="7"/>
    </row>
    <row r="770" ht="24.75" customHeight="1">
      <c r="L770" s="7"/>
      <c r="Q770" s="7"/>
      <c r="S770" s="7"/>
      <c r="U770" s="7"/>
      <c r="W770" s="7"/>
      <c r="Y770" s="7"/>
    </row>
    <row r="771" ht="24.75" customHeight="1">
      <c r="L771" s="7"/>
      <c r="Q771" s="7"/>
      <c r="S771" s="7"/>
      <c r="U771" s="7"/>
      <c r="W771" s="7"/>
      <c r="Y771" s="7"/>
    </row>
    <row r="772" ht="24.75" customHeight="1">
      <c r="L772" s="7"/>
      <c r="Q772" s="7"/>
      <c r="S772" s="7"/>
      <c r="U772" s="7"/>
      <c r="W772" s="7"/>
      <c r="Y772" s="7"/>
    </row>
    <row r="773" ht="24.75" customHeight="1">
      <c r="L773" s="7"/>
      <c r="Q773" s="7"/>
      <c r="S773" s="7"/>
      <c r="U773" s="7"/>
      <c r="W773" s="7"/>
      <c r="Y773" s="7"/>
    </row>
    <row r="774" ht="24.75" customHeight="1">
      <c r="L774" s="7"/>
      <c r="Q774" s="7"/>
      <c r="S774" s="7"/>
      <c r="U774" s="7"/>
      <c r="W774" s="7"/>
      <c r="Y774" s="7"/>
    </row>
    <row r="775" ht="24.75" customHeight="1">
      <c r="L775" s="7"/>
      <c r="Q775" s="7"/>
      <c r="S775" s="7"/>
      <c r="U775" s="7"/>
      <c r="W775" s="7"/>
      <c r="Y775" s="7"/>
    </row>
    <row r="776" ht="24.75" customHeight="1">
      <c r="L776" s="7"/>
      <c r="Q776" s="7"/>
      <c r="S776" s="7"/>
      <c r="U776" s="7"/>
      <c r="W776" s="7"/>
      <c r="Y776" s="7"/>
    </row>
    <row r="777" ht="24.75" customHeight="1">
      <c r="L777" s="7"/>
      <c r="Q777" s="7"/>
      <c r="S777" s="7"/>
      <c r="U777" s="7"/>
      <c r="W777" s="7"/>
      <c r="Y777" s="7"/>
    </row>
    <row r="778" ht="24.75" customHeight="1">
      <c r="L778" s="7"/>
      <c r="Q778" s="7"/>
      <c r="S778" s="7"/>
      <c r="U778" s="7"/>
      <c r="W778" s="7"/>
      <c r="Y778" s="7"/>
    </row>
    <row r="779" ht="24.75" customHeight="1">
      <c r="L779" s="7"/>
      <c r="Q779" s="7"/>
      <c r="S779" s="7"/>
      <c r="U779" s="7"/>
      <c r="W779" s="7"/>
      <c r="Y779" s="7"/>
    </row>
    <row r="780" ht="24.75" customHeight="1">
      <c r="L780" s="7"/>
      <c r="Q780" s="7"/>
      <c r="S780" s="7"/>
      <c r="U780" s="7"/>
      <c r="W780" s="7"/>
      <c r="Y780" s="7"/>
    </row>
    <row r="781" ht="24.75" customHeight="1">
      <c r="L781" s="7"/>
      <c r="Q781" s="7"/>
      <c r="S781" s="7"/>
      <c r="U781" s="7"/>
      <c r="W781" s="7"/>
      <c r="Y781" s="7"/>
    </row>
    <row r="782" ht="24.75" customHeight="1">
      <c r="L782" s="7"/>
      <c r="Q782" s="7"/>
      <c r="S782" s="7"/>
      <c r="U782" s="7"/>
      <c r="W782" s="7"/>
      <c r="Y782" s="7"/>
    </row>
    <row r="783" ht="24.75" customHeight="1">
      <c r="L783" s="7"/>
      <c r="Q783" s="7"/>
      <c r="S783" s="7"/>
      <c r="U783" s="7"/>
      <c r="W783" s="7"/>
      <c r="Y783" s="7"/>
    </row>
    <row r="784" ht="24.75" customHeight="1">
      <c r="L784" s="7"/>
      <c r="Q784" s="7"/>
      <c r="S784" s="7"/>
      <c r="U784" s="7"/>
      <c r="W784" s="7"/>
      <c r="Y784" s="7"/>
    </row>
    <row r="785" ht="24.75" customHeight="1">
      <c r="L785" s="7"/>
      <c r="Q785" s="7"/>
      <c r="S785" s="7"/>
      <c r="U785" s="7"/>
      <c r="W785" s="7"/>
      <c r="Y785" s="7"/>
    </row>
    <row r="786" ht="24.75" customHeight="1">
      <c r="L786" s="7"/>
      <c r="Q786" s="7"/>
      <c r="S786" s="7"/>
      <c r="U786" s="7"/>
      <c r="W786" s="7"/>
      <c r="Y786" s="7"/>
    </row>
    <row r="787" ht="24.75" customHeight="1">
      <c r="L787" s="7"/>
      <c r="Q787" s="7"/>
      <c r="S787" s="7"/>
      <c r="U787" s="7"/>
      <c r="W787" s="7"/>
      <c r="Y787" s="7"/>
    </row>
    <row r="788" ht="24.75" customHeight="1">
      <c r="L788" s="7"/>
      <c r="Q788" s="7"/>
      <c r="S788" s="7"/>
      <c r="U788" s="7"/>
      <c r="W788" s="7"/>
      <c r="Y788" s="7"/>
    </row>
    <row r="789" ht="24.75" customHeight="1">
      <c r="L789" s="7"/>
      <c r="Q789" s="7"/>
      <c r="S789" s="7"/>
      <c r="U789" s="7"/>
      <c r="W789" s="7"/>
      <c r="Y789" s="7"/>
    </row>
    <row r="790" ht="24.75" customHeight="1">
      <c r="L790" s="7"/>
      <c r="Q790" s="7"/>
      <c r="S790" s="7"/>
      <c r="U790" s="7"/>
      <c r="W790" s="7"/>
      <c r="Y790" s="7"/>
    </row>
    <row r="791" ht="24.75" customHeight="1">
      <c r="L791" s="7"/>
      <c r="Q791" s="7"/>
      <c r="S791" s="7"/>
      <c r="U791" s="7"/>
      <c r="W791" s="7"/>
      <c r="Y791" s="7"/>
    </row>
    <row r="792" ht="24.75" customHeight="1">
      <c r="L792" s="7"/>
      <c r="Q792" s="7"/>
      <c r="S792" s="7"/>
      <c r="U792" s="7"/>
      <c r="W792" s="7"/>
      <c r="Y792" s="7"/>
    </row>
    <row r="793" ht="24.75" customHeight="1">
      <c r="L793" s="7"/>
      <c r="Q793" s="7"/>
      <c r="S793" s="7"/>
      <c r="U793" s="7"/>
      <c r="W793" s="7"/>
      <c r="Y793" s="7"/>
    </row>
    <row r="794" ht="24.75" customHeight="1">
      <c r="L794" s="7"/>
      <c r="Q794" s="7"/>
      <c r="S794" s="7"/>
      <c r="U794" s="7"/>
      <c r="W794" s="7"/>
      <c r="Y794" s="7"/>
    </row>
    <row r="795" ht="24.75" customHeight="1">
      <c r="L795" s="7"/>
      <c r="Q795" s="7"/>
      <c r="S795" s="7"/>
      <c r="U795" s="7"/>
      <c r="W795" s="7"/>
      <c r="Y795" s="7"/>
    </row>
    <row r="796" ht="24.75" customHeight="1">
      <c r="L796" s="7"/>
      <c r="Q796" s="7"/>
      <c r="S796" s="7"/>
      <c r="U796" s="7"/>
      <c r="W796" s="7"/>
      <c r="Y796" s="7"/>
    </row>
    <row r="797" ht="24.75" customHeight="1">
      <c r="L797" s="7"/>
      <c r="Q797" s="7"/>
      <c r="S797" s="7"/>
      <c r="U797" s="7"/>
      <c r="W797" s="7"/>
      <c r="Y797" s="7"/>
    </row>
    <row r="798" ht="24.75" customHeight="1">
      <c r="L798" s="7"/>
      <c r="Q798" s="7"/>
      <c r="S798" s="7"/>
      <c r="U798" s="7"/>
      <c r="W798" s="7"/>
      <c r="Y798" s="7"/>
    </row>
    <row r="799" ht="24.75" customHeight="1">
      <c r="L799" s="7"/>
      <c r="Q799" s="7"/>
      <c r="S799" s="7"/>
      <c r="U799" s="7"/>
      <c r="W799" s="7"/>
      <c r="Y799" s="7"/>
    </row>
    <row r="800" ht="24.75" customHeight="1">
      <c r="L800" s="7"/>
      <c r="Q800" s="7"/>
      <c r="S800" s="7"/>
      <c r="U800" s="7"/>
      <c r="W800" s="7"/>
      <c r="Y800" s="7"/>
    </row>
    <row r="801" ht="24.75" customHeight="1">
      <c r="L801" s="7"/>
      <c r="Q801" s="7"/>
      <c r="S801" s="7"/>
      <c r="U801" s="7"/>
      <c r="W801" s="7"/>
      <c r="Y801" s="7"/>
    </row>
    <row r="802" ht="24.75" customHeight="1">
      <c r="L802" s="7"/>
      <c r="Q802" s="7"/>
      <c r="S802" s="7"/>
      <c r="U802" s="7"/>
      <c r="W802" s="7"/>
      <c r="Y802" s="7"/>
    </row>
    <row r="803" ht="24.75" customHeight="1">
      <c r="L803" s="7"/>
      <c r="Q803" s="7"/>
      <c r="S803" s="7"/>
      <c r="U803" s="7"/>
      <c r="W803" s="7"/>
      <c r="Y803" s="7"/>
    </row>
    <row r="804" ht="24.75" customHeight="1">
      <c r="L804" s="7"/>
      <c r="Q804" s="7"/>
      <c r="S804" s="7"/>
      <c r="U804" s="7"/>
      <c r="W804" s="7"/>
      <c r="Y804" s="7"/>
    </row>
    <row r="805" ht="24.75" customHeight="1">
      <c r="L805" s="7"/>
      <c r="Q805" s="7"/>
      <c r="S805" s="7"/>
      <c r="U805" s="7"/>
      <c r="W805" s="7"/>
      <c r="Y805" s="7"/>
    </row>
    <row r="806" ht="24.75" customHeight="1">
      <c r="L806" s="7"/>
      <c r="Q806" s="7"/>
      <c r="S806" s="7"/>
      <c r="U806" s="7"/>
      <c r="W806" s="7"/>
      <c r="Y806" s="7"/>
    </row>
    <row r="807" ht="24.75" customHeight="1">
      <c r="L807" s="7"/>
      <c r="Q807" s="7"/>
      <c r="S807" s="7"/>
      <c r="U807" s="7"/>
      <c r="W807" s="7"/>
      <c r="Y807" s="7"/>
    </row>
    <row r="808" ht="24.75" customHeight="1">
      <c r="L808" s="7"/>
      <c r="Q808" s="7"/>
      <c r="S808" s="7"/>
      <c r="U808" s="7"/>
      <c r="W808" s="7"/>
      <c r="Y808" s="7"/>
    </row>
    <row r="809" ht="24.75" customHeight="1">
      <c r="L809" s="7"/>
      <c r="Q809" s="7"/>
      <c r="S809" s="7"/>
      <c r="U809" s="7"/>
      <c r="W809" s="7"/>
      <c r="Y809" s="7"/>
    </row>
    <row r="810" ht="24.75" customHeight="1">
      <c r="L810" s="7"/>
      <c r="Q810" s="7"/>
      <c r="S810" s="7"/>
      <c r="U810" s="7"/>
      <c r="W810" s="7"/>
      <c r="Y810" s="7"/>
    </row>
    <row r="811" ht="24.75" customHeight="1">
      <c r="L811" s="7"/>
      <c r="Q811" s="7"/>
      <c r="S811" s="7"/>
      <c r="U811" s="7"/>
      <c r="W811" s="7"/>
      <c r="Y811" s="7"/>
    </row>
    <row r="812" ht="24.75" customHeight="1">
      <c r="L812" s="7"/>
      <c r="Q812" s="7"/>
      <c r="S812" s="7"/>
      <c r="U812" s="7"/>
      <c r="W812" s="7"/>
      <c r="Y812" s="7"/>
    </row>
    <row r="813" ht="24.75" customHeight="1">
      <c r="L813" s="7"/>
      <c r="Q813" s="7"/>
      <c r="S813" s="7"/>
      <c r="U813" s="7"/>
      <c r="W813" s="7"/>
      <c r="Y813" s="7"/>
    </row>
    <row r="814" ht="24.75" customHeight="1">
      <c r="L814" s="7"/>
      <c r="Q814" s="7"/>
      <c r="S814" s="7"/>
      <c r="U814" s="7"/>
      <c r="W814" s="7"/>
      <c r="Y814" s="7"/>
    </row>
    <row r="815" ht="24.75" customHeight="1">
      <c r="L815" s="7"/>
      <c r="Q815" s="7"/>
      <c r="S815" s="7"/>
      <c r="U815" s="7"/>
      <c r="W815" s="7"/>
      <c r="Y815" s="7"/>
    </row>
    <row r="816" ht="24.75" customHeight="1">
      <c r="L816" s="7"/>
      <c r="Q816" s="7"/>
      <c r="S816" s="7"/>
      <c r="U816" s="7"/>
      <c r="W816" s="7"/>
      <c r="Y816" s="7"/>
    </row>
    <row r="817" ht="24.75" customHeight="1">
      <c r="L817" s="7"/>
      <c r="Q817" s="7"/>
      <c r="S817" s="7"/>
      <c r="U817" s="7"/>
      <c r="W817" s="7"/>
      <c r="Y817" s="7"/>
    </row>
    <row r="818" ht="24.75" customHeight="1">
      <c r="L818" s="7"/>
      <c r="Q818" s="7"/>
      <c r="S818" s="7"/>
      <c r="U818" s="7"/>
      <c r="W818" s="7"/>
      <c r="Y818" s="7"/>
    </row>
    <row r="819" ht="24.75" customHeight="1">
      <c r="L819" s="7"/>
      <c r="Q819" s="7"/>
      <c r="S819" s="7"/>
      <c r="U819" s="7"/>
      <c r="W819" s="7"/>
      <c r="Y819" s="7"/>
    </row>
    <row r="820" ht="24.75" customHeight="1">
      <c r="L820" s="7"/>
      <c r="Q820" s="7"/>
      <c r="S820" s="7"/>
      <c r="U820" s="7"/>
      <c r="W820" s="7"/>
      <c r="Y820" s="7"/>
    </row>
    <row r="821" ht="24.75" customHeight="1">
      <c r="L821" s="7"/>
      <c r="Q821" s="7"/>
      <c r="S821" s="7"/>
      <c r="U821" s="7"/>
      <c r="W821" s="7"/>
      <c r="Y821" s="7"/>
    </row>
    <row r="822" ht="24.75" customHeight="1">
      <c r="L822" s="7"/>
      <c r="Q822" s="7"/>
      <c r="S822" s="7"/>
      <c r="U822" s="7"/>
      <c r="W822" s="7"/>
      <c r="Y822" s="7"/>
    </row>
    <row r="823" ht="24.75" customHeight="1">
      <c r="L823" s="7"/>
      <c r="Q823" s="7"/>
      <c r="S823" s="7"/>
      <c r="U823" s="7"/>
      <c r="W823" s="7"/>
      <c r="Y823" s="7"/>
    </row>
    <row r="824" ht="24.75" customHeight="1">
      <c r="L824" s="7"/>
      <c r="Q824" s="7"/>
      <c r="S824" s="7"/>
      <c r="U824" s="7"/>
      <c r="W824" s="7"/>
      <c r="Y824" s="7"/>
    </row>
    <row r="825" ht="24.75" customHeight="1">
      <c r="L825" s="7"/>
      <c r="Q825" s="7"/>
      <c r="S825" s="7"/>
      <c r="U825" s="7"/>
      <c r="W825" s="7"/>
      <c r="Y825" s="7"/>
    </row>
    <row r="826" ht="24.75" customHeight="1">
      <c r="L826" s="7"/>
      <c r="Q826" s="7"/>
      <c r="S826" s="7"/>
      <c r="U826" s="7"/>
      <c r="W826" s="7"/>
      <c r="Y826" s="7"/>
    </row>
    <row r="827" ht="24.75" customHeight="1">
      <c r="L827" s="7"/>
      <c r="Q827" s="7"/>
      <c r="S827" s="7"/>
      <c r="U827" s="7"/>
      <c r="W827" s="7"/>
      <c r="Y827" s="7"/>
    </row>
    <row r="828" ht="24.75" customHeight="1">
      <c r="L828" s="7"/>
      <c r="Q828" s="7"/>
      <c r="S828" s="7"/>
      <c r="U828" s="7"/>
      <c r="W828" s="7"/>
      <c r="Y828" s="7"/>
    </row>
    <row r="829" ht="24.75" customHeight="1">
      <c r="L829" s="7"/>
      <c r="Q829" s="7"/>
      <c r="S829" s="7"/>
      <c r="U829" s="7"/>
      <c r="W829" s="7"/>
      <c r="Y829" s="7"/>
    </row>
    <row r="830" ht="24.75" customHeight="1">
      <c r="L830" s="7"/>
      <c r="Q830" s="7"/>
      <c r="S830" s="7"/>
      <c r="U830" s="7"/>
      <c r="W830" s="7"/>
      <c r="Y830" s="7"/>
    </row>
    <row r="831" ht="24.75" customHeight="1">
      <c r="L831" s="7"/>
      <c r="Q831" s="7"/>
      <c r="S831" s="7"/>
      <c r="U831" s="7"/>
      <c r="W831" s="7"/>
      <c r="Y831" s="7"/>
    </row>
    <row r="832" ht="24.75" customHeight="1">
      <c r="L832" s="7"/>
      <c r="Q832" s="7"/>
      <c r="S832" s="7"/>
      <c r="U832" s="7"/>
      <c r="W832" s="7"/>
      <c r="Y832" s="7"/>
    </row>
    <row r="833" ht="24.75" customHeight="1">
      <c r="L833" s="7"/>
      <c r="Q833" s="7"/>
      <c r="S833" s="7"/>
      <c r="U833" s="7"/>
      <c r="W833" s="7"/>
      <c r="Y833" s="7"/>
    </row>
    <row r="834" ht="24.75" customHeight="1">
      <c r="L834" s="7"/>
      <c r="Q834" s="7"/>
      <c r="S834" s="7"/>
      <c r="U834" s="7"/>
      <c r="W834" s="7"/>
      <c r="Y834" s="7"/>
    </row>
    <row r="835" ht="24.75" customHeight="1">
      <c r="L835" s="7"/>
      <c r="Q835" s="7"/>
      <c r="S835" s="7"/>
      <c r="U835" s="7"/>
      <c r="W835" s="7"/>
      <c r="Y835" s="7"/>
    </row>
    <row r="836" ht="24.75" customHeight="1">
      <c r="L836" s="7"/>
      <c r="Q836" s="7"/>
      <c r="S836" s="7"/>
      <c r="U836" s="7"/>
      <c r="W836" s="7"/>
      <c r="Y836" s="7"/>
    </row>
    <row r="837" ht="24.75" customHeight="1">
      <c r="L837" s="7"/>
      <c r="Q837" s="7"/>
      <c r="S837" s="7"/>
      <c r="U837" s="7"/>
      <c r="W837" s="7"/>
      <c r="Y837" s="7"/>
    </row>
    <row r="838" ht="24.75" customHeight="1">
      <c r="L838" s="7"/>
      <c r="Q838" s="7"/>
      <c r="S838" s="7"/>
      <c r="U838" s="7"/>
      <c r="W838" s="7"/>
      <c r="Y838" s="7"/>
    </row>
    <row r="839" ht="24.75" customHeight="1">
      <c r="L839" s="7"/>
      <c r="Q839" s="7"/>
      <c r="S839" s="7"/>
      <c r="U839" s="7"/>
      <c r="W839" s="7"/>
      <c r="Y839" s="7"/>
    </row>
    <row r="840" ht="24.75" customHeight="1">
      <c r="L840" s="7"/>
      <c r="Q840" s="7"/>
      <c r="S840" s="7"/>
      <c r="U840" s="7"/>
      <c r="W840" s="7"/>
      <c r="Y840" s="7"/>
    </row>
    <row r="841" ht="24.75" customHeight="1">
      <c r="L841" s="7"/>
      <c r="Q841" s="7"/>
      <c r="S841" s="7"/>
      <c r="U841" s="7"/>
      <c r="W841" s="7"/>
      <c r="Y841" s="7"/>
    </row>
    <row r="842" ht="24.75" customHeight="1">
      <c r="L842" s="7"/>
      <c r="Q842" s="7"/>
      <c r="S842" s="7"/>
      <c r="U842" s="7"/>
      <c r="W842" s="7"/>
      <c r="Y842" s="7"/>
    </row>
    <row r="843" ht="24.75" customHeight="1">
      <c r="L843" s="7"/>
      <c r="Q843" s="7"/>
      <c r="S843" s="7"/>
      <c r="U843" s="7"/>
      <c r="W843" s="7"/>
      <c r="Y843" s="7"/>
    </row>
    <row r="844" ht="24.75" customHeight="1">
      <c r="L844" s="7"/>
      <c r="Q844" s="7"/>
      <c r="S844" s="7"/>
      <c r="U844" s="7"/>
      <c r="W844" s="7"/>
      <c r="Y844" s="7"/>
    </row>
    <row r="845" ht="24.75" customHeight="1">
      <c r="L845" s="7"/>
      <c r="Q845" s="7"/>
      <c r="S845" s="7"/>
      <c r="U845" s="7"/>
      <c r="W845" s="7"/>
      <c r="Y845" s="7"/>
    </row>
    <row r="846" ht="24.75" customHeight="1">
      <c r="L846" s="7"/>
      <c r="Q846" s="7"/>
      <c r="S846" s="7"/>
      <c r="U846" s="7"/>
      <c r="W846" s="7"/>
      <c r="Y846" s="7"/>
    </row>
    <row r="847" ht="24.75" customHeight="1">
      <c r="L847" s="7"/>
      <c r="Q847" s="7"/>
      <c r="S847" s="7"/>
      <c r="U847" s="7"/>
      <c r="W847" s="7"/>
      <c r="Y847" s="7"/>
    </row>
    <row r="848" ht="24.75" customHeight="1">
      <c r="L848" s="7"/>
      <c r="Q848" s="7"/>
      <c r="S848" s="7"/>
      <c r="U848" s="7"/>
      <c r="W848" s="7"/>
      <c r="Y848" s="7"/>
    </row>
    <row r="849" ht="24.75" customHeight="1">
      <c r="L849" s="7"/>
      <c r="Q849" s="7"/>
      <c r="S849" s="7"/>
      <c r="U849" s="7"/>
      <c r="W849" s="7"/>
      <c r="Y849" s="7"/>
    </row>
    <row r="850" ht="24.75" customHeight="1">
      <c r="L850" s="7"/>
      <c r="Q850" s="7"/>
      <c r="S850" s="7"/>
      <c r="U850" s="7"/>
      <c r="W850" s="7"/>
      <c r="Y850" s="7"/>
    </row>
    <row r="851" ht="24.75" customHeight="1">
      <c r="L851" s="7"/>
      <c r="Q851" s="7"/>
      <c r="S851" s="7"/>
      <c r="U851" s="7"/>
      <c r="W851" s="7"/>
      <c r="Y851" s="7"/>
    </row>
    <row r="852" ht="24.75" customHeight="1">
      <c r="L852" s="7"/>
      <c r="Q852" s="7"/>
      <c r="S852" s="7"/>
      <c r="U852" s="7"/>
      <c r="W852" s="7"/>
      <c r="Y852" s="7"/>
    </row>
    <row r="853" ht="24.75" customHeight="1">
      <c r="L853" s="7"/>
      <c r="Q853" s="7"/>
      <c r="S853" s="7"/>
      <c r="U853" s="7"/>
      <c r="W853" s="7"/>
      <c r="Y853" s="7"/>
    </row>
    <row r="854" ht="24.75" customHeight="1">
      <c r="L854" s="7"/>
      <c r="Q854" s="7"/>
      <c r="S854" s="7"/>
      <c r="U854" s="7"/>
      <c r="W854" s="7"/>
      <c r="Y854" s="7"/>
    </row>
    <row r="855" ht="24.75" customHeight="1">
      <c r="L855" s="7"/>
      <c r="Q855" s="7"/>
      <c r="S855" s="7"/>
      <c r="U855" s="7"/>
      <c r="W855" s="7"/>
      <c r="Y855" s="7"/>
    </row>
    <row r="856" ht="24.75" customHeight="1">
      <c r="L856" s="7"/>
      <c r="Q856" s="7"/>
      <c r="S856" s="7"/>
      <c r="U856" s="7"/>
      <c r="W856" s="7"/>
      <c r="Y856" s="7"/>
    </row>
    <row r="857" ht="24.75" customHeight="1">
      <c r="L857" s="7"/>
      <c r="Q857" s="7"/>
      <c r="S857" s="7"/>
      <c r="U857" s="7"/>
      <c r="W857" s="7"/>
      <c r="Y857" s="7"/>
    </row>
    <row r="858" ht="24.75" customHeight="1">
      <c r="L858" s="7"/>
      <c r="Q858" s="7"/>
      <c r="S858" s="7"/>
      <c r="U858" s="7"/>
      <c r="W858" s="7"/>
      <c r="Y858" s="7"/>
    </row>
    <row r="859" ht="24.75" customHeight="1">
      <c r="L859" s="7"/>
      <c r="Q859" s="7"/>
      <c r="S859" s="7"/>
      <c r="U859" s="7"/>
      <c r="W859" s="7"/>
      <c r="Y859" s="7"/>
    </row>
    <row r="860" ht="24.75" customHeight="1">
      <c r="L860" s="7"/>
      <c r="Q860" s="7"/>
      <c r="S860" s="7"/>
      <c r="U860" s="7"/>
      <c r="W860" s="7"/>
      <c r="Y860" s="7"/>
    </row>
    <row r="861" ht="24.75" customHeight="1">
      <c r="L861" s="7"/>
      <c r="Q861" s="7"/>
      <c r="S861" s="7"/>
      <c r="U861" s="7"/>
      <c r="W861" s="7"/>
      <c r="Y861" s="7"/>
    </row>
    <row r="862" ht="24.75" customHeight="1">
      <c r="L862" s="7"/>
      <c r="Q862" s="7"/>
      <c r="S862" s="7"/>
      <c r="U862" s="7"/>
      <c r="W862" s="7"/>
      <c r="Y862" s="7"/>
    </row>
    <row r="863" ht="24.75" customHeight="1">
      <c r="L863" s="7"/>
      <c r="Q863" s="7"/>
      <c r="S863" s="7"/>
      <c r="U863" s="7"/>
      <c r="W863" s="7"/>
      <c r="Y863" s="7"/>
    </row>
    <row r="864" ht="24.75" customHeight="1">
      <c r="L864" s="7"/>
      <c r="Q864" s="7"/>
      <c r="S864" s="7"/>
      <c r="U864" s="7"/>
      <c r="W864" s="7"/>
      <c r="Y864" s="7"/>
    </row>
    <row r="865" ht="24.75" customHeight="1">
      <c r="L865" s="7"/>
      <c r="Q865" s="7"/>
      <c r="S865" s="7"/>
      <c r="U865" s="7"/>
      <c r="W865" s="7"/>
      <c r="Y865" s="7"/>
    </row>
    <row r="866" ht="24.75" customHeight="1">
      <c r="L866" s="7"/>
      <c r="Q866" s="7"/>
      <c r="S866" s="7"/>
      <c r="U866" s="7"/>
      <c r="W866" s="7"/>
      <c r="Y866" s="7"/>
    </row>
    <row r="867" ht="24.75" customHeight="1">
      <c r="L867" s="7"/>
      <c r="Q867" s="7"/>
      <c r="S867" s="7"/>
      <c r="U867" s="7"/>
      <c r="W867" s="7"/>
      <c r="Y867" s="7"/>
    </row>
    <row r="868" ht="24.75" customHeight="1">
      <c r="L868" s="7"/>
      <c r="Q868" s="7"/>
      <c r="S868" s="7"/>
      <c r="U868" s="7"/>
      <c r="W868" s="7"/>
      <c r="Y868" s="7"/>
    </row>
    <row r="869" ht="24.75" customHeight="1">
      <c r="L869" s="7"/>
      <c r="Q869" s="7"/>
      <c r="S869" s="7"/>
      <c r="U869" s="7"/>
      <c r="W869" s="7"/>
      <c r="Y869" s="7"/>
    </row>
    <row r="870" ht="24.75" customHeight="1">
      <c r="L870" s="7"/>
      <c r="Q870" s="7"/>
      <c r="S870" s="7"/>
      <c r="U870" s="7"/>
      <c r="W870" s="7"/>
      <c r="Y870" s="7"/>
    </row>
    <row r="871" ht="24.75" customHeight="1">
      <c r="L871" s="7"/>
      <c r="Q871" s="7"/>
      <c r="S871" s="7"/>
      <c r="U871" s="7"/>
      <c r="W871" s="7"/>
      <c r="Y871" s="7"/>
    </row>
    <row r="872" ht="24.75" customHeight="1">
      <c r="L872" s="7"/>
      <c r="Q872" s="7"/>
      <c r="S872" s="7"/>
      <c r="U872" s="7"/>
      <c r="W872" s="7"/>
      <c r="Y872" s="7"/>
    </row>
    <row r="873" ht="24.75" customHeight="1">
      <c r="L873" s="7"/>
      <c r="Q873" s="7"/>
      <c r="S873" s="7"/>
      <c r="U873" s="7"/>
      <c r="W873" s="7"/>
      <c r="Y873" s="7"/>
    </row>
    <row r="874" ht="24.75" customHeight="1">
      <c r="L874" s="7"/>
      <c r="Q874" s="7"/>
      <c r="S874" s="7"/>
      <c r="U874" s="7"/>
      <c r="W874" s="7"/>
      <c r="Y874" s="7"/>
    </row>
    <row r="875" ht="24.75" customHeight="1">
      <c r="L875" s="7"/>
      <c r="Q875" s="7"/>
      <c r="S875" s="7"/>
      <c r="U875" s="7"/>
      <c r="W875" s="7"/>
      <c r="Y875" s="7"/>
    </row>
    <row r="876" ht="24.75" customHeight="1">
      <c r="L876" s="7"/>
      <c r="Q876" s="7"/>
      <c r="S876" s="7"/>
      <c r="U876" s="7"/>
      <c r="W876" s="7"/>
      <c r="Y876" s="7"/>
    </row>
    <row r="877" ht="24.75" customHeight="1">
      <c r="L877" s="7"/>
      <c r="Q877" s="7"/>
      <c r="S877" s="7"/>
      <c r="U877" s="7"/>
      <c r="W877" s="7"/>
      <c r="Y877" s="7"/>
    </row>
    <row r="878" ht="24.75" customHeight="1">
      <c r="L878" s="7"/>
      <c r="Q878" s="7"/>
      <c r="S878" s="7"/>
      <c r="U878" s="7"/>
      <c r="W878" s="7"/>
      <c r="Y878" s="7"/>
    </row>
    <row r="879" ht="24.75" customHeight="1">
      <c r="L879" s="7"/>
      <c r="Q879" s="7"/>
      <c r="S879" s="7"/>
      <c r="U879" s="7"/>
      <c r="W879" s="7"/>
      <c r="Y879" s="7"/>
    </row>
    <row r="880" ht="24.75" customHeight="1">
      <c r="L880" s="7"/>
      <c r="Q880" s="7"/>
      <c r="S880" s="7"/>
      <c r="U880" s="7"/>
      <c r="W880" s="7"/>
      <c r="Y880" s="7"/>
    </row>
    <row r="881" ht="24.75" customHeight="1">
      <c r="L881" s="7"/>
      <c r="Q881" s="7"/>
      <c r="S881" s="7"/>
      <c r="U881" s="7"/>
      <c r="W881" s="7"/>
      <c r="Y881" s="7"/>
    </row>
    <row r="882" ht="24.75" customHeight="1">
      <c r="L882" s="7"/>
      <c r="Q882" s="7"/>
      <c r="S882" s="7"/>
      <c r="U882" s="7"/>
      <c r="W882" s="7"/>
      <c r="Y882" s="7"/>
    </row>
    <row r="883" ht="24.75" customHeight="1">
      <c r="L883" s="7"/>
      <c r="Q883" s="7"/>
      <c r="S883" s="7"/>
      <c r="U883" s="7"/>
      <c r="W883" s="7"/>
      <c r="Y883" s="7"/>
    </row>
    <row r="884" ht="24.75" customHeight="1">
      <c r="L884" s="7"/>
      <c r="Q884" s="7"/>
      <c r="S884" s="7"/>
      <c r="U884" s="7"/>
      <c r="W884" s="7"/>
      <c r="Y884" s="7"/>
    </row>
    <row r="885" ht="24.75" customHeight="1">
      <c r="L885" s="7"/>
      <c r="Q885" s="7"/>
      <c r="S885" s="7"/>
      <c r="U885" s="7"/>
      <c r="W885" s="7"/>
      <c r="Y885" s="7"/>
    </row>
    <row r="886" ht="24.75" customHeight="1">
      <c r="L886" s="7"/>
      <c r="Q886" s="7"/>
      <c r="S886" s="7"/>
      <c r="U886" s="7"/>
      <c r="W886" s="7"/>
      <c r="Y886" s="7"/>
    </row>
    <row r="887" ht="24.75" customHeight="1">
      <c r="L887" s="7"/>
      <c r="Q887" s="7"/>
      <c r="S887" s="7"/>
      <c r="U887" s="7"/>
      <c r="W887" s="7"/>
      <c r="Y887" s="7"/>
    </row>
    <row r="888" ht="24.75" customHeight="1">
      <c r="L888" s="7"/>
      <c r="Q888" s="7"/>
      <c r="S888" s="7"/>
      <c r="U888" s="7"/>
      <c r="W888" s="7"/>
      <c r="Y888" s="7"/>
    </row>
    <row r="889" ht="24.75" customHeight="1">
      <c r="L889" s="7"/>
      <c r="Q889" s="7"/>
      <c r="S889" s="7"/>
      <c r="U889" s="7"/>
      <c r="W889" s="7"/>
      <c r="Y889" s="7"/>
    </row>
    <row r="890" ht="24.75" customHeight="1">
      <c r="L890" s="7"/>
      <c r="Q890" s="7"/>
      <c r="S890" s="7"/>
      <c r="U890" s="7"/>
      <c r="W890" s="7"/>
      <c r="Y890" s="7"/>
    </row>
    <row r="891" ht="24.75" customHeight="1">
      <c r="L891" s="7"/>
      <c r="Q891" s="7"/>
      <c r="S891" s="7"/>
      <c r="U891" s="7"/>
      <c r="W891" s="7"/>
      <c r="Y891" s="7"/>
    </row>
    <row r="892" ht="24.75" customHeight="1">
      <c r="L892" s="7"/>
      <c r="Q892" s="7"/>
      <c r="S892" s="7"/>
      <c r="U892" s="7"/>
      <c r="W892" s="7"/>
      <c r="Y892" s="7"/>
    </row>
    <row r="893" ht="24.75" customHeight="1">
      <c r="L893" s="7"/>
      <c r="Q893" s="7"/>
      <c r="S893" s="7"/>
      <c r="U893" s="7"/>
      <c r="W893" s="7"/>
      <c r="Y893" s="7"/>
    </row>
    <row r="894" ht="24.75" customHeight="1">
      <c r="L894" s="7"/>
      <c r="Q894" s="7"/>
      <c r="S894" s="7"/>
      <c r="U894" s="7"/>
      <c r="W894" s="7"/>
      <c r="Y894" s="7"/>
    </row>
    <row r="895" ht="24.75" customHeight="1">
      <c r="L895" s="7"/>
      <c r="Q895" s="7"/>
      <c r="S895" s="7"/>
      <c r="U895" s="7"/>
      <c r="W895" s="7"/>
      <c r="Y895" s="7"/>
    </row>
    <row r="896" ht="24.75" customHeight="1">
      <c r="L896" s="7"/>
      <c r="Q896" s="7"/>
      <c r="S896" s="7"/>
      <c r="U896" s="7"/>
      <c r="W896" s="7"/>
      <c r="Y896" s="7"/>
    </row>
    <row r="897" ht="24.75" customHeight="1">
      <c r="L897" s="7"/>
      <c r="Q897" s="7"/>
      <c r="S897" s="7"/>
      <c r="U897" s="7"/>
      <c r="W897" s="7"/>
      <c r="Y897" s="7"/>
    </row>
    <row r="898" ht="24.75" customHeight="1">
      <c r="L898" s="7"/>
      <c r="Q898" s="7"/>
      <c r="S898" s="7"/>
      <c r="U898" s="7"/>
      <c r="W898" s="7"/>
      <c r="Y898" s="7"/>
    </row>
    <row r="899" ht="24.75" customHeight="1">
      <c r="L899" s="7"/>
      <c r="Q899" s="7"/>
      <c r="S899" s="7"/>
      <c r="U899" s="7"/>
      <c r="W899" s="7"/>
      <c r="Y899" s="7"/>
    </row>
    <row r="900" ht="24.75" customHeight="1">
      <c r="L900" s="7"/>
      <c r="Q900" s="7"/>
      <c r="S900" s="7"/>
      <c r="U900" s="7"/>
      <c r="W900" s="7"/>
      <c r="Y900" s="7"/>
    </row>
    <row r="901" ht="24.75" customHeight="1">
      <c r="L901" s="7"/>
      <c r="Q901" s="7"/>
      <c r="S901" s="7"/>
      <c r="U901" s="7"/>
      <c r="W901" s="7"/>
      <c r="Y901" s="7"/>
    </row>
    <row r="902" ht="24.75" customHeight="1">
      <c r="L902" s="7"/>
      <c r="Q902" s="7"/>
      <c r="S902" s="7"/>
      <c r="U902" s="7"/>
      <c r="W902" s="7"/>
      <c r="Y902" s="7"/>
    </row>
    <row r="903" ht="24.75" customHeight="1">
      <c r="L903" s="7"/>
      <c r="Q903" s="7"/>
      <c r="S903" s="7"/>
      <c r="U903" s="7"/>
      <c r="W903" s="7"/>
      <c r="Y903" s="7"/>
    </row>
    <row r="904" ht="24.75" customHeight="1">
      <c r="L904" s="7"/>
      <c r="Q904" s="7"/>
      <c r="S904" s="7"/>
      <c r="U904" s="7"/>
      <c r="W904" s="7"/>
      <c r="Y904" s="7"/>
    </row>
    <row r="905" ht="24.75" customHeight="1">
      <c r="L905" s="7"/>
      <c r="Q905" s="7"/>
      <c r="S905" s="7"/>
      <c r="U905" s="7"/>
      <c r="W905" s="7"/>
      <c r="Y905" s="7"/>
    </row>
    <row r="906" ht="24.75" customHeight="1">
      <c r="L906" s="7"/>
      <c r="Q906" s="7"/>
      <c r="S906" s="7"/>
      <c r="U906" s="7"/>
      <c r="W906" s="7"/>
      <c r="Y906" s="7"/>
    </row>
    <row r="907" ht="24.75" customHeight="1">
      <c r="L907" s="7"/>
      <c r="Q907" s="7"/>
      <c r="S907" s="7"/>
      <c r="U907" s="7"/>
      <c r="W907" s="7"/>
      <c r="Y907" s="7"/>
    </row>
    <row r="908" ht="24.75" customHeight="1">
      <c r="L908" s="7"/>
      <c r="Q908" s="7"/>
      <c r="S908" s="7"/>
      <c r="U908" s="7"/>
      <c r="W908" s="7"/>
      <c r="Y908" s="7"/>
    </row>
    <row r="909" ht="24.75" customHeight="1">
      <c r="L909" s="7"/>
      <c r="Q909" s="7"/>
      <c r="S909" s="7"/>
      <c r="U909" s="7"/>
      <c r="W909" s="7"/>
      <c r="Y909" s="7"/>
    </row>
    <row r="910" ht="24.75" customHeight="1">
      <c r="L910" s="7"/>
      <c r="Q910" s="7"/>
      <c r="S910" s="7"/>
      <c r="U910" s="7"/>
      <c r="W910" s="7"/>
      <c r="Y910" s="7"/>
    </row>
    <row r="911" ht="24.75" customHeight="1">
      <c r="L911" s="7"/>
      <c r="Q911" s="7"/>
      <c r="S911" s="7"/>
      <c r="U911" s="7"/>
      <c r="W911" s="7"/>
      <c r="Y911" s="7"/>
    </row>
    <row r="912" ht="24.75" customHeight="1">
      <c r="L912" s="7"/>
      <c r="Q912" s="7"/>
      <c r="S912" s="7"/>
      <c r="U912" s="7"/>
      <c r="W912" s="7"/>
      <c r="Y912" s="7"/>
    </row>
    <row r="913" ht="24.75" customHeight="1">
      <c r="L913" s="7"/>
      <c r="Q913" s="7"/>
      <c r="S913" s="7"/>
      <c r="U913" s="7"/>
      <c r="W913" s="7"/>
      <c r="Y913" s="7"/>
    </row>
    <row r="914" ht="24.75" customHeight="1">
      <c r="L914" s="7"/>
      <c r="Q914" s="7"/>
      <c r="S914" s="7"/>
      <c r="U914" s="7"/>
      <c r="W914" s="7"/>
      <c r="Y914" s="7"/>
    </row>
    <row r="915" ht="24.75" customHeight="1">
      <c r="L915" s="7"/>
      <c r="Q915" s="7"/>
      <c r="S915" s="7"/>
      <c r="U915" s="7"/>
      <c r="W915" s="7"/>
      <c r="Y915" s="7"/>
    </row>
    <row r="916" ht="24.75" customHeight="1">
      <c r="L916" s="7"/>
      <c r="Q916" s="7"/>
      <c r="S916" s="7"/>
      <c r="U916" s="7"/>
      <c r="W916" s="7"/>
      <c r="Y916" s="7"/>
    </row>
    <row r="917" ht="24.75" customHeight="1">
      <c r="L917" s="7"/>
      <c r="Q917" s="7"/>
      <c r="S917" s="7"/>
      <c r="U917" s="7"/>
      <c r="W917" s="7"/>
      <c r="Y917" s="7"/>
    </row>
    <row r="918" ht="24.75" customHeight="1">
      <c r="L918" s="7"/>
      <c r="Q918" s="7"/>
      <c r="S918" s="7"/>
      <c r="U918" s="7"/>
      <c r="W918" s="7"/>
      <c r="Y918" s="7"/>
    </row>
    <row r="919" ht="24.75" customHeight="1">
      <c r="L919" s="7"/>
      <c r="Q919" s="7"/>
      <c r="S919" s="7"/>
      <c r="U919" s="7"/>
      <c r="W919" s="7"/>
      <c r="Y919" s="7"/>
    </row>
    <row r="920" ht="24.75" customHeight="1">
      <c r="L920" s="7"/>
      <c r="Q920" s="7"/>
      <c r="S920" s="7"/>
      <c r="U920" s="7"/>
      <c r="W920" s="7"/>
      <c r="Y920" s="7"/>
    </row>
    <row r="921" ht="24.75" customHeight="1">
      <c r="L921" s="7"/>
      <c r="Q921" s="7"/>
      <c r="S921" s="7"/>
      <c r="U921" s="7"/>
      <c r="W921" s="7"/>
      <c r="Y921" s="7"/>
    </row>
    <row r="922" ht="24.75" customHeight="1">
      <c r="L922" s="7"/>
      <c r="Q922" s="7"/>
      <c r="S922" s="7"/>
      <c r="U922" s="7"/>
      <c r="W922" s="7"/>
      <c r="Y922" s="7"/>
    </row>
    <row r="923" ht="24.75" customHeight="1">
      <c r="L923" s="7"/>
      <c r="Q923" s="7"/>
      <c r="S923" s="7"/>
      <c r="U923" s="7"/>
      <c r="W923" s="7"/>
      <c r="Y923" s="7"/>
    </row>
    <row r="924" ht="24.75" customHeight="1">
      <c r="L924" s="7"/>
      <c r="Q924" s="7"/>
      <c r="S924" s="7"/>
      <c r="U924" s="7"/>
      <c r="W924" s="7"/>
      <c r="Y924" s="7"/>
    </row>
    <row r="925" ht="24.75" customHeight="1">
      <c r="L925" s="7"/>
      <c r="Q925" s="7"/>
      <c r="S925" s="7"/>
      <c r="U925" s="7"/>
      <c r="W925" s="7"/>
      <c r="Y925" s="7"/>
    </row>
    <row r="926" ht="24.75" customHeight="1">
      <c r="L926" s="7"/>
      <c r="Q926" s="7"/>
      <c r="S926" s="7"/>
      <c r="U926" s="7"/>
      <c r="W926" s="7"/>
      <c r="Y926" s="7"/>
    </row>
    <row r="927" ht="24.75" customHeight="1">
      <c r="L927" s="7"/>
      <c r="Q927" s="7"/>
      <c r="S927" s="7"/>
      <c r="U927" s="7"/>
      <c r="W927" s="7"/>
      <c r="Y927" s="7"/>
    </row>
    <row r="928" ht="24.75" customHeight="1">
      <c r="L928" s="7"/>
      <c r="Q928" s="7"/>
      <c r="S928" s="7"/>
      <c r="U928" s="7"/>
      <c r="W928" s="7"/>
      <c r="Y928" s="7"/>
    </row>
    <row r="929" ht="24.75" customHeight="1">
      <c r="L929" s="7"/>
      <c r="Q929" s="7"/>
      <c r="S929" s="7"/>
      <c r="U929" s="7"/>
      <c r="W929" s="7"/>
      <c r="Y929" s="7"/>
    </row>
    <row r="930" ht="24.75" customHeight="1">
      <c r="L930" s="7"/>
      <c r="Q930" s="7"/>
      <c r="S930" s="7"/>
      <c r="U930" s="7"/>
      <c r="W930" s="7"/>
      <c r="Y930" s="7"/>
    </row>
    <row r="931" ht="24.75" customHeight="1">
      <c r="L931" s="7"/>
      <c r="Q931" s="7"/>
      <c r="S931" s="7"/>
      <c r="U931" s="7"/>
      <c r="W931" s="7"/>
      <c r="Y931" s="7"/>
    </row>
    <row r="932" ht="24.75" customHeight="1">
      <c r="L932" s="7"/>
      <c r="Q932" s="7"/>
      <c r="S932" s="7"/>
      <c r="U932" s="7"/>
      <c r="W932" s="7"/>
      <c r="Y932" s="7"/>
    </row>
    <row r="933" ht="24.75" customHeight="1">
      <c r="L933" s="7"/>
      <c r="Q933" s="7"/>
      <c r="S933" s="7"/>
      <c r="U933" s="7"/>
      <c r="W933" s="7"/>
      <c r="Y933" s="7"/>
    </row>
    <row r="934" ht="24.75" customHeight="1">
      <c r="L934" s="7"/>
      <c r="Q934" s="7"/>
      <c r="S934" s="7"/>
      <c r="U934" s="7"/>
      <c r="W934" s="7"/>
      <c r="Y934" s="7"/>
    </row>
    <row r="935" ht="24.75" customHeight="1">
      <c r="L935" s="7"/>
      <c r="Q935" s="7"/>
      <c r="S935" s="7"/>
      <c r="U935" s="7"/>
      <c r="W935" s="7"/>
      <c r="Y935" s="7"/>
    </row>
    <row r="936" ht="24.75" customHeight="1">
      <c r="L936" s="7"/>
      <c r="Q936" s="7"/>
      <c r="S936" s="7"/>
      <c r="U936" s="7"/>
      <c r="W936" s="7"/>
      <c r="Y936" s="7"/>
    </row>
    <row r="937" ht="24.75" customHeight="1">
      <c r="L937" s="7"/>
      <c r="Q937" s="7"/>
      <c r="S937" s="7"/>
      <c r="U937" s="7"/>
      <c r="W937" s="7"/>
      <c r="Y937" s="7"/>
    </row>
    <row r="938" ht="24.75" customHeight="1">
      <c r="L938" s="7"/>
      <c r="Q938" s="7"/>
      <c r="S938" s="7"/>
      <c r="U938" s="7"/>
      <c r="W938" s="7"/>
      <c r="Y938" s="7"/>
    </row>
    <row r="939" ht="24.75" customHeight="1">
      <c r="L939" s="7"/>
      <c r="Q939" s="7"/>
      <c r="S939" s="7"/>
      <c r="U939" s="7"/>
      <c r="W939" s="7"/>
      <c r="Y939" s="7"/>
    </row>
    <row r="940" ht="24.75" customHeight="1">
      <c r="L940" s="7"/>
      <c r="Q940" s="7"/>
      <c r="S940" s="7"/>
      <c r="U940" s="7"/>
      <c r="W940" s="7"/>
      <c r="Y940" s="7"/>
    </row>
    <row r="941" ht="24.75" customHeight="1">
      <c r="L941" s="7"/>
      <c r="Q941" s="7"/>
      <c r="S941" s="7"/>
      <c r="U941" s="7"/>
      <c r="W941" s="7"/>
      <c r="Y941" s="7"/>
    </row>
    <row r="942" ht="24.75" customHeight="1">
      <c r="L942" s="7"/>
      <c r="Q942" s="7"/>
      <c r="S942" s="7"/>
      <c r="U942" s="7"/>
      <c r="W942" s="7"/>
      <c r="Y942" s="7"/>
    </row>
    <row r="943" ht="24.75" customHeight="1">
      <c r="L943" s="7"/>
      <c r="Q943" s="7"/>
      <c r="S943" s="7"/>
      <c r="U943" s="7"/>
      <c r="W943" s="7"/>
      <c r="Y943" s="7"/>
    </row>
    <row r="944" ht="24.75" customHeight="1">
      <c r="L944" s="7"/>
      <c r="Q944" s="7"/>
      <c r="S944" s="7"/>
      <c r="U944" s="7"/>
      <c r="W944" s="7"/>
      <c r="Y944" s="7"/>
    </row>
    <row r="945" ht="24.75" customHeight="1">
      <c r="L945" s="7"/>
      <c r="Q945" s="7"/>
      <c r="S945" s="7"/>
      <c r="U945" s="7"/>
      <c r="W945" s="7"/>
      <c r="Y945" s="7"/>
    </row>
    <row r="946" ht="24.75" customHeight="1">
      <c r="L946" s="7"/>
      <c r="Q946" s="7"/>
      <c r="S946" s="7"/>
      <c r="U946" s="7"/>
      <c r="W946" s="7"/>
      <c r="Y946" s="7"/>
    </row>
    <row r="947" ht="24.75" customHeight="1">
      <c r="L947" s="7"/>
      <c r="Q947" s="7"/>
      <c r="S947" s="7"/>
      <c r="U947" s="7"/>
      <c r="W947" s="7"/>
      <c r="Y947" s="7"/>
    </row>
    <row r="948" ht="24.75" customHeight="1">
      <c r="L948" s="7"/>
      <c r="Q948" s="7"/>
      <c r="S948" s="7"/>
      <c r="U948" s="7"/>
      <c r="W948" s="7"/>
      <c r="Y948" s="7"/>
    </row>
    <row r="949" ht="24.75" customHeight="1">
      <c r="L949" s="7"/>
      <c r="Q949" s="7"/>
      <c r="S949" s="7"/>
      <c r="U949" s="7"/>
      <c r="W949" s="7"/>
      <c r="Y949" s="7"/>
    </row>
    <row r="950" ht="24.75" customHeight="1">
      <c r="L950" s="7"/>
      <c r="Q950" s="7"/>
      <c r="S950" s="7"/>
      <c r="U950" s="7"/>
      <c r="W950" s="7"/>
      <c r="Y950" s="7"/>
    </row>
    <row r="951" ht="24.75" customHeight="1">
      <c r="L951" s="7"/>
      <c r="Q951" s="7"/>
      <c r="S951" s="7"/>
      <c r="U951" s="7"/>
      <c r="W951" s="7"/>
      <c r="Y951" s="7"/>
    </row>
    <row r="952" ht="24.75" customHeight="1">
      <c r="L952" s="7"/>
      <c r="Q952" s="7"/>
      <c r="S952" s="7"/>
      <c r="U952" s="7"/>
      <c r="W952" s="7"/>
      <c r="Y952" s="7"/>
    </row>
    <row r="953" ht="24.75" customHeight="1">
      <c r="L953" s="7"/>
      <c r="Q953" s="7"/>
      <c r="S953" s="7"/>
      <c r="U953" s="7"/>
      <c r="W953" s="7"/>
      <c r="Y953" s="7"/>
    </row>
    <row r="954" ht="24.75" customHeight="1">
      <c r="L954" s="7"/>
      <c r="Q954" s="7"/>
      <c r="S954" s="7"/>
      <c r="U954" s="7"/>
      <c r="W954" s="7"/>
      <c r="Y954" s="7"/>
    </row>
    <row r="955" ht="24.75" customHeight="1">
      <c r="L955" s="7"/>
      <c r="Q955" s="7"/>
      <c r="S955" s="7"/>
      <c r="U955" s="7"/>
      <c r="W955" s="7"/>
      <c r="Y955" s="7"/>
    </row>
    <row r="956" ht="24.75" customHeight="1">
      <c r="L956" s="7"/>
      <c r="Q956" s="7"/>
      <c r="S956" s="7"/>
      <c r="U956" s="7"/>
      <c r="W956" s="7"/>
      <c r="Y956" s="7"/>
    </row>
    <row r="957" ht="24.75" customHeight="1">
      <c r="L957" s="7"/>
      <c r="Q957" s="7"/>
      <c r="S957" s="7"/>
      <c r="U957" s="7"/>
      <c r="W957" s="7"/>
      <c r="Y957" s="7"/>
    </row>
    <row r="958" ht="24.75" customHeight="1">
      <c r="L958" s="7"/>
      <c r="Q958" s="7"/>
      <c r="S958" s="7"/>
      <c r="U958" s="7"/>
      <c r="W958" s="7"/>
      <c r="Y958" s="7"/>
    </row>
    <row r="959" ht="24.75" customHeight="1">
      <c r="L959" s="7"/>
      <c r="Q959" s="7"/>
      <c r="S959" s="7"/>
      <c r="U959" s="7"/>
      <c r="W959" s="7"/>
      <c r="Y959" s="7"/>
    </row>
    <row r="960" ht="24.75" customHeight="1">
      <c r="L960" s="7"/>
      <c r="Q960" s="7"/>
      <c r="S960" s="7"/>
      <c r="U960" s="7"/>
      <c r="W960" s="7"/>
      <c r="Y960" s="7"/>
    </row>
    <row r="961" ht="24.75" customHeight="1">
      <c r="L961" s="7"/>
      <c r="Q961" s="7"/>
      <c r="S961" s="7"/>
      <c r="U961" s="7"/>
      <c r="W961" s="7"/>
      <c r="Y961" s="7"/>
    </row>
    <row r="962" ht="24.75" customHeight="1">
      <c r="L962" s="7"/>
      <c r="Q962" s="7"/>
      <c r="S962" s="7"/>
      <c r="U962" s="7"/>
      <c r="W962" s="7"/>
      <c r="Y962" s="7"/>
    </row>
    <row r="963" ht="24.75" customHeight="1">
      <c r="L963" s="7"/>
      <c r="Q963" s="7"/>
      <c r="S963" s="7"/>
      <c r="U963" s="7"/>
      <c r="W963" s="7"/>
      <c r="Y963" s="7"/>
    </row>
    <row r="964" ht="24.75" customHeight="1">
      <c r="L964" s="7"/>
      <c r="Q964" s="7"/>
      <c r="S964" s="7"/>
      <c r="U964" s="7"/>
      <c r="W964" s="7"/>
      <c r="Y964" s="7"/>
    </row>
    <row r="965" ht="24.75" customHeight="1">
      <c r="L965" s="7"/>
      <c r="Q965" s="7"/>
      <c r="S965" s="7"/>
      <c r="U965" s="7"/>
      <c r="W965" s="7"/>
      <c r="Y965" s="7"/>
    </row>
    <row r="966" ht="24.75" customHeight="1">
      <c r="L966" s="7"/>
      <c r="Q966" s="7"/>
      <c r="S966" s="7"/>
      <c r="U966" s="7"/>
      <c r="W966" s="7"/>
      <c r="Y966" s="7"/>
    </row>
    <row r="967" ht="24.75" customHeight="1">
      <c r="L967" s="7"/>
      <c r="Q967" s="7"/>
      <c r="S967" s="7"/>
      <c r="U967" s="7"/>
      <c r="W967" s="7"/>
      <c r="Y967" s="7"/>
    </row>
    <row r="968" ht="24.75" customHeight="1">
      <c r="L968" s="7"/>
      <c r="Q968" s="7"/>
      <c r="S968" s="7"/>
      <c r="U968" s="7"/>
      <c r="W968" s="7"/>
      <c r="Y968" s="7"/>
    </row>
    <row r="969" ht="24.75" customHeight="1">
      <c r="L969" s="7"/>
      <c r="Q969" s="7"/>
      <c r="S969" s="7"/>
      <c r="U969" s="7"/>
      <c r="W969" s="7"/>
      <c r="Y969" s="7"/>
    </row>
    <row r="970" ht="24.75" customHeight="1">
      <c r="L970" s="7"/>
      <c r="Q970" s="7"/>
      <c r="S970" s="7"/>
      <c r="U970" s="7"/>
      <c r="W970" s="7"/>
      <c r="Y970" s="7"/>
    </row>
    <row r="971" ht="24.75" customHeight="1">
      <c r="L971" s="7"/>
      <c r="Q971" s="7"/>
      <c r="S971" s="7"/>
      <c r="U971" s="7"/>
      <c r="W971" s="7"/>
      <c r="Y971" s="7"/>
    </row>
    <row r="972" ht="24.75" customHeight="1">
      <c r="L972" s="7"/>
      <c r="Q972" s="7"/>
      <c r="S972" s="7"/>
      <c r="U972" s="7"/>
      <c r="W972" s="7"/>
      <c r="Y972" s="7"/>
    </row>
    <row r="973" ht="24.75" customHeight="1">
      <c r="L973" s="7"/>
      <c r="Q973" s="7"/>
      <c r="S973" s="7"/>
      <c r="U973" s="7"/>
      <c r="W973" s="7"/>
      <c r="Y973" s="7"/>
    </row>
    <row r="974" ht="24.75" customHeight="1">
      <c r="L974" s="7"/>
      <c r="Q974" s="7"/>
      <c r="S974" s="7"/>
      <c r="U974" s="7"/>
      <c r="W974" s="7"/>
      <c r="Y974" s="7"/>
    </row>
    <row r="975" ht="24.75" customHeight="1">
      <c r="L975" s="7"/>
      <c r="Q975" s="7"/>
      <c r="S975" s="7"/>
      <c r="U975" s="7"/>
      <c r="W975" s="7"/>
      <c r="Y975" s="7"/>
    </row>
    <row r="976" ht="24.75" customHeight="1">
      <c r="L976" s="7"/>
      <c r="Q976" s="7"/>
      <c r="S976" s="7"/>
      <c r="U976" s="7"/>
      <c r="W976" s="7"/>
      <c r="Y976" s="7"/>
    </row>
    <row r="977" ht="24.75" customHeight="1">
      <c r="L977" s="7"/>
      <c r="Q977" s="7"/>
      <c r="S977" s="7"/>
      <c r="U977" s="7"/>
      <c r="W977" s="7"/>
      <c r="Y977" s="7"/>
    </row>
    <row r="978" ht="24.75" customHeight="1">
      <c r="L978" s="7"/>
      <c r="Q978" s="7"/>
      <c r="S978" s="7"/>
      <c r="U978" s="7"/>
      <c r="W978" s="7"/>
      <c r="Y978" s="7"/>
    </row>
    <row r="979" ht="24.75" customHeight="1">
      <c r="L979" s="7"/>
      <c r="Q979" s="7"/>
      <c r="S979" s="7"/>
      <c r="U979" s="7"/>
      <c r="W979" s="7"/>
      <c r="Y979" s="7"/>
    </row>
    <row r="980" ht="24.75" customHeight="1">
      <c r="L980" s="7"/>
      <c r="Q980" s="7"/>
      <c r="S980" s="7"/>
      <c r="U980" s="7"/>
      <c r="W980" s="7"/>
      <c r="Y980" s="7"/>
    </row>
    <row r="981" ht="24.75" customHeight="1">
      <c r="L981" s="7"/>
      <c r="Q981" s="7"/>
      <c r="S981" s="7"/>
      <c r="U981" s="7"/>
      <c r="W981" s="7"/>
      <c r="Y981" s="7"/>
    </row>
    <row r="982" ht="24.75" customHeight="1">
      <c r="L982" s="7"/>
      <c r="Q982" s="7"/>
      <c r="S982" s="7"/>
      <c r="U982" s="7"/>
      <c r="W982" s="7"/>
      <c r="Y982" s="7"/>
    </row>
    <row r="983" ht="24.75" customHeight="1">
      <c r="L983" s="7"/>
      <c r="Q983" s="7"/>
      <c r="S983" s="7"/>
      <c r="U983" s="7"/>
      <c r="W983" s="7"/>
      <c r="Y983" s="7"/>
    </row>
    <row r="984" ht="24.75" customHeight="1">
      <c r="L984" s="7"/>
      <c r="Q984" s="7"/>
      <c r="S984" s="7"/>
      <c r="U984" s="7"/>
      <c r="W984" s="7"/>
      <c r="Y984" s="7"/>
    </row>
    <row r="985" ht="24.75" customHeight="1">
      <c r="L985" s="7"/>
      <c r="Q985" s="7"/>
      <c r="S985" s="7"/>
      <c r="U985" s="7"/>
      <c r="W985" s="7"/>
      <c r="Y985" s="7"/>
    </row>
    <row r="986" ht="24.75" customHeight="1">
      <c r="L986" s="7"/>
      <c r="Q986" s="7"/>
      <c r="S986" s="7"/>
      <c r="U986" s="7"/>
      <c r="W986" s="7"/>
      <c r="Y986" s="7"/>
    </row>
    <row r="987" ht="24.75" customHeight="1">
      <c r="L987" s="7"/>
      <c r="Q987" s="7"/>
      <c r="S987" s="7"/>
      <c r="U987" s="7"/>
      <c r="W987" s="7"/>
      <c r="Y987" s="7"/>
    </row>
    <row r="988" ht="24.75" customHeight="1">
      <c r="L988" s="7"/>
      <c r="Q988" s="7"/>
      <c r="S988" s="7"/>
      <c r="U988" s="7"/>
      <c r="W988" s="7"/>
      <c r="Y988" s="7"/>
    </row>
    <row r="989" ht="24.75" customHeight="1">
      <c r="L989" s="7"/>
      <c r="Q989" s="7"/>
      <c r="S989" s="7"/>
      <c r="U989" s="7"/>
      <c r="W989" s="7"/>
      <c r="Y989" s="7"/>
    </row>
    <row r="990" ht="24.75" customHeight="1">
      <c r="L990" s="7"/>
      <c r="Q990" s="7"/>
      <c r="S990" s="7"/>
      <c r="U990" s="7"/>
      <c r="W990" s="7"/>
      <c r="Y990" s="7"/>
    </row>
    <row r="991" ht="24.75" customHeight="1">
      <c r="L991" s="7"/>
      <c r="Q991" s="7"/>
      <c r="S991" s="7"/>
      <c r="U991" s="7"/>
      <c r="W991" s="7"/>
      <c r="Y991" s="7"/>
    </row>
    <row r="992" ht="24.75" customHeight="1">
      <c r="L992" s="7"/>
      <c r="Q992" s="7"/>
      <c r="S992" s="7"/>
      <c r="U992" s="7"/>
      <c r="W992" s="7"/>
      <c r="Y992" s="7"/>
    </row>
    <row r="993" ht="24.75" customHeight="1">
      <c r="L993" s="7"/>
      <c r="Q993" s="7"/>
      <c r="S993" s="7"/>
      <c r="U993" s="7"/>
      <c r="W993" s="7"/>
      <c r="Y993" s="7"/>
    </row>
    <row r="994" ht="24.75" customHeight="1">
      <c r="L994" s="7"/>
      <c r="Q994" s="7"/>
      <c r="S994" s="7"/>
      <c r="U994" s="7"/>
      <c r="W994" s="7"/>
      <c r="Y994" s="7"/>
    </row>
    <row r="995" ht="24.75" customHeight="1">
      <c r="L995" s="7"/>
      <c r="Q995" s="7"/>
      <c r="S995" s="7"/>
      <c r="U995" s="7"/>
      <c r="W995" s="7"/>
      <c r="Y995" s="7"/>
    </row>
    <row r="996" ht="24.75" customHeight="1">
      <c r="L996" s="7"/>
      <c r="Q996" s="7"/>
      <c r="S996" s="7"/>
      <c r="U996" s="7"/>
      <c r="W996" s="7"/>
      <c r="Y996" s="7"/>
    </row>
    <row r="997" ht="24.75" customHeight="1">
      <c r="L997" s="7"/>
      <c r="Q997" s="7"/>
      <c r="S997" s="7"/>
      <c r="U997" s="7"/>
      <c r="W997" s="7"/>
      <c r="Y997" s="7"/>
    </row>
    <row r="998" ht="24.75" customHeight="1">
      <c r="L998" s="7"/>
      <c r="Q998" s="7"/>
      <c r="S998" s="7"/>
      <c r="U998" s="7"/>
      <c r="W998" s="7"/>
      <c r="Y998" s="7"/>
    </row>
    <row r="999" ht="24.75" customHeight="1">
      <c r="L999" s="7"/>
      <c r="Q999" s="7"/>
      <c r="S999" s="7"/>
      <c r="U999" s="7"/>
      <c r="W999" s="7"/>
      <c r="Y999" s="7"/>
    </row>
    <row r="1000" ht="24.75" customHeight="1">
      <c r="L1000" s="7"/>
      <c r="Q1000" s="7"/>
      <c r="S1000" s="7"/>
      <c r="U1000" s="7"/>
      <c r="W1000" s="7"/>
      <c r="Y1000" s="7"/>
    </row>
  </sheetData>
  <dataValidations>
    <dataValidation type="list" allowBlank="1" sqref="L2:L1000">
      <formula1>"Must Have,Should Have,Could Have,Will not Have"</formula1>
    </dataValidation>
    <dataValidation type="list" allowBlank="1" sqref="Q2:Q3 S2:S3 W3:W4 Y4 Y6 Q9 S9 Y9 Y13:Y14 Q14:Q17 S14:S17 Q21 S21 Y21:Y22 Y24:Y26 Q23:Q29 S23:S29 U2:U31 W6:W31 Y28:Y31 Q36:Q37 S36:S37 Q39:Q40 S39:S40 Q42:Q43 S42:S43 Y37:Y44 Q46 S46 Y46:Y47 Y52 Y55:Y58 Q58:Q59 S58:S59 W36:W63 Y60:Y63 Q64:Q66 S64:S66 U36:U71 Q72 Q75:Q1000 S72:S1000 U75:U1000 W75:W1000 Y75:Y1000">
      <formula1>"0,1,2,3,5,8,13,21,34,55,89"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>
        <f>SUM(R2:R1006)</f>
        <v>23</v>
      </c>
      <c r="S1" s="1" t="s">
        <v>17</v>
      </c>
      <c r="T1" s="2">
        <f>SUM(T2:T1006)</f>
        <v>37</v>
      </c>
      <c r="U1" s="1" t="s">
        <v>18</v>
      </c>
      <c r="V1" s="2">
        <f>SUM(V2:V1006)</f>
        <v>70</v>
      </c>
      <c r="W1" s="1" t="s">
        <v>19</v>
      </c>
      <c r="X1" s="2">
        <f>SUM(X2:X1006)</f>
        <v>49</v>
      </c>
      <c r="Y1" s="1" t="s">
        <v>20</v>
      </c>
      <c r="Z1" s="2">
        <f t="shared" ref="Z1:AA1" si="1">SUM(Z2:Z1006)</f>
        <v>79</v>
      </c>
      <c r="AA1" s="2">
        <f t="shared" si="1"/>
        <v>198</v>
      </c>
      <c r="AB1" s="1" t="s">
        <v>21</v>
      </c>
      <c r="AC1" s="1" t="s">
        <v>22</v>
      </c>
      <c r="AD1" s="1" t="s">
        <v>23</v>
      </c>
      <c r="AE1" s="1" t="s">
        <v>24</v>
      </c>
    </row>
    <row r="2" ht="24.75" customHeight="1">
      <c r="A2" s="3" t="s">
        <v>37</v>
      </c>
      <c r="B2" s="3" t="s">
        <v>114</v>
      </c>
      <c r="C2" s="3"/>
      <c r="D2" s="3"/>
      <c r="E2" s="3"/>
      <c r="F2" s="3"/>
      <c r="G2" s="3"/>
      <c r="H2" s="3"/>
      <c r="I2" s="3"/>
      <c r="J2" s="3"/>
      <c r="K2" s="3" t="s">
        <v>26</v>
      </c>
      <c r="L2" s="3" t="s">
        <v>27</v>
      </c>
      <c r="M2" s="3"/>
      <c r="N2" s="3"/>
      <c r="O2" s="3"/>
      <c r="P2" s="3"/>
      <c r="Q2" s="4">
        <v>2.0</v>
      </c>
      <c r="R2" s="5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  <v>1</v>
      </c>
      <c r="S2" s="4">
        <v>2.0</v>
      </c>
      <c r="T2" s="5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  <v>1</v>
      </c>
      <c r="U2" s="4">
        <v>3.0</v>
      </c>
      <c r="V2" s="5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  <v>2</v>
      </c>
      <c r="W2" s="4">
        <v>5.0</v>
      </c>
      <c r="X2" s="5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  <v>4</v>
      </c>
      <c r="Y2" s="4">
        <v>8.0</v>
      </c>
      <c r="Z2" s="5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  <v>7</v>
      </c>
      <c r="AA2" s="3">
        <f t="shared" ref="AA2:AA25" si="2">SUM(V2,X2,Z2)</f>
        <v>13</v>
      </c>
      <c r="AB2" s="3" t="str">
        <f>IFERROR(__xludf.DUMMYFUNCTION("
      Ifs( 
        ISBETWEEN(AA2, 0, 'Points-Table'!C$20, TRUE, False), 'Points-Table'!A$20,
        ISBETWEEN(AA2, 'Points-Table'!C$20, 'Points-Table'!C$21, TRUE, False), 'Points-Table'!A$21,
        ISBETWEEN(AA2, 'Points-Table'!C$22, 10000, TRUE, TRU"&amp;"E), 'Points-Table'!A$22,
        true, 
        0)
      "),"S")</f>
        <v>S</v>
      </c>
      <c r="AC2" s="3" t="s">
        <v>28</v>
      </c>
      <c r="AD2" s="3" t="s">
        <v>28</v>
      </c>
      <c r="AE2" s="3" t="s">
        <v>28</v>
      </c>
    </row>
    <row r="3" ht="24.75" customHeight="1">
      <c r="A3" s="3" t="s">
        <v>37</v>
      </c>
      <c r="B3" s="3" t="s">
        <v>41</v>
      </c>
      <c r="C3" s="3"/>
      <c r="D3" s="3"/>
      <c r="E3" s="3"/>
      <c r="F3" s="3"/>
      <c r="G3" s="3"/>
      <c r="H3" s="3"/>
      <c r="I3" s="3"/>
      <c r="J3" s="3"/>
      <c r="K3" s="3" t="s">
        <v>26</v>
      </c>
      <c r="L3" s="3" t="s">
        <v>27</v>
      </c>
      <c r="M3" s="3"/>
      <c r="N3" s="3"/>
      <c r="O3" s="3"/>
      <c r="P3" s="3"/>
      <c r="Q3" s="4"/>
      <c r="R3" s="5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  <v>0</v>
      </c>
      <c r="S3" s="4"/>
      <c r="T3" s="5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  <v>0</v>
      </c>
      <c r="U3" s="4">
        <v>3.0</v>
      </c>
      <c r="V3" s="5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  <v>2</v>
      </c>
      <c r="W3" s="4">
        <v>5.0</v>
      </c>
      <c r="X3" s="5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  <v>4</v>
      </c>
      <c r="Y3" s="4">
        <v>5.0</v>
      </c>
      <c r="Z3" s="5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  <v>4</v>
      </c>
      <c r="AA3" s="3">
        <f t="shared" si="2"/>
        <v>10</v>
      </c>
      <c r="AB3" s="3" t="str">
        <f>IFERROR(__xludf.DUMMYFUNCTION("
      Ifs( 
        ISBETWEEN(AA3, 0, 'Points-Table'!C$20, TRUE, False), 'Points-Table'!A$20,
        ISBETWEEN(AA3, 'Points-Table'!C$20, 'Points-Table'!C$21, TRUE, False), 'Points-Table'!A$21,
        ISBETWEEN(AA3, 'Points-Table'!C$22, 10000, TRUE, TRU"&amp;"E), 'Points-Table'!A$22,
        true, 
        0)
      "),"S")</f>
        <v>S</v>
      </c>
      <c r="AC3" s="3" t="s">
        <v>28</v>
      </c>
      <c r="AD3" s="3" t="s">
        <v>28</v>
      </c>
      <c r="AE3" s="3" t="s">
        <v>28</v>
      </c>
    </row>
    <row r="4" ht="24.75" customHeight="1">
      <c r="A4" s="3" t="s">
        <v>115</v>
      </c>
      <c r="B4" s="3" t="s">
        <v>116</v>
      </c>
      <c r="C4" s="3"/>
      <c r="D4" s="3"/>
      <c r="E4" s="3"/>
      <c r="F4" s="3"/>
      <c r="G4" s="3"/>
      <c r="H4" s="3"/>
      <c r="I4" s="3"/>
      <c r="J4" s="3"/>
      <c r="K4" s="3" t="s">
        <v>26</v>
      </c>
      <c r="L4" s="3" t="s">
        <v>27</v>
      </c>
      <c r="M4" s="3"/>
      <c r="N4" s="3"/>
      <c r="O4" s="3"/>
      <c r="P4" s="3"/>
      <c r="Q4" s="4">
        <v>2.0</v>
      </c>
      <c r="R4" s="5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  <v>1</v>
      </c>
      <c r="S4" s="4">
        <v>2.0</v>
      </c>
      <c r="T4" s="5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  <v>1</v>
      </c>
      <c r="U4" s="4">
        <v>5.0</v>
      </c>
      <c r="V4" s="5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  <v>4</v>
      </c>
      <c r="W4" s="4">
        <v>3.0</v>
      </c>
      <c r="X4" s="5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  <v>2</v>
      </c>
      <c r="Y4" s="4">
        <v>5.0</v>
      </c>
      <c r="Z4" s="5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  <v>4</v>
      </c>
      <c r="AA4" s="3">
        <f t="shared" si="2"/>
        <v>10</v>
      </c>
      <c r="AB4" s="3" t="str">
        <f>IFERROR(__xludf.DUMMYFUNCTION("
      Ifs( 
        ISBETWEEN(AA4, 0, 'Points-Table'!C$20, TRUE, False), 'Points-Table'!A$20,
        ISBETWEEN(AA4, 'Points-Table'!C$20, 'Points-Table'!C$21, TRUE, False), 'Points-Table'!A$21,
        ISBETWEEN(AA4, 'Points-Table'!C$22, 10000, TRUE, TRU"&amp;"E), 'Points-Table'!A$22,
        true, 
        0)
      "),"S")</f>
        <v>S</v>
      </c>
      <c r="AC4" s="3" t="s">
        <v>28</v>
      </c>
      <c r="AD4" s="3" t="s">
        <v>28</v>
      </c>
      <c r="AE4" s="3" t="s">
        <v>28</v>
      </c>
    </row>
    <row r="5" ht="24.75" customHeight="1">
      <c r="A5" s="3" t="s">
        <v>115</v>
      </c>
      <c r="B5" s="3" t="s">
        <v>117</v>
      </c>
      <c r="C5" s="3"/>
      <c r="D5" s="3"/>
      <c r="E5" s="3"/>
      <c r="F5" s="3"/>
      <c r="G5" s="3"/>
      <c r="H5" s="3"/>
      <c r="I5" s="3"/>
      <c r="J5" s="3"/>
      <c r="K5" s="3" t="s">
        <v>26</v>
      </c>
      <c r="L5" s="3" t="s">
        <v>27</v>
      </c>
      <c r="M5" s="3"/>
      <c r="N5" s="3"/>
      <c r="O5" s="3"/>
      <c r="P5" s="3"/>
      <c r="Q5" s="4">
        <v>2.0</v>
      </c>
      <c r="R5" s="5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  <v>1</v>
      </c>
      <c r="S5" s="4">
        <v>2.0</v>
      </c>
      <c r="T5" s="5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  <v>1</v>
      </c>
      <c r="U5" s="4">
        <v>8.0</v>
      </c>
      <c r="V5" s="5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  <v>7</v>
      </c>
      <c r="W5" s="4">
        <v>3.0</v>
      </c>
      <c r="X5" s="5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  <v>2</v>
      </c>
      <c r="Y5" s="4">
        <v>5.0</v>
      </c>
      <c r="Z5" s="5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  <v>4</v>
      </c>
      <c r="AA5" s="3">
        <f t="shared" si="2"/>
        <v>13</v>
      </c>
      <c r="AB5" s="3" t="str">
        <f>IFERROR(__xludf.DUMMYFUNCTION("
      Ifs( 
        ISBETWEEN(AA5, 0, 'Points-Table'!C$20, TRUE, False), 'Points-Table'!A$20,
        ISBETWEEN(AA5, 'Points-Table'!C$20, 'Points-Table'!C$21, TRUE, False), 'Points-Table'!A$21,
        ISBETWEEN(AA5, 'Points-Table'!C$22, 10000, TRUE, TRU"&amp;"E), 'Points-Table'!A$22,
        true, 
        0)
      "),"S")</f>
        <v>S</v>
      </c>
      <c r="AC5" s="3" t="s">
        <v>28</v>
      </c>
      <c r="AD5" s="3" t="s">
        <v>28</v>
      </c>
      <c r="AE5" s="3" t="s">
        <v>28</v>
      </c>
    </row>
    <row r="6" ht="24.75" customHeight="1">
      <c r="A6" s="3" t="s">
        <v>115</v>
      </c>
      <c r="B6" s="3" t="s">
        <v>118</v>
      </c>
      <c r="C6" s="3"/>
      <c r="D6" s="3"/>
      <c r="E6" s="3"/>
      <c r="F6" s="3"/>
      <c r="G6" s="3"/>
      <c r="H6" s="3"/>
      <c r="I6" s="3"/>
      <c r="J6" s="3"/>
      <c r="K6" s="3" t="s">
        <v>26</v>
      </c>
      <c r="L6" s="3" t="s">
        <v>27</v>
      </c>
      <c r="M6" s="3"/>
      <c r="N6" s="3"/>
      <c r="O6" s="3"/>
      <c r="P6" s="3"/>
      <c r="Q6" s="4"/>
      <c r="R6" s="5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  <v>0</v>
      </c>
      <c r="S6" s="4"/>
      <c r="T6" s="5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  <v>0</v>
      </c>
      <c r="U6" s="4">
        <v>2.0</v>
      </c>
      <c r="V6" s="5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  <v>1</v>
      </c>
      <c r="W6" s="4">
        <v>5.0</v>
      </c>
      <c r="X6" s="5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  <v>4</v>
      </c>
      <c r="Y6" s="4"/>
      <c r="Z6" s="5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  <v>0</v>
      </c>
      <c r="AA6" s="3">
        <f t="shared" si="2"/>
        <v>5</v>
      </c>
      <c r="AB6" s="3" t="str">
        <f>IFERROR(__xludf.DUMMYFUNCTION("
      Ifs( 
        ISBETWEEN(AA6, 0, 'Points-Table'!C$20, TRUE, False), 'Points-Table'!A$20,
        ISBETWEEN(AA6, 'Points-Table'!C$20, 'Points-Table'!C$21, TRUE, False), 'Points-Table'!A$21,
        ISBETWEEN(AA6, 'Points-Table'!C$22, 10000, TRUE, TRU"&amp;"E), 'Points-Table'!A$22,
        true, 
        0)
      "),"S")</f>
        <v>S</v>
      </c>
      <c r="AC6" s="3" t="s">
        <v>28</v>
      </c>
      <c r="AD6" s="3" t="s">
        <v>28</v>
      </c>
      <c r="AE6" s="3" t="s">
        <v>28</v>
      </c>
    </row>
    <row r="7" ht="24.75" customHeight="1">
      <c r="A7" s="3" t="s">
        <v>119</v>
      </c>
      <c r="B7" s="3" t="s">
        <v>120</v>
      </c>
      <c r="C7" s="3"/>
      <c r="D7" s="3"/>
      <c r="E7" s="3"/>
      <c r="F7" s="3"/>
      <c r="G7" s="3"/>
      <c r="H7" s="3"/>
      <c r="I7" s="3"/>
      <c r="J7" s="3"/>
      <c r="K7" s="3" t="s">
        <v>26</v>
      </c>
      <c r="L7" s="3" t="s">
        <v>27</v>
      </c>
      <c r="M7" s="3"/>
      <c r="N7" s="3"/>
      <c r="O7" s="3"/>
      <c r="P7" s="3"/>
      <c r="Q7" s="4">
        <v>2.0</v>
      </c>
      <c r="R7" s="5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  <v>1</v>
      </c>
      <c r="S7" s="4">
        <v>2.0</v>
      </c>
      <c r="T7" s="5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  <v>1</v>
      </c>
      <c r="U7" s="4">
        <v>5.0</v>
      </c>
      <c r="V7" s="5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  <v>4</v>
      </c>
      <c r="W7" s="4">
        <v>2.0</v>
      </c>
      <c r="X7" s="5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  <v>1</v>
      </c>
      <c r="Y7" s="4">
        <v>5.0</v>
      </c>
      <c r="Z7" s="5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  <v>4</v>
      </c>
      <c r="AA7" s="3">
        <f t="shared" si="2"/>
        <v>9</v>
      </c>
      <c r="AB7" s="3" t="str">
        <f>IFERROR(__xludf.DUMMYFUNCTION("
      Ifs( 
        ISBETWEEN(AA7, 0, 'Points-Table'!C$20, TRUE, False), 'Points-Table'!A$20,
        ISBETWEEN(AA7, 'Points-Table'!C$20, 'Points-Table'!C$21, TRUE, False), 'Points-Table'!A$21,
        ISBETWEEN(AA7, 'Points-Table'!C$22, 10000, TRUE, TRU"&amp;"E), 'Points-Table'!A$22,
        true, 
        0)
      "),"S")</f>
        <v>S</v>
      </c>
      <c r="AC7" s="3" t="s">
        <v>28</v>
      </c>
      <c r="AD7" s="3" t="s">
        <v>28</v>
      </c>
      <c r="AE7" s="3" t="s">
        <v>28</v>
      </c>
    </row>
    <row r="8" ht="24.75" customHeight="1">
      <c r="A8" s="3" t="s">
        <v>119</v>
      </c>
      <c r="B8" s="3" t="s">
        <v>121</v>
      </c>
      <c r="C8" s="3"/>
      <c r="D8" s="3"/>
      <c r="E8" s="3"/>
      <c r="F8" s="3"/>
      <c r="G8" s="3"/>
      <c r="H8" s="3"/>
      <c r="I8" s="3"/>
      <c r="J8" s="3"/>
      <c r="K8" s="3" t="s">
        <v>26</v>
      </c>
      <c r="L8" s="3" t="s">
        <v>27</v>
      </c>
      <c r="M8" s="3"/>
      <c r="N8" s="3"/>
      <c r="O8" s="3"/>
      <c r="P8" s="3"/>
      <c r="Q8" s="4">
        <v>2.0</v>
      </c>
      <c r="R8" s="5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  <v>1</v>
      </c>
      <c r="S8" s="4">
        <v>2.0</v>
      </c>
      <c r="T8" s="5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  <v>1</v>
      </c>
      <c r="U8" s="4">
        <v>5.0</v>
      </c>
      <c r="V8" s="5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  <v>4</v>
      </c>
      <c r="W8" s="4">
        <v>2.0</v>
      </c>
      <c r="X8" s="5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  <v>1</v>
      </c>
      <c r="Y8" s="4"/>
      <c r="Z8" s="5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  <v>0</v>
      </c>
      <c r="AA8" s="3">
        <f t="shared" si="2"/>
        <v>5</v>
      </c>
      <c r="AB8" s="3" t="str">
        <f>IFERROR(__xludf.DUMMYFUNCTION("
      Ifs( 
        ISBETWEEN(AA8, 0, 'Points-Table'!C$20, TRUE, False), 'Points-Table'!A$20,
        ISBETWEEN(AA8, 'Points-Table'!C$20, 'Points-Table'!C$21, TRUE, False), 'Points-Table'!A$21,
        ISBETWEEN(AA8, 'Points-Table'!C$22, 10000, TRUE, TRU"&amp;"E), 'Points-Table'!A$22,
        true, 
        0)
      "),"S")</f>
        <v>S</v>
      </c>
      <c r="AC8" s="3" t="s">
        <v>28</v>
      </c>
      <c r="AD8" s="3" t="s">
        <v>28</v>
      </c>
      <c r="AE8" s="3" t="s">
        <v>28</v>
      </c>
    </row>
    <row r="9" ht="24.75" customHeight="1">
      <c r="A9" s="3" t="s">
        <v>119</v>
      </c>
      <c r="B9" s="3" t="s">
        <v>122</v>
      </c>
      <c r="C9" s="3"/>
      <c r="D9" s="3"/>
      <c r="E9" s="3"/>
      <c r="F9" s="3"/>
      <c r="G9" s="3"/>
      <c r="H9" s="3"/>
      <c r="I9" s="3"/>
      <c r="J9" s="3"/>
      <c r="K9" s="3" t="s">
        <v>26</v>
      </c>
      <c r="L9" s="3" t="s">
        <v>27</v>
      </c>
      <c r="M9" s="3"/>
      <c r="N9" s="3"/>
      <c r="O9" s="3"/>
      <c r="P9" s="3"/>
      <c r="Q9" s="4">
        <v>2.0</v>
      </c>
      <c r="R9" s="5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  <v>1</v>
      </c>
      <c r="S9" s="4">
        <v>2.0</v>
      </c>
      <c r="T9" s="5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  <v>1</v>
      </c>
      <c r="U9" s="4">
        <v>2.0</v>
      </c>
      <c r="V9" s="5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  <v>1</v>
      </c>
      <c r="W9" s="4">
        <v>2.0</v>
      </c>
      <c r="X9" s="5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  <v>1</v>
      </c>
      <c r="Y9" s="4">
        <v>5.0</v>
      </c>
      <c r="Z9" s="5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  <v>4</v>
      </c>
      <c r="AA9" s="3">
        <f t="shared" si="2"/>
        <v>6</v>
      </c>
      <c r="AB9" s="3" t="str">
        <f>IFERROR(__xludf.DUMMYFUNCTION("
      Ifs( 
        ISBETWEEN(AA9, 0, 'Points-Table'!C$20, TRUE, False), 'Points-Table'!A$20,
        ISBETWEEN(AA9, 'Points-Table'!C$20, 'Points-Table'!C$21, TRUE, False), 'Points-Table'!A$21,
        ISBETWEEN(AA9, 'Points-Table'!C$22, 10000, TRUE, TRU"&amp;"E), 'Points-Table'!A$22,
        true, 
        0)
      "),"S")</f>
        <v>S</v>
      </c>
      <c r="AC9" s="3" t="s">
        <v>28</v>
      </c>
      <c r="AD9" s="3" t="s">
        <v>28</v>
      </c>
      <c r="AE9" s="3" t="s">
        <v>28</v>
      </c>
    </row>
    <row r="10" ht="24.75" customHeight="1">
      <c r="A10" s="3" t="s">
        <v>119</v>
      </c>
      <c r="B10" s="3" t="s">
        <v>123</v>
      </c>
      <c r="C10" s="3"/>
      <c r="D10" s="3"/>
      <c r="E10" s="3"/>
      <c r="F10" s="3"/>
      <c r="G10" s="3"/>
      <c r="H10" s="3"/>
      <c r="I10" s="3"/>
      <c r="J10" s="3"/>
      <c r="K10" s="3" t="s">
        <v>26</v>
      </c>
      <c r="L10" s="3" t="s">
        <v>27</v>
      </c>
      <c r="M10" s="3"/>
      <c r="N10" s="3"/>
      <c r="O10" s="3"/>
      <c r="P10" s="3"/>
      <c r="Q10" s="4">
        <v>2.0</v>
      </c>
      <c r="R10" s="5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  <v>1</v>
      </c>
      <c r="S10" s="4">
        <v>2.0</v>
      </c>
      <c r="T10" s="5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  <v>1</v>
      </c>
      <c r="U10" s="4">
        <v>2.0</v>
      </c>
      <c r="V10" s="5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  <v>1</v>
      </c>
      <c r="W10" s="4">
        <v>2.0</v>
      </c>
      <c r="X10" s="5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  <v>1</v>
      </c>
      <c r="Y10" s="4"/>
      <c r="Z10" s="5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  <v>0</v>
      </c>
      <c r="AA10" s="3">
        <f t="shared" si="2"/>
        <v>2</v>
      </c>
      <c r="AB10" s="3" t="str">
        <f>IFERROR(__xludf.DUMMYFUNCTION("
      Ifs( 
        ISBETWEEN(AA10, 0, 'Points-Table'!C$20, TRUE, False), 'Points-Table'!A$20,
        ISBETWEEN(AA10, 'Points-Table'!C$20, 'Points-Table'!C$21, TRUE, False), 'Points-Table'!A$21,
        ISBETWEEN(AA10, 'Points-Table'!C$22, 10000, TRUE, "&amp;"TRUE), 'Points-Table'!A$22,
        true, 
        0)
      "),"S")</f>
        <v>S</v>
      </c>
      <c r="AC10" s="3" t="s">
        <v>28</v>
      </c>
      <c r="AD10" s="3" t="s">
        <v>28</v>
      </c>
      <c r="AE10" s="3" t="s">
        <v>28</v>
      </c>
    </row>
    <row r="11" ht="24.75" customHeight="1">
      <c r="A11" s="3" t="s">
        <v>119</v>
      </c>
      <c r="B11" s="3" t="s">
        <v>118</v>
      </c>
      <c r="C11" s="3"/>
      <c r="D11" s="3"/>
      <c r="E11" s="3"/>
      <c r="F11" s="3"/>
      <c r="G11" s="3"/>
      <c r="H11" s="3"/>
      <c r="I11" s="3"/>
      <c r="J11" s="3"/>
      <c r="K11" s="3" t="s">
        <v>26</v>
      </c>
      <c r="L11" s="3" t="s">
        <v>27</v>
      </c>
      <c r="M11" s="3"/>
      <c r="N11" s="3"/>
      <c r="O11" s="3"/>
      <c r="P11" s="3"/>
      <c r="Q11" s="4">
        <v>2.0</v>
      </c>
      <c r="R11" s="5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  <v>1</v>
      </c>
      <c r="S11" s="4">
        <v>2.0</v>
      </c>
      <c r="T11" s="5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  <v>1</v>
      </c>
      <c r="U11" s="4">
        <v>2.0</v>
      </c>
      <c r="V11" s="5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  <v>1</v>
      </c>
      <c r="W11" s="4">
        <v>5.0</v>
      </c>
      <c r="X11" s="5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  <v>4</v>
      </c>
      <c r="Y11" s="4"/>
      <c r="Z11" s="5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  <v>0</v>
      </c>
      <c r="AA11" s="3">
        <f t="shared" si="2"/>
        <v>5</v>
      </c>
      <c r="AB11" s="3" t="str">
        <f>IFERROR(__xludf.DUMMYFUNCTION("
      Ifs( 
        ISBETWEEN(AA11, 0, 'Points-Table'!C$20, TRUE, False), 'Points-Table'!A$20,
        ISBETWEEN(AA11, 'Points-Table'!C$20, 'Points-Table'!C$21, TRUE, False), 'Points-Table'!A$21,
        ISBETWEEN(AA11, 'Points-Table'!C$22, 10000, TRUE, "&amp;"TRUE), 'Points-Table'!A$22,
        true, 
        0)
      "),"S")</f>
        <v>S</v>
      </c>
      <c r="AC11" s="3" t="s">
        <v>28</v>
      </c>
      <c r="AD11" s="3" t="s">
        <v>28</v>
      </c>
      <c r="AE11" s="3" t="s">
        <v>28</v>
      </c>
    </row>
    <row r="12" ht="24.75" customHeight="1">
      <c r="A12" s="3" t="s">
        <v>124</v>
      </c>
      <c r="B12" s="3" t="s">
        <v>125</v>
      </c>
      <c r="C12" s="3"/>
      <c r="D12" s="3"/>
      <c r="E12" s="3"/>
      <c r="F12" s="3"/>
      <c r="G12" s="3"/>
      <c r="H12" s="3"/>
      <c r="I12" s="3"/>
      <c r="J12" s="3"/>
      <c r="K12" s="3" t="s">
        <v>26</v>
      </c>
      <c r="L12" s="3" t="s">
        <v>27</v>
      </c>
      <c r="M12" s="3"/>
      <c r="N12" s="3"/>
      <c r="O12" s="3"/>
      <c r="P12" s="3"/>
      <c r="Q12" s="4">
        <v>3.0</v>
      </c>
      <c r="R12" s="5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  <v>2</v>
      </c>
      <c r="S12" s="4">
        <v>3.0</v>
      </c>
      <c r="T12" s="5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  <v>2</v>
      </c>
      <c r="U12" s="4">
        <v>5.0</v>
      </c>
      <c r="V12" s="5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  <v>4</v>
      </c>
      <c r="W12" s="4">
        <v>2.0</v>
      </c>
      <c r="X12" s="5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  <v>1</v>
      </c>
      <c r="Y12" s="4">
        <v>8.0</v>
      </c>
      <c r="Z12" s="5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  <v>7</v>
      </c>
      <c r="AA12" s="3">
        <f t="shared" si="2"/>
        <v>12</v>
      </c>
      <c r="AB12" s="3" t="str">
        <f>IFERROR(__xludf.DUMMYFUNCTION("
      Ifs( 
        ISBETWEEN(AA12, 0, 'Points-Table'!C$20, TRUE, False), 'Points-Table'!A$20,
        ISBETWEEN(AA12, 'Points-Table'!C$20, 'Points-Table'!C$21, TRUE, False), 'Points-Table'!A$21,
        ISBETWEEN(AA12, 'Points-Table'!C$22, 10000, TRUE, "&amp;"TRUE), 'Points-Table'!A$22,
        true, 
        0)
      "),"S")</f>
        <v>S</v>
      </c>
      <c r="AC12" s="3" t="s">
        <v>28</v>
      </c>
      <c r="AD12" s="3" t="s">
        <v>28</v>
      </c>
      <c r="AE12" s="3" t="s">
        <v>28</v>
      </c>
    </row>
    <row r="13" ht="24.75" customHeight="1">
      <c r="A13" s="3" t="s">
        <v>124</v>
      </c>
      <c r="B13" s="3" t="s">
        <v>126</v>
      </c>
      <c r="C13" s="3"/>
      <c r="D13" s="3"/>
      <c r="E13" s="3"/>
      <c r="F13" s="3"/>
      <c r="G13" s="3"/>
      <c r="H13" s="3"/>
      <c r="I13" s="3"/>
      <c r="J13" s="3"/>
      <c r="K13" s="3" t="s">
        <v>26</v>
      </c>
      <c r="L13" s="3" t="s">
        <v>27</v>
      </c>
      <c r="M13" s="3"/>
      <c r="N13" s="3"/>
      <c r="O13" s="3"/>
      <c r="P13" s="3"/>
      <c r="Q13" s="4">
        <v>3.0</v>
      </c>
      <c r="R13" s="5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  <v>2</v>
      </c>
      <c r="S13" s="4">
        <v>3.0</v>
      </c>
      <c r="T13" s="5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  <v>2</v>
      </c>
      <c r="U13" s="4">
        <v>3.0</v>
      </c>
      <c r="V13" s="5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  <v>2</v>
      </c>
      <c r="W13" s="4">
        <v>2.0</v>
      </c>
      <c r="X13" s="5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  <v>1</v>
      </c>
      <c r="Y13" s="4">
        <v>13.0</v>
      </c>
      <c r="Z13" s="5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  <v>11</v>
      </c>
      <c r="AA13" s="3">
        <f t="shared" si="2"/>
        <v>14</v>
      </c>
      <c r="AB13" s="3" t="str">
        <f>IFERROR(__xludf.DUMMYFUNCTION("
      Ifs( 
        ISBETWEEN(AA13, 0, 'Points-Table'!C$20, TRUE, False), 'Points-Table'!A$20,
        ISBETWEEN(AA13, 'Points-Table'!C$20, 'Points-Table'!C$21, TRUE, False), 'Points-Table'!A$21,
        ISBETWEEN(AA13, 'Points-Table'!C$22, 10000, TRUE, "&amp;"TRUE), 'Points-Table'!A$22,
        true, 
        0)
      "),"S")</f>
        <v>S</v>
      </c>
      <c r="AC13" s="3" t="s">
        <v>28</v>
      </c>
      <c r="AD13" s="3" t="s">
        <v>28</v>
      </c>
      <c r="AE13" s="3" t="s">
        <v>28</v>
      </c>
    </row>
    <row r="14" ht="24.75" customHeight="1">
      <c r="A14" s="3" t="s">
        <v>127</v>
      </c>
      <c r="B14" s="3" t="s">
        <v>128</v>
      </c>
      <c r="C14" s="3"/>
      <c r="D14" s="3"/>
      <c r="E14" s="3"/>
      <c r="F14" s="3"/>
      <c r="G14" s="3"/>
      <c r="H14" s="3"/>
      <c r="I14" s="3"/>
      <c r="J14" s="3"/>
      <c r="K14" s="3" t="s">
        <v>26</v>
      </c>
      <c r="L14" s="3" t="s">
        <v>27</v>
      </c>
      <c r="M14" s="3"/>
      <c r="N14" s="3"/>
      <c r="O14" s="3"/>
      <c r="P14" s="3"/>
      <c r="Q14" s="4">
        <v>3.0</v>
      </c>
      <c r="R14" s="5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  <v>2</v>
      </c>
      <c r="S14" s="4">
        <v>3.0</v>
      </c>
      <c r="T14" s="5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  <v>2</v>
      </c>
      <c r="U14" s="4">
        <v>2.0</v>
      </c>
      <c r="V14" s="5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  <v>1</v>
      </c>
      <c r="W14" s="4">
        <v>2.0</v>
      </c>
      <c r="X14" s="5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  <v>1</v>
      </c>
      <c r="Y14" s="4">
        <v>3.0</v>
      </c>
      <c r="Z14" s="5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  <v>2</v>
      </c>
      <c r="AA14" s="3">
        <f t="shared" si="2"/>
        <v>4</v>
      </c>
      <c r="AB14" s="3" t="str">
        <f>IFERROR(__xludf.DUMMYFUNCTION("
      Ifs( 
        ISBETWEEN(AA14, 0, 'Points-Table'!C$20, TRUE, False), 'Points-Table'!A$20,
        ISBETWEEN(AA14, 'Points-Table'!C$20, 'Points-Table'!C$21, TRUE, False), 'Points-Table'!A$21,
        ISBETWEEN(AA14, 'Points-Table'!C$22, 10000, TRUE, "&amp;"TRUE), 'Points-Table'!A$22,
        true, 
        0)
      "),"S")</f>
        <v>S</v>
      </c>
      <c r="AC14" s="3" t="s">
        <v>28</v>
      </c>
      <c r="AD14" s="3" t="s">
        <v>28</v>
      </c>
      <c r="AE14" s="3" t="s">
        <v>28</v>
      </c>
    </row>
    <row r="15" ht="24.75" customHeight="1">
      <c r="A15" s="3" t="s">
        <v>127</v>
      </c>
      <c r="B15" s="3" t="s">
        <v>129</v>
      </c>
      <c r="C15" s="3"/>
      <c r="D15" s="3"/>
      <c r="E15" s="3"/>
      <c r="F15" s="3"/>
      <c r="G15" s="3"/>
      <c r="H15" s="3"/>
      <c r="I15" s="3"/>
      <c r="J15" s="3"/>
      <c r="K15" s="3" t="s">
        <v>26</v>
      </c>
      <c r="L15" s="3" t="s">
        <v>27</v>
      </c>
      <c r="M15" s="3"/>
      <c r="N15" s="3"/>
      <c r="O15" s="3"/>
      <c r="P15" s="3"/>
      <c r="Q15" s="4">
        <v>2.0</v>
      </c>
      <c r="R15" s="5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  <v>1</v>
      </c>
      <c r="S15" s="4">
        <v>2.0</v>
      </c>
      <c r="T15" s="5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  <v>1</v>
      </c>
      <c r="U15" s="4">
        <v>5.0</v>
      </c>
      <c r="V15" s="5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  <v>4</v>
      </c>
      <c r="W15" s="4">
        <v>5.0</v>
      </c>
      <c r="X15" s="5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  <v>4</v>
      </c>
      <c r="Y15" s="4">
        <v>5.0</v>
      </c>
      <c r="Z15" s="5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  <v>4</v>
      </c>
      <c r="AA15" s="3">
        <f t="shared" si="2"/>
        <v>12</v>
      </c>
      <c r="AB15" s="3" t="str">
        <f>IFERROR(__xludf.DUMMYFUNCTION("
      Ifs( 
        ISBETWEEN(AA15, 0, 'Points-Table'!C$20, TRUE, False), 'Points-Table'!A$20,
        ISBETWEEN(AA15, 'Points-Table'!C$20, 'Points-Table'!C$21, TRUE, False), 'Points-Table'!A$21,
        ISBETWEEN(AA15, 'Points-Table'!C$22, 10000, TRUE, "&amp;"TRUE), 'Points-Table'!A$22,
        true, 
        0)
      "),"S")</f>
        <v>S</v>
      </c>
      <c r="AC15" s="3" t="s">
        <v>28</v>
      </c>
      <c r="AD15" s="3" t="s">
        <v>28</v>
      </c>
      <c r="AE15" s="3" t="s">
        <v>28</v>
      </c>
    </row>
    <row r="16" ht="24.75" customHeight="1">
      <c r="A16" s="3" t="s">
        <v>127</v>
      </c>
      <c r="B16" s="3" t="s">
        <v>130</v>
      </c>
      <c r="C16" s="3"/>
      <c r="D16" s="3"/>
      <c r="E16" s="3"/>
      <c r="F16" s="3"/>
      <c r="G16" s="3"/>
      <c r="H16" s="3"/>
      <c r="I16" s="3"/>
      <c r="J16" s="3"/>
      <c r="K16" s="3" t="s">
        <v>26</v>
      </c>
      <c r="L16" s="3" t="s">
        <v>27</v>
      </c>
      <c r="M16" s="3"/>
      <c r="N16" s="3"/>
      <c r="O16" s="3"/>
      <c r="P16" s="3"/>
      <c r="Q16" s="4">
        <v>2.0</v>
      </c>
      <c r="R16" s="5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  <v>1</v>
      </c>
      <c r="S16" s="4">
        <v>2.0</v>
      </c>
      <c r="T16" s="5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  <v>1</v>
      </c>
      <c r="U16" s="4">
        <v>2.0</v>
      </c>
      <c r="V16" s="5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  <v>1</v>
      </c>
      <c r="W16" s="4">
        <v>2.0</v>
      </c>
      <c r="X16" s="5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  <v>1</v>
      </c>
      <c r="Y16" s="4">
        <v>5.0</v>
      </c>
      <c r="Z16" s="5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  <v>4</v>
      </c>
      <c r="AA16" s="3">
        <f t="shared" si="2"/>
        <v>6</v>
      </c>
      <c r="AB16" s="3" t="str">
        <f>IFERROR(__xludf.DUMMYFUNCTION("
      Ifs( 
        ISBETWEEN(AA16, 0, 'Points-Table'!C$20, TRUE, False), 'Points-Table'!A$20,
        ISBETWEEN(AA16, 'Points-Table'!C$20, 'Points-Table'!C$21, TRUE, False), 'Points-Table'!A$21,
        ISBETWEEN(AA16, 'Points-Table'!C$22, 10000, TRUE, "&amp;"TRUE), 'Points-Table'!A$22,
        true, 
        0)
      "),"S")</f>
        <v>S</v>
      </c>
      <c r="AC16" s="3" t="s">
        <v>28</v>
      </c>
      <c r="AD16" s="3" t="s">
        <v>28</v>
      </c>
      <c r="AE16" s="3" t="s">
        <v>28</v>
      </c>
    </row>
    <row r="17" ht="24.75" customHeight="1">
      <c r="A17" s="3" t="s">
        <v>127</v>
      </c>
      <c r="B17" s="3" t="s">
        <v>131</v>
      </c>
      <c r="C17" s="3"/>
      <c r="D17" s="3"/>
      <c r="E17" s="3"/>
      <c r="F17" s="3"/>
      <c r="G17" s="3"/>
      <c r="H17" s="3"/>
      <c r="I17" s="3"/>
      <c r="J17" s="3"/>
      <c r="K17" s="3" t="s">
        <v>26</v>
      </c>
      <c r="L17" s="3" t="s">
        <v>27</v>
      </c>
      <c r="M17" s="3"/>
      <c r="N17" s="3"/>
      <c r="O17" s="3"/>
      <c r="P17" s="3"/>
      <c r="Q17" s="4"/>
      <c r="R17" s="5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  <v>0</v>
      </c>
      <c r="S17" s="4"/>
      <c r="T17" s="5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  <v>0</v>
      </c>
      <c r="U17" s="4">
        <v>2.0</v>
      </c>
      <c r="V17" s="5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  <v>1</v>
      </c>
      <c r="W17" s="4">
        <v>2.0</v>
      </c>
      <c r="X17" s="5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  <v>1</v>
      </c>
      <c r="Y17" s="4">
        <v>3.0</v>
      </c>
      <c r="Z17" s="5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  <v>2</v>
      </c>
      <c r="AA17" s="3">
        <f t="shared" si="2"/>
        <v>4</v>
      </c>
      <c r="AB17" s="3" t="str">
        <f>IFERROR(__xludf.DUMMYFUNCTION("
      Ifs( 
        ISBETWEEN(AA17, 0, 'Points-Table'!C$20, TRUE, False), 'Points-Table'!A$20,
        ISBETWEEN(AA17, 'Points-Table'!C$20, 'Points-Table'!C$21, TRUE, False), 'Points-Table'!A$21,
        ISBETWEEN(AA17, 'Points-Table'!C$22, 10000, TRUE, "&amp;"TRUE), 'Points-Table'!A$22,
        true, 
        0)
      "),"S")</f>
        <v>S</v>
      </c>
      <c r="AC17" s="3" t="s">
        <v>28</v>
      </c>
      <c r="AD17" s="3" t="s">
        <v>28</v>
      </c>
      <c r="AE17" s="3" t="s">
        <v>28</v>
      </c>
    </row>
    <row r="18" ht="24.75" customHeight="1">
      <c r="A18" s="3" t="s">
        <v>127</v>
      </c>
      <c r="B18" s="3" t="s">
        <v>131</v>
      </c>
      <c r="C18" s="3"/>
      <c r="D18" s="3"/>
      <c r="E18" s="3"/>
      <c r="F18" s="3"/>
      <c r="G18" s="3"/>
      <c r="H18" s="3"/>
      <c r="I18" s="3"/>
      <c r="J18" s="3"/>
      <c r="K18" s="3" t="s">
        <v>26</v>
      </c>
      <c r="L18" s="3" t="s">
        <v>27</v>
      </c>
      <c r="M18" s="3"/>
      <c r="N18" s="3"/>
      <c r="O18" s="3"/>
      <c r="P18" s="3"/>
      <c r="Q18" s="4"/>
      <c r="R18" s="5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  <v>0</v>
      </c>
      <c r="S18" s="4"/>
      <c r="T18" s="5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  <v>0</v>
      </c>
      <c r="U18" s="4">
        <v>2.0</v>
      </c>
      <c r="V18" s="5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  <v>1</v>
      </c>
      <c r="W18" s="4">
        <v>2.0</v>
      </c>
      <c r="X18" s="5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  <v>1</v>
      </c>
      <c r="Y18" s="4"/>
      <c r="Z18" s="5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  <v>0</v>
      </c>
      <c r="AA18" s="3">
        <f t="shared" si="2"/>
        <v>2</v>
      </c>
      <c r="AB18" s="3" t="str">
        <f>IFERROR(__xludf.DUMMYFUNCTION("
      Ifs( 
        ISBETWEEN(AA18, 0, 'Points-Table'!C$20, TRUE, False), 'Points-Table'!A$20,
        ISBETWEEN(AA18, 'Points-Table'!C$20, 'Points-Table'!C$21, TRUE, False), 'Points-Table'!A$21,
        ISBETWEEN(AA18, 'Points-Table'!C$22, 10000, TRUE, "&amp;"TRUE), 'Points-Table'!A$22,
        true, 
        0)
      "),"S")</f>
        <v>S</v>
      </c>
      <c r="AC18" s="3" t="s">
        <v>28</v>
      </c>
      <c r="AD18" s="3" t="s">
        <v>28</v>
      </c>
      <c r="AE18" s="3" t="s">
        <v>28</v>
      </c>
    </row>
    <row r="19" ht="24.75" customHeight="1">
      <c r="A19" s="3" t="s">
        <v>132</v>
      </c>
      <c r="B19" s="3" t="s">
        <v>133</v>
      </c>
      <c r="C19" s="3" t="s">
        <v>134</v>
      </c>
      <c r="D19" s="3"/>
      <c r="E19" s="3"/>
      <c r="F19" s="3"/>
      <c r="G19" s="3"/>
      <c r="H19" s="3"/>
      <c r="I19" s="3"/>
      <c r="J19" s="3"/>
      <c r="K19" s="3" t="s">
        <v>26</v>
      </c>
      <c r="L19" s="3" t="s">
        <v>27</v>
      </c>
      <c r="M19" s="3"/>
      <c r="N19" s="3"/>
      <c r="O19" s="3"/>
      <c r="P19" s="3"/>
      <c r="Q19" s="4">
        <v>2.0</v>
      </c>
      <c r="R19" s="5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  <v>1</v>
      </c>
      <c r="S19" s="4">
        <v>2.0</v>
      </c>
      <c r="T19" s="5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  <v>1</v>
      </c>
      <c r="U19" s="4">
        <v>8.0</v>
      </c>
      <c r="V19" s="5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  <v>7</v>
      </c>
      <c r="W19" s="4">
        <v>5.0</v>
      </c>
      <c r="X19" s="5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  <v>4</v>
      </c>
      <c r="Y19" s="4">
        <v>5.0</v>
      </c>
      <c r="Z19" s="5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  <v>4</v>
      </c>
      <c r="AA19" s="3">
        <f t="shared" si="2"/>
        <v>15</v>
      </c>
      <c r="AB19" s="3" t="str">
        <f>IFERROR(__xludf.DUMMYFUNCTION("
      Ifs( 
        ISBETWEEN(AA19, 0, 'Points-Table'!C$20, TRUE, False), 'Points-Table'!A$20,
        ISBETWEEN(AA19, 'Points-Table'!C$20, 'Points-Table'!C$21, TRUE, False), 'Points-Table'!A$21,
        ISBETWEEN(AA19, 'Points-Table'!C$22, 10000, TRUE, "&amp;"TRUE), 'Points-Table'!A$22,
        true, 
        0)
      "),"S")</f>
        <v>S</v>
      </c>
      <c r="AC19" s="3" t="s">
        <v>28</v>
      </c>
      <c r="AD19" s="3" t="s">
        <v>28</v>
      </c>
      <c r="AE19" s="3" t="s">
        <v>28</v>
      </c>
    </row>
    <row r="20" ht="24.75" customHeight="1">
      <c r="A20" s="3" t="s">
        <v>132</v>
      </c>
      <c r="B20" s="3" t="s">
        <v>133</v>
      </c>
      <c r="C20" s="3" t="s">
        <v>135</v>
      </c>
      <c r="D20" s="3"/>
      <c r="E20" s="3"/>
      <c r="F20" s="3"/>
      <c r="G20" s="3"/>
      <c r="H20" s="3"/>
      <c r="I20" s="3"/>
      <c r="J20" s="3"/>
      <c r="K20" s="3" t="s">
        <v>26</v>
      </c>
      <c r="L20" s="3" t="s">
        <v>27</v>
      </c>
      <c r="M20" s="3"/>
      <c r="N20" s="3"/>
      <c r="O20" s="3"/>
      <c r="P20" s="3"/>
      <c r="Q20" s="4">
        <v>2.0</v>
      </c>
      <c r="R20" s="5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  <v>1</v>
      </c>
      <c r="S20" s="4">
        <v>2.0</v>
      </c>
      <c r="T20" s="5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  <v>1</v>
      </c>
      <c r="U20" s="4">
        <v>5.0</v>
      </c>
      <c r="V20" s="5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  <v>4</v>
      </c>
      <c r="W20" s="4"/>
      <c r="X20" s="5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  <v>0</v>
      </c>
      <c r="Y20" s="4">
        <v>5.0</v>
      </c>
      <c r="Z20" s="5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  <v>4</v>
      </c>
      <c r="AA20" s="3">
        <f t="shared" si="2"/>
        <v>8</v>
      </c>
      <c r="AB20" s="3" t="str">
        <f>IFERROR(__xludf.DUMMYFUNCTION("
      Ifs( 
        ISBETWEEN(AA20, 0, 'Points-Table'!C$20, TRUE, False), 'Points-Table'!A$20,
        ISBETWEEN(AA20, 'Points-Table'!C$20, 'Points-Table'!C$21, TRUE, False), 'Points-Table'!A$21,
        ISBETWEEN(AA20, 'Points-Table'!C$22, 10000, TRUE, "&amp;"TRUE), 'Points-Table'!A$22,
        true, 
        0)
      "),"S")</f>
        <v>S</v>
      </c>
      <c r="AC20" s="3" t="s">
        <v>28</v>
      </c>
      <c r="AD20" s="3" t="s">
        <v>28</v>
      </c>
      <c r="AE20" s="3" t="s">
        <v>28</v>
      </c>
    </row>
    <row r="21" ht="24.75" customHeight="1">
      <c r="A21" s="3" t="s">
        <v>132</v>
      </c>
      <c r="B21" s="3" t="s">
        <v>133</v>
      </c>
      <c r="C21" s="3" t="s">
        <v>136</v>
      </c>
      <c r="D21" s="3"/>
      <c r="E21" s="3"/>
      <c r="F21" s="3"/>
      <c r="G21" s="3"/>
      <c r="H21" s="3"/>
      <c r="I21" s="3"/>
      <c r="J21" s="3"/>
      <c r="K21" s="3" t="s">
        <v>26</v>
      </c>
      <c r="L21" s="3" t="s">
        <v>27</v>
      </c>
      <c r="M21" s="3"/>
      <c r="N21" s="3"/>
      <c r="O21" s="3"/>
      <c r="P21" s="3"/>
      <c r="Q21" s="4"/>
      <c r="R21" s="5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  <v>0</v>
      </c>
      <c r="S21" s="4"/>
      <c r="T21" s="5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  <v>0</v>
      </c>
      <c r="U21" s="4">
        <v>5.0</v>
      </c>
      <c r="V21" s="5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  <v>4</v>
      </c>
      <c r="W21" s="4"/>
      <c r="X21" s="5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  <v>0</v>
      </c>
      <c r="Y21" s="4"/>
      <c r="Z21" s="5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  <v>0</v>
      </c>
      <c r="AA21" s="3">
        <f t="shared" si="2"/>
        <v>4</v>
      </c>
      <c r="AB21" s="3" t="str">
        <f>IFERROR(__xludf.DUMMYFUNCTION("
      Ifs( 
        ISBETWEEN(AA21, 0, 'Points-Table'!C$20, TRUE, False), 'Points-Table'!A$20,
        ISBETWEEN(AA21, 'Points-Table'!C$20, 'Points-Table'!C$21, TRUE, False), 'Points-Table'!A$21,
        ISBETWEEN(AA21, 'Points-Table'!C$22, 10000, TRUE, "&amp;"TRUE), 'Points-Table'!A$22,
        true, 
        0)
      "),"S")</f>
        <v>S</v>
      </c>
      <c r="AC21" s="3" t="s">
        <v>28</v>
      </c>
      <c r="AD21" s="3" t="s">
        <v>28</v>
      </c>
      <c r="AE21" s="3" t="s">
        <v>28</v>
      </c>
    </row>
    <row r="22" ht="24.75" customHeight="1">
      <c r="A22" s="3" t="s">
        <v>132</v>
      </c>
      <c r="B22" s="3" t="s">
        <v>137</v>
      </c>
      <c r="C22" s="3" t="s">
        <v>138</v>
      </c>
      <c r="D22" s="3"/>
      <c r="E22" s="3"/>
      <c r="F22" s="3"/>
      <c r="G22" s="3"/>
      <c r="H22" s="3"/>
      <c r="I22" s="3"/>
      <c r="J22" s="3"/>
      <c r="K22" s="3" t="s">
        <v>26</v>
      </c>
      <c r="L22" s="3" t="s">
        <v>27</v>
      </c>
      <c r="M22" s="3"/>
      <c r="N22" s="3"/>
      <c r="O22" s="3"/>
      <c r="P22" s="3"/>
      <c r="Q22" s="4">
        <v>2.0</v>
      </c>
      <c r="R22" s="5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  <v>1</v>
      </c>
      <c r="S22" s="4">
        <v>2.0</v>
      </c>
      <c r="T22" s="5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  <v>1</v>
      </c>
      <c r="U22" s="4">
        <v>8.0</v>
      </c>
      <c r="V22" s="5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  <v>7</v>
      </c>
      <c r="W22" s="4">
        <v>5.0</v>
      </c>
      <c r="X22" s="5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  <v>4</v>
      </c>
      <c r="Y22" s="4">
        <v>8.0</v>
      </c>
      <c r="Z22" s="5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  <v>7</v>
      </c>
      <c r="AA22" s="3">
        <f t="shared" si="2"/>
        <v>18</v>
      </c>
      <c r="AB22" s="3" t="str">
        <f>IFERROR(__xludf.DUMMYFUNCTION("
      Ifs( 
        ISBETWEEN(AA22, 0, 'Points-Table'!C$20, TRUE, False), 'Points-Table'!A$20,
        ISBETWEEN(AA22, 'Points-Table'!C$20, 'Points-Table'!C$21, TRUE, False), 'Points-Table'!A$21,
        ISBETWEEN(AA22, 'Points-Table'!C$22, 10000, TRUE, "&amp;"TRUE), 'Points-Table'!A$22,
        true, 
        0)
      "),"S")</f>
        <v>S</v>
      </c>
      <c r="AC22" s="3" t="s">
        <v>28</v>
      </c>
      <c r="AD22" s="3" t="s">
        <v>28</v>
      </c>
      <c r="AE22" s="3" t="s">
        <v>28</v>
      </c>
    </row>
    <row r="23" ht="24.75" customHeight="1">
      <c r="A23" s="3" t="s">
        <v>132</v>
      </c>
      <c r="B23" s="3" t="s">
        <v>139</v>
      </c>
      <c r="C23" s="3" t="s">
        <v>140</v>
      </c>
      <c r="D23" s="3"/>
      <c r="E23" s="3"/>
      <c r="F23" s="3"/>
      <c r="G23" s="3"/>
      <c r="H23" s="3"/>
      <c r="I23" s="3"/>
      <c r="J23" s="3"/>
      <c r="K23" s="3" t="s">
        <v>26</v>
      </c>
      <c r="L23" s="3" t="s">
        <v>27</v>
      </c>
      <c r="M23" s="3"/>
      <c r="N23" s="3"/>
      <c r="O23" s="3"/>
      <c r="P23" s="3"/>
      <c r="Q23" s="4">
        <v>5.0</v>
      </c>
      <c r="R23" s="5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  <v>4</v>
      </c>
      <c r="S23" s="4">
        <v>5.0</v>
      </c>
      <c r="T23" s="5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  <v>4</v>
      </c>
      <c r="U23" s="4">
        <v>8.0</v>
      </c>
      <c r="V23" s="5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  <v>7</v>
      </c>
      <c r="W23" s="4">
        <v>8.0</v>
      </c>
      <c r="X23" s="5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  <v>7</v>
      </c>
      <c r="Y23" s="4">
        <v>8.0</v>
      </c>
      <c r="Z23" s="5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  <v>7</v>
      </c>
      <c r="AA23" s="3">
        <f t="shared" si="2"/>
        <v>21</v>
      </c>
      <c r="AB23" s="3" t="str">
        <f>IFERROR(__xludf.DUMMYFUNCTION("
      Ifs( 
        ISBETWEEN(AA23, 0, 'Points-Table'!C$20, TRUE, False), 'Points-Table'!A$20,
        ISBETWEEN(AA23, 'Points-Table'!C$20, 'Points-Table'!C$21, TRUE, False), 'Points-Table'!A$21,
        ISBETWEEN(AA23, 'Points-Table'!C$22, 10000, TRUE, "&amp;"TRUE), 'Points-Table'!A$22,
        true, 
        0)
      "),"S")</f>
        <v>S</v>
      </c>
      <c r="AC23" s="3" t="s">
        <v>28</v>
      </c>
      <c r="AD23" s="3" t="s">
        <v>28</v>
      </c>
      <c r="AE23" s="3" t="s">
        <v>28</v>
      </c>
    </row>
    <row r="24" ht="24.75" customHeight="1">
      <c r="A24" s="3" t="s">
        <v>111</v>
      </c>
      <c r="B24" s="3"/>
      <c r="C24" s="3"/>
      <c r="D24" s="3"/>
      <c r="E24" s="3"/>
      <c r="F24" s="3"/>
      <c r="G24" s="3"/>
      <c r="H24" s="3"/>
      <c r="I24" s="3"/>
      <c r="J24" s="3"/>
      <c r="K24" s="3" t="s">
        <v>26</v>
      </c>
      <c r="L24" s="3" t="s">
        <v>27</v>
      </c>
      <c r="M24" s="3"/>
      <c r="N24" s="3"/>
      <c r="O24" s="3"/>
      <c r="P24" s="3"/>
      <c r="Q24" s="4"/>
      <c r="R24" s="5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  <v>0</v>
      </c>
      <c r="S24" s="4">
        <v>8.0</v>
      </c>
      <c r="T24" s="5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  <v>7</v>
      </c>
      <c r="U24" s="4"/>
      <c r="V24" s="5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  <v>0</v>
      </c>
      <c r="W24" s="4"/>
      <c r="X24" s="5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  <v>0</v>
      </c>
      <c r="Y24" s="4"/>
      <c r="Z24" s="5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  <v>0</v>
      </c>
      <c r="AA24" s="3">
        <f t="shared" si="2"/>
        <v>0</v>
      </c>
      <c r="AB24" s="3" t="str">
        <f>IFERROR(__xludf.DUMMYFUNCTION("
      Ifs( 
        ISBETWEEN(AA24, 0, 'Points-Table'!C$20, TRUE, False), 'Points-Table'!A$20,
        ISBETWEEN(AA24, 'Points-Table'!C$20, 'Points-Table'!C$21, TRUE, False), 'Points-Table'!A$21,
        ISBETWEEN(AA24, 'Points-Table'!C$22, 10000, TRUE, "&amp;"TRUE), 'Points-Table'!A$22,
        true, 
        0)
      "),"S")</f>
        <v>S</v>
      </c>
      <c r="AC24" s="3" t="s">
        <v>28</v>
      </c>
      <c r="AD24" s="3" t="s">
        <v>28</v>
      </c>
      <c r="AE24" s="3" t="s">
        <v>28</v>
      </c>
    </row>
    <row r="25" ht="24.75" customHeight="1">
      <c r="A25" s="3" t="s">
        <v>113</v>
      </c>
      <c r="B25" s="3"/>
      <c r="C25" s="3"/>
      <c r="D25" s="3"/>
      <c r="E25" s="3"/>
      <c r="F25" s="3"/>
      <c r="G25" s="3"/>
      <c r="H25" s="3"/>
      <c r="I25" s="3"/>
      <c r="J25" s="3"/>
      <c r="K25" s="3" t="s">
        <v>26</v>
      </c>
      <c r="L25" s="3" t="s">
        <v>27</v>
      </c>
      <c r="M25" s="3"/>
      <c r="N25" s="3"/>
      <c r="O25" s="3"/>
      <c r="P25" s="3"/>
      <c r="Q25" s="4"/>
      <c r="R25" s="5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  <v>0</v>
      </c>
      <c r="S25" s="4">
        <v>8.0</v>
      </c>
      <c r="T25" s="5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  <v>7</v>
      </c>
      <c r="U25" s="4"/>
      <c r="V25" s="5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  <v>0</v>
      </c>
      <c r="W25" s="4"/>
      <c r="X25" s="5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  <v>0</v>
      </c>
      <c r="Y25" s="4"/>
      <c r="Z25" s="5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  <v>0</v>
      </c>
      <c r="AA25" s="3">
        <f t="shared" si="2"/>
        <v>0</v>
      </c>
      <c r="AB25" s="3" t="str">
        <f>IFERROR(__xludf.DUMMYFUNCTION("
      Ifs( 
        ISBETWEEN(AA25, 0, 'Points-Table'!C$20, TRUE, False), 'Points-Table'!A$20,
        ISBETWEEN(AA25, 'Points-Table'!C$20, 'Points-Table'!C$21, TRUE, False), 'Points-Table'!A$21,
        ISBETWEEN(AA25, 'Points-Table'!C$22, 10000, TRUE, "&amp;"TRUE), 'Points-Table'!A$22,
        true, 
        0)
      "),"S")</f>
        <v>S</v>
      </c>
      <c r="AC25" s="3" t="s">
        <v>28</v>
      </c>
      <c r="AD25" s="3" t="s">
        <v>28</v>
      </c>
      <c r="AE25" s="3" t="s">
        <v>28</v>
      </c>
    </row>
    <row r="26" ht="24.75" customHeight="1">
      <c r="L26" s="7"/>
      <c r="Q26" s="8"/>
      <c r="R26" s="9"/>
      <c r="S26" s="8"/>
      <c r="T26" s="9"/>
      <c r="U26" s="8"/>
      <c r="V26" s="9"/>
      <c r="W26" s="8"/>
      <c r="X26" s="9"/>
      <c r="Y26" s="8"/>
      <c r="Z26" s="9"/>
    </row>
    <row r="27" ht="24.75" customHeight="1">
      <c r="L27" s="7"/>
      <c r="Q27" s="8"/>
      <c r="R27" s="9"/>
      <c r="S27" s="8"/>
      <c r="T27" s="9"/>
      <c r="U27" s="8"/>
      <c r="V27" s="9"/>
      <c r="W27" s="8"/>
      <c r="X27" s="9"/>
      <c r="Y27" s="8"/>
      <c r="Z27" s="9"/>
    </row>
    <row r="28" ht="24.75" customHeight="1">
      <c r="L28" s="7"/>
      <c r="Q28" s="8"/>
      <c r="R28" s="9"/>
      <c r="S28" s="8"/>
      <c r="T28" s="9"/>
      <c r="U28" s="8"/>
      <c r="V28" s="9"/>
      <c r="W28" s="8"/>
      <c r="X28" s="9"/>
      <c r="Y28" s="8"/>
      <c r="Z28" s="9"/>
    </row>
    <row r="29" ht="24.75" customHeight="1">
      <c r="L29" s="7"/>
      <c r="Q29" s="8"/>
      <c r="R29" s="9"/>
      <c r="S29" s="8"/>
      <c r="T29" s="9"/>
      <c r="U29" s="8"/>
      <c r="V29" s="9"/>
      <c r="W29" s="8"/>
      <c r="X29" s="9"/>
      <c r="Y29" s="8"/>
      <c r="Z29" s="9"/>
    </row>
    <row r="30" ht="24.75" customHeight="1">
      <c r="L30" s="7"/>
      <c r="Q30" s="8"/>
      <c r="R30" s="9"/>
      <c r="S30" s="8"/>
      <c r="T30" s="9"/>
      <c r="U30" s="8"/>
      <c r="V30" s="9"/>
      <c r="W30" s="8"/>
      <c r="X30" s="9"/>
      <c r="Y30" s="8"/>
      <c r="Z30" s="9"/>
    </row>
    <row r="31" ht="24.75" customHeight="1">
      <c r="L31" s="7"/>
      <c r="Q31" s="8"/>
      <c r="R31" s="9"/>
      <c r="S31" s="8"/>
      <c r="T31" s="9"/>
      <c r="U31" s="8"/>
      <c r="V31" s="9"/>
      <c r="W31" s="8"/>
      <c r="X31" s="9"/>
      <c r="Y31" s="8"/>
      <c r="Z31" s="9"/>
    </row>
    <row r="32" ht="24.75" customHeight="1">
      <c r="L32" s="7"/>
      <c r="Q32" s="8"/>
      <c r="R32" s="9"/>
      <c r="S32" s="8"/>
      <c r="T32" s="9"/>
      <c r="U32" s="8"/>
      <c r="V32" s="9"/>
      <c r="W32" s="8"/>
      <c r="X32" s="9"/>
      <c r="Y32" s="8"/>
      <c r="Z32" s="9"/>
    </row>
    <row r="33" ht="24.75" customHeight="1">
      <c r="L33" s="7"/>
      <c r="Q33" s="8"/>
      <c r="R33" s="9"/>
      <c r="S33" s="8"/>
      <c r="T33" s="9"/>
      <c r="U33" s="8"/>
      <c r="V33" s="9"/>
      <c r="W33" s="8"/>
      <c r="X33" s="9"/>
      <c r="Y33" s="8"/>
      <c r="Z33" s="9"/>
    </row>
    <row r="34" ht="24.75" customHeight="1">
      <c r="L34" s="7"/>
      <c r="Q34" s="8"/>
      <c r="R34" s="9"/>
      <c r="S34" s="8"/>
      <c r="T34" s="9"/>
      <c r="U34" s="8"/>
      <c r="V34" s="9"/>
      <c r="W34" s="8"/>
      <c r="X34" s="9"/>
      <c r="Y34" s="8"/>
      <c r="Z34" s="9"/>
    </row>
    <row r="35" ht="24.75" customHeight="1">
      <c r="L35" s="7"/>
      <c r="Q35" s="8"/>
      <c r="R35" s="9"/>
      <c r="S35" s="8"/>
      <c r="T35" s="9"/>
      <c r="U35" s="8"/>
      <c r="V35" s="9"/>
      <c r="W35" s="8"/>
      <c r="X35" s="9"/>
      <c r="Y35" s="8"/>
      <c r="Z35" s="9"/>
    </row>
    <row r="36" ht="24.75" customHeight="1">
      <c r="L36" s="7"/>
      <c r="Q36" s="8"/>
      <c r="R36" s="9"/>
      <c r="S36" s="8"/>
      <c r="T36" s="9"/>
      <c r="U36" s="8"/>
      <c r="V36" s="9"/>
      <c r="W36" s="8"/>
      <c r="X36" s="9"/>
      <c r="Y36" s="8"/>
      <c r="Z36" s="9"/>
    </row>
    <row r="37" ht="24.75" customHeight="1">
      <c r="L37" s="7"/>
      <c r="Q37" s="8"/>
      <c r="R37" s="9"/>
      <c r="S37" s="8"/>
      <c r="T37" s="9"/>
      <c r="U37" s="8"/>
      <c r="V37" s="9"/>
      <c r="W37" s="8"/>
      <c r="X37" s="9"/>
      <c r="Y37" s="8"/>
      <c r="Z37" s="9"/>
    </row>
    <row r="38" ht="24.75" customHeight="1">
      <c r="L38" s="7"/>
      <c r="Q38" s="8"/>
      <c r="R38" s="9"/>
      <c r="S38" s="8"/>
      <c r="T38" s="9"/>
      <c r="U38" s="8"/>
      <c r="V38" s="9"/>
      <c r="W38" s="8"/>
      <c r="X38" s="9"/>
      <c r="Y38" s="8"/>
      <c r="Z38" s="9"/>
    </row>
    <row r="39" ht="24.75" customHeight="1">
      <c r="L39" s="7"/>
      <c r="Q39" s="8"/>
      <c r="R39" s="9"/>
      <c r="S39" s="8"/>
      <c r="T39" s="9"/>
      <c r="U39" s="8"/>
      <c r="V39" s="9"/>
      <c r="W39" s="8"/>
      <c r="X39" s="9"/>
      <c r="Y39" s="8"/>
      <c r="Z39" s="9"/>
    </row>
    <row r="40" ht="24.75" customHeight="1">
      <c r="L40" s="7"/>
      <c r="Q40" s="8"/>
      <c r="R40" s="9"/>
      <c r="S40" s="8"/>
      <c r="T40" s="9"/>
      <c r="U40" s="8"/>
      <c r="V40" s="9"/>
      <c r="W40" s="8"/>
      <c r="X40" s="9"/>
      <c r="Y40" s="8"/>
      <c r="Z40" s="9"/>
    </row>
    <row r="41" ht="24.75" customHeight="1">
      <c r="L41" s="7"/>
      <c r="Q41" s="8"/>
      <c r="R41" s="9"/>
      <c r="S41" s="8"/>
      <c r="T41" s="9"/>
      <c r="U41" s="8"/>
      <c r="V41" s="9"/>
      <c r="W41" s="8"/>
      <c r="X41" s="9"/>
      <c r="Y41" s="8"/>
      <c r="Z41" s="9"/>
    </row>
    <row r="42" ht="24.75" customHeight="1">
      <c r="L42" s="7"/>
      <c r="Q42" s="8"/>
      <c r="R42" s="9"/>
      <c r="S42" s="8"/>
      <c r="T42" s="9"/>
      <c r="U42" s="8"/>
      <c r="V42" s="9"/>
      <c r="W42" s="8"/>
      <c r="X42" s="9"/>
      <c r="Y42" s="8"/>
      <c r="Z42" s="9"/>
    </row>
    <row r="43" ht="24.75" customHeight="1">
      <c r="L43" s="7"/>
      <c r="Q43" s="8"/>
      <c r="R43" s="9"/>
      <c r="S43" s="8"/>
      <c r="T43" s="9"/>
      <c r="U43" s="8"/>
      <c r="V43" s="9"/>
      <c r="W43" s="8"/>
      <c r="X43" s="9"/>
      <c r="Y43" s="8"/>
      <c r="Z43" s="9"/>
    </row>
    <row r="44" ht="24.75" customHeight="1">
      <c r="L44" s="7"/>
      <c r="Q44" s="8"/>
      <c r="R44" s="9"/>
      <c r="S44" s="8"/>
      <c r="T44" s="9"/>
      <c r="U44" s="8"/>
      <c r="V44" s="9"/>
      <c r="W44" s="8"/>
      <c r="X44" s="9"/>
      <c r="Y44" s="8"/>
      <c r="Z44" s="9"/>
    </row>
    <row r="45" ht="24.75" customHeight="1">
      <c r="L45" s="7"/>
      <c r="Q45" s="8"/>
      <c r="R45" s="9"/>
      <c r="S45" s="8"/>
      <c r="T45" s="9"/>
      <c r="U45" s="8"/>
      <c r="V45" s="9"/>
      <c r="W45" s="8"/>
      <c r="X45" s="9"/>
      <c r="Y45" s="8"/>
      <c r="Z45" s="9"/>
    </row>
    <row r="46" ht="24.75" customHeight="1">
      <c r="L46" s="7"/>
      <c r="Q46" s="8"/>
      <c r="R46" s="9"/>
      <c r="S46" s="8"/>
      <c r="T46" s="9"/>
      <c r="U46" s="8"/>
      <c r="V46" s="9"/>
      <c r="W46" s="8"/>
      <c r="X46" s="9"/>
      <c r="Y46" s="8"/>
      <c r="Z46" s="9"/>
    </row>
    <row r="47" ht="24.75" customHeight="1">
      <c r="L47" s="7"/>
      <c r="Q47" s="8"/>
      <c r="R47" s="9"/>
      <c r="S47" s="8"/>
      <c r="T47" s="9"/>
      <c r="U47" s="8"/>
      <c r="V47" s="9"/>
      <c r="W47" s="8"/>
      <c r="X47" s="9"/>
      <c r="Y47" s="8"/>
      <c r="Z47" s="9"/>
    </row>
    <row r="48" ht="24.75" customHeight="1">
      <c r="L48" s="7"/>
      <c r="Q48" s="8"/>
      <c r="R48" s="9"/>
      <c r="S48" s="8"/>
      <c r="T48" s="9"/>
      <c r="U48" s="8"/>
      <c r="V48" s="9"/>
      <c r="W48" s="8"/>
      <c r="X48" s="9"/>
      <c r="Y48" s="8"/>
      <c r="Z48" s="9"/>
    </row>
    <row r="49" ht="24.75" customHeight="1">
      <c r="L49" s="7"/>
      <c r="Q49" s="8"/>
      <c r="R49" s="9"/>
      <c r="S49" s="8"/>
      <c r="T49" s="9"/>
      <c r="U49" s="8"/>
      <c r="V49" s="9"/>
      <c r="W49" s="8"/>
      <c r="X49" s="9"/>
      <c r="Y49" s="8"/>
      <c r="Z49" s="9"/>
    </row>
    <row r="50" ht="24.75" customHeight="1">
      <c r="L50" s="7"/>
      <c r="Q50" s="8"/>
      <c r="R50" s="9"/>
      <c r="S50" s="8"/>
      <c r="T50" s="9"/>
      <c r="U50" s="8"/>
      <c r="V50" s="9"/>
      <c r="W50" s="8"/>
      <c r="X50" s="9"/>
      <c r="Y50" s="8"/>
      <c r="Z50" s="9"/>
    </row>
    <row r="51" ht="24.75" customHeight="1">
      <c r="L51" s="7"/>
      <c r="Q51" s="8"/>
      <c r="R51" s="9"/>
      <c r="S51" s="8"/>
      <c r="T51" s="9"/>
      <c r="U51" s="8"/>
      <c r="V51" s="9"/>
      <c r="W51" s="8"/>
      <c r="X51" s="9"/>
      <c r="Y51" s="8"/>
      <c r="Z51" s="9"/>
    </row>
    <row r="52" ht="24.75" customHeight="1">
      <c r="L52" s="7"/>
      <c r="Q52" s="8"/>
      <c r="R52" s="9"/>
      <c r="S52" s="8"/>
      <c r="T52" s="9"/>
      <c r="U52" s="8"/>
      <c r="V52" s="9"/>
      <c r="W52" s="8"/>
      <c r="X52" s="9"/>
      <c r="Y52" s="8"/>
      <c r="Z52" s="9"/>
    </row>
    <row r="53" ht="24.75" customHeight="1">
      <c r="L53" s="7"/>
      <c r="Q53" s="8"/>
      <c r="R53" s="9"/>
      <c r="S53" s="8"/>
      <c r="T53" s="9"/>
      <c r="U53" s="8"/>
      <c r="V53" s="9"/>
      <c r="W53" s="8"/>
      <c r="X53" s="9"/>
      <c r="Y53" s="8"/>
      <c r="Z53" s="9"/>
    </row>
    <row r="54" ht="24.75" customHeight="1">
      <c r="L54" s="7"/>
      <c r="Q54" s="8"/>
      <c r="R54" s="9"/>
      <c r="S54" s="8"/>
      <c r="T54" s="9"/>
      <c r="U54" s="8"/>
      <c r="V54" s="9"/>
      <c r="W54" s="8"/>
      <c r="X54" s="9"/>
      <c r="Y54" s="8"/>
      <c r="Z54" s="9"/>
    </row>
    <row r="55" ht="24.75" customHeight="1">
      <c r="L55" s="7"/>
      <c r="Q55" s="8"/>
      <c r="R55" s="9"/>
      <c r="S55" s="8"/>
      <c r="T55" s="9"/>
      <c r="U55" s="8"/>
      <c r="V55" s="9"/>
      <c r="W55" s="8"/>
      <c r="X55" s="9"/>
      <c r="Y55" s="8"/>
      <c r="Z55" s="9"/>
    </row>
    <row r="56" ht="24.75" customHeight="1">
      <c r="L56" s="7"/>
      <c r="Q56" s="8"/>
      <c r="R56" s="9"/>
      <c r="S56" s="8"/>
      <c r="T56" s="9"/>
      <c r="U56" s="8"/>
      <c r="V56" s="9"/>
      <c r="W56" s="8"/>
      <c r="X56" s="9"/>
      <c r="Y56" s="8"/>
      <c r="Z56" s="9"/>
    </row>
    <row r="57" ht="24.75" customHeight="1">
      <c r="L57" s="7"/>
      <c r="Q57" s="8"/>
      <c r="R57" s="9"/>
      <c r="S57" s="8"/>
      <c r="T57" s="9"/>
      <c r="U57" s="8"/>
      <c r="V57" s="9"/>
      <c r="W57" s="8"/>
      <c r="X57" s="9"/>
      <c r="Y57" s="8"/>
      <c r="Z57" s="9"/>
    </row>
    <row r="58" ht="24.75" customHeight="1">
      <c r="L58" s="7"/>
      <c r="Q58" s="8"/>
      <c r="R58" s="9"/>
      <c r="S58" s="8"/>
      <c r="T58" s="9"/>
      <c r="U58" s="8"/>
      <c r="V58" s="9"/>
      <c r="W58" s="8"/>
      <c r="X58" s="9"/>
      <c r="Y58" s="8"/>
      <c r="Z58" s="9"/>
    </row>
    <row r="59" ht="24.75" customHeight="1">
      <c r="L59" s="7"/>
      <c r="Q59" s="8"/>
      <c r="R59" s="9"/>
      <c r="S59" s="8"/>
      <c r="T59" s="9"/>
      <c r="U59" s="8"/>
      <c r="V59" s="9"/>
      <c r="W59" s="8"/>
      <c r="X59" s="9"/>
      <c r="Y59" s="8"/>
      <c r="Z59" s="9"/>
    </row>
    <row r="60" ht="24.75" customHeight="1">
      <c r="L60" s="7"/>
      <c r="Q60" s="8"/>
      <c r="R60" s="9"/>
      <c r="S60" s="8"/>
      <c r="T60" s="9"/>
      <c r="U60" s="8"/>
      <c r="V60" s="9"/>
      <c r="W60" s="8"/>
      <c r="X60" s="9"/>
      <c r="Y60" s="8"/>
      <c r="Z60" s="9"/>
    </row>
    <row r="61" ht="24.75" customHeight="1">
      <c r="L61" s="7"/>
      <c r="Q61" s="8"/>
      <c r="R61" s="9"/>
      <c r="S61" s="8"/>
      <c r="T61" s="9"/>
      <c r="U61" s="8"/>
      <c r="V61" s="9"/>
      <c r="W61" s="8"/>
      <c r="X61" s="9"/>
      <c r="Y61" s="8"/>
      <c r="Z61" s="9"/>
    </row>
    <row r="62" ht="24.75" customHeight="1">
      <c r="L62" s="7"/>
      <c r="Q62" s="8"/>
      <c r="R62" s="9"/>
      <c r="S62" s="8"/>
      <c r="T62" s="9"/>
      <c r="U62" s="8"/>
      <c r="V62" s="9"/>
      <c r="W62" s="8"/>
      <c r="X62" s="9"/>
      <c r="Y62" s="8"/>
      <c r="Z62" s="9"/>
    </row>
    <row r="63" ht="24.75" customHeight="1">
      <c r="L63" s="7"/>
      <c r="Q63" s="8"/>
      <c r="R63" s="9"/>
      <c r="S63" s="8"/>
      <c r="T63" s="9"/>
      <c r="U63" s="8"/>
      <c r="V63" s="9"/>
      <c r="W63" s="8"/>
      <c r="X63" s="9"/>
      <c r="Y63" s="8"/>
      <c r="Z63" s="9"/>
    </row>
    <row r="64" ht="24.75" customHeight="1">
      <c r="L64" s="7"/>
      <c r="Q64" s="8"/>
      <c r="R64" s="9"/>
      <c r="S64" s="8"/>
      <c r="T64" s="9"/>
      <c r="U64" s="8"/>
      <c r="V64" s="9"/>
      <c r="W64" s="8"/>
      <c r="X64" s="9"/>
      <c r="Y64" s="8"/>
      <c r="Z64" s="9"/>
    </row>
    <row r="65" ht="24.75" customHeight="1">
      <c r="L65" s="7"/>
      <c r="Q65" s="8"/>
      <c r="R65" s="9"/>
      <c r="S65" s="8"/>
      <c r="T65" s="9"/>
      <c r="U65" s="8"/>
      <c r="V65" s="9"/>
      <c r="W65" s="8"/>
      <c r="X65" s="9"/>
      <c r="Y65" s="8"/>
      <c r="Z65" s="9"/>
    </row>
    <row r="66" ht="24.75" customHeight="1">
      <c r="L66" s="7"/>
      <c r="Q66" s="8"/>
      <c r="R66" s="9"/>
      <c r="S66" s="8"/>
      <c r="T66" s="9"/>
      <c r="U66" s="8"/>
      <c r="V66" s="9"/>
      <c r="W66" s="8"/>
      <c r="X66" s="9"/>
      <c r="Y66" s="8"/>
      <c r="Z66" s="9"/>
    </row>
    <row r="67" ht="24.75" customHeight="1">
      <c r="L67" s="7"/>
      <c r="Q67" s="8"/>
      <c r="R67" s="9"/>
      <c r="S67" s="8"/>
      <c r="T67" s="9"/>
      <c r="U67" s="8"/>
      <c r="V67" s="9"/>
      <c r="W67" s="8"/>
      <c r="X67" s="9"/>
      <c r="Y67" s="8"/>
      <c r="Z67" s="9"/>
    </row>
    <row r="68" ht="24.75" customHeight="1">
      <c r="L68" s="7"/>
      <c r="Q68" s="8"/>
      <c r="R68" s="9"/>
      <c r="S68" s="8"/>
      <c r="T68" s="9"/>
      <c r="U68" s="8"/>
      <c r="V68" s="9"/>
      <c r="W68" s="8"/>
      <c r="X68" s="9"/>
      <c r="Y68" s="8"/>
      <c r="Z68" s="9"/>
    </row>
    <row r="69" ht="24.75" customHeight="1">
      <c r="L69" s="7"/>
      <c r="Q69" s="8"/>
      <c r="R69" s="9"/>
      <c r="S69" s="8"/>
      <c r="T69" s="9"/>
      <c r="U69" s="8"/>
      <c r="V69" s="9"/>
      <c r="W69" s="8"/>
      <c r="X69" s="9"/>
      <c r="Y69" s="8"/>
      <c r="Z69" s="9"/>
    </row>
    <row r="70" ht="24.75" customHeight="1">
      <c r="L70" s="7"/>
      <c r="Q70" s="8"/>
      <c r="R70" s="9"/>
      <c r="S70" s="8"/>
      <c r="T70" s="9"/>
      <c r="U70" s="8"/>
      <c r="V70" s="9"/>
      <c r="W70" s="8"/>
      <c r="X70" s="9"/>
      <c r="Y70" s="8"/>
      <c r="Z70" s="9"/>
    </row>
    <row r="71" ht="24.75" customHeight="1">
      <c r="L71" s="7"/>
      <c r="Q71" s="8"/>
      <c r="R71" s="9"/>
      <c r="S71" s="8"/>
      <c r="T71" s="9"/>
      <c r="U71" s="8"/>
      <c r="V71" s="9"/>
      <c r="W71" s="8"/>
      <c r="X71" s="9"/>
      <c r="Y71" s="8"/>
      <c r="Z71" s="9"/>
    </row>
    <row r="72" ht="24.75" customHeight="1">
      <c r="L72" s="7"/>
      <c r="Q72" s="8"/>
      <c r="R72" s="9"/>
      <c r="S72" s="8"/>
      <c r="T72" s="9"/>
      <c r="U72" s="8"/>
      <c r="V72" s="9"/>
      <c r="W72" s="8"/>
      <c r="X72" s="9"/>
      <c r="Y72" s="8"/>
      <c r="Z72" s="9"/>
    </row>
    <row r="73" ht="24.75" customHeight="1">
      <c r="L73" s="7"/>
      <c r="Q73" s="8"/>
      <c r="R73" s="9"/>
      <c r="S73" s="8"/>
      <c r="T73" s="9"/>
      <c r="U73" s="8"/>
      <c r="V73" s="9"/>
      <c r="W73" s="8"/>
      <c r="X73" s="9"/>
      <c r="Y73" s="8"/>
      <c r="Z73" s="9"/>
    </row>
    <row r="74" ht="24.75" customHeight="1">
      <c r="L74" s="7"/>
      <c r="Q74" s="8"/>
      <c r="R74" s="9"/>
      <c r="S74" s="8"/>
      <c r="T74" s="9"/>
      <c r="U74" s="8"/>
      <c r="V74" s="9"/>
      <c r="W74" s="8"/>
      <c r="X74" s="9"/>
      <c r="Y74" s="8"/>
      <c r="Z74" s="9"/>
    </row>
    <row r="75" ht="24.75" customHeight="1">
      <c r="L75" s="7"/>
      <c r="Q75" s="8"/>
      <c r="R75" s="9"/>
      <c r="S75" s="8"/>
      <c r="T75" s="9"/>
      <c r="U75" s="8"/>
      <c r="V75" s="9"/>
      <c r="W75" s="8"/>
      <c r="X75" s="9"/>
      <c r="Y75" s="8"/>
      <c r="Z75" s="9"/>
    </row>
    <row r="76" ht="24.75" customHeight="1">
      <c r="L76" s="7"/>
      <c r="Q76" s="8"/>
      <c r="R76" s="9"/>
      <c r="S76" s="8"/>
      <c r="T76" s="9"/>
      <c r="U76" s="8"/>
      <c r="V76" s="9"/>
      <c r="W76" s="8"/>
      <c r="X76" s="9"/>
      <c r="Y76" s="8"/>
      <c r="Z76" s="9"/>
    </row>
    <row r="77" ht="24.75" customHeight="1">
      <c r="L77" s="7"/>
      <c r="Q77" s="8"/>
      <c r="R77" s="9"/>
      <c r="S77" s="8"/>
      <c r="T77" s="9"/>
      <c r="U77" s="8"/>
      <c r="V77" s="9"/>
      <c r="W77" s="8"/>
      <c r="X77" s="9"/>
      <c r="Y77" s="8"/>
      <c r="Z77" s="9"/>
    </row>
    <row r="78" ht="24.75" customHeight="1">
      <c r="L78" s="7"/>
      <c r="Q78" s="8"/>
      <c r="R78" s="9"/>
      <c r="S78" s="8"/>
      <c r="T78" s="9"/>
      <c r="U78" s="8"/>
      <c r="V78" s="9"/>
      <c r="W78" s="8"/>
      <c r="X78" s="9"/>
      <c r="Y78" s="8"/>
      <c r="Z78" s="9"/>
    </row>
    <row r="79" ht="24.75" customHeight="1">
      <c r="L79" s="7"/>
      <c r="Q79" s="8"/>
      <c r="R79" s="9"/>
      <c r="S79" s="8"/>
      <c r="T79" s="9"/>
      <c r="U79" s="8"/>
      <c r="V79" s="9"/>
      <c r="W79" s="8"/>
      <c r="X79" s="9"/>
      <c r="Y79" s="8"/>
      <c r="Z79" s="9"/>
    </row>
    <row r="80" ht="24.75" customHeight="1">
      <c r="L80" s="7"/>
      <c r="Q80" s="8"/>
      <c r="R80" s="9"/>
      <c r="S80" s="8"/>
      <c r="T80" s="9"/>
      <c r="U80" s="8"/>
      <c r="V80" s="9"/>
      <c r="W80" s="8"/>
      <c r="X80" s="9"/>
      <c r="Y80" s="8"/>
      <c r="Z80" s="9"/>
    </row>
    <row r="81" ht="24.75" customHeight="1">
      <c r="L81" s="7"/>
      <c r="Q81" s="8"/>
      <c r="R81" s="9"/>
      <c r="S81" s="8"/>
      <c r="T81" s="9"/>
      <c r="U81" s="8"/>
      <c r="V81" s="9"/>
      <c r="W81" s="8"/>
      <c r="X81" s="9"/>
      <c r="Y81" s="8"/>
      <c r="Z81" s="9"/>
    </row>
    <row r="82" ht="24.75" customHeight="1">
      <c r="L82" s="7"/>
      <c r="Q82" s="8"/>
      <c r="R82" s="9"/>
      <c r="S82" s="8"/>
      <c r="T82" s="9"/>
      <c r="U82" s="8"/>
      <c r="V82" s="9"/>
      <c r="W82" s="8"/>
      <c r="X82" s="9"/>
      <c r="Y82" s="8"/>
      <c r="Z82" s="9"/>
    </row>
    <row r="83" ht="24.75" customHeight="1">
      <c r="L83" s="7"/>
      <c r="Q83" s="8"/>
      <c r="R83" s="9"/>
      <c r="S83" s="8"/>
      <c r="T83" s="9"/>
      <c r="U83" s="8"/>
      <c r="V83" s="9"/>
      <c r="W83" s="8"/>
      <c r="X83" s="9"/>
      <c r="Y83" s="8"/>
      <c r="Z83" s="9"/>
    </row>
    <row r="84" ht="24.75" customHeight="1">
      <c r="L84" s="7"/>
      <c r="Q84" s="8"/>
      <c r="R84" s="9"/>
      <c r="S84" s="8"/>
      <c r="T84" s="9"/>
      <c r="U84" s="8"/>
      <c r="V84" s="9"/>
      <c r="W84" s="8"/>
      <c r="X84" s="9"/>
      <c r="Y84" s="8"/>
      <c r="Z84" s="9"/>
    </row>
    <row r="85" ht="24.75" customHeight="1">
      <c r="L85" s="7"/>
      <c r="Q85" s="8"/>
      <c r="R85" s="9"/>
      <c r="S85" s="8"/>
      <c r="T85" s="9"/>
      <c r="U85" s="8"/>
      <c r="V85" s="9"/>
      <c r="W85" s="8"/>
      <c r="X85" s="9"/>
      <c r="Y85" s="8"/>
      <c r="Z85" s="9"/>
    </row>
    <row r="86" ht="24.75" customHeight="1">
      <c r="L86" s="7"/>
      <c r="Q86" s="8"/>
      <c r="R86" s="9"/>
      <c r="S86" s="8"/>
      <c r="T86" s="9"/>
      <c r="U86" s="8"/>
      <c r="V86" s="9"/>
      <c r="W86" s="8"/>
      <c r="X86" s="9"/>
      <c r="Y86" s="8"/>
      <c r="Z86" s="9"/>
    </row>
    <row r="87" ht="24.75" customHeight="1">
      <c r="L87" s="7"/>
      <c r="Q87" s="8"/>
      <c r="R87" s="9"/>
      <c r="S87" s="8"/>
      <c r="T87" s="9"/>
      <c r="U87" s="8"/>
      <c r="V87" s="9"/>
      <c r="W87" s="8"/>
      <c r="X87" s="9"/>
      <c r="Y87" s="8"/>
      <c r="Z87" s="9"/>
    </row>
    <row r="88" ht="24.75" customHeight="1">
      <c r="L88" s="7"/>
      <c r="Q88" s="8"/>
      <c r="R88" s="9"/>
      <c r="S88" s="8"/>
      <c r="T88" s="9"/>
      <c r="U88" s="8"/>
      <c r="V88" s="9"/>
      <c r="W88" s="8"/>
      <c r="X88" s="9"/>
      <c r="Y88" s="8"/>
      <c r="Z88" s="9"/>
    </row>
    <row r="89" ht="24.75" customHeight="1">
      <c r="L89" s="7"/>
      <c r="Q89" s="8"/>
      <c r="R89" s="9"/>
      <c r="S89" s="8"/>
      <c r="T89" s="9"/>
      <c r="U89" s="8"/>
      <c r="V89" s="9"/>
      <c r="W89" s="8"/>
      <c r="X89" s="9"/>
      <c r="Y89" s="8"/>
      <c r="Z89" s="9"/>
    </row>
    <row r="90" ht="24.75" customHeight="1">
      <c r="L90" s="7"/>
      <c r="Q90" s="8"/>
      <c r="R90" s="9"/>
      <c r="S90" s="8"/>
      <c r="T90" s="9"/>
      <c r="U90" s="8"/>
      <c r="V90" s="9"/>
      <c r="W90" s="8"/>
      <c r="X90" s="9"/>
      <c r="Y90" s="8"/>
      <c r="Z90" s="9"/>
    </row>
    <row r="91" ht="24.75" customHeight="1">
      <c r="L91" s="7"/>
      <c r="Q91" s="8"/>
      <c r="R91" s="9"/>
      <c r="S91" s="8"/>
      <c r="T91" s="9"/>
      <c r="U91" s="8"/>
      <c r="V91" s="9"/>
      <c r="W91" s="8"/>
      <c r="X91" s="9"/>
      <c r="Y91" s="8"/>
      <c r="Z91" s="9"/>
    </row>
    <row r="92" ht="24.75" customHeight="1">
      <c r="L92" s="7"/>
      <c r="Q92" s="8"/>
      <c r="R92" s="9"/>
      <c r="S92" s="8"/>
      <c r="T92" s="9"/>
      <c r="U92" s="8"/>
      <c r="V92" s="9"/>
      <c r="W92" s="8"/>
      <c r="X92" s="9"/>
      <c r="Y92" s="8"/>
      <c r="Z92" s="9"/>
    </row>
    <row r="93" ht="24.75" customHeight="1">
      <c r="L93" s="7"/>
      <c r="Q93" s="8"/>
      <c r="R93" s="9"/>
      <c r="S93" s="8"/>
      <c r="T93" s="9"/>
      <c r="U93" s="8"/>
      <c r="V93" s="9"/>
      <c r="W93" s="8"/>
      <c r="X93" s="9"/>
      <c r="Y93" s="8"/>
      <c r="Z93" s="9"/>
    </row>
    <row r="94" ht="24.75" customHeight="1">
      <c r="L94" s="7"/>
      <c r="Q94" s="8"/>
      <c r="R94" s="9"/>
      <c r="S94" s="8"/>
      <c r="T94" s="9"/>
      <c r="U94" s="8"/>
      <c r="V94" s="9"/>
      <c r="W94" s="8"/>
      <c r="X94" s="9"/>
      <c r="Y94" s="8"/>
      <c r="Z94" s="9"/>
    </row>
    <row r="95" ht="24.75" customHeight="1">
      <c r="L95" s="7"/>
      <c r="Q95" s="8"/>
      <c r="R95" s="9"/>
      <c r="S95" s="8"/>
      <c r="T95" s="9"/>
      <c r="U95" s="8"/>
      <c r="V95" s="9"/>
      <c r="W95" s="8"/>
      <c r="X95" s="9"/>
      <c r="Y95" s="8"/>
      <c r="Z95" s="9"/>
    </row>
    <row r="96" ht="24.75" customHeight="1">
      <c r="L96" s="7"/>
      <c r="Q96" s="8"/>
      <c r="R96" s="9"/>
      <c r="S96" s="8"/>
      <c r="T96" s="9"/>
      <c r="U96" s="8"/>
      <c r="V96" s="9"/>
      <c r="W96" s="8"/>
      <c r="X96" s="9"/>
      <c r="Y96" s="8"/>
      <c r="Z96" s="9"/>
    </row>
    <row r="97" ht="24.75" customHeight="1">
      <c r="L97" s="7"/>
      <c r="Q97" s="8"/>
      <c r="R97" s="9"/>
      <c r="S97" s="8"/>
      <c r="T97" s="9"/>
      <c r="U97" s="8"/>
      <c r="V97" s="9"/>
      <c r="W97" s="8"/>
      <c r="X97" s="9"/>
      <c r="Y97" s="8"/>
      <c r="Z97" s="9"/>
    </row>
    <row r="98" ht="24.75" customHeight="1">
      <c r="L98" s="7"/>
      <c r="Q98" s="8"/>
      <c r="R98" s="9"/>
      <c r="S98" s="8"/>
      <c r="T98" s="9"/>
      <c r="U98" s="8"/>
      <c r="V98" s="9"/>
      <c r="W98" s="8"/>
      <c r="X98" s="9"/>
      <c r="Y98" s="8"/>
      <c r="Z98" s="9"/>
    </row>
    <row r="99" ht="24.75" customHeight="1">
      <c r="L99" s="7"/>
      <c r="Q99" s="8"/>
      <c r="R99" s="9"/>
      <c r="S99" s="8"/>
      <c r="T99" s="9"/>
      <c r="U99" s="8"/>
      <c r="V99" s="9"/>
      <c r="W99" s="8"/>
      <c r="X99" s="9"/>
      <c r="Y99" s="8"/>
      <c r="Z99" s="9"/>
    </row>
    <row r="100" ht="24.75" customHeight="1">
      <c r="L100" s="7"/>
      <c r="Q100" s="8"/>
      <c r="R100" s="9"/>
      <c r="S100" s="8"/>
      <c r="T100" s="9"/>
      <c r="U100" s="8"/>
      <c r="V100" s="9"/>
      <c r="W100" s="8"/>
      <c r="X100" s="9"/>
      <c r="Y100" s="8"/>
      <c r="Z100" s="9"/>
    </row>
    <row r="101" ht="24.75" customHeight="1">
      <c r="L101" s="7"/>
      <c r="Q101" s="8"/>
      <c r="R101" s="9"/>
      <c r="S101" s="8"/>
      <c r="T101" s="9"/>
      <c r="U101" s="8"/>
      <c r="V101" s="9"/>
      <c r="W101" s="8"/>
      <c r="X101" s="9"/>
      <c r="Y101" s="8"/>
      <c r="Z101" s="9"/>
    </row>
    <row r="102" ht="24.75" customHeight="1">
      <c r="L102" s="7"/>
      <c r="Q102" s="8"/>
      <c r="R102" s="9"/>
      <c r="S102" s="8"/>
      <c r="T102" s="9"/>
      <c r="U102" s="8"/>
      <c r="V102" s="9"/>
      <c r="W102" s="8"/>
      <c r="X102" s="9"/>
      <c r="Y102" s="8"/>
      <c r="Z102" s="9"/>
    </row>
    <row r="103" ht="24.75" customHeight="1">
      <c r="L103" s="7"/>
      <c r="Q103" s="8"/>
      <c r="R103" s="9"/>
      <c r="S103" s="8"/>
      <c r="T103" s="9"/>
      <c r="U103" s="8"/>
      <c r="V103" s="9"/>
      <c r="W103" s="8"/>
      <c r="X103" s="9"/>
      <c r="Y103" s="8"/>
      <c r="Z103" s="9"/>
    </row>
    <row r="104" ht="24.75" customHeight="1">
      <c r="L104" s="7"/>
      <c r="Q104" s="8"/>
      <c r="R104" s="9"/>
      <c r="S104" s="8"/>
      <c r="T104" s="9"/>
      <c r="U104" s="8"/>
      <c r="V104" s="9"/>
      <c r="W104" s="8"/>
      <c r="X104" s="9"/>
      <c r="Y104" s="8"/>
      <c r="Z104" s="9"/>
    </row>
    <row r="105" ht="24.75" customHeight="1">
      <c r="L105" s="7"/>
      <c r="Q105" s="8"/>
      <c r="R105" s="9"/>
      <c r="S105" s="8"/>
      <c r="T105" s="9"/>
      <c r="U105" s="8"/>
      <c r="V105" s="9"/>
      <c r="W105" s="8"/>
      <c r="X105" s="9"/>
      <c r="Y105" s="8"/>
      <c r="Z105" s="9"/>
    </row>
    <row r="106" ht="24.75" customHeight="1">
      <c r="L106" s="7"/>
      <c r="Q106" s="8"/>
      <c r="R106" s="9"/>
      <c r="S106" s="8"/>
      <c r="T106" s="9"/>
      <c r="U106" s="8"/>
      <c r="V106" s="9"/>
      <c r="W106" s="8"/>
      <c r="X106" s="9"/>
      <c r="Y106" s="8"/>
      <c r="Z106" s="9"/>
    </row>
    <row r="107" ht="24.75" customHeight="1">
      <c r="L107" s="7"/>
      <c r="Q107" s="8"/>
      <c r="R107" s="9"/>
      <c r="S107" s="8"/>
      <c r="T107" s="9"/>
      <c r="U107" s="8"/>
      <c r="V107" s="9"/>
      <c r="W107" s="8"/>
      <c r="X107" s="9"/>
      <c r="Y107" s="8"/>
      <c r="Z107" s="9"/>
    </row>
    <row r="108" ht="24.75" customHeight="1">
      <c r="L108" s="7"/>
      <c r="Q108" s="8"/>
      <c r="R108" s="9"/>
      <c r="S108" s="8"/>
      <c r="T108" s="9"/>
      <c r="U108" s="8"/>
      <c r="V108" s="9"/>
      <c r="W108" s="8"/>
      <c r="X108" s="9"/>
      <c r="Y108" s="8"/>
      <c r="Z108" s="9"/>
    </row>
    <row r="109" ht="24.75" customHeight="1">
      <c r="L109" s="7"/>
      <c r="Q109" s="8"/>
      <c r="R109" s="9"/>
      <c r="S109" s="8"/>
      <c r="T109" s="9"/>
      <c r="U109" s="8"/>
      <c r="V109" s="9"/>
      <c r="W109" s="8"/>
      <c r="X109" s="9"/>
      <c r="Y109" s="8"/>
      <c r="Z109" s="9"/>
    </row>
    <row r="110" ht="24.75" customHeight="1">
      <c r="L110" s="7"/>
      <c r="Q110" s="8"/>
      <c r="R110" s="9"/>
      <c r="S110" s="8"/>
      <c r="T110" s="9"/>
      <c r="U110" s="8"/>
      <c r="V110" s="9"/>
      <c r="W110" s="8"/>
      <c r="X110" s="9"/>
      <c r="Y110" s="8"/>
      <c r="Z110" s="9"/>
    </row>
    <row r="111" ht="24.75" customHeight="1">
      <c r="L111" s="7"/>
      <c r="Q111" s="8"/>
      <c r="R111" s="9"/>
      <c r="S111" s="8"/>
      <c r="T111" s="9"/>
      <c r="U111" s="8"/>
      <c r="V111" s="9"/>
      <c r="W111" s="8"/>
      <c r="X111" s="9"/>
      <c r="Y111" s="8"/>
      <c r="Z111" s="9"/>
    </row>
    <row r="112" ht="24.75" customHeight="1">
      <c r="L112" s="7"/>
      <c r="Q112" s="8"/>
      <c r="R112" s="9"/>
      <c r="S112" s="8"/>
      <c r="T112" s="9"/>
      <c r="U112" s="8"/>
      <c r="V112" s="9"/>
      <c r="W112" s="8"/>
      <c r="X112" s="9"/>
      <c r="Y112" s="8"/>
      <c r="Z112" s="9"/>
    </row>
    <row r="113" ht="24.75" customHeight="1">
      <c r="L113" s="7"/>
      <c r="Q113" s="8"/>
      <c r="R113" s="9"/>
      <c r="S113" s="8"/>
      <c r="T113" s="9"/>
      <c r="U113" s="8"/>
      <c r="V113" s="9"/>
      <c r="W113" s="8"/>
      <c r="X113" s="9"/>
      <c r="Y113" s="8"/>
      <c r="Z113" s="9"/>
    </row>
    <row r="114" ht="24.75" customHeight="1">
      <c r="L114" s="7"/>
      <c r="Q114" s="8"/>
      <c r="R114" s="9"/>
      <c r="S114" s="8"/>
      <c r="T114" s="9"/>
      <c r="U114" s="8"/>
      <c r="V114" s="9"/>
      <c r="W114" s="8"/>
      <c r="X114" s="9"/>
      <c r="Y114" s="8"/>
      <c r="Z114" s="9"/>
    </row>
    <row r="115" ht="24.75" customHeight="1">
      <c r="L115" s="7"/>
      <c r="Q115" s="8"/>
      <c r="R115" s="9"/>
      <c r="S115" s="8"/>
      <c r="T115" s="9"/>
      <c r="U115" s="8"/>
      <c r="V115" s="9"/>
      <c r="W115" s="8"/>
      <c r="X115" s="9"/>
      <c r="Y115" s="8"/>
      <c r="Z115" s="9"/>
    </row>
    <row r="116" ht="24.75" customHeight="1">
      <c r="L116" s="7"/>
      <c r="Q116" s="8"/>
      <c r="R116" s="9"/>
      <c r="S116" s="8"/>
      <c r="T116" s="9"/>
      <c r="U116" s="8"/>
      <c r="V116" s="9"/>
      <c r="W116" s="8"/>
      <c r="X116" s="9"/>
      <c r="Y116" s="8"/>
      <c r="Z116" s="9"/>
    </row>
    <row r="117" ht="24.75" customHeight="1">
      <c r="L117" s="7"/>
      <c r="Q117" s="8"/>
      <c r="R117" s="9"/>
      <c r="S117" s="8"/>
      <c r="T117" s="9"/>
      <c r="U117" s="8"/>
      <c r="V117" s="9"/>
      <c r="W117" s="8"/>
      <c r="X117" s="9"/>
      <c r="Y117" s="8"/>
      <c r="Z117" s="9"/>
    </row>
    <row r="118" ht="24.75" customHeight="1">
      <c r="L118" s="7"/>
      <c r="Q118" s="8"/>
      <c r="R118" s="9"/>
      <c r="S118" s="8"/>
      <c r="T118" s="9"/>
      <c r="U118" s="8"/>
      <c r="V118" s="9"/>
      <c r="W118" s="8"/>
      <c r="X118" s="9"/>
      <c r="Y118" s="8"/>
      <c r="Z118" s="9"/>
    </row>
    <row r="119" ht="24.75" customHeight="1">
      <c r="L119" s="7"/>
      <c r="Q119" s="8"/>
      <c r="R119" s="9"/>
      <c r="S119" s="8"/>
      <c r="T119" s="9"/>
      <c r="U119" s="8"/>
      <c r="V119" s="9"/>
      <c r="W119" s="8"/>
      <c r="X119" s="9"/>
      <c r="Y119" s="8"/>
      <c r="Z119" s="9"/>
    </row>
    <row r="120" ht="24.75" customHeight="1">
      <c r="L120" s="7"/>
      <c r="Q120" s="8"/>
      <c r="R120" s="9"/>
      <c r="S120" s="8"/>
      <c r="T120" s="9"/>
      <c r="U120" s="8"/>
      <c r="V120" s="9"/>
      <c r="W120" s="8"/>
      <c r="X120" s="9"/>
      <c r="Y120" s="8"/>
      <c r="Z120" s="9"/>
    </row>
    <row r="121" ht="24.75" customHeight="1">
      <c r="L121" s="7"/>
      <c r="Q121" s="8"/>
      <c r="R121" s="9"/>
      <c r="S121" s="8"/>
      <c r="T121" s="9"/>
      <c r="U121" s="8"/>
      <c r="V121" s="9"/>
      <c r="W121" s="8"/>
      <c r="X121" s="9"/>
      <c r="Y121" s="8"/>
      <c r="Z121" s="9"/>
    </row>
    <row r="122" ht="24.75" customHeight="1">
      <c r="L122" s="7"/>
      <c r="Q122" s="8"/>
      <c r="R122" s="9"/>
      <c r="S122" s="8"/>
      <c r="T122" s="9"/>
      <c r="U122" s="8"/>
      <c r="V122" s="9"/>
      <c r="W122" s="8"/>
      <c r="X122" s="9"/>
      <c r="Y122" s="8"/>
      <c r="Z122" s="9"/>
    </row>
    <row r="123" ht="24.75" customHeight="1">
      <c r="L123" s="7"/>
      <c r="Q123" s="8"/>
      <c r="R123" s="9"/>
      <c r="S123" s="8"/>
      <c r="T123" s="9"/>
      <c r="U123" s="8"/>
      <c r="V123" s="9"/>
      <c r="W123" s="8"/>
      <c r="X123" s="9"/>
      <c r="Y123" s="8"/>
      <c r="Z123" s="9"/>
    </row>
    <row r="124" ht="24.75" customHeight="1">
      <c r="L124" s="7"/>
      <c r="Q124" s="8"/>
      <c r="R124" s="9"/>
      <c r="S124" s="8"/>
      <c r="T124" s="9"/>
      <c r="U124" s="8"/>
      <c r="V124" s="9"/>
      <c r="W124" s="8"/>
      <c r="X124" s="9"/>
      <c r="Y124" s="8"/>
      <c r="Z124" s="9"/>
    </row>
    <row r="125" ht="24.75" customHeight="1">
      <c r="L125" s="7"/>
      <c r="Q125" s="8"/>
      <c r="R125" s="9"/>
      <c r="S125" s="8"/>
      <c r="T125" s="9"/>
      <c r="U125" s="8"/>
      <c r="V125" s="9"/>
      <c r="W125" s="8"/>
      <c r="X125" s="9"/>
      <c r="Y125" s="8"/>
      <c r="Z125" s="9"/>
    </row>
    <row r="126" ht="24.75" customHeight="1">
      <c r="L126" s="7"/>
      <c r="Q126" s="8"/>
      <c r="R126" s="9"/>
      <c r="S126" s="8"/>
      <c r="T126" s="9"/>
      <c r="U126" s="8"/>
      <c r="V126" s="9"/>
      <c r="W126" s="8"/>
      <c r="X126" s="9"/>
      <c r="Y126" s="8"/>
      <c r="Z126" s="9"/>
    </row>
    <row r="127" ht="24.75" customHeight="1">
      <c r="L127" s="7"/>
      <c r="Q127" s="8"/>
      <c r="R127" s="9"/>
      <c r="S127" s="8"/>
      <c r="T127" s="9"/>
      <c r="U127" s="8"/>
      <c r="V127" s="9"/>
      <c r="W127" s="8"/>
      <c r="X127" s="9"/>
      <c r="Y127" s="8"/>
      <c r="Z127" s="9"/>
    </row>
    <row r="128" ht="24.75" customHeight="1">
      <c r="L128" s="7"/>
      <c r="Q128" s="8"/>
      <c r="R128" s="9"/>
      <c r="S128" s="8"/>
      <c r="T128" s="9"/>
      <c r="U128" s="8"/>
      <c r="V128" s="9"/>
      <c r="W128" s="8"/>
      <c r="X128" s="9"/>
      <c r="Y128" s="8"/>
      <c r="Z128" s="9"/>
    </row>
    <row r="129" ht="24.75" customHeight="1">
      <c r="L129" s="7"/>
      <c r="Q129" s="8"/>
      <c r="R129" s="9"/>
      <c r="S129" s="8"/>
      <c r="T129" s="9"/>
      <c r="U129" s="8"/>
      <c r="V129" s="9"/>
      <c r="W129" s="8"/>
      <c r="X129" s="9"/>
      <c r="Y129" s="8"/>
      <c r="Z129" s="9"/>
    </row>
    <row r="130" ht="24.75" customHeight="1">
      <c r="L130" s="7"/>
      <c r="Q130" s="8"/>
      <c r="R130" s="9"/>
      <c r="S130" s="8"/>
      <c r="T130" s="9"/>
      <c r="U130" s="8"/>
      <c r="V130" s="9"/>
      <c r="W130" s="8"/>
      <c r="X130" s="9"/>
      <c r="Y130" s="8"/>
      <c r="Z130" s="9"/>
    </row>
    <row r="131" ht="24.75" customHeight="1">
      <c r="L131" s="7"/>
      <c r="Q131" s="8"/>
      <c r="R131" s="9"/>
      <c r="S131" s="8"/>
      <c r="T131" s="9"/>
      <c r="U131" s="8"/>
      <c r="V131" s="9"/>
      <c r="W131" s="8"/>
      <c r="X131" s="9"/>
      <c r="Y131" s="8"/>
      <c r="Z131" s="9"/>
    </row>
    <row r="132" ht="24.75" customHeight="1">
      <c r="L132" s="7"/>
      <c r="Q132" s="8"/>
      <c r="R132" s="9"/>
      <c r="S132" s="8"/>
      <c r="T132" s="9"/>
      <c r="U132" s="8"/>
      <c r="V132" s="9"/>
      <c r="W132" s="8"/>
      <c r="X132" s="9"/>
      <c r="Y132" s="8"/>
      <c r="Z132" s="9"/>
    </row>
    <row r="133" ht="24.75" customHeight="1">
      <c r="L133" s="7"/>
      <c r="Q133" s="8"/>
      <c r="R133" s="9"/>
      <c r="S133" s="8"/>
      <c r="T133" s="9"/>
      <c r="U133" s="8"/>
      <c r="V133" s="9"/>
      <c r="W133" s="8"/>
      <c r="X133" s="9"/>
      <c r="Y133" s="8"/>
      <c r="Z133" s="9"/>
    </row>
    <row r="134" ht="24.75" customHeight="1">
      <c r="L134" s="7"/>
      <c r="Q134" s="8"/>
      <c r="R134" s="9"/>
      <c r="S134" s="8"/>
      <c r="T134" s="9"/>
      <c r="U134" s="8"/>
      <c r="V134" s="9"/>
      <c r="W134" s="8"/>
      <c r="X134" s="9"/>
      <c r="Y134" s="8"/>
      <c r="Z134" s="9"/>
    </row>
    <row r="135" ht="24.75" customHeight="1">
      <c r="L135" s="7"/>
      <c r="Q135" s="8"/>
      <c r="R135" s="9"/>
      <c r="S135" s="8"/>
      <c r="T135" s="9"/>
      <c r="U135" s="8"/>
      <c r="V135" s="9"/>
      <c r="W135" s="8"/>
      <c r="X135" s="9"/>
      <c r="Y135" s="8"/>
      <c r="Z135" s="9"/>
    </row>
    <row r="136" ht="24.75" customHeight="1">
      <c r="L136" s="7"/>
      <c r="Q136" s="8"/>
      <c r="R136" s="9"/>
      <c r="S136" s="8"/>
      <c r="T136" s="9"/>
      <c r="U136" s="8"/>
      <c r="V136" s="9"/>
      <c r="W136" s="8"/>
      <c r="X136" s="9"/>
      <c r="Y136" s="8"/>
      <c r="Z136" s="9"/>
    </row>
    <row r="137" ht="24.75" customHeight="1">
      <c r="L137" s="7"/>
      <c r="Q137" s="8"/>
      <c r="R137" s="9"/>
      <c r="S137" s="8"/>
      <c r="T137" s="9"/>
      <c r="U137" s="8"/>
      <c r="V137" s="9"/>
      <c r="W137" s="8"/>
      <c r="X137" s="9"/>
      <c r="Y137" s="8"/>
      <c r="Z137" s="9"/>
    </row>
    <row r="138" ht="24.75" customHeight="1">
      <c r="L138" s="7"/>
      <c r="Q138" s="8"/>
      <c r="R138" s="9"/>
      <c r="S138" s="8"/>
      <c r="T138" s="9"/>
      <c r="U138" s="8"/>
      <c r="V138" s="9"/>
      <c r="W138" s="8"/>
      <c r="X138" s="9"/>
      <c r="Y138" s="8"/>
      <c r="Z138" s="9"/>
    </row>
    <row r="139" ht="24.75" customHeight="1">
      <c r="L139" s="7"/>
      <c r="Q139" s="8"/>
      <c r="R139" s="9"/>
      <c r="S139" s="8"/>
      <c r="T139" s="9"/>
      <c r="U139" s="8"/>
      <c r="V139" s="9"/>
      <c r="W139" s="8"/>
      <c r="X139" s="9"/>
      <c r="Y139" s="8"/>
      <c r="Z139" s="9"/>
    </row>
    <row r="140" ht="24.75" customHeight="1">
      <c r="L140" s="7"/>
      <c r="Q140" s="8"/>
      <c r="R140" s="9"/>
      <c r="S140" s="8"/>
      <c r="T140" s="9"/>
      <c r="U140" s="8"/>
      <c r="V140" s="9"/>
      <c r="W140" s="8"/>
      <c r="X140" s="9"/>
      <c r="Y140" s="8"/>
      <c r="Z140" s="9"/>
    </row>
    <row r="141" ht="24.75" customHeight="1">
      <c r="L141" s="7"/>
      <c r="Q141" s="8"/>
      <c r="R141" s="9"/>
      <c r="S141" s="8"/>
      <c r="T141" s="9"/>
      <c r="U141" s="8"/>
      <c r="V141" s="9"/>
      <c r="W141" s="8"/>
      <c r="X141" s="9"/>
      <c r="Y141" s="8"/>
      <c r="Z141" s="9"/>
    </row>
    <row r="142" ht="24.75" customHeight="1">
      <c r="L142" s="7"/>
      <c r="Q142" s="8"/>
      <c r="R142" s="9"/>
      <c r="S142" s="8"/>
      <c r="T142" s="9"/>
      <c r="U142" s="8"/>
      <c r="V142" s="9"/>
      <c r="W142" s="8"/>
      <c r="X142" s="9"/>
      <c r="Y142" s="8"/>
      <c r="Z142" s="9"/>
    </row>
    <row r="143" ht="24.75" customHeight="1">
      <c r="L143" s="7"/>
      <c r="Q143" s="8"/>
      <c r="R143" s="9"/>
      <c r="S143" s="8"/>
      <c r="T143" s="9"/>
      <c r="U143" s="8"/>
      <c r="V143" s="9"/>
      <c r="W143" s="8"/>
      <c r="X143" s="9"/>
      <c r="Y143" s="8"/>
      <c r="Z143" s="9"/>
    </row>
    <row r="144" ht="24.75" customHeight="1">
      <c r="L144" s="7"/>
      <c r="Q144" s="8"/>
      <c r="R144" s="9"/>
      <c r="S144" s="8"/>
      <c r="T144" s="9"/>
      <c r="U144" s="8"/>
      <c r="V144" s="9"/>
      <c r="W144" s="8"/>
      <c r="X144" s="9"/>
      <c r="Y144" s="8"/>
      <c r="Z144" s="9"/>
    </row>
    <row r="145" ht="24.75" customHeight="1">
      <c r="L145" s="7"/>
      <c r="Q145" s="8"/>
      <c r="R145" s="9"/>
      <c r="S145" s="8"/>
      <c r="T145" s="9"/>
      <c r="U145" s="8"/>
      <c r="V145" s="9"/>
      <c r="W145" s="8"/>
      <c r="X145" s="9"/>
      <c r="Y145" s="8"/>
      <c r="Z145" s="9"/>
    </row>
    <row r="146" ht="24.75" customHeight="1">
      <c r="L146" s="7"/>
      <c r="Q146" s="8"/>
      <c r="R146" s="9"/>
      <c r="S146" s="8"/>
      <c r="T146" s="9"/>
      <c r="U146" s="8"/>
      <c r="V146" s="9"/>
      <c r="W146" s="8"/>
      <c r="X146" s="9"/>
      <c r="Y146" s="8"/>
      <c r="Z146" s="9"/>
    </row>
    <row r="147" ht="24.75" customHeight="1">
      <c r="L147" s="7"/>
      <c r="Q147" s="8"/>
      <c r="R147" s="9"/>
      <c r="S147" s="8"/>
      <c r="T147" s="9"/>
      <c r="U147" s="8"/>
      <c r="V147" s="9"/>
      <c r="W147" s="8"/>
      <c r="X147" s="9"/>
      <c r="Y147" s="8"/>
      <c r="Z147" s="9"/>
    </row>
    <row r="148" ht="24.75" customHeight="1">
      <c r="L148" s="7"/>
      <c r="Q148" s="8"/>
      <c r="R148" s="9"/>
      <c r="S148" s="8"/>
      <c r="T148" s="9"/>
      <c r="U148" s="8"/>
      <c r="V148" s="9"/>
      <c r="W148" s="8"/>
      <c r="X148" s="9"/>
      <c r="Y148" s="8"/>
      <c r="Z148" s="9"/>
    </row>
    <row r="149" ht="24.75" customHeight="1">
      <c r="L149" s="7"/>
      <c r="Q149" s="8"/>
      <c r="R149" s="9"/>
      <c r="S149" s="8"/>
      <c r="T149" s="9"/>
      <c r="U149" s="8"/>
      <c r="V149" s="9"/>
      <c r="W149" s="8"/>
      <c r="X149" s="9"/>
      <c r="Y149" s="8"/>
      <c r="Z149" s="9"/>
    </row>
    <row r="150" ht="24.75" customHeight="1">
      <c r="L150" s="7"/>
      <c r="Q150" s="8"/>
      <c r="R150" s="9"/>
      <c r="S150" s="8"/>
      <c r="T150" s="9"/>
      <c r="U150" s="8"/>
      <c r="V150" s="9"/>
      <c r="W150" s="8"/>
      <c r="X150" s="9"/>
      <c r="Y150" s="8"/>
      <c r="Z150" s="9"/>
    </row>
    <row r="151" ht="24.75" customHeight="1">
      <c r="L151" s="7"/>
      <c r="Q151" s="8"/>
      <c r="R151" s="9"/>
      <c r="S151" s="8"/>
      <c r="T151" s="9"/>
      <c r="U151" s="8"/>
      <c r="V151" s="9"/>
      <c r="W151" s="8"/>
      <c r="X151" s="9"/>
      <c r="Y151" s="8"/>
      <c r="Z151" s="9"/>
    </row>
    <row r="152" ht="24.75" customHeight="1">
      <c r="L152" s="7"/>
      <c r="Q152" s="8"/>
      <c r="R152" s="9"/>
      <c r="S152" s="8"/>
      <c r="T152" s="9"/>
      <c r="U152" s="8"/>
      <c r="V152" s="9"/>
      <c r="W152" s="8"/>
      <c r="X152" s="9"/>
      <c r="Y152" s="8"/>
      <c r="Z152" s="9"/>
    </row>
    <row r="153" ht="24.75" customHeight="1">
      <c r="L153" s="7"/>
      <c r="Q153" s="8"/>
      <c r="R153" s="9"/>
      <c r="S153" s="8"/>
      <c r="T153" s="9"/>
      <c r="U153" s="8"/>
      <c r="V153" s="9"/>
      <c r="W153" s="8"/>
      <c r="X153" s="9"/>
      <c r="Y153" s="8"/>
      <c r="Z153" s="9"/>
    </row>
    <row r="154" ht="24.75" customHeight="1">
      <c r="L154" s="7"/>
      <c r="Q154" s="8"/>
      <c r="R154" s="9"/>
      <c r="S154" s="8"/>
      <c r="T154" s="9"/>
      <c r="U154" s="8"/>
      <c r="V154" s="9"/>
      <c r="W154" s="8"/>
      <c r="X154" s="9"/>
      <c r="Y154" s="8"/>
      <c r="Z154" s="9"/>
    </row>
    <row r="155" ht="24.75" customHeight="1">
      <c r="L155" s="7"/>
      <c r="Q155" s="8"/>
      <c r="R155" s="9"/>
      <c r="S155" s="8"/>
      <c r="T155" s="9"/>
      <c r="U155" s="8"/>
      <c r="V155" s="9"/>
      <c r="W155" s="8"/>
      <c r="X155" s="9"/>
      <c r="Y155" s="8"/>
      <c r="Z155" s="9"/>
    </row>
    <row r="156" ht="24.75" customHeight="1">
      <c r="L156" s="7"/>
      <c r="Q156" s="8"/>
      <c r="R156" s="9"/>
      <c r="S156" s="8"/>
      <c r="T156" s="9"/>
      <c r="U156" s="8"/>
      <c r="V156" s="9"/>
      <c r="W156" s="8"/>
      <c r="X156" s="9"/>
      <c r="Y156" s="8"/>
      <c r="Z156" s="9"/>
    </row>
    <row r="157" ht="24.75" customHeight="1">
      <c r="L157" s="7"/>
      <c r="Q157" s="8"/>
      <c r="R157" s="9"/>
      <c r="S157" s="8"/>
      <c r="T157" s="9"/>
      <c r="U157" s="8"/>
      <c r="V157" s="9"/>
      <c r="W157" s="8"/>
      <c r="X157" s="9"/>
      <c r="Y157" s="8"/>
      <c r="Z157" s="9"/>
    </row>
    <row r="158" ht="24.75" customHeight="1">
      <c r="L158" s="7"/>
      <c r="Q158" s="8"/>
      <c r="R158" s="9"/>
      <c r="S158" s="8"/>
      <c r="T158" s="9"/>
      <c r="U158" s="8"/>
      <c r="V158" s="9"/>
      <c r="W158" s="8"/>
      <c r="X158" s="9"/>
      <c r="Y158" s="8"/>
      <c r="Z158" s="9"/>
    </row>
    <row r="159" ht="24.75" customHeight="1">
      <c r="L159" s="7"/>
      <c r="Q159" s="8"/>
      <c r="R159" s="9"/>
      <c r="S159" s="8"/>
      <c r="T159" s="9"/>
      <c r="U159" s="8"/>
      <c r="V159" s="9"/>
      <c r="W159" s="8"/>
      <c r="X159" s="9"/>
      <c r="Y159" s="8"/>
      <c r="Z159" s="9"/>
    </row>
    <row r="160" ht="24.75" customHeight="1">
      <c r="L160" s="7"/>
      <c r="Q160" s="8"/>
      <c r="R160" s="9"/>
      <c r="S160" s="8"/>
      <c r="T160" s="9"/>
      <c r="U160" s="8"/>
      <c r="V160" s="9"/>
      <c r="W160" s="8"/>
      <c r="X160" s="9"/>
      <c r="Y160" s="8"/>
      <c r="Z160" s="9"/>
    </row>
    <row r="161" ht="24.75" customHeight="1">
      <c r="L161" s="7"/>
      <c r="Q161" s="8"/>
      <c r="R161" s="9"/>
      <c r="S161" s="8"/>
      <c r="T161" s="9"/>
      <c r="U161" s="8"/>
      <c r="V161" s="9"/>
      <c r="W161" s="8"/>
      <c r="X161" s="9"/>
      <c r="Y161" s="8"/>
      <c r="Z161" s="9"/>
    </row>
    <row r="162" ht="24.75" customHeight="1">
      <c r="L162" s="7"/>
      <c r="Q162" s="8"/>
      <c r="R162" s="9"/>
      <c r="S162" s="8"/>
      <c r="T162" s="9"/>
      <c r="U162" s="8"/>
      <c r="V162" s="9"/>
      <c r="W162" s="8"/>
      <c r="X162" s="9"/>
      <c r="Y162" s="8"/>
      <c r="Z162" s="9"/>
    </row>
    <row r="163" ht="24.75" customHeight="1">
      <c r="L163" s="7"/>
      <c r="Q163" s="8"/>
      <c r="R163" s="9"/>
      <c r="S163" s="8"/>
      <c r="T163" s="9"/>
      <c r="U163" s="8"/>
      <c r="V163" s="9"/>
      <c r="W163" s="8"/>
      <c r="X163" s="9"/>
      <c r="Y163" s="8"/>
      <c r="Z163" s="9"/>
    </row>
    <row r="164" ht="24.75" customHeight="1">
      <c r="L164" s="7"/>
      <c r="Q164" s="8"/>
      <c r="R164" s="9"/>
      <c r="S164" s="8"/>
      <c r="T164" s="9"/>
      <c r="U164" s="8"/>
      <c r="V164" s="9"/>
      <c r="W164" s="8"/>
      <c r="X164" s="9"/>
      <c r="Y164" s="8"/>
      <c r="Z164" s="9"/>
    </row>
    <row r="165" ht="24.75" customHeight="1">
      <c r="L165" s="7"/>
      <c r="Q165" s="8"/>
      <c r="R165" s="9"/>
      <c r="S165" s="8"/>
      <c r="T165" s="9"/>
      <c r="U165" s="8"/>
      <c r="V165" s="9"/>
      <c r="W165" s="8"/>
      <c r="X165" s="9"/>
      <c r="Y165" s="8"/>
      <c r="Z165" s="9"/>
    </row>
    <row r="166" ht="24.75" customHeight="1">
      <c r="L166" s="7"/>
      <c r="Q166" s="8"/>
      <c r="R166" s="9"/>
      <c r="S166" s="8"/>
      <c r="T166" s="9"/>
      <c r="U166" s="8"/>
      <c r="V166" s="9"/>
      <c r="W166" s="8"/>
      <c r="X166" s="9"/>
      <c r="Y166" s="8"/>
      <c r="Z166" s="9"/>
    </row>
    <row r="167" ht="24.75" customHeight="1">
      <c r="L167" s="7"/>
      <c r="Q167" s="8"/>
      <c r="R167" s="9"/>
      <c r="S167" s="8"/>
      <c r="T167" s="9"/>
      <c r="U167" s="8"/>
      <c r="V167" s="9"/>
      <c r="W167" s="8"/>
      <c r="X167" s="9"/>
      <c r="Y167" s="8"/>
      <c r="Z167" s="9"/>
    </row>
    <row r="168" ht="24.75" customHeight="1">
      <c r="L168" s="7"/>
      <c r="Q168" s="8"/>
      <c r="R168" s="9"/>
      <c r="S168" s="8"/>
      <c r="T168" s="9"/>
      <c r="U168" s="8"/>
      <c r="V168" s="9"/>
      <c r="W168" s="8"/>
      <c r="X168" s="9"/>
      <c r="Y168" s="8"/>
      <c r="Z168" s="9"/>
    </row>
    <row r="169" ht="24.75" customHeight="1">
      <c r="L169" s="7"/>
      <c r="Q169" s="8"/>
      <c r="R169" s="9"/>
      <c r="S169" s="8"/>
      <c r="T169" s="9"/>
      <c r="U169" s="8"/>
      <c r="V169" s="9"/>
      <c r="W169" s="8"/>
      <c r="X169" s="9"/>
      <c r="Y169" s="8"/>
      <c r="Z169" s="9"/>
    </row>
    <row r="170" ht="24.75" customHeight="1">
      <c r="L170" s="7"/>
      <c r="Q170" s="8"/>
      <c r="R170" s="9"/>
      <c r="S170" s="8"/>
      <c r="T170" s="9"/>
      <c r="U170" s="8"/>
      <c r="V170" s="9"/>
      <c r="W170" s="8"/>
      <c r="X170" s="9"/>
      <c r="Y170" s="8"/>
      <c r="Z170" s="9"/>
    </row>
    <row r="171" ht="24.75" customHeight="1">
      <c r="L171" s="7"/>
      <c r="Q171" s="8"/>
      <c r="R171" s="9"/>
      <c r="S171" s="8"/>
      <c r="T171" s="9"/>
      <c r="U171" s="8"/>
      <c r="V171" s="9"/>
      <c r="W171" s="8"/>
      <c r="X171" s="9"/>
      <c r="Y171" s="8"/>
      <c r="Z171" s="9"/>
    </row>
    <row r="172" ht="24.75" customHeight="1">
      <c r="L172" s="7"/>
      <c r="Q172" s="8"/>
      <c r="R172" s="9"/>
      <c r="S172" s="8"/>
      <c r="T172" s="9"/>
      <c r="U172" s="8"/>
      <c r="V172" s="9"/>
      <c r="W172" s="8"/>
      <c r="X172" s="9"/>
      <c r="Y172" s="8"/>
      <c r="Z172" s="9"/>
    </row>
    <row r="173" ht="24.75" customHeight="1">
      <c r="L173" s="7"/>
      <c r="Q173" s="8"/>
      <c r="R173" s="9"/>
      <c r="S173" s="8"/>
      <c r="T173" s="9"/>
      <c r="U173" s="8"/>
      <c r="V173" s="9"/>
      <c r="W173" s="8"/>
      <c r="X173" s="9"/>
      <c r="Y173" s="8"/>
      <c r="Z173" s="9"/>
    </row>
    <row r="174" ht="24.75" customHeight="1">
      <c r="L174" s="7"/>
      <c r="Q174" s="8"/>
      <c r="R174" s="9"/>
      <c r="S174" s="8"/>
      <c r="T174" s="9"/>
      <c r="U174" s="8"/>
      <c r="V174" s="9"/>
      <c r="W174" s="8"/>
      <c r="X174" s="9"/>
      <c r="Y174" s="8"/>
      <c r="Z174" s="9"/>
    </row>
    <row r="175" ht="24.75" customHeight="1">
      <c r="L175" s="7"/>
      <c r="Q175" s="8"/>
      <c r="R175" s="9"/>
      <c r="S175" s="8"/>
      <c r="T175" s="9"/>
      <c r="U175" s="8"/>
      <c r="V175" s="9"/>
      <c r="W175" s="8"/>
      <c r="X175" s="9"/>
      <c r="Y175" s="8"/>
      <c r="Z175" s="9"/>
    </row>
    <row r="176" ht="24.75" customHeight="1">
      <c r="L176" s="7"/>
      <c r="Q176" s="8"/>
      <c r="R176" s="9"/>
      <c r="S176" s="8"/>
      <c r="T176" s="9"/>
      <c r="U176" s="8"/>
      <c r="V176" s="9"/>
      <c r="W176" s="8"/>
      <c r="X176" s="9"/>
      <c r="Y176" s="8"/>
      <c r="Z176" s="9"/>
    </row>
    <row r="177" ht="24.75" customHeight="1">
      <c r="L177" s="7"/>
      <c r="Q177" s="8"/>
      <c r="R177" s="9"/>
      <c r="S177" s="8"/>
      <c r="T177" s="9"/>
      <c r="U177" s="8"/>
      <c r="V177" s="9"/>
      <c r="W177" s="8"/>
      <c r="X177" s="9"/>
      <c r="Y177" s="8"/>
      <c r="Z177" s="9"/>
    </row>
    <row r="178" ht="24.75" customHeight="1">
      <c r="L178" s="7"/>
      <c r="Q178" s="8"/>
      <c r="R178" s="9"/>
      <c r="S178" s="8"/>
      <c r="T178" s="9"/>
      <c r="U178" s="8"/>
      <c r="V178" s="9"/>
      <c r="W178" s="8"/>
      <c r="X178" s="9"/>
      <c r="Y178" s="8"/>
      <c r="Z178" s="9"/>
    </row>
    <row r="179" ht="24.75" customHeight="1">
      <c r="L179" s="7"/>
      <c r="Q179" s="8"/>
      <c r="R179" s="9"/>
      <c r="S179" s="8"/>
      <c r="T179" s="9"/>
      <c r="U179" s="8"/>
      <c r="V179" s="9"/>
      <c r="W179" s="8"/>
      <c r="X179" s="9"/>
      <c r="Y179" s="8"/>
      <c r="Z179" s="9"/>
    </row>
    <row r="180" ht="24.75" customHeight="1">
      <c r="L180" s="7"/>
      <c r="Q180" s="8"/>
      <c r="R180" s="9"/>
      <c r="S180" s="8"/>
      <c r="T180" s="9"/>
      <c r="U180" s="8"/>
      <c r="V180" s="9"/>
      <c r="W180" s="8"/>
      <c r="X180" s="9"/>
      <c r="Y180" s="8"/>
      <c r="Z180" s="9"/>
    </row>
    <row r="181" ht="24.75" customHeight="1">
      <c r="L181" s="7"/>
      <c r="Q181" s="8"/>
      <c r="R181" s="9"/>
      <c r="S181" s="8"/>
      <c r="T181" s="9"/>
      <c r="U181" s="8"/>
      <c r="V181" s="9"/>
      <c r="W181" s="8"/>
      <c r="X181" s="9"/>
      <c r="Y181" s="8"/>
      <c r="Z181" s="9"/>
    </row>
    <row r="182" ht="24.75" customHeight="1">
      <c r="L182" s="7"/>
      <c r="Q182" s="8"/>
      <c r="R182" s="9"/>
      <c r="S182" s="8"/>
      <c r="T182" s="9"/>
      <c r="U182" s="8"/>
      <c r="V182" s="9"/>
      <c r="W182" s="8"/>
      <c r="X182" s="9"/>
      <c r="Y182" s="8"/>
      <c r="Z182" s="9"/>
    </row>
    <row r="183" ht="24.75" customHeight="1">
      <c r="L183" s="7"/>
      <c r="Q183" s="8"/>
      <c r="R183" s="9"/>
      <c r="S183" s="8"/>
      <c r="T183" s="9"/>
      <c r="U183" s="8"/>
      <c r="V183" s="9"/>
      <c r="W183" s="8"/>
      <c r="X183" s="9"/>
      <c r="Y183" s="8"/>
      <c r="Z183" s="9"/>
    </row>
    <row r="184" ht="24.75" customHeight="1">
      <c r="L184" s="7"/>
      <c r="Q184" s="8"/>
      <c r="R184" s="9"/>
      <c r="S184" s="8"/>
      <c r="T184" s="9"/>
      <c r="U184" s="8"/>
      <c r="V184" s="9"/>
      <c r="W184" s="8"/>
      <c r="X184" s="9"/>
      <c r="Y184" s="8"/>
      <c r="Z184" s="9"/>
    </row>
    <row r="185" ht="24.75" customHeight="1">
      <c r="L185" s="7"/>
      <c r="Q185" s="8"/>
      <c r="R185" s="9"/>
      <c r="S185" s="8"/>
      <c r="T185" s="9"/>
      <c r="U185" s="8"/>
      <c r="V185" s="9"/>
      <c r="W185" s="8"/>
      <c r="X185" s="9"/>
      <c r="Y185" s="8"/>
      <c r="Z185" s="9"/>
    </row>
    <row r="186" ht="24.75" customHeight="1">
      <c r="L186" s="7"/>
      <c r="Q186" s="8"/>
      <c r="R186" s="9"/>
      <c r="S186" s="8"/>
      <c r="T186" s="9"/>
      <c r="U186" s="8"/>
      <c r="V186" s="9"/>
      <c r="W186" s="8"/>
      <c r="X186" s="9"/>
      <c r="Y186" s="8"/>
      <c r="Z186" s="9"/>
    </row>
    <row r="187" ht="24.75" customHeight="1">
      <c r="L187" s="7"/>
      <c r="Q187" s="8"/>
      <c r="R187" s="9"/>
      <c r="S187" s="8"/>
      <c r="T187" s="9"/>
      <c r="U187" s="8"/>
      <c r="V187" s="9"/>
      <c r="W187" s="8"/>
      <c r="X187" s="9"/>
      <c r="Y187" s="8"/>
      <c r="Z187" s="9"/>
    </row>
    <row r="188" ht="24.75" customHeight="1">
      <c r="L188" s="7"/>
      <c r="Q188" s="8"/>
      <c r="R188" s="9"/>
      <c r="S188" s="8"/>
      <c r="T188" s="9"/>
      <c r="U188" s="8"/>
      <c r="V188" s="9"/>
      <c r="W188" s="8"/>
      <c r="X188" s="9"/>
      <c r="Y188" s="8"/>
      <c r="Z188" s="9"/>
    </row>
    <row r="189" ht="24.75" customHeight="1">
      <c r="L189" s="7"/>
      <c r="Q189" s="8"/>
      <c r="R189" s="9"/>
      <c r="S189" s="8"/>
      <c r="T189" s="9"/>
      <c r="U189" s="8"/>
      <c r="V189" s="9"/>
      <c r="W189" s="8"/>
      <c r="X189" s="9"/>
      <c r="Y189" s="8"/>
      <c r="Z189" s="9"/>
    </row>
    <row r="190" ht="24.75" customHeight="1">
      <c r="L190" s="7"/>
      <c r="Q190" s="8"/>
      <c r="R190" s="9"/>
      <c r="S190" s="8"/>
      <c r="T190" s="9"/>
      <c r="U190" s="8"/>
      <c r="V190" s="9"/>
      <c r="W190" s="8"/>
      <c r="X190" s="9"/>
      <c r="Y190" s="8"/>
      <c r="Z190" s="9"/>
    </row>
    <row r="191" ht="24.75" customHeight="1">
      <c r="L191" s="7"/>
      <c r="Q191" s="8"/>
      <c r="R191" s="9"/>
      <c r="S191" s="8"/>
      <c r="T191" s="9"/>
      <c r="U191" s="8"/>
      <c r="V191" s="9"/>
      <c r="W191" s="8"/>
      <c r="X191" s="9"/>
      <c r="Y191" s="8"/>
      <c r="Z191" s="9"/>
    </row>
    <row r="192" ht="24.75" customHeight="1">
      <c r="L192" s="7"/>
      <c r="Q192" s="8"/>
      <c r="R192" s="9"/>
      <c r="S192" s="8"/>
      <c r="T192" s="9"/>
      <c r="U192" s="8"/>
      <c r="V192" s="9"/>
      <c r="W192" s="8"/>
      <c r="X192" s="9"/>
      <c r="Y192" s="8"/>
      <c r="Z192" s="9"/>
    </row>
    <row r="193" ht="24.75" customHeight="1">
      <c r="L193" s="7"/>
      <c r="Q193" s="8"/>
      <c r="R193" s="9"/>
      <c r="S193" s="8"/>
      <c r="T193" s="9"/>
      <c r="U193" s="8"/>
      <c r="V193" s="9"/>
      <c r="W193" s="8"/>
      <c r="X193" s="9"/>
      <c r="Y193" s="8"/>
      <c r="Z193" s="9"/>
    </row>
    <row r="194" ht="24.75" customHeight="1">
      <c r="L194" s="7"/>
      <c r="Q194" s="8"/>
      <c r="R194" s="9"/>
      <c r="S194" s="8"/>
      <c r="T194" s="9"/>
      <c r="U194" s="8"/>
      <c r="V194" s="9"/>
      <c r="W194" s="8"/>
      <c r="X194" s="9"/>
      <c r="Y194" s="8"/>
      <c r="Z194" s="9"/>
    </row>
    <row r="195" ht="24.75" customHeight="1">
      <c r="L195" s="7"/>
      <c r="Q195" s="8"/>
      <c r="R195" s="9"/>
      <c r="S195" s="8"/>
      <c r="T195" s="9"/>
      <c r="U195" s="8"/>
      <c r="V195" s="9"/>
      <c r="W195" s="8"/>
      <c r="X195" s="9"/>
      <c r="Y195" s="8"/>
      <c r="Z195" s="9"/>
    </row>
    <row r="196" ht="24.75" customHeight="1">
      <c r="L196" s="7"/>
      <c r="Q196" s="8"/>
      <c r="R196" s="9"/>
      <c r="S196" s="8"/>
      <c r="T196" s="9"/>
      <c r="U196" s="8"/>
      <c r="V196" s="9"/>
      <c r="W196" s="8"/>
      <c r="X196" s="9"/>
      <c r="Y196" s="8"/>
      <c r="Z196" s="9"/>
    </row>
    <row r="197" ht="24.75" customHeight="1">
      <c r="L197" s="7"/>
      <c r="Q197" s="8"/>
      <c r="R197" s="9"/>
      <c r="S197" s="8"/>
      <c r="T197" s="9"/>
      <c r="U197" s="8"/>
      <c r="V197" s="9"/>
      <c r="W197" s="8"/>
      <c r="X197" s="9"/>
      <c r="Y197" s="8"/>
      <c r="Z197" s="9"/>
    </row>
    <row r="198" ht="24.75" customHeight="1">
      <c r="L198" s="7"/>
      <c r="Q198" s="8"/>
      <c r="R198" s="9"/>
      <c r="S198" s="8"/>
      <c r="T198" s="9"/>
      <c r="U198" s="8"/>
      <c r="V198" s="9"/>
      <c r="W198" s="8"/>
      <c r="X198" s="9"/>
      <c r="Y198" s="8"/>
      <c r="Z198" s="9"/>
    </row>
    <row r="199" ht="24.75" customHeight="1">
      <c r="L199" s="7"/>
      <c r="Q199" s="8"/>
      <c r="R199" s="9"/>
      <c r="S199" s="8"/>
      <c r="T199" s="9"/>
      <c r="U199" s="8"/>
      <c r="V199" s="9"/>
      <c r="W199" s="8"/>
      <c r="X199" s="9"/>
      <c r="Y199" s="8"/>
      <c r="Z199" s="9"/>
    </row>
    <row r="200" ht="24.75" customHeight="1">
      <c r="L200" s="7"/>
      <c r="Q200" s="8"/>
      <c r="R200" s="9"/>
      <c r="S200" s="8"/>
      <c r="T200" s="9"/>
      <c r="U200" s="8"/>
      <c r="V200" s="9"/>
      <c r="W200" s="8"/>
      <c r="X200" s="9"/>
      <c r="Y200" s="8"/>
      <c r="Z200" s="9"/>
    </row>
    <row r="201" ht="24.75" customHeight="1">
      <c r="L201" s="7"/>
      <c r="Q201" s="8"/>
      <c r="R201" s="9"/>
      <c r="S201" s="8"/>
      <c r="T201" s="9"/>
      <c r="U201" s="8"/>
      <c r="V201" s="9"/>
      <c r="W201" s="8"/>
      <c r="X201" s="9"/>
      <c r="Y201" s="8"/>
      <c r="Z201" s="9"/>
    </row>
    <row r="202" ht="24.75" customHeight="1">
      <c r="L202" s="7"/>
      <c r="Q202" s="8"/>
      <c r="R202" s="9"/>
      <c r="S202" s="8"/>
      <c r="T202" s="9"/>
      <c r="U202" s="8"/>
      <c r="V202" s="9"/>
      <c r="W202" s="8"/>
      <c r="X202" s="9"/>
      <c r="Y202" s="8"/>
      <c r="Z202" s="9"/>
    </row>
    <row r="203" ht="24.75" customHeight="1">
      <c r="L203" s="7"/>
      <c r="Q203" s="8"/>
      <c r="R203" s="9"/>
      <c r="S203" s="8"/>
      <c r="T203" s="9"/>
      <c r="U203" s="8"/>
      <c r="V203" s="9"/>
      <c r="W203" s="8"/>
      <c r="X203" s="9"/>
      <c r="Y203" s="8"/>
      <c r="Z203" s="9"/>
    </row>
    <row r="204" ht="24.75" customHeight="1">
      <c r="L204" s="7"/>
      <c r="Q204" s="8"/>
      <c r="R204" s="9"/>
      <c r="S204" s="8"/>
      <c r="T204" s="9"/>
      <c r="U204" s="8"/>
      <c r="V204" s="9"/>
      <c r="W204" s="8"/>
      <c r="X204" s="9"/>
      <c r="Y204" s="8"/>
      <c r="Z204" s="9"/>
    </row>
    <row r="205" ht="24.75" customHeight="1">
      <c r="L205" s="7"/>
      <c r="Q205" s="8"/>
      <c r="R205" s="9"/>
      <c r="S205" s="8"/>
      <c r="T205" s="9"/>
      <c r="U205" s="8"/>
      <c r="V205" s="9"/>
      <c r="W205" s="8"/>
      <c r="X205" s="9"/>
      <c r="Y205" s="8"/>
      <c r="Z205" s="9"/>
    </row>
    <row r="206" ht="24.75" customHeight="1">
      <c r="L206" s="7"/>
      <c r="Q206" s="8"/>
      <c r="R206" s="9"/>
      <c r="S206" s="8"/>
      <c r="T206" s="9"/>
      <c r="U206" s="8"/>
      <c r="V206" s="9"/>
      <c r="W206" s="8"/>
      <c r="X206" s="9"/>
      <c r="Y206" s="8"/>
      <c r="Z206" s="9"/>
    </row>
    <row r="207" ht="24.75" customHeight="1">
      <c r="L207" s="7"/>
      <c r="Q207" s="8"/>
      <c r="R207" s="9"/>
      <c r="S207" s="8"/>
      <c r="T207" s="9"/>
      <c r="U207" s="8"/>
      <c r="V207" s="9"/>
      <c r="W207" s="8"/>
      <c r="X207" s="9"/>
      <c r="Y207" s="8"/>
      <c r="Z207" s="9"/>
    </row>
    <row r="208" ht="24.75" customHeight="1">
      <c r="L208" s="7"/>
      <c r="Q208" s="8"/>
      <c r="R208" s="9"/>
      <c r="S208" s="8"/>
      <c r="T208" s="9"/>
      <c r="U208" s="8"/>
      <c r="V208" s="9"/>
      <c r="W208" s="8"/>
      <c r="X208" s="9"/>
      <c r="Y208" s="8"/>
      <c r="Z208" s="9"/>
    </row>
    <row r="209" ht="24.75" customHeight="1">
      <c r="L209" s="7"/>
      <c r="Q209" s="8"/>
      <c r="R209" s="9"/>
      <c r="S209" s="8"/>
      <c r="T209" s="9"/>
      <c r="U209" s="8"/>
      <c r="V209" s="9"/>
      <c r="W209" s="8"/>
      <c r="X209" s="9"/>
      <c r="Y209" s="8"/>
      <c r="Z209" s="9"/>
    </row>
    <row r="210" ht="24.75" customHeight="1">
      <c r="L210" s="7"/>
      <c r="Q210" s="8"/>
      <c r="R210" s="9"/>
      <c r="S210" s="8"/>
      <c r="T210" s="9"/>
      <c r="U210" s="8"/>
      <c r="V210" s="9"/>
      <c r="W210" s="8"/>
      <c r="X210" s="9"/>
      <c r="Y210" s="8"/>
      <c r="Z210" s="9"/>
    </row>
    <row r="211" ht="24.75" customHeight="1">
      <c r="L211" s="7"/>
      <c r="Q211" s="8"/>
      <c r="R211" s="9"/>
      <c r="S211" s="8"/>
      <c r="T211" s="9"/>
      <c r="U211" s="8"/>
      <c r="V211" s="9"/>
      <c r="W211" s="8"/>
      <c r="X211" s="9"/>
      <c r="Y211" s="8"/>
      <c r="Z211" s="9"/>
    </row>
    <row r="212" ht="24.75" customHeight="1">
      <c r="L212" s="7"/>
      <c r="Q212" s="8"/>
      <c r="R212" s="9"/>
      <c r="S212" s="8"/>
      <c r="T212" s="9"/>
      <c r="U212" s="8"/>
      <c r="V212" s="9"/>
      <c r="W212" s="8"/>
      <c r="X212" s="9"/>
      <c r="Y212" s="8"/>
      <c r="Z212" s="9"/>
    </row>
    <row r="213" ht="24.75" customHeight="1">
      <c r="L213" s="7"/>
      <c r="Q213" s="8"/>
      <c r="R213" s="9"/>
      <c r="S213" s="8"/>
      <c r="T213" s="9"/>
      <c r="U213" s="8"/>
      <c r="V213" s="9"/>
      <c r="W213" s="8"/>
      <c r="X213" s="9"/>
      <c r="Y213" s="8"/>
      <c r="Z213" s="9"/>
    </row>
    <row r="214" ht="24.75" customHeight="1">
      <c r="L214" s="7"/>
      <c r="Q214" s="8"/>
      <c r="R214" s="9"/>
      <c r="S214" s="8"/>
      <c r="T214" s="9"/>
      <c r="U214" s="8"/>
      <c r="V214" s="9"/>
      <c r="W214" s="8"/>
      <c r="X214" s="9"/>
      <c r="Y214" s="8"/>
      <c r="Z214" s="9"/>
    </row>
    <row r="215" ht="24.75" customHeight="1">
      <c r="L215" s="7"/>
      <c r="Q215" s="8"/>
      <c r="R215" s="9"/>
      <c r="S215" s="8"/>
      <c r="T215" s="9"/>
      <c r="U215" s="8"/>
      <c r="V215" s="9"/>
      <c r="W215" s="8"/>
      <c r="X215" s="9"/>
      <c r="Y215" s="8"/>
      <c r="Z215" s="9"/>
    </row>
    <row r="216" ht="24.75" customHeight="1">
      <c r="L216" s="7"/>
      <c r="Q216" s="8"/>
      <c r="R216" s="9"/>
      <c r="S216" s="8"/>
      <c r="T216" s="9"/>
      <c r="U216" s="8"/>
      <c r="V216" s="9"/>
      <c r="W216" s="8"/>
      <c r="X216" s="9"/>
      <c r="Y216" s="8"/>
      <c r="Z216" s="9"/>
    </row>
    <row r="217" ht="24.75" customHeight="1">
      <c r="L217" s="7"/>
      <c r="Q217" s="8"/>
      <c r="R217" s="9"/>
      <c r="S217" s="8"/>
      <c r="T217" s="9"/>
      <c r="U217" s="8"/>
      <c r="V217" s="9"/>
      <c r="W217" s="8"/>
      <c r="X217" s="9"/>
      <c r="Y217" s="8"/>
      <c r="Z217" s="9"/>
    </row>
    <row r="218" ht="24.75" customHeight="1">
      <c r="L218" s="7"/>
      <c r="Q218" s="8"/>
      <c r="R218" s="9"/>
      <c r="S218" s="8"/>
      <c r="T218" s="9"/>
      <c r="U218" s="8"/>
      <c r="V218" s="9"/>
      <c r="W218" s="8"/>
      <c r="X218" s="9"/>
      <c r="Y218" s="8"/>
      <c r="Z218" s="9"/>
    </row>
    <row r="219" ht="24.75" customHeight="1">
      <c r="L219" s="7"/>
      <c r="Q219" s="8"/>
      <c r="R219" s="9"/>
      <c r="S219" s="8"/>
      <c r="T219" s="9"/>
      <c r="U219" s="8"/>
      <c r="V219" s="9"/>
      <c r="W219" s="8"/>
      <c r="X219" s="9"/>
      <c r="Y219" s="8"/>
      <c r="Z219" s="9"/>
    </row>
    <row r="220" ht="24.75" customHeight="1">
      <c r="L220" s="7"/>
      <c r="Q220" s="8"/>
      <c r="R220" s="9"/>
      <c r="S220" s="8"/>
      <c r="T220" s="9"/>
      <c r="U220" s="8"/>
      <c r="V220" s="9"/>
      <c r="W220" s="8"/>
      <c r="X220" s="9"/>
      <c r="Y220" s="8"/>
      <c r="Z220" s="9"/>
    </row>
    <row r="221" ht="24.75" customHeight="1">
      <c r="L221" s="7"/>
      <c r="Q221" s="8"/>
      <c r="R221" s="9"/>
      <c r="S221" s="8"/>
      <c r="T221" s="9"/>
      <c r="U221" s="8"/>
      <c r="V221" s="9"/>
      <c r="W221" s="8"/>
      <c r="X221" s="9"/>
      <c r="Y221" s="8"/>
      <c r="Z221" s="9"/>
    </row>
    <row r="222" ht="24.75" customHeight="1">
      <c r="L222" s="7"/>
      <c r="Q222" s="8"/>
      <c r="R222" s="9"/>
      <c r="S222" s="8"/>
      <c r="T222" s="9"/>
      <c r="U222" s="8"/>
      <c r="V222" s="9"/>
      <c r="W222" s="8"/>
      <c r="X222" s="9"/>
      <c r="Y222" s="8"/>
      <c r="Z222" s="9"/>
    </row>
    <row r="223" ht="24.75" customHeight="1">
      <c r="L223" s="7"/>
      <c r="Q223" s="8"/>
      <c r="R223" s="9"/>
      <c r="S223" s="8"/>
      <c r="T223" s="9"/>
      <c r="U223" s="8"/>
      <c r="V223" s="9"/>
      <c r="W223" s="8"/>
      <c r="X223" s="9"/>
      <c r="Y223" s="8"/>
      <c r="Z223" s="9"/>
    </row>
    <row r="224" ht="24.75" customHeight="1">
      <c r="L224" s="7"/>
      <c r="Q224" s="8"/>
      <c r="R224" s="9"/>
      <c r="S224" s="8"/>
      <c r="T224" s="9"/>
      <c r="U224" s="8"/>
      <c r="V224" s="9"/>
      <c r="W224" s="8"/>
      <c r="X224" s="9"/>
      <c r="Y224" s="8"/>
      <c r="Z224" s="9"/>
    </row>
    <row r="225" ht="24.75" customHeight="1">
      <c r="L225" s="7"/>
      <c r="Q225" s="8"/>
      <c r="R225" s="9"/>
      <c r="S225" s="8"/>
      <c r="T225" s="9"/>
      <c r="U225" s="8"/>
      <c r="V225" s="9"/>
      <c r="W225" s="8"/>
      <c r="X225" s="9"/>
      <c r="Y225" s="8"/>
      <c r="Z225" s="9"/>
    </row>
    <row r="226" ht="24.75" customHeight="1">
      <c r="L226" s="7"/>
      <c r="Q226" s="7"/>
      <c r="S226" s="7"/>
      <c r="U226" s="7"/>
      <c r="W226" s="7"/>
      <c r="Y226" s="7"/>
    </row>
    <row r="227" ht="24.75" customHeight="1">
      <c r="L227" s="7"/>
      <c r="Q227" s="7"/>
      <c r="S227" s="7"/>
      <c r="U227" s="7"/>
      <c r="W227" s="7"/>
      <c r="Y227" s="7"/>
    </row>
    <row r="228" ht="24.75" customHeight="1">
      <c r="L228" s="7"/>
      <c r="Q228" s="7"/>
      <c r="S228" s="7"/>
      <c r="U228" s="7"/>
      <c r="W228" s="7"/>
      <c r="Y228" s="7"/>
    </row>
    <row r="229" ht="24.75" customHeight="1">
      <c r="L229" s="7"/>
      <c r="Q229" s="7"/>
      <c r="S229" s="7"/>
      <c r="U229" s="7"/>
      <c r="W229" s="7"/>
      <c r="Y229" s="7"/>
    </row>
    <row r="230" ht="24.75" customHeight="1">
      <c r="L230" s="7"/>
      <c r="Q230" s="7"/>
      <c r="S230" s="7"/>
      <c r="U230" s="7"/>
      <c r="W230" s="7"/>
      <c r="Y230" s="7"/>
    </row>
    <row r="231" ht="24.75" customHeight="1">
      <c r="L231" s="7"/>
      <c r="Q231" s="7"/>
      <c r="S231" s="7"/>
      <c r="U231" s="7"/>
      <c r="W231" s="7"/>
      <c r="Y231" s="7"/>
    </row>
    <row r="232" ht="24.75" customHeight="1">
      <c r="L232" s="7"/>
      <c r="Q232" s="7"/>
      <c r="S232" s="7"/>
      <c r="U232" s="7"/>
      <c r="W232" s="7"/>
      <c r="Y232" s="7"/>
    </row>
    <row r="233" ht="24.75" customHeight="1">
      <c r="L233" s="7"/>
      <c r="Q233" s="7"/>
      <c r="S233" s="7"/>
      <c r="U233" s="7"/>
      <c r="W233" s="7"/>
      <c r="Y233" s="7"/>
    </row>
    <row r="234" ht="24.75" customHeight="1">
      <c r="L234" s="7"/>
      <c r="Q234" s="7"/>
      <c r="S234" s="7"/>
      <c r="U234" s="7"/>
      <c r="W234" s="7"/>
      <c r="Y234" s="7"/>
    </row>
    <row r="235" ht="24.75" customHeight="1">
      <c r="L235" s="7"/>
      <c r="Q235" s="7"/>
      <c r="S235" s="7"/>
      <c r="U235" s="7"/>
      <c r="W235" s="7"/>
      <c r="Y235" s="7"/>
    </row>
    <row r="236" ht="24.75" customHeight="1">
      <c r="L236" s="7"/>
      <c r="Q236" s="7"/>
      <c r="S236" s="7"/>
      <c r="U236" s="7"/>
      <c r="W236" s="7"/>
      <c r="Y236" s="7"/>
    </row>
    <row r="237" ht="24.75" customHeight="1">
      <c r="L237" s="7"/>
      <c r="Q237" s="7"/>
      <c r="S237" s="7"/>
      <c r="U237" s="7"/>
      <c r="W237" s="7"/>
      <c r="Y237" s="7"/>
    </row>
    <row r="238" ht="24.75" customHeight="1">
      <c r="L238" s="7"/>
      <c r="Q238" s="7"/>
      <c r="S238" s="7"/>
      <c r="U238" s="7"/>
      <c r="W238" s="7"/>
      <c r="Y238" s="7"/>
    </row>
    <row r="239" ht="24.75" customHeight="1">
      <c r="L239" s="7"/>
      <c r="Q239" s="7"/>
      <c r="S239" s="7"/>
      <c r="U239" s="7"/>
      <c r="W239" s="7"/>
      <c r="Y239" s="7"/>
    </row>
    <row r="240" ht="24.75" customHeight="1">
      <c r="L240" s="7"/>
      <c r="Q240" s="7"/>
      <c r="S240" s="7"/>
      <c r="U240" s="7"/>
      <c r="W240" s="7"/>
      <c r="Y240" s="7"/>
    </row>
    <row r="241" ht="24.75" customHeight="1">
      <c r="L241" s="7"/>
      <c r="Q241" s="7"/>
      <c r="S241" s="7"/>
      <c r="U241" s="7"/>
      <c r="W241" s="7"/>
      <c r="Y241" s="7"/>
    </row>
    <row r="242" ht="24.75" customHeight="1">
      <c r="L242" s="7"/>
      <c r="Q242" s="7"/>
      <c r="S242" s="7"/>
      <c r="U242" s="7"/>
      <c r="W242" s="7"/>
      <c r="Y242" s="7"/>
    </row>
    <row r="243" ht="24.75" customHeight="1">
      <c r="L243" s="7"/>
      <c r="Q243" s="7"/>
      <c r="S243" s="7"/>
      <c r="U243" s="7"/>
      <c r="W243" s="7"/>
      <c r="Y243" s="7"/>
    </row>
    <row r="244" ht="24.75" customHeight="1">
      <c r="L244" s="7"/>
      <c r="Q244" s="7"/>
      <c r="S244" s="7"/>
      <c r="U244" s="7"/>
      <c r="W244" s="7"/>
      <c r="Y244" s="7"/>
    </row>
    <row r="245" ht="24.75" customHeight="1">
      <c r="L245" s="7"/>
      <c r="Q245" s="7"/>
      <c r="S245" s="7"/>
      <c r="U245" s="7"/>
      <c r="W245" s="7"/>
      <c r="Y245" s="7"/>
    </row>
    <row r="246" ht="24.75" customHeight="1">
      <c r="L246" s="7"/>
      <c r="Q246" s="7"/>
      <c r="S246" s="7"/>
      <c r="U246" s="7"/>
      <c r="W246" s="7"/>
      <c r="Y246" s="7"/>
    </row>
    <row r="247" ht="24.75" customHeight="1">
      <c r="L247" s="7"/>
      <c r="Q247" s="7"/>
      <c r="S247" s="7"/>
      <c r="U247" s="7"/>
      <c r="W247" s="7"/>
      <c r="Y247" s="7"/>
    </row>
    <row r="248" ht="24.75" customHeight="1">
      <c r="L248" s="7"/>
      <c r="Q248" s="7"/>
      <c r="S248" s="7"/>
      <c r="U248" s="7"/>
      <c r="W248" s="7"/>
      <c r="Y248" s="7"/>
    </row>
    <row r="249" ht="24.75" customHeight="1">
      <c r="L249" s="7"/>
      <c r="Q249" s="7"/>
      <c r="S249" s="7"/>
      <c r="U249" s="7"/>
      <c r="W249" s="7"/>
      <c r="Y249" s="7"/>
    </row>
    <row r="250" ht="24.75" customHeight="1">
      <c r="L250" s="7"/>
      <c r="Q250" s="7"/>
      <c r="S250" s="7"/>
      <c r="U250" s="7"/>
      <c r="W250" s="7"/>
      <c r="Y250" s="7"/>
    </row>
    <row r="251" ht="24.75" customHeight="1">
      <c r="L251" s="7"/>
      <c r="Q251" s="7"/>
      <c r="S251" s="7"/>
      <c r="U251" s="7"/>
      <c r="W251" s="7"/>
      <c r="Y251" s="7"/>
    </row>
    <row r="252" ht="24.75" customHeight="1">
      <c r="L252" s="7"/>
      <c r="Q252" s="7"/>
      <c r="S252" s="7"/>
      <c r="U252" s="7"/>
      <c r="W252" s="7"/>
      <c r="Y252" s="7"/>
    </row>
    <row r="253" ht="24.75" customHeight="1">
      <c r="L253" s="7"/>
      <c r="Q253" s="7"/>
      <c r="S253" s="7"/>
      <c r="U253" s="7"/>
      <c r="W253" s="7"/>
      <c r="Y253" s="7"/>
    </row>
    <row r="254" ht="24.75" customHeight="1">
      <c r="L254" s="7"/>
      <c r="Q254" s="7"/>
      <c r="S254" s="7"/>
      <c r="U254" s="7"/>
      <c r="W254" s="7"/>
      <c r="Y254" s="7"/>
    </row>
    <row r="255" ht="24.75" customHeight="1">
      <c r="L255" s="7"/>
      <c r="Q255" s="7"/>
      <c r="S255" s="7"/>
      <c r="U255" s="7"/>
      <c r="W255" s="7"/>
      <c r="Y255" s="7"/>
    </row>
    <row r="256" ht="24.75" customHeight="1">
      <c r="L256" s="7"/>
      <c r="Q256" s="7"/>
      <c r="S256" s="7"/>
      <c r="U256" s="7"/>
      <c r="W256" s="7"/>
      <c r="Y256" s="7"/>
    </row>
    <row r="257" ht="24.75" customHeight="1">
      <c r="L257" s="7"/>
      <c r="Q257" s="7"/>
      <c r="S257" s="7"/>
      <c r="U257" s="7"/>
      <c r="W257" s="7"/>
      <c r="Y257" s="7"/>
    </row>
    <row r="258" ht="24.75" customHeight="1">
      <c r="L258" s="7"/>
      <c r="Q258" s="7"/>
      <c r="S258" s="7"/>
      <c r="U258" s="7"/>
      <c r="W258" s="7"/>
      <c r="Y258" s="7"/>
    </row>
    <row r="259" ht="24.75" customHeight="1">
      <c r="L259" s="7"/>
      <c r="Q259" s="7"/>
      <c r="S259" s="7"/>
      <c r="U259" s="7"/>
      <c r="W259" s="7"/>
      <c r="Y259" s="7"/>
    </row>
    <row r="260" ht="24.75" customHeight="1">
      <c r="L260" s="7"/>
      <c r="Q260" s="7"/>
      <c r="S260" s="7"/>
      <c r="U260" s="7"/>
      <c r="W260" s="7"/>
      <c r="Y260" s="7"/>
    </row>
    <row r="261" ht="24.75" customHeight="1">
      <c r="L261" s="7"/>
      <c r="Q261" s="7"/>
      <c r="S261" s="7"/>
      <c r="U261" s="7"/>
      <c r="W261" s="7"/>
      <c r="Y261" s="7"/>
    </row>
    <row r="262" ht="24.75" customHeight="1">
      <c r="L262" s="7"/>
      <c r="Q262" s="7"/>
      <c r="S262" s="7"/>
      <c r="U262" s="7"/>
      <c r="W262" s="7"/>
      <c r="Y262" s="7"/>
    </row>
    <row r="263" ht="24.75" customHeight="1">
      <c r="L263" s="7"/>
      <c r="Q263" s="7"/>
      <c r="S263" s="7"/>
      <c r="U263" s="7"/>
      <c r="W263" s="7"/>
      <c r="Y263" s="7"/>
    </row>
    <row r="264" ht="24.75" customHeight="1">
      <c r="L264" s="7"/>
      <c r="Q264" s="7"/>
      <c r="S264" s="7"/>
      <c r="U264" s="7"/>
      <c r="W264" s="7"/>
      <c r="Y264" s="7"/>
    </row>
    <row r="265" ht="24.75" customHeight="1">
      <c r="L265" s="7"/>
      <c r="Q265" s="7"/>
      <c r="S265" s="7"/>
      <c r="U265" s="7"/>
      <c r="W265" s="7"/>
      <c r="Y265" s="7"/>
    </row>
    <row r="266" ht="24.75" customHeight="1">
      <c r="L266" s="7"/>
      <c r="Q266" s="7"/>
      <c r="S266" s="7"/>
      <c r="U266" s="7"/>
      <c r="W266" s="7"/>
      <c r="Y266" s="7"/>
    </row>
    <row r="267" ht="24.75" customHeight="1">
      <c r="L267" s="7"/>
      <c r="Q267" s="7"/>
      <c r="S267" s="7"/>
      <c r="U267" s="7"/>
      <c r="W267" s="7"/>
      <c r="Y267" s="7"/>
    </row>
    <row r="268" ht="24.75" customHeight="1">
      <c r="L268" s="7"/>
      <c r="Q268" s="7"/>
      <c r="S268" s="7"/>
      <c r="U268" s="7"/>
      <c r="W268" s="7"/>
      <c r="Y268" s="7"/>
    </row>
    <row r="269" ht="24.75" customHeight="1">
      <c r="L269" s="7"/>
      <c r="Q269" s="7"/>
      <c r="S269" s="7"/>
      <c r="U269" s="7"/>
      <c r="W269" s="7"/>
      <c r="Y269" s="7"/>
    </row>
    <row r="270" ht="24.75" customHeight="1">
      <c r="L270" s="7"/>
      <c r="Q270" s="7"/>
      <c r="S270" s="7"/>
      <c r="U270" s="7"/>
      <c r="W270" s="7"/>
      <c r="Y270" s="7"/>
    </row>
    <row r="271" ht="24.75" customHeight="1">
      <c r="L271" s="7"/>
      <c r="Q271" s="7"/>
      <c r="S271" s="7"/>
      <c r="U271" s="7"/>
      <c r="W271" s="7"/>
      <c r="Y271" s="7"/>
    </row>
    <row r="272" ht="24.75" customHeight="1">
      <c r="L272" s="7"/>
      <c r="Q272" s="7"/>
      <c r="S272" s="7"/>
      <c r="U272" s="7"/>
      <c r="W272" s="7"/>
      <c r="Y272" s="7"/>
    </row>
    <row r="273" ht="24.75" customHeight="1">
      <c r="L273" s="7"/>
      <c r="Q273" s="7"/>
      <c r="S273" s="7"/>
      <c r="U273" s="7"/>
      <c r="W273" s="7"/>
      <c r="Y273" s="7"/>
    </row>
    <row r="274" ht="24.75" customHeight="1">
      <c r="L274" s="7"/>
      <c r="Q274" s="7"/>
      <c r="S274" s="7"/>
      <c r="U274" s="7"/>
      <c r="W274" s="7"/>
      <c r="Y274" s="7"/>
    </row>
    <row r="275" ht="24.75" customHeight="1">
      <c r="L275" s="7"/>
      <c r="Q275" s="7"/>
      <c r="S275" s="7"/>
      <c r="U275" s="7"/>
      <c r="W275" s="7"/>
      <c r="Y275" s="7"/>
    </row>
    <row r="276" ht="24.75" customHeight="1">
      <c r="L276" s="7"/>
      <c r="Q276" s="7"/>
      <c r="S276" s="7"/>
      <c r="U276" s="7"/>
      <c r="W276" s="7"/>
      <c r="Y276" s="7"/>
    </row>
    <row r="277" ht="24.75" customHeight="1">
      <c r="L277" s="7"/>
      <c r="Q277" s="7"/>
      <c r="S277" s="7"/>
      <c r="U277" s="7"/>
      <c r="W277" s="7"/>
      <c r="Y277" s="7"/>
    </row>
    <row r="278" ht="24.75" customHeight="1">
      <c r="L278" s="7"/>
      <c r="Q278" s="7"/>
      <c r="S278" s="7"/>
      <c r="U278" s="7"/>
      <c r="W278" s="7"/>
      <c r="Y278" s="7"/>
    </row>
    <row r="279" ht="24.75" customHeight="1">
      <c r="L279" s="7"/>
      <c r="Q279" s="7"/>
      <c r="S279" s="7"/>
      <c r="U279" s="7"/>
      <c r="W279" s="7"/>
      <c r="Y279" s="7"/>
    </row>
    <row r="280" ht="24.75" customHeight="1">
      <c r="L280" s="7"/>
      <c r="Q280" s="7"/>
      <c r="S280" s="7"/>
      <c r="U280" s="7"/>
      <c r="W280" s="7"/>
      <c r="Y280" s="7"/>
    </row>
    <row r="281" ht="24.75" customHeight="1">
      <c r="L281" s="7"/>
      <c r="Q281" s="7"/>
      <c r="S281" s="7"/>
      <c r="U281" s="7"/>
      <c r="W281" s="7"/>
      <c r="Y281" s="7"/>
    </row>
    <row r="282" ht="24.75" customHeight="1">
      <c r="L282" s="7"/>
      <c r="Q282" s="7"/>
      <c r="S282" s="7"/>
      <c r="U282" s="7"/>
      <c r="W282" s="7"/>
      <c r="Y282" s="7"/>
    </row>
    <row r="283" ht="24.75" customHeight="1">
      <c r="L283" s="7"/>
      <c r="Q283" s="7"/>
      <c r="S283" s="7"/>
      <c r="U283" s="7"/>
      <c r="W283" s="7"/>
      <c r="Y283" s="7"/>
    </row>
    <row r="284" ht="24.75" customHeight="1">
      <c r="L284" s="7"/>
      <c r="Q284" s="7"/>
      <c r="S284" s="7"/>
      <c r="U284" s="7"/>
      <c r="W284" s="7"/>
      <c r="Y284" s="7"/>
    </row>
    <row r="285" ht="24.75" customHeight="1">
      <c r="L285" s="7"/>
      <c r="Q285" s="7"/>
      <c r="S285" s="7"/>
      <c r="U285" s="7"/>
      <c r="W285" s="7"/>
      <c r="Y285" s="7"/>
    </row>
    <row r="286" ht="24.75" customHeight="1">
      <c r="L286" s="7"/>
      <c r="Q286" s="7"/>
      <c r="S286" s="7"/>
      <c r="U286" s="7"/>
      <c r="W286" s="7"/>
      <c r="Y286" s="7"/>
    </row>
    <row r="287" ht="24.75" customHeight="1">
      <c r="L287" s="7"/>
      <c r="Q287" s="7"/>
      <c r="S287" s="7"/>
      <c r="U287" s="7"/>
      <c r="W287" s="7"/>
      <c r="Y287" s="7"/>
    </row>
    <row r="288" ht="24.75" customHeight="1">
      <c r="L288" s="7"/>
      <c r="Q288" s="7"/>
      <c r="S288" s="7"/>
      <c r="U288" s="7"/>
      <c r="W288" s="7"/>
      <c r="Y288" s="7"/>
    </row>
    <row r="289" ht="24.75" customHeight="1">
      <c r="L289" s="7"/>
      <c r="Q289" s="7"/>
      <c r="S289" s="7"/>
      <c r="U289" s="7"/>
      <c r="W289" s="7"/>
      <c r="Y289" s="7"/>
    </row>
    <row r="290" ht="24.75" customHeight="1">
      <c r="L290" s="7"/>
      <c r="Q290" s="7"/>
      <c r="S290" s="7"/>
      <c r="U290" s="7"/>
      <c r="W290" s="7"/>
      <c r="Y290" s="7"/>
    </row>
    <row r="291" ht="24.75" customHeight="1">
      <c r="L291" s="7"/>
      <c r="Q291" s="7"/>
      <c r="S291" s="7"/>
      <c r="U291" s="7"/>
      <c r="W291" s="7"/>
      <c r="Y291" s="7"/>
    </row>
    <row r="292" ht="24.75" customHeight="1">
      <c r="L292" s="7"/>
      <c r="Q292" s="7"/>
      <c r="S292" s="7"/>
      <c r="U292" s="7"/>
      <c r="W292" s="7"/>
      <c r="Y292" s="7"/>
    </row>
    <row r="293" ht="24.75" customHeight="1">
      <c r="L293" s="7"/>
      <c r="Q293" s="7"/>
      <c r="S293" s="7"/>
      <c r="U293" s="7"/>
      <c r="W293" s="7"/>
      <c r="Y293" s="7"/>
    </row>
    <row r="294" ht="24.75" customHeight="1">
      <c r="L294" s="7"/>
      <c r="Q294" s="7"/>
      <c r="S294" s="7"/>
      <c r="U294" s="7"/>
      <c r="W294" s="7"/>
      <c r="Y294" s="7"/>
    </row>
    <row r="295" ht="24.75" customHeight="1">
      <c r="L295" s="7"/>
      <c r="Q295" s="7"/>
      <c r="S295" s="7"/>
      <c r="U295" s="7"/>
      <c r="W295" s="7"/>
      <c r="Y295" s="7"/>
    </row>
    <row r="296" ht="24.75" customHeight="1">
      <c r="L296" s="7"/>
      <c r="Q296" s="7"/>
      <c r="S296" s="7"/>
      <c r="U296" s="7"/>
      <c r="W296" s="7"/>
      <c r="Y296" s="7"/>
    </row>
    <row r="297" ht="24.75" customHeight="1">
      <c r="L297" s="7"/>
      <c r="Q297" s="7"/>
      <c r="S297" s="7"/>
      <c r="U297" s="7"/>
      <c r="W297" s="7"/>
      <c r="Y297" s="7"/>
    </row>
    <row r="298" ht="24.75" customHeight="1">
      <c r="L298" s="7"/>
      <c r="Q298" s="7"/>
      <c r="S298" s="7"/>
      <c r="U298" s="7"/>
      <c r="W298" s="7"/>
      <c r="Y298" s="7"/>
    </row>
    <row r="299" ht="24.75" customHeight="1">
      <c r="L299" s="7"/>
      <c r="Q299" s="7"/>
      <c r="S299" s="7"/>
      <c r="U299" s="7"/>
      <c r="W299" s="7"/>
      <c r="Y299" s="7"/>
    </row>
    <row r="300" ht="24.75" customHeight="1">
      <c r="L300" s="7"/>
      <c r="Q300" s="7"/>
      <c r="S300" s="7"/>
      <c r="U300" s="7"/>
      <c r="W300" s="7"/>
      <c r="Y300" s="7"/>
    </row>
    <row r="301" ht="24.75" customHeight="1">
      <c r="L301" s="7"/>
      <c r="Q301" s="7"/>
      <c r="S301" s="7"/>
      <c r="U301" s="7"/>
      <c r="W301" s="7"/>
      <c r="Y301" s="7"/>
    </row>
    <row r="302" ht="24.75" customHeight="1">
      <c r="L302" s="7"/>
      <c r="Q302" s="7"/>
      <c r="S302" s="7"/>
      <c r="U302" s="7"/>
      <c r="W302" s="7"/>
      <c r="Y302" s="7"/>
    </row>
    <row r="303" ht="24.75" customHeight="1">
      <c r="L303" s="7"/>
      <c r="Q303" s="7"/>
      <c r="S303" s="7"/>
      <c r="U303" s="7"/>
      <c r="W303" s="7"/>
      <c r="Y303" s="7"/>
    </row>
    <row r="304" ht="24.75" customHeight="1">
      <c r="L304" s="7"/>
      <c r="Q304" s="7"/>
      <c r="S304" s="7"/>
      <c r="U304" s="7"/>
      <c r="W304" s="7"/>
      <c r="Y304" s="7"/>
    </row>
    <row r="305" ht="24.75" customHeight="1">
      <c r="L305" s="7"/>
      <c r="Q305" s="7"/>
      <c r="S305" s="7"/>
      <c r="U305" s="7"/>
      <c r="W305" s="7"/>
      <c r="Y305" s="7"/>
    </row>
    <row r="306" ht="24.75" customHeight="1">
      <c r="L306" s="7"/>
      <c r="Q306" s="7"/>
      <c r="S306" s="7"/>
      <c r="U306" s="7"/>
      <c r="W306" s="7"/>
      <c r="Y306" s="7"/>
    </row>
    <row r="307" ht="24.75" customHeight="1">
      <c r="L307" s="7"/>
      <c r="Q307" s="7"/>
      <c r="S307" s="7"/>
      <c r="U307" s="7"/>
      <c r="W307" s="7"/>
      <c r="Y307" s="7"/>
    </row>
    <row r="308" ht="24.75" customHeight="1">
      <c r="L308" s="7"/>
      <c r="Q308" s="7"/>
      <c r="S308" s="7"/>
      <c r="U308" s="7"/>
      <c r="W308" s="7"/>
      <c r="Y308" s="7"/>
    </row>
    <row r="309" ht="24.75" customHeight="1">
      <c r="L309" s="7"/>
      <c r="Q309" s="7"/>
      <c r="S309" s="7"/>
      <c r="U309" s="7"/>
      <c r="W309" s="7"/>
      <c r="Y309" s="7"/>
    </row>
    <row r="310" ht="24.75" customHeight="1">
      <c r="L310" s="7"/>
      <c r="Q310" s="7"/>
      <c r="S310" s="7"/>
      <c r="U310" s="7"/>
      <c r="W310" s="7"/>
      <c r="Y310" s="7"/>
    </row>
    <row r="311" ht="24.75" customHeight="1">
      <c r="L311" s="7"/>
      <c r="Q311" s="7"/>
      <c r="S311" s="7"/>
      <c r="U311" s="7"/>
      <c r="W311" s="7"/>
      <c r="Y311" s="7"/>
    </row>
    <row r="312" ht="24.75" customHeight="1">
      <c r="L312" s="7"/>
      <c r="Q312" s="7"/>
      <c r="S312" s="7"/>
      <c r="U312" s="7"/>
      <c r="W312" s="7"/>
      <c r="Y312" s="7"/>
    </row>
    <row r="313" ht="24.75" customHeight="1">
      <c r="L313" s="7"/>
      <c r="Q313" s="7"/>
      <c r="S313" s="7"/>
      <c r="U313" s="7"/>
      <c r="W313" s="7"/>
      <c r="Y313" s="7"/>
    </row>
    <row r="314" ht="24.75" customHeight="1">
      <c r="L314" s="7"/>
      <c r="Q314" s="7"/>
      <c r="S314" s="7"/>
      <c r="U314" s="7"/>
      <c r="W314" s="7"/>
      <c r="Y314" s="7"/>
    </row>
    <row r="315" ht="24.75" customHeight="1">
      <c r="L315" s="7"/>
      <c r="Q315" s="7"/>
      <c r="S315" s="7"/>
      <c r="U315" s="7"/>
      <c r="W315" s="7"/>
      <c r="Y315" s="7"/>
    </row>
    <row r="316" ht="24.75" customHeight="1">
      <c r="L316" s="7"/>
      <c r="Q316" s="7"/>
      <c r="S316" s="7"/>
      <c r="U316" s="7"/>
      <c r="W316" s="7"/>
      <c r="Y316" s="7"/>
    </row>
    <row r="317" ht="24.75" customHeight="1">
      <c r="L317" s="7"/>
      <c r="Q317" s="7"/>
      <c r="S317" s="7"/>
      <c r="U317" s="7"/>
      <c r="W317" s="7"/>
      <c r="Y317" s="7"/>
    </row>
    <row r="318" ht="24.75" customHeight="1">
      <c r="L318" s="7"/>
      <c r="Q318" s="7"/>
      <c r="S318" s="7"/>
      <c r="U318" s="7"/>
      <c r="W318" s="7"/>
      <c r="Y318" s="7"/>
    </row>
    <row r="319" ht="24.75" customHeight="1">
      <c r="L319" s="7"/>
      <c r="Q319" s="7"/>
      <c r="S319" s="7"/>
      <c r="U319" s="7"/>
      <c r="W319" s="7"/>
      <c r="Y319" s="7"/>
    </row>
    <row r="320" ht="24.75" customHeight="1">
      <c r="L320" s="7"/>
      <c r="Q320" s="7"/>
      <c r="S320" s="7"/>
      <c r="U320" s="7"/>
      <c r="W320" s="7"/>
      <c r="Y320" s="7"/>
    </row>
    <row r="321" ht="24.75" customHeight="1">
      <c r="L321" s="7"/>
      <c r="Q321" s="7"/>
      <c r="S321" s="7"/>
      <c r="U321" s="7"/>
      <c r="W321" s="7"/>
      <c r="Y321" s="7"/>
    </row>
    <row r="322" ht="24.75" customHeight="1">
      <c r="L322" s="7"/>
      <c r="Q322" s="7"/>
      <c r="S322" s="7"/>
      <c r="U322" s="7"/>
      <c r="W322" s="7"/>
      <c r="Y322" s="7"/>
    </row>
    <row r="323" ht="24.75" customHeight="1">
      <c r="L323" s="7"/>
      <c r="Q323" s="7"/>
      <c r="S323" s="7"/>
      <c r="U323" s="7"/>
      <c r="W323" s="7"/>
      <c r="Y323" s="7"/>
    </row>
    <row r="324" ht="24.75" customHeight="1">
      <c r="L324" s="7"/>
      <c r="Q324" s="7"/>
      <c r="S324" s="7"/>
      <c r="U324" s="7"/>
      <c r="W324" s="7"/>
      <c r="Y324" s="7"/>
    </row>
    <row r="325" ht="24.75" customHeight="1">
      <c r="L325" s="7"/>
      <c r="Q325" s="7"/>
      <c r="S325" s="7"/>
      <c r="U325" s="7"/>
      <c r="W325" s="7"/>
      <c r="Y325" s="7"/>
    </row>
    <row r="326" ht="24.75" customHeight="1">
      <c r="L326" s="7"/>
      <c r="Q326" s="7"/>
      <c r="S326" s="7"/>
      <c r="U326" s="7"/>
      <c r="W326" s="7"/>
      <c r="Y326" s="7"/>
    </row>
    <row r="327" ht="24.75" customHeight="1">
      <c r="L327" s="7"/>
      <c r="Q327" s="7"/>
      <c r="S327" s="7"/>
      <c r="U327" s="7"/>
      <c r="W327" s="7"/>
      <c r="Y327" s="7"/>
    </row>
    <row r="328" ht="24.75" customHeight="1">
      <c r="L328" s="7"/>
      <c r="Q328" s="7"/>
      <c r="S328" s="7"/>
      <c r="U328" s="7"/>
      <c r="W328" s="7"/>
      <c r="Y328" s="7"/>
    </row>
    <row r="329" ht="24.75" customHeight="1">
      <c r="L329" s="7"/>
      <c r="Q329" s="7"/>
      <c r="S329" s="7"/>
      <c r="U329" s="7"/>
      <c r="W329" s="7"/>
      <c r="Y329" s="7"/>
    </row>
    <row r="330" ht="24.75" customHeight="1">
      <c r="L330" s="7"/>
      <c r="Q330" s="7"/>
      <c r="S330" s="7"/>
      <c r="U330" s="7"/>
      <c r="W330" s="7"/>
      <c r="Y330" s="7"/>
    </row>
    <row r="331" ht="24.75" customHeight="1">
      <c r="L331" s="7"/>
      <c r="Q331" s="7"/>
      <c r="S331" s="7"/>
      <c r="U331" s="7"/>
      <c r="W331" s="7"/>
      <c r="Y331" s="7"/>
    </row>
    <row r="332" ht="24.75" customHeight="1">
      <c r="L332" s="7"/>
      <c r="Q332" s="7"/>
      <c r="S332" s="7"/>
      <c r="U332" s="7"/>
      <c r="W332" s="7"/>
      <c r="Y332" s="7"/>
    </row>
    <row r="333" ht="24.75" customHeight="1">
      <c r="L333" s="7"/>
      <c r="Q333" s="7"/>
      <c r="S333" s="7"/>
      <c r="U333" s="7"/>
      <c r="W333" s="7"/>
      <c r="Y333" s="7"/>
    </row>
    <row r="334" ht="24.75" customHeight="1">
      <c r="L334" s="7"/>
      <c r="Q334" s="7"/>
      <c r="S334" s="7"/>
      <c r="U334" s="7"/>
      <c r="W334" s="7"/>
      <c r="Y334" s="7"/>
    </row>
    <row r="335" ht="24.75" customHeight="1">
      <c r="L335" s="7"/>
      <c r="Q335" s="7"/>
      <c r="S335" s="7"/>
      <c r="U335" s="7"/>
      <c r="W335" s="7"/>
      <c r="Y335" s="7"/>
    </row>
    <row r="336" ht="24.75" customHeight="1">
      <c r="L336" s="7"/>
      <c r="Q336" s="7"/>
      <c r="S336" s="7"/>
      <c r="U336" s="7"/>
      <c r="W336" s="7"/>
      <c r="Y336" s="7"/>
    </row>
    <row r="337" ht="24.75" customHeight="1">
      <c r="L337" s="7"/>
      <c r="Q337" s="7"/>
      <c r="S337" s="7"/>
      <c r="U337" s="7"/>
      <c r="W337" s="7"/>
      <c r="Y337" s="7"/>
    </row>
    <row r="338" ht="24.75" customHeight="1">
      <c r="L338" s="7"/>
      <c r="Q338" s="7"/>
      <c r="S338" s="7"/>
      <c r="U338" s="7"/>
      <c r="W338" s="7"/>
      <c r="Y338" s="7"/>
    </row>
    <row r="339" ht="24.75" customHeight="1">
      <c r="L339" s="7"/>
      <c r="Q339" s="7"/>
      <c r="S339" s="7"/>
      <c r="U339" s="7"/>
      <c r="W339" s="7"/>
      <c r="Y339" s="7"/>
    </row>
    <row r="340" ht="24.75" customHeight="1">
      <c r="L340" s="7"/>
      <c r="Q340" s="7"/>
      <c r="S340" s="7"/>
      <c r="U340" s="7"/>
      <c r="W340" s="7"/>
      <c r="Y340" s="7"/>
    </row>
    <row r="341" ht="24.75" customHeight="1">
      <c r="L341" s="7"/>
      <c r="Q341" s="7"/>
      <c r="S341" s="7"/>
      <c r="U341" s="7"/>
      <c r="W341" s="7"/>
      <c r="Y341" s="7"/>
    </row>
    <row r="342" ht="24.75" customHeight="1">
      <c r="L342" s="7"/>
      <c r="Q342" s="7"/>
      <c r="S342" s="7"/>
      <c r="U342" s="7"/>
      <c r="W342" s="7"/>
      <c r="Y342" s="7"/>
    </row>
    <row r="343" ht="24.75" customHeight="1">
      <c r="L343" s="7"/>
      <c r="Q343" s="7"/>
      <c r="S343" s="7"/>
      <c r="U343" s="7"/>
      <c r="W343" s="7"/>
      <c r="Y343" s="7"/>
    </row>
    <row r="344" ht="24.75" customHeight="1">
      <c r="L344" s="7"/>
      <c r="Q344" s="7"/>
      <c r="S344" s="7"/>
      <c r="U344" s="7"/>
      <c r="W344" s="7"/>
      <c r="Y344" s="7"/>
    </row>
    <row r="345" ht="24.75" customHeight="1">
      <c r="L345" s="7"/>
      <c r="Q345" s="7"/>
      <c r="S345" s="7"/>
      <c r="U345" s="7"/>
      <c r="W345" s="7"/>
      <c r="Y345" s="7"/>
    </row>
    <row r="346" ht="24.75" customHeight="1">
      <c r="L346" s="7"/>
      <c r="Q346" s="7"/>
      <c r="S346" s="7"/>
      <c r="U346" s="7"/>
      <c r="W346" s="7"/>
      <c r="Y346" s="7"/>
    </row>
    <row r="347" ht="24.75" customHeight="1">
      <c r="L347" s="7"/>
      <c r="Q347" s="7"/>
      <c r="S347" s="7"/>
      <c r="U347" s="7"/>
      <c r="W347" s="7"/>
      <c r="Y347" s="7"/>
    </row>
    <row r="348" ht="24.75" customHeight="1">
      <c r="L348" s="7"/>
      <c r="Q348" s="7"/>
      <c r="S348" s="7"/>
      <c r="U348" s="7"/>
      <c r="W348" s="7"/>
      <c r="Y348" s="7"/>
    </row>
    <row r="349" ht="24.75" customHeight="1">
      <c r="L349" s="7"/>
      <c r="Q349" s="7"/>
      <c r="S349" s="7"/>
      <c r="U349" s="7"/>
      <c r="W349" s="7"/>
      <c r="Y349" s="7"/>
    </row>
    <row r="350" ht="24.75" customHeight="1">
      <c r="L350" s="7"/>
      <c r="Q350" s="7"/>
      <c r="S350" s="7"/>
      <c r="U350" s="7"/>
      <c r="W350" s="7"/>
      <c r="Y350" s="7"/>
    </row>
    <row r="351" ht="24.75" customHeight="1">
      <c r="L351" s="7"/>
      <c r="Q351" s="7"/>
      <c r="S351" s="7"/>
      <c r="U351" s="7"/>
      <c r="W351" s="7"/>
      <c r="Y351" s="7"/>
    </row>
    <row r="352" ht="24.75" customHeight="1">
      <c r="L352" s="7"/>
      <c r="Q352" s="7"/>
      <c r="S352" s="7"/>
      <c r="U352" s="7"/>
      <c r="W352" s="7"/>
      <c r="Y352" s="7"/>
    </row>
    <row r="353" ht="24.75" customHeight="1">
      <c r="L353" s="7"/>
      <c r="Q353" s="7"/>
      <c r="S353" s="7"/>
      <c r="U353" s="7"/>
      <c r="W353" s="7"/>
      <c r="Y353" s="7"/>
    </row>
    <row r="354" ht="24.75" customHeight="1">
      <c r="L354" s="7"/>
      <c r="Q354" s="7"/>
      <c r="S354" s="7"/>
      <c r="U354" s="7"/>
      <c r="W354" s="7"/>
      <c r="Y354" s="7"/>
    </row>
    <row r="355" ht="24.75" customHeight="1">
      <c r="L355" s="7"/>
      <c r="Q355" s="7"/>
      <c r="S355" s="7"/>
      <c r="U355" s="7"/>
      <c r="W355" s="7"/>
      <c r="Y355" s="7"/>
    </row>
    <row r="356" ht="24.75" customHeight="1">
      <c r="L356" s="7"/>
      <c r="Q356" s="7"/>
      <c r="S356" s="7"/>
      <c r="U356" s="7"/>
      <c r="W356" s="7"/>
      <c r="Y356" s="7"/>
    </row>
    <row r="357" ht="24.75" customHeight="1">
      <c r="L357" s="7"/>
      <c r="Q357" s="7"/>
      <c r="S357" s="7"/>
      <c r="U357" s="7"/>
      <c r="W357" s="7"/>
      <c r="Y357" s="7"/>
    </row>
    <row r="358" ht="24.75" customHeight="1">
      <c r="L358" s="7"/>
      <c r="Q358" s="7"/>
      <c r="S358" s="7"/>
      <c r="U358" s="7"/>
      <c r="W358" s="7"/>
      <c r="Y358" s="7"/>
    </row>
    <row r="359" ht="24.75" customHeight="1">
      <c r="L359" s="7"/>
      <c r="Q359" s="7"/>
      <c r="S359" s="7"/>
      <c r="U359" s="7"/>
      <c r="W359" s="7"/>
      <c r="Y359" s="7"/>
    </row>
    <row r="360" ht="24.75" customHeight="1">
      <c r="L360" s="7"/>
      <c r="Q360" s="7"/>
      <c r="S360" s="7"/>
      <c r="U360" s="7"/>
      <c r="W360" s="7"/>
      <c r="Y360" s="7"/>
    </row>
    <row r="361" ht="24.75" customHeight="1">
      <c r="L361" s="7"/>
      <c r="Q361" s="7"/>
      <c r="S361" s="7"/>
      <c r="U361" s="7"/>
      <c r="W361" s="7"/>
      <c r="Y361" s="7"/>
    </row>
    <row r="362" ht="24.75" customHeight="1">
      <c r="L362" s="7"/>
      <c r="Q362" s="7"/>
      <c r="S362" s="7"/>
      <c r="U362" s="7"/>
      <c r="W362" s="7"/>
      <c r="Y362" s="7"/>
    </row>
    <row r="363" ht="24.75" customHeight="1">
      <c r="L363" s="7"/>
      <c r="Q363" s="7"/>
      <c r="S363" s="7"/>
      <c r="U363" s="7"/>
      <c r="W363" s="7"/>
      <c r="Y363" s="7"/>
    </row>
    <row r="364" ht="24.75" customHeight="1">
      <c r="L364" s="7"/>
      <c r="Q364" s="7"/>
      <c r="S364" s="7"/>
      <c r="U364" s="7"/>
      <c r="W364" s="7"/>
      <c r="Y364" s="7"/>
    </row>
    <row r="365" ht="24.75" customHeight="1">
      <c r="L365" s="7"/>
      <c r="Q365" s="7"/>
      <c r="S365" s="7"/>
      <c r="U365" s="7"/>
      <c r="W365" s="7"/>
      <c r="Y365" s="7"/>
    </row>
    <row r="366" ht="24.75" customHeight="1">
      <c r="L366" s="7"/>
      <c r="Q366" s="7"/>
      <c r="S366" s="7"/>
      <c r="U366" s="7"/>
      <c r="W366" s="7"/>
      <c r="Y366" s="7"/>
    </row>
    <row r="367" ht="24.75" customHeight="1">
      <c r="L367" s="7"/>
      <c r="Q367" s="7"/>
      <c r="S367" s="7"/>
      <c r="U367" s="7"/>
      <c r="W367" s="7"/>
      <c r="Y367" s="7"/>
    </row>
    <row r="368" ht="24.75" customHeight="1">
      <c r="L368" s="7"/>
      <c r="Q368" s="7"/>
      <c r="S368" s="7"/>
      <c r="U368" s="7"/>
      <c r="W368" s="7"/>
      <c r="Y368" s="7"/>
    </row>
    <row r="369" ht="24.75" customHeight="1">
      <c r="L369" s="7"/>
      <c r="Q369" s="7"/>
      <c r="S369" s="7"/>
      <c r="U369" s="7"/>
      <c r="W369" s="7"/>
      <c r="Y369" s="7"/>
    </row>
    <row r="370" ht="24.75" customHeight="1">
      <c r="L370" s="7"/>
      <c r="Q370" s="7"/>
      <c r="S370" s="7"/>
      <c r="U370" s="7"/>
      <c r="W370" s="7"/>
      <c r="Y370" s="7"/>
    </row>
    <row r="371" ht="24.75" customHeight="1">
      <c r="L371" s="7"/>
      <c r="Q371" s="7"/>
      <c r="S371" s="7"/>
      <c r="U371" s="7"/>
      <c r="W371" s="7"/>
      <c r="Y371" s="7"/>
    </row>
    <row r="372" ht="24.75" customHeight="1">
      <c r="L372" s="7"/>
      <c r="Q372" s="7"/>
      <c r="S372" s="7"/>
      <c r="U372" s="7"/>
      <c r="W372" s="7"/>
      <c r="Y372" s="7"/>
    </row>
    <row r="373" ht="24.75" customHeight="1">
      <c r="L373" s="7"/>
      <c r="Q373" s="7"/>
      <c r="S373" s="7"/>
      <c r="U373" s="7"/>
      <c r="W373" s="7"/>
      <c r="Y373" s="7"/>
    </row>
    <row r="374" ht="24.75" customHeight="1">
      <c r="L374" s="7"/>
      <c r="Q374" s="7"/>
      <c r="S374" s="7"/>
      <c r="U374" s="7"/>
      <c r="W374" s="7"/>
      <c r="Y374" s="7"/>
    </row>
    <row r="375" ht="24.75" customHeight="1">
      <c r="L375" s="7"/>
      <c r="Q375" s="7"/>
      <c r="S375" s="7"/>
      <c r="U375" s="7"/>
      <c r="W375" s="7"/>
      <c r="Y375" s="7"/>
    </row>
    <row r="376" ht="24.75" customHeight="1">
      <c r="L376" s="7"/>
      <c r="Q376" s="7"/>
      <c r="S376" s="7"/>
      <c r="U376" s="7"/>
      <c r="W376" s="7"/>
      <c r="Y376" s="7"/>
    </row>
    <row r="377" ht="24.75" customHeight="1">
      <c r="L377" s="7"/>
      <c r="Q377" s="7"/>
      <c r="S377" s="7"/>
      <c r="U377" s="7"/>
      <c r="W377" s="7"/>
      <c r="Y377" s="7"/>
    </row>
    <row r="378" ht="24.75" customHeight="1">
      <c r="L378" s="7"/>
      <c r="Q378" s="7"/>
      <c r="S378" s="7"/>
      <c r="U378" s="7"/>
      <c r="W378" s="7"/>
      <c r="Y378" s="7"/>
    </row>
    <row r="379" ht="24.75" customHeight="1">
      <c r="L379" s="7"/>
      <c r="Q379" s="7"/>
      <c r="S379" s="7"/>
      <c r="U379" s="7"/>
      <c r="W379" s="7"/>
      <c r="Y379" s="7"/>
    </row>
    <row r="380" ht="24.75" customHeight="1">
      <c r="L380" s="7"/>
      <c r="Q380" s="7"/>
      <c r="S380" s="7"/>
      <c r="U380" s="7"/>
      <c r="W380" s="7"/>
      <c r="Y380" s="7"/>
    </row>
    <row r="381" ht="24.75" customHeight="1">
      <c r="L381" s="7"/>
      <c r="Q381" s="7"/>
      <c r="S381" s="7"/>
      <c r="U381" s="7"/>
      <c r="W381" s="7"/>
      <c r="Y381" s="7"/>
    </row>
    <row r="382" ht="24.75" customHeight="1">
      <c r="L382" s="7"/>
      <c r="Q382" s="7"/>
      <c r="S382" s="7"/>
      <c r="U382" s="7"/>
      <c r="W382" s="7"/>
      <c r="Y382" s="7"/>
    </row>
    <row r="383" ht="24.75" customHeight="1">
      <c r="L383" s="7"/>
      <c r="Q383" s="7"/>
      <c r="S383" s="7"/>
      <c r="U383" s="7"/>
      <c r="W383" s="7"/>
      <c r="Y383" s="7"/>
    </row>
    <row r="384" ht="24.75" customHeight="1">
      <c r="L384" s="7"/>
      <c r="Q384" s="7"/>
      <c r="S384" s="7"/>
      <c r="U384" s="7"/>
      <c r="W384" s="7"/>
      <c r="Y384" s="7"/>
    </row>
    <row r="385" ht="24.75" customHeight="1">
      <c r="L385" s="7"/>
      <c r="Q385" s="7"/>
      <c r="S385" s="7"/>
      <c r="U385" s="7"/>
      <c r="W385" s="7"/>
      <c r="Y385" s="7"/>
    </row>
    <row r="386" ht="24.75" customHeight="1">
      <c r="L386" s="7"/>
      <c r="Q386" s="7"/>
      <c r="S386" s="7"/>
      <c r="U386" s="7"/>
      <c r="W386" s="7"/>
      <c r="Y386" s="7"/>
    </row>
    <row r="387" ht="24.75" customHeight="1">
      <c r="L387" s="7"/>
      <c r="Q387" s="7"/>
      <c r="S387" s="7"/>
      <c r="U387" s="7"/>
      <c r="W387" s="7"/>
      <c r="Y387" s="7"/>
    </row>
    <row r="388" ht="24.75" customHeight="1">
      <c r="L388" s="7"/>
      <c r="Q388" s="7"/>
      <c r="S388" s="7"/>
      <c r="U388" s="7"/>
      <c r="W388" s="7"/>
      <c r="Y388" s="7"/>
    </row>
    <row r="389" ht="24.75" customHeight="1">
      <c r="L389" s="7"/>
      <c r="Q389" s="7"/>
      <c r="S389" s="7"/>
      <c r="U389" s="7"/>
      <c r="W389" s="7"/>
      <c r="Y389" s="7"/>
    </row>
    <row r="390" ht="24.75" customHeight="1">
      <c r="L390" s="7"/>
      <c r="Q390" s="7"/>
      <c r="S390" s="7"/>
      <c r="U390" s="7"/>
      <c r="W390" s="7"/>
      <c r="Y390" s="7"/>
    </row>
    <row r="391" ht="24.75" customHeight="1">
      <c r="L391" s="7"/>
      <c r="Q391" s="7"/>
      <c r="S391" s="7"/>
      <c r="U391" s="7"/>
      <c r="W391" s="7"/>
      <c r="Y391" s="7"/>
    </row>
    <row r="392" ht="24.75" customHeight="1">
      <c r="L392" s="7"/>
      <c r="Q392" s="7"/>
      <c r="S392" s="7"/>
      <c r="U392" s="7"/>
      <c r="W392" s="7"/>
      <c r="Y392" s="7"/>
    </row>
    <row r="393" ht="24.75" customHeight="1">
      <c r="L393" s="7"/>
      <c r="Q393" s="7"/>
      <c r="S393" s="7"/>
      <c r="U393" s="7"/>
      <c r="W393" s="7"/>
      <c r="Y393" s="7"/>
    </row>
    <row r="394" ht="24.75" customHeight="1">
      <c r="L394" s="7"/>
      <c r="Q394" s="7"/>
      <c r="S394" s="7"/>
      <c r="U394" s="7"/>
      <c r="W394" s="7"/>
      <c r="Y394" s="7"/>
    </row>
    <row r="395" ht="24.75" customHeight="1">
      <c r="L395" s="7"/>
      <c r="Q395" s="7"/>
      <c r="S395" s="7"/>
      <c r="U395" s="7"/>
      <c r="W395" s="7"/>
      <c r="Y395" s="7"/>
    </row>
    <row r="396" ht="24.75" customHeight="1">
      <c r="L396" s="7"/>
      <c r="Q396" s="7"/>
      <c r="S396" s="7"/>
      <c r="U396" s="7"/>
      <c r="W396" s="7"/>
      <c r="Y396" s="7"/>
    </row>
    <row r="397" ht="24.75" customHeight="1">
      <c r="L397" s="7"/>
      <c r="Q397" s="7"/>
      <c r="S397" s="7"/>
      <c r="U397" s="7"/>
      <c r="W397" s="7"/>
      <c r="Y397" s="7"/>
    </row>
    <row r="398" ht="24.75" customHeight="1">
      <c r="L398" s="7"/>
      <c r="Q398" s="7"/>
      <c r="S398" s="7"/>
      <c r="U398" s="7"/>
      <c r="W398" s="7"/>
      <c r="Y398" s="7"/>
    </row>
    <row r="399" ht="24.75" customHeight="1">
      <c r="L399" s="7"/>
      <c r="Q399" s="7"/>
      <c r="S399" s="7"/>
      <c r="U399" s="7"/>
      <c r="W399" s="7"/>
      <c r="Y399" s="7"/>
    </row>
    <row r="400" ht="24.75" customHeight="1">
      <c r="L400" s="7"/>
      <c r="Q400" s="7"/>
      <c r="S400" s="7"/>
      <c r="U400" s="7"/>
      <c r="W400" s="7"/>
      <c r="Y400" s="7"/>
    </row>
    <row r="401" ht="24.75" customHeight="1">
      <c r="L401" s="7"/>
      <c r="Q401" s="7"/>
      <c r="S401" s="7"/>
      <c r="U401" s="7"/>
      <c r="W401" s="7"/>
      <c r="Y401" s="7"/>
    </row>
    <row r="402" ht="24.75" customHeight="1">
      <c r="L402" s="7"/>
      <c r="Q402" s="7"/>
      <c r="S402" s="7"/>
      <c r="U402" s="7"/>
      <c r="W402" s="7"/>
      <c r="Y402" s="7"/>
    </row>
    <row r="403" ht="24.75" customHeight="1">
      <c r="L403" s="7"/>
      <c r="Q403" s="7"/>
      <c r="S403" s="7"/>
      <c r="U403" s="7"/>
      <c r="W403" s="7"/>
      <c r="Y403" s="7"/>
    </row>
    <row r="404" ht="24.75" customHeight="1">
      <c r="L404" s="7"/>
      <c r="Q404" s="7"/>
      <c r="S404" s="7"/>
      <c r="U404" s="7"/>
      <c r="W404" s="7"/>
      <c r="Y404" s="7"/>
    </row>
    <row r="405" ht="24.75" customHeight="1">
      <c r="L405" s="7"/>
      <c r="Q405" s="7"/>
      <c r="S405" s="7"/>
      <c r="U405" s="7"/>
      <c r="W405" s="7"/>
      <c r="Y405" s="7"/>
    </row>
    <row r="406" ht="24.75" customHeight="1">
      <c r="L406" s="7"/>
      <c r="Q406" s="7"/>
      <c r="S406" s="7"/>
      <c r="U406" s="7"/>
      <c r="W406" s="7"/>
      <c r="Y406" s="7"/>
    </row>
    <row r="407" ht="24.75" customHeight="1">
      <c r="L407" s="7"/>
      <c r="Q407" s="7"/>
      <c r="S407" s="7"/>
      <c r="U407" s="7"/>
      <c r="W407" s="7"/>
      <c r="Y407" s="7"/>
    </row>
    <row r="408" ht="24.75" customHeight="1">
      <c r="L408" s="7"/>
      <c r="Q408" s="7"/>
      <c r="S408" s="7"/>
      <c r="U408" s="7"/>
      <c r="W408" s="7"/>
      <c r="Y408" s="7"/>
    </row>
    <row r="409" ht="24.75" customHeight="1">
      <c r="L409" s="7"/>
      <c r="Q409" s="7"/>
      <c r="S409" s="7"/>
      <c r="U409" s="7"/>
      <c r="W409" s="7"/>
      <c r="Y409" s="7"/>
    </row>
    <row r="410" ht="24.75" customHeight="1">
      <c r="L410" s="7"/>
      <c r="Q410" s="7"/>
      <c r="S410" s="7"/>
      <c r="U410" s="7"/>
      <c r="W410" s="7"/>
      <c r="Y410" s="7"/>
    </row>
    <row r="411" ht="24.75" customHeight="1">
      <c r="L411" s="7"/>
      <c r="Q411" s="7"/>
      <c r="S411" s="7"/>
      <c r="U411" s="7"/>
      <c r="W411" s="7"/>
      <c r="Y411" s="7"/>
    </row>
    <row r="412" ht="24.75" customHeight="1">
      <c r="L412" s="7"/>
      <c r="Q412" s="7"/>
      <c r="S412" s="7"/>
      <c r="U412" s="7"/>
      <c r="W412" s="7"/>
      <c r="Y412" s="7"/>
    </row>
    <row r="413" ht="24.75" customHeight="1">
      <c r="L413" s="7"/>
      <c r="Q413" s="7"/>
      <c r="S413" s="7"/>
      <c r="U413" s="7"/>
      <c r="W413" s="7"/>
      <c r="Y413" s="7"/>
    </row>
    <row r="414" ht="24.75" customHeight="1">
      <c r="L414" s="7"/>
      <c r="Q414" s="7"/>
      <c r="S414" s="7"/>
      <c r="U414" s="7"/>
      <c r="W414" s="7"/>
      <c r="Y414" s="7"/>
    </row>
    <row r="415" ht="24.75" customHeight="1">
      <c r="L415" s="7"/>
      <c r="Q415" s="7"/>
      <c r="S415" s="7"/>
      <c r="U415" s="7"/>
      <c r="W415" s="7"/>
      <c r="Y415" s="7"/>
    </row>
    <row r="416" ht="24.75" customHeight="1">
      <c r="L416" s="7"/>
      <c r="Q416" s="7"/>
      <c r="S416" s="7"/>
      <c r="U416" s="7"/>
      <c r="W416" s="7"/>
      <c r="Y416" s="7"/>
    </row>
    <row r="417" ht="24.75" customHeight="1">
      <c r="L417" s="7"/>
      <c r="Q417" s="7"/>
      <c r="S417" s="7"/>
      <c r="U417" s="7"/>
      <c r="W417" s="7"/>
      <c r="Y417" s="7"/>
    </row>
    <row r="418" ht="24.75" customHeight="1">
      <c r="L418" s="7"/>
      <c r="Q418" s="7"/>
      <c r="S418" s="7"/>
      <c r="U418" s="7"/>
      <c r="W418" s="7"/>
      <c r="Y418" s="7"/>
    </row>
    <row r="419" ht="24.75" customHeight="1">
      <c r="L419" s="7"/>
      <c r="Q419" s="7"/>
      <c r="S419" s="7"/>
      <c r="U419" s="7"/>
      <c r="W419" s="7"/>
      <c r="Y419" s="7"/>
    </row>
    <row r="420" ht="24.75" customHeight="1">
      <c r="L420" s="7"/>
      <c r="Q420" s="7"/>
      <c r="S420" s="7"/>
      <c r="U420" s="7"/>
      <c r="W420" s="7"/>
      <c r="Y420" s="7"/>
    </row>
    <row r="421" ht="24.75" customHeight="1">
      <c r="L421" s="7"/>
      <c r="Q421" s="7"/>
      <c r="S421" s="7"/>
      <c r="U421" s="7"/>
      <c r="W421" s="7"/>
      <c r="Y421" s="7"/>
    </row>
    <row r="422" ht="24.75" customHeight="1">
      <c r="L422" s="7"/>
      <c r="Q422" s="7"/>
      <c r="S422" s="7"/>
      <c r="U422" s="7"/>
      <c r="W422" s="7"/>
      <c r="Y422" s="7"/>
    </row>
    <row r="423" ht="24.75" customHeight="1">
      <c r="L423" s="7"/>
      <c r="Q423" s="7"/>
      <c r="S423" s="7"/>
      <c r="U423" s="7"/>
      <c r="W423" s="7"/>
      <c r="Y423" s="7"/>
    </row>
    <row r="424" ht="24.75" customHeight="1">
      <c r="L424" s="7"/>
      <c r="Q424" s="7"/>
      <c r="S424" s="7"/>
      <c r="U424" s="7"/>
      <c r="W424" s="7"/>
      <c r="Y424" s="7"/>
    </row>
    <row r="425" ht="24.75" customHeight="1">
      <c r="L425" s="7"/>
      <c r="Q425" s="7"/>
      <c r="S425" s="7"/>
      <c r="U425" s="7"/>
      <c r="W425" s="7"/>
      <c r="Y425" s="7"/>
    </row>
    <row r="426" ht="24.75" customHeight="1">
      <c r="L426" s="7"/>
      <c r="Q426" s="7"/>
      <c r="S426" s="7"/>
      <c r="U426" s="7"/>
      <c r="W426" s="7"/>
      <c r="Y426" s="7"/>
    </row>
    <row r="427" ht="24.75" customHeight="1">
      <c r="L427" s="7"/>
      <c r="Q427" s="7"/>
      <c r="S427" s="7"/>
      <c r="U427" s="7"/>
      <c r="W427" s="7"/>
      <c r="Y427" s="7"/>
    </row>
    <row r="428" ht="24.75" customHeight="1">
      <c r="L428" s="7"/>
      <c r="Q428" s="7"/>
      <c r="S428" s="7"/>
      <c r="U428" s="7"/>
      <c r="W428" s="7"/>
      <c r="Y428" s="7"/>
    </row>
    <row r="429" ht="24.75" customHeight="1">
      <c r="L429" s="7"/>
      <c r="Q429" s="7"/>
      <c r="S429" s="7"/>
      <c r="U429" s="7"/>
      <c r="W429" s="7"/>
      <c r="Y429" s="7"/>
    </row>
    <row r="430" ht="24.75" customHeight="1">
      <c r="L430" s="7"/>
      <c r="Q430" s="7"/>
      <c r="S430" s="7"/>
      <c r="U430" s="7"/>
      <c r="W430" s="7"/>
      <c r="Y430" s="7"/>
    </row>
    <row r="431" ht="24.75" customHeight="1">
      <c r="L431" s="7"/>
      <c r="Q431" s="7"/>
      <c r="S431" s="7"/>
      <c r="U431" s="7"/>
      <c r="W431" s="7"/>
      <c r="Y431" s="7"/>
    </row>
    <row r="432" ht="24.75" customHeight="1">
      <c r="L432" s="7"/>
      <c r="Q432" s="7"/>
      <c r="S432" s="7"/>
      <c r="U432" s="7"/>
      <c r="W432" s="7"/>
      <c r="Y432" s="7"/>
    </row>
    <row r="433" ht="24.75" customHeight="1">
      <c r="L433" s="7"/>
      <c r="Q433" s="7"/>
      <c r="S433" s="7"/>
      <c r="U433" s="7"/>
      <c r="W433" s="7"/>
      <c r="Y433" s="7"/>
    </row>
    <row r="434" ht="24.75" customHeight="1">
      <c r="L434" s="7"/>
      <c r="Q434" s="7"/>
      <c r="S434" s="7"/>
      <c r="U434" s="7"/>
      <c r="W434" s="7"/>
      <c r="Y434" s="7"/>
    </row>
    <row r="435" ht="24.75" customHeight="1">
      <c r="L435" s="7"/>
      <c r="Q435" s="7"/>
      <c r="S435" s="7"/>
      <c r="U435" s="7"/>
      <c r="W435" s="7"/>
      <c r="Y435" s="7"/>
    </row>
    <row r="436" ht="24.75" customHeight="1">
      <c r="L436" s="7"/>
      <c r="Q436" s="7"/>
      <c r="S436" s="7"/>
      <c r="U436" s="7"/>
      <c r="W436" s="7"/>
      <c r="Y436" s="7"/>
    </row>
    <row r="437" ht="24.75" customHeight="1">
      <c r="L437" s="7"/>
      <c r="Q437" s="7"/>
      <c r="S437" s="7"/>
      <c r="U437" s="7"/>
      <c r="W437" s="7"/>
      <c r="Y437" s="7"/>
    </row>
    <row r="438" ht="24.75" customHeight="1">
      <c r="L438" s="7"/>
      <c r="Q438" s="7"/>
      <c r="S438" s="7"/>
      <c r="U438" s="7"/>
      <c r="W438" s="7"/>
      <c r="Y438" s="7"/>
    </row>
    <row r="439" ht="24.75" customHeight="1">
      <c r="L439" s="7"/>
      <c r="Q439" s="7"/>
      <c r="S439" s="7"/>
      <c r="U439" s="7"/>
      <c r="W439" s="7"/>
      <c r="Y439" s="7"/>
    </row>
    <row r="440" ht="24.75" customHeight="1">
      <c r="L440" s="7"/>
      <c r="Q440" s="7"/>
      <c r="S440" s="7"/>
      <c r="U440" s="7"/>
      <c r="W440" s="7"/>
      <c r="Y440" s="7"/>
    </row>
    <row r="441" ht="24.75" customHeight="1">
      <c r="L441" s="7"/>
      <c r="Q441" s="7"/>
      <c r="S441" s="7"/>
      <c r="U441" s="7"/>
      <c r="W441" s="7"/>
      <c r="Y441" s="7"/>
    </row>
    <row r="442" ht="24.75" customHeight="1">
      <c r="L442" s="7"/>
      <c r="Q442" s="7"/>
      <c r="S442" s="7"/>
      <c r="U442" s="7"/>
      <c r="W442" s="7"/>
      <c r="Y442" s="7"/>
    </row>
    <row r="443" ht="24.75" customHeight="1">
      <c r="L443" s="7"/>
      <c r="Q443" s="7"/>
      <c r="S443" s="7"/>
      <c r="U443" s="7"/>
      <c r="W443" s="7"/>
      <c r="Y443" s="7"/>
    </row>
    <row r="444" ht="24.75" customHeight="1">
      <c r="L444" s="7"/>
      <c r="Q444" s="7"/>
      <c r="S444" s="7"/>
      <c r="U444" s="7"/>
      <c r="W444" s="7"/>
      <c r="Y444" s="7"/>
    </row>
    <row r="445" ht="24.75" customHeight="1">
      <c r="L445" s="7"/>
      <c r="Q445" s="7"/>
      <c r="S445" s="7"/>
      <c r="U445" s="7"/>
      <c r="W445" s="7"/>
      <c r="Y445" s="7"/>
    </row>
    <row r="446" ht="24.75" customHeight="1">
      <c r="L446" s="7"/>
      <c r="Q446" s="7"/>
      <c r="S446" s="7"/>
      <c r="U446" s="7"/>
      <c r="W446" s="7"/>
      <c r="Y446" s="7"/>
    </row>
    <row r="447" ht="24.75" customHeight="1">
      <c r="L447" s="7"/>
      <c r="Q447" s="7"/>
      <c r="S447" s="7"/>
      <c r="U447" s="7"/>
      <c r="W447" s="7"/>
      <c r="Y447" s="7"/>
    </row>
    <row r="448" ht="24.75" customHeight="1">
      <c r="L448" s="7"/>
      <c r="Q448" s="7"/>
      <c r="S448" s="7"/>
      <c r="U448" s="7"/>
      <c r="W448" s="7"/>
      <c r="Y448" s="7"/>
    </row>
    <row r="449" ht="24.75" customHeight="1">
      <c r="L449" s="7"/>
      <c r="Q449" s="7"/>
      <c r="S449" s="7"/>
      <c r="U449" s="7"/>
      <c r="W449" s="7"/>
      <c r="Y449" s="7"/>
    </row>
    <row r="450" ht="24.75" customHeight="1">
      <c r="L450" s="7"/>
      <c r="Q450" s="7"/>
      <c r="S450" s="7"/>
      <c r="U450" s="7"/>
      <c r="W450" s="7"/>
      <c r="Y450" s="7"/>
    </row>
    <row r="451" ht="24.75" customHeight="1">
      <c r="L451" s="7"/>
      <c r="Q451" s="7"/>
      <c r="S451" s="7"/>
      <c r="U451" s="7"/>
      <c r="W451" s="7"/>
      <c r="Y451" s="7"/>
    </row>
    <row r="452" ht="24.75" customHeight="1">
      <c r="L452" s="7"/>
      <c r="Q452" s="7"/>
      <c r="S452" s="7"/>
      <c r="U452" s="7"/>
      <c r="W452" s="7"/>
      <c r="Y452" s="7"/>
    </row>
    <row r="453" ht="24.75" customHeight="1">
      <c r="L453" s="7"/>
      <c r="Q453" s="7"/>
      <c r="S453" s="7"/>
      <c r="U453" s="7"/>
      <c r="W453" s="7"/>
      <c r="Y453" s="7"/>
    </row>
    <row r="454" ht="24.75" customHeight="1">
      <c r="L454" s="7"/>
      <c r="Q454" s="7"/>
      <c r="S454" s="7"/>
      <c r="U454" s="7"/>
      <c r="W454" s="7"/>
      <c r="Y454" s="7"/>
    </row>
    <row r="455" ht="24.75" customHeight="1">
      <c r="L455" s="7"/>
      <c r="Q455" s="7"/>
      <c r="S455" s="7"/>
      <c r="U455" s="7"/>
      <c r="W455" s="7"/>
      <c r="Y455" s="7"/>
    </row>
    <row r="456" ht="24.75" customHeight="1">
      <c r="L456" s="7"/>
      <c r="Q456" s="7"/>
      <c r="S456" s="7"/>
      <c r="U456" s="7"/>
      <c r="W456" s="7"/>
      <c r="Y456" s="7"/>
    </row>
    <row r="457" ht="24.75" customHeight="1">
      <c r="L457" s="7"/>
      <c r="Q457" s="7"/>
      <c r="S457" s="7"/>
      <c r="U457" s="7"/>
      <c r="W457" s="7"/>
      <c r="Y457" s="7"/>
    </row>
    <row r="458" ht="24.75" customHeight="1">
      <c r="L458" s="7"/>
      <c r="Q458" s="7"/>
      <c r="S458" s="7"/>
      <c r="U458" s="7"/>
      <c r="W458" s="7"/>
      <c r="Y458" s="7"/>
    </row>
    <row r="459" ht="24.75" customHeight="1">
      <c r="L459" s="7"/>
      <c r="Q459" s="7"/>
      <c r="S459" s="7"/>
      <c r="U459" s="7"/>
      <c r="W459" s="7"/>
      <c r="Y459" s="7"/>
    </row>
    <row r="460" ht="24.75" customHeight="1">
      <c r="L460" s="7"/>
      <c r="Q460" s="7"/>
      <c r="S460" s="7"/>
      <c r="U460" s="7"/>
      <c r="W460" s="7"/>
      <c r="Y460" s="7"/>
    </row>
    <row r="461" ht="24.75" customHeight="1">
      <c r="L461" s="7"/>
      <c r="Q461" s="7"/>
      <c r="S461" s="7"/>
      <c r="U461" s="7"/>
      <c r="W461" s="7"/>
      <c r="Y461" s="7"/>
    </row>
    <row r="462" ht="24.75" customHeight="1">
      <c r="L462" s="7"/>
      <c r="Q462" s="7"/>
      <c r="S462" s="7"/>
      <c r="U462" s="7"/>
      <c r="W462" s="7"/>
      <c r="Y462" s="7"/>
    </row>
    <row r="463" ht="24.75" customHeight="1">
      <c r="L463" s="7"/>
      <c r="Q463" s="7"/>
      <c r="S463" s="7"/>
      <c r="U463" s="7"/>
      <c r="W463" s="7"/>
      <c r="Y463" s="7"/>
    </row>
    <row r="464" ht="24.75" customHeight="1">
      <c r="L464" s="7"/>
      <c r="Q464" s="7"/>
      <c r="S464" s="7"/>
      <c r="U464" s="7"/>
      <c r="W464" s="7"/>
      <c r="Y464" s="7"/>
    </row>
    <row r="465" ht="24.75" customHeight="1">
      <c r="L465" s="7"/>
      <c r="Q465" s="7"/>
      <c r="S465" s="7"/>
      <c r="U465" s="7"/>
      <c r="W465" s="7"/>
      <c r="Y465" s="7"/>
    </row>
    <row r="466" ht="24.75" customHeight="1">
      <c r="L466" s="7"/>
      <c r="Q466" s="7"/>
      <c r="S466" s="7"/>
      <c r="U466" s="7"/>
      <c r="W466" s="7"/>
      <c r="Y466" s="7"/>
    </row>
    <row r="467" ht="24.75" customHeight="1">
      <c r="L467" s="7"/>
      <c r="Q467" s="7"/>
      <c r="S467" s="7"/>
      <c r="U467" s="7"/>
      <c r="W467" s="7"/>
      <c r="Y467" s="7"/>
    </row>
    <row r="468" ht="24.75" customHeight="1">
      <c r="L468" s="7"/>
      <c r="Q468" s="7"/>
      <c r="S468" s="7"/>
      <c r="U468" s="7"/>
      <c r="W468" s="7"/>
      <c r="Y468" s="7"/>
    </row>
    <row r="469" ht="24.75" customHeight="1">
      <c r="L469" s="7"/>
      <c r="Q469" s="7"/>
      <c r="S469" s="7"/>
      <c r="U469" s="7"/>
      <c r="W469" s="7"/>
      <c r="Y469" s="7"/>
    </row>
    <row r="470" ht="24.75" customHeight="1">
      <c r="L470" s="7"/>
      <c r="Q470" s="7"/>
      <c r="S470" s="7"/>
      <c r="U470" s="7"/>
      <c r="W470" s="7"/>
      <c r="Y470" s="7"/>
    </row>
    <row r="471" ht="24.75" customHeight="1">
      <c r="L471" s="7"/>
      <c r="Q471" s="7"/>
      <c r="S471" s="7"/>
      <c r="U471" s="7"/>
      <c r="W471" s="7"/>
      <c r="Y471" s="7"/>
    </row>
    <row r="472" ht="24.75" customHeight="1">
      <c r="L472" s="7"/>
      <c r="Q472" s="7"/>
      <c r="S472" s="7"/>
      <c r="U472" s="7"/>
      <c r="W472" s="7"/>
      <c r="Y472" s="7"/>
    </row>
    <row r="473" ht="24.75" customHeight="1">
      <c r="L473" s="7"/>
      <c r="Q473" s="7"/>
      <c r="S473" s="7"/>
      <c r="U473" s="7"/>
      <c r="W473" s="7"/>
      <c r="Y473" s="7"/>
    </row>
    <row r="474" ht="24.75" customHeight="1">
      <c r="L474" s="7"/>
      <c r="Q474" s="7"/>
      <c r="S474" s="7"/>
      <c r="U474" s="7"/>
      <c r="W474" s="7"/>
      <c r="Y474" s="7"/>
    </row>
    <row r="475" ht="24.75" customHeight="1">
      <c r="L475" s="7"/>
      <c r="Q475" s="7"/>
      <c r="S475" s="7"/>
      <c r="U475" s="7"/>
      <c r="W475" s="7"/>
      <c r="Y475" s="7"/>
    </row>
    <row r="476" ht="24.75" customHeight="1">
      <c r="L476" s="7"/>
      <c r="Q476" s="7"/>
      <c r="S476" s="7"/>
      <c r="U476" s="7"/>
      <c r="W476" s="7"/>
      <c r="Y476" s="7"/>
    </row>
    <row r="477" ht="24.75" customHeight="1">
      <c r="L477" s="7"/>
      <c r="Q477" s="7"/>
      <c r="S477" s="7"/>
      <c r="U477" s="7"/>
      <c r="W477" s="7"/>
      <c r="Y477" s="7"/>
    </row>
    <row r="478" ht="24.75" customHeight="1">
      <c r="L478" s="7"/>
      <c r="Q478" s="7"/>
      <c r="S478" s="7"/>
      <c r="U478" s="7"/>
      <c r="W478" s="7"/>
      <c r="Y478" s="7"/>
    </row>
    <row r="479" ht="24.75" customHeight="1">
      <c r="L479" s="7"/>
      <c r="Q479" s="7"/>
      <c r="S479" s="7"/>
      <c r="U479" s="7"/>
      <c r="W479" s="7"/>
      <c r="Y479" s="7"/>
    </row>
    <row r="480" ht="24.75" customHeight="1">
      <c r="L480" s="7"/>
      <c r="Q480" s="7"/>
      <c r="S480" s="7"/>
      <c r="U480" s="7"/>
      <c r="W480" s="7"/>
      <c r="Y480" s="7"/>
    </row>
    <row r="481" ht="24.75" customHeight="1">
      <c r="L481" s="7"/>
      <c r="Q481" s="7"/>
      <c r="S481" s="7"/>
      <c r="U481" s="7"/>
      <c r="W481" s="7"/>
      <c r="Y481" s="7"/>
    </row>
    <row r="482" ht="24.75" customHeight="1">
      <c r="L482" s="7"/>
      <c r="Q482" s="7"/>
      <c r="S482" s="7"/>
      <c r="U482" s="7"/>
      <c r="W482" s="7"/>
      <c r="Y482" s="7"/>
    </row>
    <row r="483" ht="24.75" customHeight="1">
      <c r="L483" s="7"/>
      <c r="Q483" s="7"/>
      <c r="S483" s="7"/>
      <c r="U483" s="7"/>
      <c r="W483" s="7"/>
      <c r="Y483" s="7"/>
    </row>
    <row r="484" ht="24.75" customHeight="1">
      <c r="L484" s="7"/>
      <c r="Q484" s="7"/>
      <c r="S484" s="7"/>
      <c r="U484" s="7"/>
      <c r="W484" s="7"/>
      <c r="Y484" s="7"/>
    </row>
    <row r="485" ht="24.75" customHeight="1">
      <c r="L485" s="7"/>
      <c r="Q485" s="7"/>
      <c r="S485" s="7"/>
      <c r="U485" s="7"/>
      <c r="W485" s="7"/>
      <c r="Y485" s="7"/>
    </row>
    <row r="486" ht="24.75" customHeight="1">
      <c r="L486" s="7"/>
      <c r="Q486" s="7"/>
      <c r="S486" s="7"/>
      <c r="U486" s="7"/>
      <c r="W486" s="7"/>
      <c r="Y486" s="7"/>
    </row>
    <row r="487" ht="24.75" customHeight="1">
      <c r="L487" s="7"/>
      <c r="Q487" s="7"/>
      <c r="S487" s="7"/>
      <c r="U487" s="7"/>
      <c r="W487" s="7"/>
      <c r="Y487" s="7"/>
    </row>
    <row r="488" ht="24.75" customHeight="1">
      <c r="L488" s="7"/>
      <c r="Q488" s="7"/>
      <c r="S488" s="7"/>
      <c r="U488" s="7"/>
      <c r="W488" s="7"/>
      <c r="Y488" s="7"/>
    </row>
    <row r="489" ht="24.75" customHeight="1">
      <c r="L489" s="7"/>
      <c r="Q489" s="7"/>
      <c r="S489" s="7"/>
      <c r="U489" s="7"/>
      <c r="W489" s="7"/>
      <c r="Y489" s="7"/>
    </row>
    <row r="490" ht="24.75" customHeight="1">
      <c r="L490" s="7"/>
      <c r="Q490" s="7"/>
      <c r="S490" s="7"/>
      <c r="U490" s="7"/>
      <c r="W490" s="7"/>
      <c r="Y490" s="7"/>
    </row>
    <row r="491" ht="24.75" customHeight="1">
      <c r="L491" s="7"/>
      <c r="Q491" s="7"/>
      <c r="S491" s="7"/>
      <c r="U491" s="7"/>
      <c r="W491" s="7"/>
      <c r="Y491" s="7"/>
    </row>
    <row r="492" ht="24.75" customHeight="1">
      <c r="L492" s="7"/>
      <c r="Q492" s="7"/>
      <c r="S492" s="7"/>
      <c r="U492" s="7"/>
      <c r="W492" s="7"/>
      <c r="Y492" s="7"/>
    </row>
    <row r="493" ht="24.75" customHeight="1">
      <c r="L493" s="7"/>
      <c r="Q493" s="7"/>
      <c r="S493" s="7"/>
      <c r="U493" s="7"/>
      <c r="W493" s="7"/>
      <c r="Y493" s="7"/>
    </row>
    <row r="494" ht="24.75" customHeight="1">
      <c r="L494" s="7"/>
      <c r="Q494" s="7"/>
      <c r="S494" s="7"/>
      <c r="U494" s="7"/>
      <c r="W494" s="7"/>
      <c r="Y494" s="7"/>
    </row>
    <row r="495" ht="24.75" customHeight="1">
      <c r="L495" s="7"/>
      <c r="Q495" s="7"/>
      <c r="S495" s="7"/>
      <c r="U495" s="7"/>
      <c r="W495" s="7"/>
      <c r="Y495" s="7"/>
    </row>
    <row r="496" ht="24.75" customHeight="1">
      <c r="L496" s="7"/>
      <c r="Q496" s="7"/>
      <c r="S496" s="7"/>
      <c r="U496" s="7"/>
      <c r="W496" s="7"/>
      <c r="Y496" s="7"/>
    </row>
    <row r="497" ht="24.75" customHeight="1">
      <c r="L497" s="7"/>
      <c r="Q497" s="7"/>
      <c r="S497" s="7"/>
      <c r="U497" s="7"/>
      <c r="W497" s="7"/>
      <c r="Y497" s="7"/>
    </row>
    <row r="498" ht="24.75" customHeight="1">
      <c r="L498" s="7"/>
      <c r="Q498" s="7"/>
      <c r="S498" s="7"/>
      <c r="U498" s="7"/>
      <c r="W498" s="7"/>
      <c r="Y498" s="7"/>
    </row>
    <row r="499" ht="24.75" customHeight="1">
      <c r="L499" s="7"/>
      <c r="Q499" s="7"/>
      <c r="S499" s="7"/>
      <c r="U499" s="7"/>
      <c r="W499" s="7"/>
      <c r="Y499" s="7"/>
    </row>
    <row r="500" ht="24.75" customHeight="1">
      <c r="L500" s="7"/>
      <c r="Q500" s="7"/>
      <c r="S500" s="7"/>
      <c r="U500" s="7"/>
      <c r="W500" s="7"/>
      <c r="Y500" s="7"/>
    </row>
    <row r="501" ht="24.75" customHeight="1">
      <c r="L501" s="7"/>
      <c r="Q501" s="7"/>
      <c r="S501" s="7"/>
      <c r="U501" s="7"/>
      <c r="W501" s="7"/>
      <c r="Y501" s="7"/>
    </row>
    <row r="502" ht="24.75" customHeight="1">
      <c r="L502" s="7"/>
      <c r="Q502" s="7"/>
      <c r="S502" s="7"/>
      <c r="U502" s="7"/>
      <c r="W502" s="7"/>
      <c r="Y502" s="7"/>
    </row>
    <row r="503" ht="24.75" customHeight="1">
      <c r="L503" s="7"/>
      <c r="Q503" s="7"/>
      <c r="S503" s="7"/>
      <c r="U503" s="7"/>
      <c r="W503" s="7"/>
      <c r="Y503" s="7"/>
    </row>
    <row r="504" ht="24.75" customHeight="1">
      <c r="L504" s="7"/>
      <c r="Q504" s="7"/>
      <c r="S504" s="7"/>
      <c r="U504" s="7"/>
      <c r="W504" s="7"/>
      <c r="Y504" s="7"/>
    </row>
    <row r="505" ht="24.75" customHeight="1">
      <c r="L505" s="7"/>
      <c r="Q505" s="7"/>
      <c r="S505" s="7"/>
      <c r="U505" s="7"/>
      <c r="W505" s="7"/>
      <c r="Y505" s="7"/>
    </row>
    <row r="506" ht="24.75" customHeight="1">
      <c r="L506" s="7"/>
      <c r="Q506" s="7"/>
      <c r="S506" s="7"/>
      <c r="U506" s="7"/>
      <c r="W506" s="7"/>
      <c r="Y506" s="7"/>
    </row>
    <row r="507" ht="24.75" customHeight="1">
      <c r="L507" s="7"/>
      <c r="Q507" s="7"/>
      <c r="S507" s="7"/>
      <c r="U507" s="7"/>
      <c r="W507" s="7"/>
      <c r="Y507" s="7"/>
    </row>
    <row r="508" ht="24.75" customHeight="1">
      <c r="L508" s="7"/>
      <c r="Q508" s="7"/>
      <c r="S508" s="7"/>
      <c r="U508" s="7"/>
      <c r="W508" s="7"/>
      <c r="Y508" s="7"/>
    </row>
    <row r="509" ht="24.75" customHeight="1">
      <c r="L509" s="7"/>
      <c r="Q509" s="7"/>
      <c r="S509" s="7"/>
      <c r="U509" s="7"/>
      <c r="W509" s="7"/>
      <c r="Y509" s="7"/>
    </row>
    <row r="510" ht="24.75" customHeight="1">
      <c r="L510" s="7"/>
      <c r="Q510" s="7"/>
      <c r="S510" s="7"/>
      <c r="U510" s="7"/>
      <c r="W510" s="7"/>
      <c r="Y510" s="7"/>
    </row>
    <row r="511" ht="24.75" customHeight="1">
      <c r="L511" s="7"/>
      <c r="Q511" s="7"/>
      <c r="S511" s="7"/>
      <c r="U511" s="7"/>
      <c r="W511" s="7"/>
      <c r="Y511" s="7"/>
    </row>
    <row r="512" ht="24.75" customHeight="1">
      <c r="L512" s="7"/>
      <c r="Q512" s="7"/>
      <c r="S512" s="7"/>
      <c r="U512" s="7"/>
      <c r="W512" s="7"/>
      <c r="Y512" s="7"/>
    </row>
    <row r="513" ht="24.75" customHeight="1">
      <c r="L513" s="7"/>
      <c r="Q513" s="7"/>
      <c r="S513" s="7"/>
      <c r="U513" s="7"/>
      <c r="W513" s="7"/>
      <c r="Y513" s="7"/>
    </row>
    <row r="514" ht="24.75" customHeight="1">
      <c r="L514" s="7"/>
      <c r="Q514" s="7"/>
      <c r="S514" s="7"/>
      <c r="U514" s="7"/>
      <c r="W514" s="7"/>
      <c r="Y514" s="7"/>
    </row>
    <row r="515" ht="24.75" customHeight="1">
      <c r="L515" s="7"/>
      <c r="Q515" s="7"/>
      <c r="S515" s="7"/>
      <c r="U515" s="7"/>
      <c r="W515" s="7"/>
      <c r="Y515" s="7"/>
    </row>
    <row r="516" ht="24.75" customHeight="1">
      <c r="L516" s="7"/>
      <c r="Q516" s="7"/>
      <c r="S516" s="7"/>
      <c r="U516" s="7"/>
      <c r="W516" s="7"/>
      <c r="Y516" s="7"/>
    </row>
    <row r="517" ht="24.75" customHeight="1">
      <c r="L517" s="7"/>
      <c r="Q517" s="7"/>
      <c r="S517" s="7"/>
      <c r="U517" s="7"/>
      <c r="W517" s="7"/>
      <c r="Y517" s="7"/>
    </row>
    <row r="518" ht="24.75" customHeight="1">
      <c r="L518" s="7"/>
      <c r="Q518" s="7"/>
      <c r="S518" s="7"/>
      <c r="U518" s="7"/>
      <c r="W518" s="7"/>
      <c r="Y518" s="7"/>
    </row>
    <row r="519" ht="24.75" customHeight="1">
      <c r="L519" s="7"/>
      <c r="Q519" s="7"/>
      <c r="S519" s="7"/>
      <c r="U519" s="7"/>
      <c r="W519" s="7"/>
      <c r="Y519" s="7"/>
    </row>
    <row r="520" ht="24.75" customHeight="1">
      <c r="L520" s="7"/>
      <c r="Q520" s="7"/>
      <c r="S520" s="7"/>
      <c r="U520" s="7"/>
      <c r="W520" s="7"/>
      <c r="Y520" s="7"/>
    </row>
    <row r="521" ht="24.75" customHeight="1">
      <c r="L521" s="7"/>
      <c r="Q521" s="7"/>
      <c r="S521" s="7"/>
      <c r="U521" s="7"/>
      <c r="W521" s="7"/>
      <c r="Y521" s="7"/>
    </row>
    <row r="522" ht="24.75" customHeight="1">
      <c r="L522" s="7"/>
      <c r="Q522" s="7"/>
      <c r="S522" s="7"/>
      <c r="U522" s="7"/>
      <c r="W522" s="7"/>
      <c r="Y522" s="7"/>
    </row>
    <row r="523" ht="24.75" customHeight="1">
      <c r="L523" s="7"/>
      <c r="Q523" s="7"/>
      <c r="S523" s="7"/>
      <c r="U523" s="7"/>
      <c r="W523" s="7"/>
      <c r="Y523" s="7"/>
    </row>
    <row r="524" ht="24.75" customHeight="1">
      <c r="L524" s="7"/>
      <c r="Q524" s="7"/>
      <c r="S524" s="7"/>
      <c r="U524" s="7"/>
      <c r="W524" s="7"/>
      <c r="Y524" s="7"/>
    </row>
    <row r="525" ht="24.75" customHeight="1">
      <c r="L525" s="7"/>
      <c r="Q525" s="7"/>
      <c r="S525" s="7"/>
      <c r="U525" s="7"/>
      <c r="W525" s="7"/>
      <c r="Y525" s="7"/>
    </row>
    <row r="526" ht="24.75" customHeight="1">
      <c r="L526" s="7"/>
      <c r="Q526" s="7"/>
      <c r="S526" s="7"/>
      <c r="U526" s="7"/>
      <c r="W526" s="7"/>
      <c r="Y526" s="7"/>
    </row>
    <row r="527" ht="24.75" customHeight="1">
      <c r="L527" s="7"/>
      <c r="Q527" s="7"/>
      <c r="S527" s="7"/>
      <c r="U527" s="7"/>
      <c r="W527" s="7"/>
      <c r="Y527" s="7"/>
    </row>
    <row r="528" ht="24.75" customHeight="1">
      <c r="L528" s="7"/>
      <c r="Q528" s="7"/>
      <c r="S528" s="7"/>
      <c r="U528" s="7"/>
      <c r="W528" s="7"/>
      <c r="Y528" s="7"/>
    </row>
    <row r="529" ht="24.75" customHeight="1">
      <c r="L529" s="7"/>
      <c r="Q529" s="7"/>
      <c r="S529" s="7"/>
      <c r="U529" s="7"/>
      <c r="W529" s="7"/>
      <c r="Y529" s="7"/>
    </row>
    <row r="530" ht="24.75" customHeight="1">
      <c r="L530" s="7"/>
      <c r="Q530" s="7"/>
      <c r="S530" s="7"/>
      <c r="U530" s="7"/>
      <c r="W530" s="7"/>
      <c r="Y530" s="7"/>
    </row>
    <row r="531" ht="24.75" customHeight="1">
      <c r="L531" s="7"/>
      <c r="Q531" s="7"/>
      <c r="S531" s="7"/>
      <c r="U531" s="7"/>
      <c r="W531" s="7"/>
      <c r="Y531" s="7"/>
    </row>
    <row r="532" ht="24.75" customHeight="1">
      <c r="L532" s="7"/>
      <c r="Q532" s="7"/>
      <c r="S532" s="7"/>
      <c r="U532" s="7"/>
      <c r="W532" s="7"/>
      <c r="Y532" s="7"/>
    </row>
    <row r="533" ht="24.75" customHeight="1">
      <c r="L533" s="7"/>
      <c r="Q533" s="7"/>
      <c r="S533" s="7"/>
      <c r="U533" s="7"/>
      <c r="W533" s="7"/>
      <c r="Y533" s="7"/>
    </row>
    <row r="534" ht="24.75" customHeight="1">
      <c r="L534" s="7"/>
      <c r="Q534" s="7"/>
      <c r="S534" s="7"/>
      <c r="U534" s="7"/>
      <c r="W534" s="7"/>
      <c r="Y534" s="7"/>
    </row>
    <row r="535" ht="24.75" customHeight="1">
      <c r="L535" s="7"/>
      <c r="Q535" s="7"/>
      <c r="S535" s="7"/>
      <c r="U535" s="7"/>
      <c r="W535" s="7"/>
      <c r="Y535" s="7"/>
    </row>
    <row r="536" ht="24.75" customHeight="1">
      <c r="L536" s="7"/>
      <c r="Q536" s="7"/>
      <c r="S536" s="7"/>
      <c r="U536" s="7"/>
      <c r="W536" s="7"/>
      <c r="Y536" s="7"/>
    </row>
    <row r="537" ht="24.75" customHeight="1">
      <c r="L537" s="7"/>
      <c r="Q537" s="7"/>
      <c r="S537" s="7"/>
      <c r="U537" s="7"/>
      <c r="W537" s="7"/>
      <c r="Y537" s="7"/>
    </row>
    <row r="538" ht="24.75" customHeight="1">
      <c r="L538" s="7"/>
      <c r="Q538" s="7"/>
      <c r="S538" s="7"/>
      <c r="U538" s="7"/>
      <c r="W538" s="7"/>
      <c r="Y538" s="7"/>
    </row>
    <row r="539" ht="24.75" customHeight="1">
      <c r="L539" s="7"/>
      <c r="Q539" s="7"/>
      <c r="S539" s="7"/>
      <c r="U539" s="7"/>
      <c r="W539" s="7"/>
      <c r="Y539" s="7"/>
    </row>
    <row r="540" ht="24.75" customHeight="1">
      <c r="L540" s="7"/>
      <c r="Q540" s="7"/>
      <c r="S540" s="7"/>
      <c r="U540" s="7"/>
      <c r="W540" s="7"/>
      <c r="Y540" s="7"/>
    </row>
    <row r="541" ht="24.75" customHeight="1">
      <c r="L541" s="7"/>
      <c r="Q541" s="7"/>
      <c r="S541" s="7"/>
      <c r="U541" s="7"/>
      <c r="W541" s="7"/>
      <c r="Y541" s="7"/>
    </row>
    <row r="542" ht="24.75" customHeight="1">
      <c r="L542" s="7"/>
      <c r="Q542" s="7"/>
      <c r="S542" s="7"/>
      <c r="U542" s="7"/>
      <c r="W542" s="7"/>
      <c r="Y542" s="7"/>
    </row>
    <row r="543" ht="24.75" customHeight="1">
      <c r="L543" s="7"/>
      <c r="Q543" s="7"/>
      <c r="S543" s="7"/>
      <c r="U543" s="7"/>
      <c r="W543" s="7"/>
      <c r="Y543" s="7"/>
    </row>
    <row r="544" ht="24.75" customHeight="1">
      <c r="L544" s="7"/>
      <c r="Q544" s="7"/>
      <c r="S544" s="7"/>
      <c r="U544" s="7"/>
      <c r="W544" s="7"/>
      <c r="Y544" s="7"/>
    </row>
    <row r="545" ht="24.75" customHeight="1">
      <c r="L545" s="7"/>
      <c r="Q545" s="7"/>
      <c r="S545" s="7"/>
      <c r="U545" s="7"/>
      <c r="W545" s="7"/>
      <c r="Y545" s="7"/>
    </row>
    <row r="546" ht="24.75" customHeight="1">
      <c r="L546" s="7"/>
      <c r="Q546" s="7"/>
      <c r="S546" s="7"/>
      <c r="U546" s="7"/>
      <c r="W546" s="7"/>
      <c r="Y546" s="7"/>
    </row>
    <row r="547" ht="24.75" customHeight="1">
      <c r="L547" s="7"/>
      <c r="Q547" s="7"/>
      <c r="S547" s="7"/>
      <c r="U547" s="7"/>
      <c r="W547" s="7"/>
      <c r="Y547" s="7"/>
    </row>
    <row r="548" ht="24.75" customHeight="1">
      <c r="L548" s="7"/>
      <c r="Q548" s="7"/>
      <c r="S548" s="7"/>
      <c r="U548" s="7"/>
      <c r="W548" s="7"/>
      <c r="Y548" s="7"/>
    </row>
    <row r="549" ht="24.75" customHeight="1">
      <c r="L549" s="7"/>
      <c r="Q549" s="7"/>
      <c r="S549" s="7"/>
      <c r="U549" s="7"/>
      <c r="W549" s="7"/>
      <c r="Y549" s="7"/>
    </row>
    <row r="550" ht="24.75" customHeight="1">
      <c r="L550" s="7"/>
      <c r="Q550" s="7"/>
      <c r="S550" s="7"/>
      <c r="U550" s="7"/>
      <c r="W550" s="7"/>
      <c r="Y550" s="7"/>
    </row>
    <row r="551" ht="24.75" customHeight="1">
      <c r="L551" s="7"/>
      <c r="Q551" s="7"/>
      <c r="S551" s="7"/>
      <c r="U551" s="7"/>
      <c r="W551" s="7"/>
      <c r="Y551" s="7"/>
    </row>
    <row r="552" ht="24.75" customHeight="1">
      <c r="L552" s="7"/>
      <c r="Q552" s="7"/>
      <c r="S552" s="7"/>
      <c r="U552" s="7"/>
      <c r="W552" s="7"/>
      <c r="Y552" s="7"/>
    </row>
    <row r="553" ht="24.75" customHeight="1">
      <c r="L553" s="7"/>
      <c r="Q553" s="7"/>
      <c r="S553" s="7"/>
      <c r="U553" s="7"/>
      <c r="W553" s="7"/>
      <c r="Y553" s="7"/>
    </row>
    <row r="554" ht="24.75" customHeight="1">
      <c r="L554" s="7"/>
      <c r="Q554" s="7"/>
      <c r="S554" s="7"/>
      <c r="U554" s="7"/>
      <c r="W554" s="7"/>
      <c r="Y554" s="7"/>
    </row>
    <row r="555" ht="24.75" customHeight="1">
      <c r="L555" s="7"/>
      <c r="Q555" s="7"/>
      <c r="S555" s="7"/>
      <c r="U555" s="7"/>
      <c r="W555" s="7"/>
      <c r="Y555" s="7"/>
    </row>
    <row r="556" ht="24.75" customHeight="1">
      <c r="L556" s="7"/>
      <c r="Q556" s="7"/>
      <c r="S556" s="7"/>
      <c r="U556" s="7"/>
      <c r="W556" s="7"/>
      <c r="Y556" s="7"/>
    </row>
    <row r="557" ht="24.75" customHeight="1">
      <c r="L557" s="7"/>
      <c r="Q557" s="7"/>
      <c r="S557" s="7"/>
      <c r="U557" s="7"/>
      <c r="W557" s="7"/>
      <c r="Y557" s="7"/>
    </row>
    <row r="558" ht="24.75" customHeight="1">
      <c r="L558" s="7"/>
      <c r="Q558" s="7"/>
      <c r="S558" s="7"/>
      <c r="U558" s="7"/>
      <c r="W558" s="7"/>
      <c r="Y558" s="7"/>
    </row>
    <row r="559" ht="24.75" customHeight="1">
      <c r="L559" s="7"/>
      <c r="Q559" s="7"/>
      <c r="S559" s="7"/>
      <c r="U559" s="7"/>
      <c r="W559" s="7"/>
      <c r="Y559" s="7"/>
    </row>
    <row r="560" ht="24.75" customHeight="1">
      <c r="L560" s="7"/>
      <c r="Q560" s="7"/>
      <c r="S560" s="7"/>
      <c r="U560" s="7"/>
      <c r="W560" s="7"/>
      <c r="Y560" s="7"/>
    </row>
    <row r="561" ht="24.75" customHeight="1">
      <c r="L561" s="7"/>
      <c r="Q561" s="7"/>
      <c r="S561" s="7"/>
      <c r="U561" s="7"/>
      <c r="W561" s="7"/>
      <c r="Y561" s="7"/>
    </row>
    <row r="562" ht="24.75" customHeight="1">
      <c r="L562" s="7"/>
      <c r="Q562" s="7"/>
      <c r="S562" s="7"/>
      <c r="U562" s="7"/>
      <c r="W562" s="7"/>
      <c r="Y562" s="7"/>
    </row>
    <row r="563" ht="24.75" customHeight="1">
      <c r="L563" s="7"/>
      <c r="Q563" s="7"/>
      <c r="S563" s="7"/>
      <c r="U563" s="7"/>
      <c r="W563" s="7"/>
      <c r="Y563" s="7"/>
    </row>
    <row r="564" ht="24.75" customHeight="1">
      <c r="L564" s="7"/>
      <c r="Q564" s="7"/>
      <c r="S564" s="7"/>
      <c r="U564" s="7"/>
      <c r="W564" s="7"/>
      <c r="Y564" s="7"/>
    </row>
    <row r="565" ht="24.75" customHeight="1">
      <c r="L565" s="7"/>
      <c r="Q565" s="7"/>
      <c r="S565" s="7"/>
      <c r="U565" s="7"/>
      <c r="W565" s="7"/>
      <c r="Y565" s="7"/>
    </row>
    <row r="566" ht="24.75" customHeight="1">
      <c r="L566" s="7"/>
      <c r="Q566" s="7"/>
      <c r="S566" s="7"/>
      <c r="U566" s="7"/>
      <c r="W566" s="7"/>
      <c r="Y566" s="7"/>
    </row>
    <row r="567" ht="24.75" customHeight="1">
      <c r="L567" s="7"/>
      <c r="Q567" s="7"/>
      <c r="S567" s="7"/>
      <c r="U567" s="7"/>
      <c r="W567" s="7"/>
      <c r="Y567" s="7"/>
    </row>
    <row r="568" ht="24.75" customHeight="1">
      <c r="L568" s="7"/>
      <c r="Q568" s="7"/>
      <c r="S568" s="7"/>
      <c r="U568" s="7"/>
      <c r="W568" s="7"/>
      <c r="Y568" s="7"/>
    </row>
    <row r="569" ht="24.75" customHeight="1">
      <c r="L569" s="7"/>
      <c r="Q569" s="7"/>
      <c r="S569" s="7"/>
      <c r="U569" s="7"/>
      <c r="W569" s="7"/>
      <c r="Y569" s="7"/>
    </row>
    <row r="570" ht="24.75" customHeight="1">
      <c r="L570" s="7"/>
      <c r="Q570" s="7"/>
      <c r="S570" s="7"/>
      <c r="U570" s="7"/>
      <c r="W570" s="7"/>
      <c r="Y570" s="7"/>
    </row>
    <row r="571" ht="24.75" customHeight="1">
      <c r="L571" s="7"/>
      <c r="Q571" s="7"/>
      <c r="S571" s="7"/>
      <c r="U571" s="7"/>
      <c r="W571" s="7"/>
      <c r="Y571" s="7"/>
    </row>
    <row r="572" ht="24.75" customHeight="1">
      <c r="L572" s="7"/>
      <c r="Q572" s="7"/>
      <c r="S572" s="7"/>
      <c r="U572" s="7"/>
      <c r="W572" s="7"/>
      <c r="Y572" s="7"/>
    </row>
    <row r="573" ht="24.75" customHeight="1">
      <c r="L573" s="7"/>
      <c r="Q573" s="7"/>
      <c r="S573" s="7"/>
      <c r="U573" s="7"/>
      <c r="W573" s="7"/>
      <c r="Y573" s="7"/>
    </row>
    <row r="574" ht="24.75" customHeight="1">
      <c r="L574" s="7"/>
      <c r="Q574" s="7"/>
      <c r="S574" s="7"/>
      <c r="U574" s="7"/>
      <c r="W574" s="7"/>
      <c r="Y574" s="7"/>
    </row>
    <row r="575" ht="24.75" customHeight="1">
      <c r="L575" s="7"/>
      <c r="Q575" s="7"/>
      <c r="S575" s="7"/>
      <c r="U575" s="7"/>
      <c r="W575" s="7"/>
      <c r="Y575" s="7"/>
    </row>
    <row r="576" ht="24.75" customHeight="1">
      <c r="L576" s="7"/>
      <c r="Q576" s="7"/>
      <c r="S576" s="7"/>
      <c r="U576" s="7"/>
      <c r="W576" s="7"/>
      <c r="Y576" s="7"/>
    </row>
    <row r="577" ht="24.75" customHeight="1">
      <c r="L577" s="7"/>
      <c r="Q577" s="7"/>
      <c r="S577" s="7"/>
      <c r="U577" s="7"/>
      <c r="W577" s="7"/>
      <c r="Y577" s="7"/>
    </row>
    <row r="578" ht="24.75" customHeight="1">
      <c r="L578" s="7"/>
      <c r="Q578" s="7"/>
      <c r="S578" s="7"/>
      <c r="U578" s="7"/>
      <c r="W578" s="7"/>
      <c r="Y578" s="7"/>
    </row>
    <row r="579" ht="24.75" customHeight="1">
      <c r="L579" s="7"/>
      <c r="Q579" s="7"/>
      <c r="S579" s="7"/>
      <c r="U579" s="7"/>
      <c r="W579" s="7"/>
      <c r="Y579" s="7"/>
    </row>
    <row r="580" ht="24.75" customHeight="1">
      <c r="L580" s="7"/>
      <c r="Q580" s="7"/>
      <c r="S580" s="7"/>
      <c r="U580" s="7"/>
      <c r="W580" s="7"/>
      <c r="Y580" s="7"/>
    </row>
    <row r="581" ht="24.75" customHeight="1">
      <c r="L581" s="7"/>
      <c r="Q581" s="7"/>
      <c r="S581" s="7"/>
      <c r="U581" s="7"/>
      <c r="W581" s="7"/>
      <c r="Y581" s="7"/>
    </row>
    <row r="582" ht="24.75" customHeight="1">
      <c r="L582" s="7"/>
      <c r="Q582" s="7"/>
      <c r="S582" s="7"/>
      <c r="U582" s="7"/>
      <c r="W582" s="7"/>
      <c r="Y582" s="7"/>
    </row>
    <row r="583" ht="24.75" customHeight="1">
      <c r="L583" s="7"/>
      <c r="Q583" s="7"/>
      <c r="S583" s="7"/>
      <c r="U583" s="7"/>
      <c r="W583" s="7"/>
      <c r="Y583" s="7"/>
    </row>
    <row r="584" ht="24.75" customHeight="1">
      <c r="L584" s="7"/>
      <c r="Q584" s="7"/>
      <c r="S584" s="7"/>
      <c r="U584" s="7"/>
      <c r="W584" s="7"/>
      <c r="Y584" s="7"/>
    </row>
    <row r="585" ht="24.75" customHeight="1">
      <c r="L585" s="7"/>
      <c r="Q585" s="7"/>
      <c r="S585" s="7"/>
      <c r="U585" s="7"/>
      <c r="W585" s="7"/>
      <c r="Y585" s="7"/>
    </row>
    <row r="586" ht="24.75" customHeight="1">
      <c r="L586" s="7"/>
      <c r="Q586" s="7"/>
      <c r="S586" s="7"/>
      <c r="U586" s="7"/>
      <c r="W586" s="7"/>
      <c r="Y586" s="7"/>
    </row>
    <row r="587" ht="24.75" customHeight="1">
      <c r="L587" s="7"/>
      <c r="Q587" s="7"/>
      <c r="S587" s="7"/>
      <c r="U587" s="7"/>
      <c r="W587" s="7"/>
      <c r="Y587" s="7"/>
    </row>
    <row r="588" ht="24.75" customHeight="1">
      <c r="L588" s="7"/>
      <c r="Q588" s="7"/>
      <c r="S588" s="7"/>
      <c r="U588" s="7"/>
      <c r="W588" s="7"/>
      <c r="Y588" s="7"/>
    </row>
    <row r="589" ht="24.75" customHeight="1">
      <c r="L589" s="7"/>
      <c r="Q589" s="7"/>
      <c r="S589" s="7"/>
      <c r="U589" s="7"/>
      <c r="W589" s="7"/>
      <c r="Y589" s="7"/>
    </row>
    <row r="590" ht="24.75" customHeight="1">
      <c r="L590" s="7"/>
      <c r="Q590" s="7"/>
      <c r="S590" s="7"/>
      <c r="U590" s="7"/>
      <c r="W590" s="7"/>
      <c r="Y590" s="7"/>
    </row>
    <row r="591" ht="24.75" customHeight="1">
      <c r="L591" s="7"/>
      <c r="Q591" s="7"/>
      <c r="S591" s="7"/>
      <c r="U591" s="7"/>
      <c r="W591" s="7"/>
      <c r="Y591" s="7"/>
    </row>
    <row r="592" ht="24.75" customHeight="1">
      <c r="L592" s="7"/>
      <c r="Q592" s="7"/>
      <c r="S592" s="7"/>
      <c r="U592" s="7"/>
      <c r="W592" s="7"/>
      <c r="Y592" s="7"/>
    </row>
    <row r="593" ht="24.75" customHeight="1">
      <c r="L593" s="7"/>
      <c r="Q593" s="7"/>
      <c r="S593" s="7"/>
      <c r="U593" s="7"/>
      <c r="W593" s="7"/>
      <c r="Y593" s="7"/>
    </row>
    <row r="594" ht="24.75" customHeight="1">
      <c r="L594" s="7"/>
      <c r="Q594" s="7"/>
      <c r="S594" s="7"/>
      <c r="U594" s="7"/>
      <c r="W594" s="7"/>
      <c r="Y594" s="7"/>
    </row>
    <row r="595" ht="24.75" customHeight="1">
      <c r="L595" s="7"/>
      <c r="Q595" s="7"/>
      <c r="S595" s="7"/>
      <c r="U595" s="7"/>
      <c r="W595" s="7"/>
      <c r="Y595" s="7"/>
    </row>
    <row r="596" ht="24.75" customHeight="1">
      <c r="L596" s="7"/>
      <c r="Q596" s="7"/>
      <c r="S596" s="7"/>
      <c r="U596" s="7"/>
      <c r="W596" s="7"/>
      <c r="Y596" s="7"/>
    </row>
    <row r="597" ht="24.75" customHeight="1">
      <c r="L597" s="7"/>
      <c r="Q597" s="7"/>
      <c r="S597" s="7"/>
      <c r="U597" s="7"/>
      <c r="W597" s="7"/>
      <c r="Y597" s="7"/>
    </row>
    <row r="598" ht="24.75" customHeight="1">
      <c r="L598" s="7"/>
      <c r="Q598" s="7"/>
      <c r="S598" s="7"/>
      <c r="U598" s="7"/>
      <c r="W598" s="7"/>
      <c r="Y598" s="7"/>
    </row>
    <row r="599" ht="24.75" customHeight="1">
      <c r="L599" s="7"/>
      <c r="Q599" s="7"/>
      <c r="S599" s="7"/>
      <c r="U599" s="7"/>
      <c r="W599" s="7"/>
      <c r="Y599" s="7"/>
    </row>
    <row r="600" ht="24.75" customHeight="1">
      <c r="L600" s="7"/>
      <c r="Q600" s="7"/>
      <c r="S600" s="7"/>
      <c r="U600" s="7"/>
      <c r="W600" s="7"/>
      <c r="Y600" s="7"/>
    </row>
    <row r="601" ht="24.75" customHeight="1">
      <c r="L601" s="7"/>
      <c r="Q601" s="7"/>
      <c r="S601" s="7"/>
      <c r="U601" s="7"/>
      <c r="W601" s="7"/>
      <c r="Y601" s="7"/>
    </row>
    <row r="602" ht="24.75" customHeight="1">
      <c r="L602" s="7"/>
      <c r="Q602" s="7"/>
      <c r="S602" s="7"/>
      <c r="U602" s="7"/>
      <c r="W602" s="7"/>
      <c r="Y602" s="7"/>
    </row>
    <row r="603" ht="24.75" customHeight="1">
      <c r="L603" s="7"/>
      <c r="Q603" s="7"/>
      <c r="S603" s="7"/>
      <c r="U603" s="7"/>
      <c r="W603" s="7"/>
      <c r="Y603" s="7"/>
    </row>
    <row r="604" ht="24.75" customHeight="1">
      <c r="L604" s="7"/>
      <c r="Q604" s="7"/>
      <c r="S604" s="7"/>
      <c r="U604" s="7"/>
      <c r="W604" s="7"/>
      <c r="Y604" s="7"/>
    </row>
    <row r="605" ht="24.75" customHeight="1">
      <c r="L605" s="7"/>
      <c r="Q605" s="7"/>
      <c r="S605" s="7"/>
      <c r="U605" s="7"/>
      <c r="W605" s="7"/>
      <c r="Y605" s="7"/>
    </row>
    <row r="606" ht="24.75" customHeight="1">
      <c r="L606" s="7"/>
      <c r="Q606" s="7"/>
      <c r="S606" s="7"/>
      <c r="U606" s="7"/>
      <c r="W606" s="7"/>
      <c r="Y606" s="7"/>
    </row>
    <row r="607" ht="24.75" customHeight="1">
      <c r="L607" s="7"/>
      <c r="Q607" s="7"/>
      <c r="S607" s="7"/>
      <c r="U607" s="7"/>
      <c r="W607" s="7"/>
      <c r="Y607" s="7"/>
    </row>
    <row r="608" ht="24.75" customHeight="1">
      <c r="L608" s="7"/>
      <c r="Q608" s="7"/>
      <c r="S608" s="7"/>
      <c r="U608" s="7"/>
      <c r="W608" s="7"/>
      <c r="Y608" s="7"/>
    </row>
    <row r="609" ht="24.75" customHeight="1">
      <c r="L609" s="7"/>
      <c r="Q609" s="7"/>
      <c r="S609" s="7"/>
      <c r="U609" s="7"/>
      <c r="W609" s="7"/>
      <c r="Y609" s="7"/>
    </row>
    <row r="610" ht="24.75" customHeight="1">
      <c r="L610" s="7"/>
      <c r="Q610" s="7"/>
      <c r="S610" s="7"/>
      <c r="U610" s="7"/>
      <c r="W610" s="7"/>
      <c r="Y610" s="7"/>
    </row>
    <row r="611" ht="24.75" customHeight="1">
      <c r="L611" s="7"/>
      <c r="Q611" s="7"/>
      <c r="S611" s="7"/>
      <c r="U611" s="7"/>
      <c r="W611" s="7"/>
      <c r="Y611" s="7"/>
    </row>
    <row r="612" ht="24.75" customHeight="1">
      <c r="L612" s="7"/>
      <c r="Q612" s="7"/>
      <c r="S612" s="7"/>
      <c r="U612" s="7"/>
      <c r="W612" s="7"/>
      <c r="Y612" s="7"/>
    </row>
    <row r="613" ht="24.75" customHeight="1">
      <c r="L613" s="7"/>
      <c r="Q613" s="7"/>
      <c r="S613" s="7"/>
      <c r="U613" s="7"/>
      <c r="W613" s="7"/>
      <c r="Y613" s="7"/>
    </row>
    <row r="614" ht="24.75" customHeight="1">
      <c r="L614" s="7"/>
      <c r="Q614" s="7"/>
      <c r="S614" s="7"/>
      <c r="U614" s="7"/>
      <c r="W614" s="7"/>
      <c r="Y614" s="7"/>
    </row>
    <row r="615" ht="24.75" customHeight="1">
      <c r="L615" s="7"/>
      <c r="Q615" s="7"/>
      <c r="S615" s="7"/>
      <c r="U615" s="7"/>
      <c r="W615" s="7"/>
      <c r="Y615" s="7"/>
    </row>
    <row r="616" ht="24.75" customHeight="1">
      <c r="L616" s="7"/>
      <c r="Q616" s="7"/>
      <c r="S616" s="7"/>
      <c r="U616" s="7"/>
      <c r="W616" s="7"/>
      <c r="Y616" s="7"/>
    </row>
    <row r="617" ht="24.75" customHeight="1">
      <c r="L617" s="7"/>
      <c r="Q617" s="7"/>
      <c r="S617" s="7"/>
      <c r="U617" s="7"/>
      <c r="W617" s="7"/>
      <c r="Y617" s="7"/>
    </row>
    <row r="618" ht="24.75" customHeight="1">
      <c r="L618" s="7"/>
      <c r="Q618" s="7"/>
      <c r="S618" s="7"/>
      <c r="U618" s="7"/>
      <c r="W618" s="7"/>
      <c r="Y618" s="7"/>
    </row>
    <row r="619" ht="24.75" customHeight="1">
      <c r="L619" s="7"/>
      <c r="Q619" s="7"/>
      <c r="S619" s="7"/>
      <c r="U619" s="7"/>
      <c r="W619" s="7"/>
      <c r="Y619" s="7"/>
    </row>
    <row r="620" ht="24.75" customHeight="1">
      <c r="L620" s="7"/>
      <c r="Q620" s="7"/>
      <c r="S620" s="7"/>
      <c r="U620" s="7"/>
      <c r="W620" s="7"/>
      <c r="Y620" s="7"/>
    </row>
    <row r="621" ht="24.75" customHeight="1">
      <c r="L621" s="7"/>
      <c r="Q621" s="7"/>
      <c r="S621" s="7"/>
      <c r="U621" s="7"/>
      <c r="W621" s="7"/>
      <c r="Y621" s="7"/>
    </row>
    <row r="622" ht="24.75" customHeight="1">
      <c r="L622" s="7"/>
      <c r="Q622" s="7"/>
      <c r="S622" s="7"/>
      <c r="U622" s="7"/>
      <c r="W622" s="7"/>
      <c r="Y622" s="7"/>
    </row>
    <row r="623" ht="24.75" customHeight="1">
      <c r="L623" s="7"/>
      <c r="Q623" s="7"/>
      <c r="S623" s="7"/>
      <c r="U623" s="7"/>
      <c r="W623" s="7"/>
      <c r="Y623" s="7"/>
    </row>
    <row r="624" ht="24.75" customHeight="1">
      <c r="L624" s="7"/>
      <c r="Q624" s="7"/>
      <c r="S624" s="7"/>
      <c r="U624" s="7"/>
      <c r="W624" s="7"/>
      <c r="Y624" s="7"/>
    </row>
    <row r="625" ht="24.75" customHeight="1">
      <c r="L625" s="7"/>
      <c r="Q625" s="7"/>
      <c r="S625" s="7"/>
      <c r="U625" s="7"/>
      <c r="W625" s="7"/>
      <c r="Y625" s="7"/>
    </row>
    <row r="626" ht="24.75" customHeight="1">
      <c r="L626" s="7"/>
      <c r="Q626" s="7"/>
      <c r="S626" s="7"/>
      <c r="U626" s="7"/>
      <c r="W626" s="7"/>
      <c r="Y626" s="7"/>
    </row>
    <row r="627" ht="24.75" customHeight="1">
      <c r="L627" s="7"/>
      <c r="Q627" s="7"/>
      <c r="S627" s="7"/>
      <c r="U627" s="7"/>
      <c r="W627" s="7"/>
      <c r="Y627" s="7"/>
    </row>
    <row r="628" ht="24.75" customHeight="1">
      <c r="L628" s="7"/>
      <c r="Q628" s="7"/>
      <c r="S628" s="7"/>
      <c r="U628" s="7"/>
      <c r="W628" s="7"/>
      <c r="Y628" s="7"/>
    </row>
    <row r="629" ht="24.75" customHeight="1">
      <c r="L629" s="7"/>
      <c r="Q629" s="7"/>
      <c r="S629" s="7"/>
      <c r="U629" s="7"/>
      <c r="W629" s="7"/>
      <c r="Y629" s="7"/>
    </row>
    <row r="630" ht="24.75" customHeight="1">
      <c r="L630" s="7"/>
      <c r="Q630" s="7"/>
      <c r="S630" s="7"/>
      <c r="U630" s="7"/>
      <c r="W630" s="7"/>
      <c r="Y630" s="7"/>
    </row>
    <row r="631" ht="24.75" customHeight="1">
      <c r="L631" s="7"/>
      <c r="Q631" s="7"/>
      <c r="S631" s="7"/>
      <c r="U631" s="7"/>
      <c r="W631" s="7"/>
      <c r="Y631" s="7"/>
    </row>
    <row r="632" ht="24.75" customHeight="1">
      <c r="L632" s="7"/>
      <c r="Q632" s="7"/>
      <c r="S632" s="7"/>
      <c r="U632" s="7"/>
      <c r="W632" s="7"/>
      <c r="Y632" s="7"/>
    </row>
    <row r="633" ht="24.75" customHeight="1">
      <c r="L633" s="7"/>
      <c r="Q633" s="7"/>
      <c r="S633" s="7"/>
      <c r="U633" s="7"/>
      <c r="W633" s="7"/>
      <c r="Y633" s="7"/>
    </row>
    <row r="634" ht="24.75" customHeight="1">
      <c r="L634" s="7"/>
      <c r="Q634" s="7"/>
      <c r="S634" s="7"/>
      <c r="U634" s="7"/>
      <c r="W634" s="7"/>
      <c r="Y634" s="7"/>
    </row>
    <row r="635" ht="24.75" customHeight="1">
      <c r="L635" s="7"/>
      <c r="Q635" s="7"/>
      <c r="S635" s="7"/>
      <c r="U635" s="7"/>
      <c r="W635" s="7"/>
      <c r="Y635" s="7"/>
    </row>
    <row r="636" ht="24.75" customHeight="1">
      <c r="L636" s="7"/>
      <c r="Q636" s="7"/>
      <c r="S636" s="7"/>
      <c r="U636" s="7"/>
      <c r="W636" s="7"/>
      <c r="Y636" s="7"/>
    </row>
    <row r="637" ht="24.75" customHeight="1">
      <c r="L637" s="7"/>
      <c r="Q637" s="7"/>
      <c r="S637" s="7"/>
      <c r="U637" s="7"/>
      <c r="W637" s="7"/>
      <c r="Y637" s="7"/>
    </row>
    <row r="638" ht="24.75" customHeight="1">
      <c r="L638" s="7"/>
      <c r="Q638" s="7"/>
      <c r="S638" s="7"/>
      <c r="U638" s="7"/>
      <c r="W638" s="7"/>
      <c r="Y638" s="7"/>
    </row>
    <row r="639" ht="24.75" customHeight="1">
      <c r="L639" s="7"/>
      <c r="Q639" s="7"/>
      <c r="S639" s="7"/>
      <c r="U639" s="7"/>
      <c r="W639" s="7"/>
      <c r="Y639" s="7"/>
    </row>
    <row r="640" ht="24.75" customHeight="1">
      <c r="L640" s="7"/>
      <c r="Q640" s="7"/>
      <c r="S640" s="7"/>
      <c r="U640" s="7"/>
      <c r="W640" s="7"/>
      <c r="Y640" s="7"/>
    </row>
    <row r="641" ht="24.75" customHeight="1">
      <c r="L641" s="7"/>
      <c r="Q641" s="7"/>
      <c r="S641" s="7"/>
      <c r="U641" s="7"/>
      <c r="W641" s="7"/>
      <c r="Y641" s="7"/>
    </row>
    <row r="642" ht="24.75" customHeight="1">
      <c r="L642" s="7"/>
      <c r="Q642" s="7"/>
      <c r="S642" s="7"/>
      <c r="U642" s="7"/>
      <c r="W642" s="7"/>
      <c r="Y642" s="7"/>
    </row>
    <row r="643" ht="24.75" customHeight="1">
      <c r="L643" s="7"/>
      <c r="Q643" s="7"/>
      <c r="S643" s="7"/>
      <c r="U643" s="7"/>
      <c r="W643" s="7"/>
      <c r="Y643" s="7"/>
    </row>
    <row r="644" ht="24.75" customHeight="1">
      <c r="L644" s="7"/>
      <c r="Q644" s="7"/>
      <c r="S644" s="7"/>
      <c r="U644" s="7"/>
      <c r="W644" s="7"/>
      <c r="Y644" s="7"/>
    </row>
    <row r="645" ht="24.75" customHeight="1">
      <c r="L645" s="7"/>
      <c r="Q645" s="7"/>
      <c r="S645" s="7"/>
      <c r="U645" s="7"/>
      <c r="W645" s="7"/>
      <c r="Y645" s="7"/>
    </row>
    <row r="646" ht="24.75" customHeight="1">
      <c r="L646" s="7"/>
      <c r="Q646" s="7"/>
      <c r="S646" s="7"/>
      <c r="U646" s="7"/>
      <c r="W646" s="7"/>
      <c r="Y646" s="7"/>
    </row>
    <row r="647" ht="24.75" customHeight="1">
      <c r="L647" s="7"/>
      <c r="Q647" s="7"/>
      <c r="S647" s="7"/>
      <c r="U647" s="7"/>
      <c r="W647" s="7"/>
      <c r="Y647" s="7"/>
    </row>
    <row r="648" ht="24.75" customHeight="1">
      <c r="L648" s="7"/>
      <c r="Q648" s="7"/>
      <c r="S648" s="7"/>
      <c r="U648" s="7"/>
      <c r="W648" s="7"/>
      <c r="Y648" s="7"/>
    </row>
    <row r="649" ht="24.75" customHeight="1">
      <c r="L649" s="7"/>
      <c r="Q649" s="7"/>
      <c r="S649" s="7"/>
      <c r="U649" s="7"/>
      <c r="W649" s="7"/>
      <c r="Y649" s="7"/>
    </row>
    <row r="650" ht="24.75" customHeight="1">
      <c r="L650" s="7"/>
      <c r="Q650" s="7"/>
      <c r="S650" s="7"/>
      <c r="U650" s="7"/>
      <c r="W650" s="7"/>
      <c r="Y650" s="7"/>
    </row>
    <row r="651" ht="24.75" customHeight="1">
      <c r="L651" s="7"/>
      <c r="Q651" s="7"/>
      <c r="S651" s="7"/>
      <c r="U651" s="7"/>
      <c r="W651" s="7"/>
      <c r="Y651" s="7"/>
    </row>
    <row r="652" ht="24.75" customHeight="1">
      <c r="L652" s="7"/>
      <c r="Q652" s="7"/>
      <c r="S652" s="7"/>
      <c r="U652" s="7"/>
      <c r="W652" s="7"/>
      <c r="Y652" s="7"/>
    </row>
    <row r="653" ht="24.75" customHeight="1">
      <c r="L653" s="7"/>
      <c r="Q653" s="7"/>
      <c r="S653" s="7"/>
      <c r="U653" s="7"/>
      <c r="W653" s="7"/>
      <c r="Y653" s="7"/>
    </row>
    <row r="654" ht="24.75" customHeight="1">
      <c r="L654" s="7"/>
      <c r="Q654" s="7"/>
      <c r="S654" s="7"/>
      <c r="U654" s="7"/>
      <c r="W654" s="7"/>
      <c r="Y654" s="7"/>
    </row>
    <row r="655" ht="24.75" customHeight="1">
      <c r="L655" s="7"/>
      <c r="Q655" s="7"/>
      <c r="S655" s="7"/>
      <c r="U655" s="7"/>
      <c r="W655" s="7"/>
      <c r="Y655" s="7"/>
    </row>
    <row r="656" ht="24.75" customHeight="1">
      <c r="L656" s="7"/>
      <c r="Q656" s="7"/>
      <c r="S656" s="7"/>
      <c r="U656" s="7"/>
      <c r="W656" s="7"/>
      <c r="Y656" s="7"/>
    </row>
    <row r="657" ht="24.75" customHeight="1">
      <c r="L657" s="7"/>
      <c r="Q657" s="7"/>
      <c r="S657" s="7"/>
      <c r="U657" s="7"/>
      <c r="W657" s="7"/>
      <c r="Y657" s="7"/>
    </row>
    <row r="658" ht="24.75" customHeight="1">
      <c r="L658" s="7"/>
      <c r="Q658" s="7"/>
      <c r="S658" s="7"/>
      <c r="U658" s="7"/>
      <c r="W658" s="7"/>
      <c r="Y658" s="7"/>
    </row>
    <row r="659" ht="24.75" customHeight="1">
      <c r="L659" s="7"/>
      <c r="Q659" s="7"/>
      <c r="S659" s="7"/>
      <c r="U659" s="7"/>
      <c r="W659" s="7"/>
      <c r="Y659" s="7"/>
    </row>
    <row r="660" ht="24.75" customHeight="1">
      <c r="L660" s="7"/>
      <c r="Q660" s="7"/>
      <c r="S660" s="7"/>
      <c r="U660" s="7"/>
      <c r="W660" s="7"/>
      <c r="Y660" s="7"/>
    </row>
    <row r="661" ht="24.75" customHeight="1">
      <c r="L661" s="7"/>
      <c r="Q661" s="7"/>
      <c r="S661" s="7"/>
      <c r="U661" s="7"/>
      <c r="W661" s="7"/>
      <c r="Y661" s="7"/>
    </row>
    <row r="662" ht="24.75" customHeight="1">
      <c r="L662" s="7"/>
      <c r="Q662" s="7"/>
      <c r="S662" s="7"/>
      <c r="U662" s="7"/>
      <c r="W662" s="7"/>
      <c r="Y662" s="7"/>
    </row>
    <row r="663" ht="24.75" customHeight="1">
      <c r="L663" s="7"/>
      <c r="Q663" s="7"/>
      <c r="S663" s="7"/>
      <c r="U663" s="7"/>
      <c r="W663" s="7"/>
      <c r="Y663" s="7"/>
    </row>
    <row r="664" ht="24.75" customHeight="1">
      <c r="L664" s="7"/>
      <c r="Q664" s="7"/>
      <c r="S664" s="7"/>
      <c r="U664" s="7"/>
      <c r="W664" s="7"/>
      <c r="Y664" s="7"/>
    </row>
    <row r="665" ht="24.75" customHeight="1">
      <c r="L665" s="7"/>
      <c r="Q665" s="7"/>
      <c r="S665" s="7"/>
      <c r="U665" s="7"/>
      <c r="W665" s="7"/>
      <c r="Y665" s="7"/>
    </row>
    <row r="666" ht="24.75" customHeight="1">
      <c r="L666" s="7"/>
      <c r="Q666" s="7"/>
      <c r="S666" s="7"/>
      <c r="U666" s="7"/>
      <c r="W666" s="7"/>
      <c r="Y666" s="7"/>
    </row>
    <row r="667" ht="24.75" customHeight="1">
      <c r="L667" s="7"/>
      <c r="Q667" s="7"/>
      <c r="S667" s="7"/>
      <c r="U667" s="7"/>
      <c r="W667" s="7"/>
      <c r="Y667" s="7"/>
    </row>
    <row r="668" ht="24.75" customHeight="1">
      <c r="L668" s="7"/>
      <c r="Q668" s="7"/>
      <c r="S668" s="7"/>
      <c r="U668" s="7"/>
      <c r="W668" s="7"/>
      <c r="Y668" s="7"/>
    </row>
    <row r="669" ht="24.75" customHeight="1">
      <c r="L669" s="7"/>
      <c r="Q669" s="7"/>
      <c r="S669" s="7"/>
      <c r="U669" s="7"/>
      <c r="W669" s="7"/>
      <c r="Y669" s="7"/>
    </row>
    <row r="670" ht="24.75" customHeight="1">
      <c r="L670" s="7"/>
      <c r="Q670" s="7"/>
      <c r="S670" s="7"/>
      <c r="U670" s="7"/>
      <c r="W670" s="7"/>
      <c r="Y670" s="7"/>
    </row>
    <row r="671" ht="24.75" customHeight="1">
      <c r="L671" s="7"/>
      <c r="Q671" s="7"/>
      <c r="S671" s="7"/>
      <c r="U671" s="7"/>
      <c r="W671" s="7"/>
      <c r="Y671" s="7"/>
    </row>
    <row r="672" ht="24.75" customHeight="1">
      <c r="L672" s="7"/>
      <c r="Q672" s="7"/>
      <c r="S672" s="7"/>
      <c r="U672" s="7"/>
      <c r="W672" s="7"/>
      <c r="Y672" s="7"/>
    </row>
    <row r="673" ht="24.75" customHeight="1">
      <c r="L673" s="7"/>
      <c r="Q673" s="7"/>
      <c r="S673" s="7"/>
      <c r="U673" s="7"/>
      <c r="W673" s="7"/>
      <c r="Y673" s="7"/>
    </row>
    <row r="674" ht="24.75" customHeight="1">
      <c r="L674" s="7"/>
      <c r="Q674" s="7"/>
      <c r="S674" s="7"/>
      <c r="U674" s="7"/>
      <c r="W674" s="7"/>
      <c r="Y674" s="7"/>
    </row>
    <row r="675" ht="24.75" customHeight="1">
      <c r="L675" s="7"/>
      <c r="Q675" s="7"/>
      <c r="S675" s="7"/>
      <c r="U675" s="7"/>
      <c r="W675" s="7"/>
      <c r="Y675" s="7"/>
    </row>
    <row r="676" ht="24.75" customHeight="1">
      <c r="L676" s="7"/>
      <c r="Q676" s="7"/>
      <c r="S676" s="7"/>
      <c r="U676" s="7"/>
      <c r="W676" s="7"/>
      <c r="Y676" s="7"/>
    </row>
    <row r="677" ht="24.75" customHeight="1">
      <c r="L677" s="7"/>
      <c r="Q677" s="7"/>
      <c r="S677" s="7"/>
      <c r="U677" s="7"/>
      <c r="W677" s="7"/>
      <c r="Y677" s="7"/>
    </row>
    <row r="678" ht="24.75" customHeight="1">
      <c r="L678" s="7"/>
      <c r="Q678" s="7"/>
      <c r="S678" s="7"/>
      <c r="U678" s="7"/>
      <c r="W678" s="7"/>
      <c r="Y678" s="7"/>
    </row>
    <row r="679" ht="24.75" customHeight="1">
      <c r="L679" s="7"/>
      <c r="Q679" s="7"/>
      <c r="S679" s="7"/>
      <c r="U679" s="7"/>
      <c r="W679" s="7"/>
      <c r="Y679" s="7"/>
    </row>
    <row r="680" ht="24.75" customHeight="1">
      <c r="L680" s="7"/>
      <c r="Q680" s="7"/>
      <c r="S680" s="7"/>
      <c r="U680" s="7"/>
      <c r="W680" s="7"/>
      <c r="Y680" s="7"/>
    </row>
    <row r="681" ht="24.75" customHeight="1">
      <c r="L681" s="7"/>
      <c r="Q681" s="7"/>
      <c r="S681" s="7"/>
      <c r="U681" s="7"/>
      <c r="W681" s="7"/>
      <c r="Y681" s="7"/>
    </row>
    <row r="682" ht="24.75" customHeight="1">
      <c r="L682" s="7"/>
      <c r="Q682" s="7"/>
      <c r="S682" s="7"/>
      <c r="U682" s="7"/>
      <c r="W682" s="7"/>
      <c r="Y682" s="7"/>
    </row>
    <row r="683" ht="24.75" customHeight="1">
      <c r="L683" s="7"/>
      <c r="Q683" s="7"/>
      <c r="S683" s="7"/>
      <c r="U683" s="7"/>
      <c r="W683" s="7"/>
      <c r="Y683" s="7"/>
    </row>
    <row r="684" ht="24.75" customHeight="1">
      <c r="L684" s="7"/>
      <c r="Q684" s="7"/>
      <c r="S684" s="7"/>
      <c r="U684" s="7"/>
      <c r="W684" s="7"/>
      <c r="Y684" s="7"/>
    </row>
    <row r="685" ht="24.75" customHeight="1">
      <c r="L685" s="7"/>
      <c r="Q685" s="7"/>
      <c r="S685" s="7"/>
      <c r="U685" s="7"/>
      <c r="W685" s="7"/>
      <c r="Y685" s="7"/>
    </row>
    <row r="686" ht="24.75" customHeight="1">
      <c r="L686" s="7"/>
      <c r="Q686" s="7"/>
      <c r="S686" s="7"/>
      <c r="U686" s="7"/>
      <c r="W686" s="7"/>
      <c r="Y686" s="7"/>
    </row>
    <row r="687" ht="24.75" customHeight="1">
      <c r="L687" s="7"/>
      <c r="Q687" s="7"/>
      <c r="S687" s="7"/>
      <c r="U687" s="7"/>
      <c r="W687" s="7"/>
      <c r="Y687" s="7"/>
    </row>
    <row r="688" ht="24.75" customHeight="1">
      <c r="L688" s="7"/>
      <c r="Q688" s="7"/>
      <c r="S688" s="7"/>
      <c r="U688" s="7"/>
      <c r="W688" s="7"/>
      <c r="Y688" s="7"/>
    </row>
    <row r="689" ht="24.75" customHeight="1">
      <c r="L689" s="7"/>
      <c r="Q689" s="7"/>
      <c r="S689" s="7"/>
      <c r="U689" s="7"/>
      <c r="W689" s="7"/>
      <c r="Y689" s="7"/>
    </row>
    <row r="690" ht="24.75" customHeight="1">
      <c r="L690" s="7"/>
      <c r="Q690" s="7"/>
      <c r="S690" s="7"/>
      <c r="U690" s="7"/>
      <c r="W690" s="7"/>
      <c r="Y690" s="7"/>
    </row>
    <row r="691" ht="24.75" customHeight="1">
      <c r="L691" s="7"/>
      <c r="Q691" s="7"/>
      <c r="S691" s="7"/>
      <c r="U691" s="7"/>
      <c r="W691" s="7"/>
      <c r="Y691" s="7"/>
    </row>
    <row r="692" ht="24.75" customHeight="1">
      <c r="L692" s="7"/>
      <c r="Q692" s="7"/>
      <c r="S692" s="7"/>
      <c r="U692" s="7"/>
      <c r="W692" s="7"/>
      <c r="Y692" s="7"/>
    </row>
    <row r="693" ht="24.75" customHeight="1">
      <c r="L693" s="7"/>
      <c r="Q693" s="7"/>
      <c r="S693" s="7"/>
      <c r="U693" s="7"/>
      <c r="W693" s="7"/>
      <c r="Y693" s="7"/>
    </row>
    <row r="694" ht="24.75" customHeight="1">
      <c r="L694" s="7"/>
      <c r="Q694" s="7"/>
      <c r="S694" s="7"/>
      <c r="U694" s="7"/>
      <c r="W694" s="7"/>
      <c r="Y694" s="7"/>
    </row>
    <row r="695" ht="24.75" customHeight="1">
      <c r="L695" s="7"/>
      <c r="Q695" s="7"/>
      <c r="S695" s="7"/>
      <c r="U695" s="7"/>
      <c r="W695" s="7"/>
      <c r="Y695" s="7"/>
    </row>
    <row r="696" ht="24.75" customHeight="1">
      <c r="L696" s="7"/>
      <c r="Q696" s="7"/>
      <c r="S696" s="7"/>
      <c r="U696" s="7"/>
      <c r="W696" s="7"/>
      <c r="Y696" s="7"/>
    </row>
    <row r="697" ht="24.75" customHeight="1">
      <c r="L697" s="7"/>
      <c r="Q697" s="7"/>
      <c r="S697" s="7"/>
      <c r="U697" s="7"/>
      <c r="W697" s="7"/>
      <c r="Y697" s="7"/>
    </row>
    <row r="698" ht="24.75" customHeight="1">
      <c r="L698" s="7"/>
      <c r="Q698" s="7"/>
      <c r="S698" s="7"/>
      <c r="U698" s="7"/>
      <c r="W698" s="7"/>
      <c r="Y698" s="7"/>
    </row>
    <row r="699" ht="24.75" customHeight="1">
      <c r="L699" s="7"/>
      <c r="Q699" s="7"/>
      <c r="S699" s="7"/>
      <c r="U699" s="7"/>
      <c r="W699" s="7"/>
      <c r="Y699" s="7"/>
    </row>
    <row r="700" ht="24.75" customHeight="1">
      <c r="L700" s="7"/>
      <c r="Q700" s="7"/>
      <c r="S700" s="7"/>
      <c r="U700" s="7"/>
      <c r="W700" s="7"/>
      <c r="Y700" s="7"/>
    </row>
    <row r="701" ht="24.75" customHeight="1">
      <c r="L701" s="7"/>
      <c r="Q701" s="7"/>
      <c r="S701" s="7"/>
      <c r="U701" s="7"/>
      <c r="W701" s="7"/>
      <c r="Y701" s="7"/>
    </row>
    <row r="702" ht="24.75" customHeight="1">
      <c r="L702" s="7"/>
      <c r="Q702" s="7"/>
      <c r="S702" s="7"/>
      <c r="U702" s="7"/>
      <c r="W702" s="7"/>
      <c r="Y702" s="7"/>
    </row>
    <row r="703" ht="24.75" customHeight="1">
      <c r="L703" s="7"/>
      <c r="Q703" s="7"/>
      <c r="S703" s="7"/>
      <c r="U703" s="7"/>
      <c r="W703" s="7"/>
      <c r="Y703" s="7"/>
    </row>
    <row r="704" ht="24.75" customHeight="1">
      <c r="L704" s="7"/>
      <c r="Q704" s="7"/>
      <c r="S704" s="7"/>
      <c r="U704" s="7"/>
      <c r="W704" s="7"/>
      <c r="Y704" s="7"/>
    </row>
    <row r="705" ht="24.75" customHeight="1">
      <c r="L705" s="7"/>
      <c r="Q705" s="7"/>
      <c r="S705" s="7"/>
      <c r="U705" s="7"/>
      <c r="W705" s="7"/>
      <c r="Y705" s="7"/>
    </row>
    <row r="706" ht="24.75" customHeight="1">
      <c r="L706" s="7"/>
      <c r="Q706" s="7"/>
      <c r="S706" s="7"/>
      <c r="U706" s="7"/>
      <c r="W706" s="7"/>
      <c r="Y706" s="7"/>
    </row>
    <row r="707" ht="24.75" customHeight="1">
      <c r="L707" s="7"/>
      <c r="Q707" s="7"/>
      <c r="S707" s="7"/>
      <c r="U707" s="7"/>
      <c r="W707" s="7"/>
      <c r="Y707" s="7"/>
    </row>
    <row r="708" ht="24.75" customHeight="1">
      <c r="L708" s="7"/>
      <c r="Q708" s="7"/>
      <c r="S708" s="7"/>
      <c r="U708" s="7"/>
      <c r="W708" s="7"/>
      <c r="Y708" s="7"/>
    </row>
    <row r="709" ht="24.75" customHeight="1">
      <c r="L709" s="7"/>
      <c r="Q709" s="7"/>
      <c r="S709" s="7"/>
      <c r="U709" s="7"/>
      <c r="W709" s="7"/>
      <c r="Y709" s="7"/>
    </row>
    <row r="710" ht="24.75" customHeight="1">
      <c r="L710" s="7"/>
      <c r="Q710" s="7"/>
      <c r="S710" s="7"/>
      <c r="U710" s="7"/>
      <c r="W710" s="7"/>
      <c r="Y710" s="7"/>
    </row>
    <row r="711" ht="24.75" customHeight="1">
      <c r="L711" s="7"/>
      <c r="Q711" s="7"/>
      <c r="S711" s="7"/>
      <c r="U711" s="7"/>
      <c r="W711" s="7"/>
      <c r="Y711" s="7"/>
    </row>
    <row r="712" ht="24.75" customHeight="1">
      <c r="L712" s="7"/>
      <c r="Q712" s="7"/>
      <c r="S712" s="7"/>
      <c r="U712" s="7"/>
      <c r="W712" s="7"/>
      <c r="Y712" s="7"/>
    </row>
    <row r="713" ht="24.75" customHeight="1">
      <c r="L713" s="7"/>
      <c r="Q713" s="7"/>
      <c r="S713" s="7"/>
      <c r="U713" s="7"/>
      <c r="W713" s="7"/>
      <c r="Y713" s="7"/>
    </row>
    <row r="714" ht="24.75" customHeight="1">
      <c r="L714" s="7"/>
      <c r="Q714" s="7"/>
      <c r="S714" s="7"/>
      <c r="U714" s="7"/>
      <c r="W714" s="7"/>
      <c r="Y714" s="7"/>
    </row>
    <row r="715" ht="24.75" customHeight="1">
      <c r="L715" s="7"/>
      <c r="Q715" s="7"/>
      <c r="S715" s="7"/>
      <c r="U715" s="7"/>
      <c r="W715" s="7"/>
      <c r="Y715" s="7"/>
    </row>
    <row r="716" ht="24.75" customHeight="1">
      <c r="L716" s="7"/>
      <c r="Q716" s="7"/>
      <c r="S716" s="7"/>
      <c r="U716" s="7"/>
      <c r="W716" s="7"/>
      <c r="Y716" s="7"/>
    </row>
    <row r="717" ht="24.75" customHeight="1">
      <c r="L717" s="7"/>
      <c r="Q717" s="7"/>
      <c r="S717" s="7"/>
      <c r="U717" s="7"/>
      <c r="W717" s="7"/>
      <c r="Y717" s="7"/>
    </row>
    <row r="718" ht="24.75" customHeight="1">
      <c r="L718" s="7"/>
      <c r="Q718" s="7"/>
      <c r="S718" s="7"/>
      <c r="U718" s="7"/>
      <c r="W718" s="7"/>
      <c r="Y718" s="7"/>
    </row>
    <row r="719" ht="24.75" customHeight="1">
      <c r="L719" s="7"/>
      <c r="Q719" s="7"/>
      <c r="S719" s="7"/>
      <c r="U719" s="7"/>
      <c r="W719" s="7"/>
      <c r="Y719" s="7"/>
    </row>
    <row r="720" ht="24.75" customHeight="1">
      <c r="L720" s="7"/>
      <c r="Q720" s="7"/>
      <c r="S720" s="7"/>
      <c r="U720" s="7"/>
      <c r="W720" s="7"/>
      <c r="Y720" s="7"/>
    </row>
    <row r="721" ht="24.75" customHeight="1">
      <c r="L721" s="7"/>
      <c r="Q721" s="7"/>
      <c r="S721" s="7"/>
      <c r="U721" s="7"/>
      <c r="W721" s="7"/>
      <c r="Y721" s="7"/>
    </row>
    <row r="722" ht="24.75" customHeight="1">
      <c r="L722" s="7"/>
      <c r="Q722" s="7"/>
      <c r="S722" s="7"/>
      <c r="U722" s="7"/>
      <c r="W722" s="7"/>
      <c r="Y722" s="7"/>
    </row>
    <row r="723" ht="24.75" customHeight="1">
      <c r="L723" s="7"/>
      <c r="Q723" s="7"/>
      <c r="S723" s="7"/>
      <c r="U723" s="7"/>
      <c r="W723" s="7"/>
      <c r="Y723" s="7"/>
    </row>
    <row r="724" ht="24.75" customHeight="1">
      <c r="L724" s="7"/>
      <c r="Q724" s="7"/>
      <c r="S724" s="7"/>
      <c r="U724" s="7"/>
      <c r="W724" s="7"/>
      <c r="Y724" s="7"/>
    </row>
    <row r="725" ht="24.75" customHeight="1">
      <c r="L725" s="7"/>
      <c r="Q725" s="7"/>
      <c r="S725" s="7"/>
      <c r="U725" s="7"/>
      <c r="W725" s="7"/>
      <c r="Y725" s="7"/>
    </row>
    <row r="726" ht="24.75" customHeight="1">
      <c r="L726" s="7"/>
      <c r="Q726" s="7"/>
      <c r="S726" s="7"/>
      <c r="U726" s="7"/>
      <c r="W726" s="7"/>
      <c r="Y726" s="7"/>
    </row>
    <row r="727" ht="24.75" customHeight="1">
      <c r="L727" s="7"/>
      <c r="Q727" s="7"/>
      <c r="S727" s="7"/>
      <c r="U727" s="7"/>
      <c r="W727" s="7"/>
      <c r="Y727" s="7"/>
    </row>
    <row r="728" ht="24.75" customHeight="1">
      <c r="L728" s="7"/>
      <c r="Q728" s="7"/>
      <c r="S728" s="7"/>
      <c r="U728" s="7"/>
      <c r="W728" s="7"/>
      <c r="Y728" s="7"/>
    </row>
    <row r="729" ht="24.75" customHeight="1">
      <c r="L729" s="7"/>
      <c r="Q729" s="7"/>
      <c r="S729" s="7"/>
      <c r="U729" s="7"/>
      <c r="W729" s="7"/>
      <c r="Y729" s="7"/>
    </row>
    <row r="730" ht="24.75" customHeight="1">
      <c r="L730" s="7"/>
      <c r="Q730" s="7"/>
      <c r="S730" s="7"/>
      <c r="U730" s="7"/>
      <c r="W730" s="7"/>
      <c r="Y730" s="7"/>
    </row>
    <row r="731" ht="24.75" customHeight="1">
      <c r="L731" s="7"/>
      <c r="Q731" s="7"/>
      <c r="S731" s="7"/>
      <c r="U731" s="7"/>
      <c r="W731" s="7"/>
      <c r="Y731" s="7"/>
    </row>
    <row r="732" ht="24.75" customHeight="1">
      <c r="L732" s="7"/>
      <c r="Q732" s="7"/>
      <c r="S732" s="7"/>
      <c r="U732" s="7"/>
      <c r="W732" s="7"/>
      <c r="Y732" s="7"/>
    </row>
    <row r="733" ht="24.75" customHeight="1">
      <c r="L733" s="7"/>
      <c r="Q733" s="7"/>
      <c r="S733" s="7"/>
      <c r="U733" s="7"/>
      <c r="W733" s="7"/>
      <c r="Y733" s="7"/>
    </row>
    <row r="734" ht="24.75" customHeight="1">
      <c r="L734" s="7"/>
      <c r="Q734" s="7"/>
      <c r="S734" s="7"/>
      <c r="U734" s="7"/>
      <c r="W734" s="7"/>
      <c r="Y734" s="7"/>
    </row>
    <row r="735" ht="24.75" customHeight="1">
      <c r="L735" s="7"/>
      <c r="Q735" s="7"/>
      <c r="S735" s="7"/>
      <c r="U735" s="7"/>
      <c r="W735" s="7"/>
      <c r="Y735" s="7"/>
    </row>
    <row r="736" ht="24.75" customHeight="1">
      <c r="L736" s="7"/>
      <c r="Q736" s="7"/>
      <c r="S736" s="7"/>
      <c r="U736" s="7"/>
      <c r="W736" s="7"/>
      <c r="Y736" s="7"/>
    </row>
    <row r="737" ht="24.75" customHeight="1">
      <c r="L737" s="7"/>
      <c r="Q737" s="7"/>
      <c r="S737" s="7"/>
      <c r="U737" s="7"/>
      <c r="W737" s="7"/>
      <c r="Y737" s="7"/>
    </row>
    <row r="738" ht="24.75" customHeight="1">
      <c r="L738" s="7"/>
      <c r="Q738" s="7"/>
      <c r="S738" s="7"/>
      <c r="U738" s="7"/>
      <c r="W738" s="7"/>
      <c r="Y738" s="7"/>
    </row>
    <row r="739" ht="24.75" customHeight="1">
      <c r="L739" s="7"/>
      <c r="Q739" s="7"/>
      <c r="S739" s="7"/>
      <c r="U739" s="7"/>
      <c r="W739" s="7"/>
      <c r="Y739" s="7"/>
    </row>
    <row r="740" ht="24.75" customHeight="1">
      <c r="L740" s="7"/>
      <c r="Q740" s="7"/>
      <c r="S740" s="7"/>
      <c r="U740" s="7"/>
      <c r="W740" s="7"/>
      <c r="Y740" s="7"/>
    </row>
    <row r="741" ht="24.75" customHeight="1">
      <c r="L741" s="7"/>
      <c r="Q741" s="7"/>
      <c r="S741" s="7"/>
      <c r="U741" s="7"/>
      <c r="W741" s="7"/>
      <c r="Y741" s="7"/>
    </row>
    <row r="742" ht="24.75" customHeight="1">
      <c r="L742" s="7"/>
      <c r="Q742" s="7"/>
      <c r="S742" s="7"/>
      <c r="U742" s="7"/>
      <c r="W742" s="7"/>
      <c r="Y742" s="7"/>
    </row>
    <row r="743" ht="24.75" customHeight="1">
      <c r="L743" s="7"/>
      <c r="Q743" s="7"/>
      <c r="S743" s="7"/>
      <c r="U743" s="7"/>
      <c r="W743" s="7"/>
      <c r="Y743" s="7"/>
    </row>
    <row r="744" ht="24.75" customHeight="1">
      <c r="L744" s="7"/>
      <c r="Q744" s="7"/>
      <c r="S744" s="7"/>
      <c r="U744" s="7"/>
      <c r="W744" s="7"/>
      <c r="Y744" s="7"/>
    </row>
    <row r="745" ht="24.75" customHeight="1">
      <c r="L745" s="7"/>
      <c r="Q745" s="7"/>
      <c r="S745" s="7"/>
      <c r="U745" s="7"/>
      <c r="W745" s="7"/>
      <c r="Y745" s="7"/>
    </row>
    <row r="746" ht="24.75" customHeight="1">
      <c r="L746" s="7"/>
      <c r="Q746" s="7"/>
      <c r="S746" s="7"/>
      <c r="U746" s="7"/>
      <c r="W746" s="7"/>
      <c r="Y746" s="7"/>
    </row>
    <row r="747" ht="24.75" customHeight="1">
      <c r="L747" s="7"/>
      <c r="Q747" s="7"/>
      <c r="S747" s="7"/>
      <c r="U747" s="7"/>
      <c r="W747" s="7"/>
      <c r="Y747" s="7"/>
    </row>
    <row r="748" ht="24.75" customHeight="1">
      <c r="L748" s="7"/>
      <c r="Q748" s="7"/>
      <c r="S748" s="7"/>
      <c r="U748" s="7"/>
      <c r="W748" s="7"/>
      <c r="Y748" s="7"/>
    </row>
    <row r="749" ht="24.75" customHeight="1">
      <c r="L749" s="7"/>
      <c r="Q749" s="7"/>
      <c r="S749" s="7"/>
      <c r="U749" s="7"/>
      <c r="W749" s="7"/>
      <c r="Y749" s="7"/>
    </row>
    <row r="750" ht="24.75" customHeight="1">
      <c r="L750" s="7"/>
      <c r="Q750" s="7"/>
      <c r="S750" s="7"/>
      <c r="U750" s="7"/>
      <c r="W750" s="7"/>
      <c r="Y750" s="7"/>
    </row>
    <row r="751" ht="24.75" customHeight="1">
      <c r="L751" s="7"/>
      <c r="Q751" s="7"/>
      <c r="S751" s="7"/>
      <c r="U751" s="7"/>
      <c r="W751" s="7"/>
      <c r="Y751" s="7"/>
    </row>
    <row r="752" ht="24.75" customHeight="1">
      <c r="L752" s="7"/>
      <c r="Q752" s="7"/>
      <c r="S752" s="7"/>
      <c r="U752" s="7"/>
      <c r="W752" s="7"/>
      <c r="Y752" s="7"/>
    </row>
    <row r="753" ht="24.75" customHeight="1">
      <c r="L753" s="7"/>
      <c r="Q753" s="7"/>
      <c r="S753" s="7"/>
      <c r="U753" s="7"/>
      <c r="W753" s="7"/>
      <c r="Y753" s="7"/>
    </row>
    <row r="754" ht="24.75" customHeight="1">
      <c r="L754" s="7"/>
      <c r="Q754" s="7"/>
      <c r="S754" s="7"/>
      <c r="U754" s="7"/>
      <c r="W754" s="7"/>
      <c r="Y754" s="7"/>
    </row>
    <row r="755" ht="24.75" customHeight="1">
      <c r="L755" s="7"/>
      <c r="Q755" s="7"/>
      <c r="S755" s="7"/>
      <c r="U755" s="7"/>
      <c r="W755" s="7"/>
      <c r="Y755" s="7"/>
    </row>
    <row r="756" ht="24.75" customHeight="1">
      <c r="L756" s="7"/>
      <c r="Q756" s="7"/>
      <c r="S756" s="7"/>
      <c r="U756" s="7"/>
      <c r="W756" s="7"/>
      <c r="Y756" s="7"/>
    </row>
    <row r="757" ht="24.75" customHeight="1">
      <c r="L757" s="7"/>
      <c r="Q757" s="7"/>
      <c r="S757" s="7"/>
      <c r="U757" s="7"/>
      <c r="W757" s="7"/>
      <c r="Y757" s="7"/>
    </row>
    <row r="758" ht="24.75" customHeight="1">
      <c r="L758" s="7"/>
      <c r="Q758" s="7"/>
      <c r="S758" s="7"/>
      <c r="U758" s="7"/>
      <c r="W758" s="7"/>
      <c r="Y758" s="7"/>
    </row>
    <row r="759" ht="24.75" customHeight="1">
      <c r="L759" s="7"/>
      <c r="Q759" s="7"/>
      <c r="S759" s="7"/>
      <c r="U759" s="7"/>
      <c r="W759" s="7"/>
      <c r="Y759" s="7"/>
    </row>
    <row r="760" ht="24.75" customHeight="1">
      <c r="L760" s="7"/>
      <c r="Q760" s="7"/>
      <c r="S760" s="7"/>
      <c r="U760" s="7"/>
      <c r="W760" s="7"/>
      <c r="Y760" s="7"/>
    </row>
    <row r="761" ht="24.75" customHeight="1">
      <c r="L761" s="7"/>
      <c r="Q761" s="7"/>
      <c r="S761" s="7"/>
      <c r="U761" s="7"/>
      <c r="W761" s="7"/>
      <c r="Y761" s="7"/>
    </row>
    <row r="762" ht="24.75" customHeight="1">
      <c r="L762" s="7"/>
      <c r="Q762" s="7"/>
      <c r="S762" s="7"/>
      <c r="U762" s="7"/>
      <c r="W762" s="7"/>
      <c r="Y762" s="7"/>
    </row>
    <row r="763" ht="24.75" customHeight="1">
      <c r="L763" s="7"/>
      <c r="Q763" s="7"/>
      <c r="S763" s="7"/>
      <c r="U763" s="7"/>
      <c r="W763" s="7"/>
      <c r="Y763" s="7"/>
    </row>
    <row r="764" ht="24.75" customHeight="1">
      <c r="L764" s="7"/>
      <c r="Q764" s="7"/>
      <c r="S764" s="7"/>
      <c r="U764" s="7"/>
      <c r="W764" s="7"/>
      <c r="Y764" s="7"/>
    </row>
    <row r="765" ht="24.75" customHeight="1">
      <c r="L765" s="7"/>
      <c r="Q765" s="7"/>
      <c r="S765" s="7"/>
      <c r="U765" s="7"/>
      <c r="W765" s="7"/>
      <c r="Y765" s="7"/>
    </row>
    <row r="766" ht="24.75" customHeight="1">
      <c r="L766" s="7"/>
      <c r="Q766" s="7"/>
      <c r="S766" s="7"/>
      <c r="U766" s="7"/>
      <c r="W766" s="7"/>
      <c r="Y766" s="7"/>
    </row>
    <row r="767" ht="24.75" customHeight="1">
      <c r="L767" s="7"/>
      <c r="Q767" s="7"/>
      <c r="S767" s="7"/>
      <c r="U767" s="7"/>
      <c r="W767" s="7"/>
      <c r="Y767" s="7"/>
    </row>
    <row r="768" ht="24.75" customHeight="1">
      <c r="L768" s="7"/>
      <c r="Q768" s="7"/>
      <c r="S768" s="7"/>
      <c r="U768" s="7"/>
      <c r="W768" s="7"/>
      <c r="Y768" s="7"/>
    </row>
    <row r="769" ht="24.75" customHeight="1">
      <c r="L769" s="7"/>
      <c r="Q769" s="7"/>
      <c r="S769" s="7"/>
      <c r="U769" s="7"/>
      <c r="W769" s="7"/>
      <c r="Y769" s="7"/>
    </row>
    <row r="770" ht="24.75" customHeight="1">
      <c r="L770" s="7"/>
      <c r="Q770" s="7"/>
      <c r="S770" s="7"/>
      <c r="U770" s="7"/>
      <c r="W770" s="7"/>
      <c r="Y770" s="7"/>
    </row>
    <row r="771" ht="24.75" customHeight="1">
      <c r="L771" s="7"/>
      <c r="Q771" s="7"/>
      <c r="S771" s="7"/>
      <c r="U771" s="7"/>
      <c r="W771" s="7"/>
      <c r="Y771" s="7"/>
    </row>
    <row r="772" ht="24.75" customHeight="1">
      <c r="L772" s="7"/>
      <c r="Q772" s="7"/>
      <c r="S772" s="7"/>
      <c r="U772" s="7"/>
      <c r="W772" s="7"/>
      <c r="Y772" s="7"/>
    </row>
    <row r="773" ht="24.75" customHeight="1">
      <c r="L773" s="7"/>
      <c r="Q773" s="7"/>
      <c r="S773" s="7"/>
      <c r="U773" s="7"/>
      <c r="W773" s="7"/>
      <c r="Y773" s="7"/>
    </row>
    <row r="774" ht="24.75" customHeight="1">
      <c r="L774" s="7"/>
      <c r="Q774" s="7"/>
      <c r="S774" s="7"/>
      <c r="U774" s="7"/>
      <c r="W774" s="7"/>
      <c r="Y774" s="7"/>
    </row>
    <row r="775" ht="24.75" customHeight="1">
      <c r="L775" s="7"/>
      <c r="Q775" s="7"/>
      <c r="S775" s="7"/>
      <c r="U775" s="7"/>
      <c r="W775" s="7"/>
      <c r="Y775" s="7"/>
    </row>
    <row r="776" ht="24.75" customHeight="1">
      <c r="L776" s="7"/>
      <c r="Q776" s="7"/>
      <c r="S776" s="7"/>
      <c r="U776" s="7"/>
      <c r="W776" s="7"/>
      <c r="Y776" s="7"/>
    </row>
    <row r="777" ht="24.75" customHeight="1">
      <c r="L777" s="7"/>
      <c r="Q777" s="7"/>
      <c r="S777" s="7"/>
      <c r="U777" s="7"/>
      <c r="W777" s="7"/>
      <c r="Y777" s="7"/>
    </row>
    <row r="778" ht="24.75" customHeight="1">
      <c r="L778" s="7"/>
      <c r="Q778" s="7"/>
      <c r="S778" s="7"/>
      <c r="U778" s="7"/>
      <c r="W778" s="7"/>
      <c r="Y778" s="7"/>
    </row>
    <row r="779" ht="24.75" customHeight="1">
      <c r="L779" s="7"/>
      <c r="Q779" s="7"/>
      <c r="S779" s="7"/>
      <c r="U779" s="7"/>
      <c r="W779" s="7"/>
      <c r="Y779" s="7"/>
    </row>
    <row r="780" ht="24.75" customHeight="1">
      <c r="L780" s="7"/>
      <c r="Q780" s="7"/>
      <c r="S780" s="7"/>
      <c r="U780" s="7"/>
      <c r="W780" s="7"/>
      <c r="Y780" s="7"/>
    </row>
    <row r="781" ht="24.75" customHeight="1">
      <c r="L781" s="7"/>
      <c r="Q781" s="7"/>
      <c r="S781" s="7"/>
      <c r="U781" s="7"/>
      <c r="W781" s="7"/>
      <c r="Y781" s="7"/>
    </row>
    <row r="782" ht="24.75" customHeight="1">
      <c r="L782" s="7"/>
      <c r="Q782" s="7"/>
      <c r="S782" s="7"/>
      <c r="U782" s="7"/>
      <c r="W782" s="7"/>
      <c r="Y782" s="7"/>
    </row>
    <row r="783" ht="24.75" customHeight="1">
      <c r="L783" s="7"/>
      <c r="Q783" s="7"/>
      <c r="S783" s="7"/>
      <c r="U783" s="7"/>
      <c r="W783" s="7"/>
      <c r="Y783" s="7"/>
    </row>
    <row r="784" ht="24.75" customHeight="1">
      <c r="L784" s="7"/>
      <c r="Q784" s="7"/>
      <c r="S784" s="7"/>
      <c r="U784" s="7"/>
      <c r="W784" s="7"/>
      <c r="Y784" s="7"/>
    </row>
    <row r="785" ht="24.75" customHeight="1">
      <c r="L785" s="7"/>
      <c r="Q785" s="7"/>
      <c r="S785" s="7"/>
      <c r="U785" s="7"/>
      <c r="W785" s="7"/>
      <c r="Y785" s="7"/>
    </row>
    <row r="786" ht="24.75" customHeight="1">
      <c r="L786" s="7"/>
      <c r="Q786" s="7"/>
      <c r="S786" s="7"/>
      <c r="U786" s="7"/>
      <c r="W786" s="7"/>
      <c r="Y786" s="7"/>
    </row>
    <row r="787" ht="24.75" customHeight="1">
      <c r="L787" s="7"/>
      <c r="Q787" s="7"/>
      <c r="S787" s="7"/>
      <c r="U787" s="7"/>
      <c r="W787" s="7"/>
      <c r="Y787" s="7"/>
    </row>
    <row r="788" ht="24.75" customHeight="1">
      <c r="L788" s="7"/>
      <c r="Q788" s="7"/>
      <c r="S788" s="7"/>
      <c r="U788" s="7"/>
      <c r="W788" s="7"/>
      <c r="Y788" s="7"/>
    </row>
    <row r="789" ht="24.75" customHeight="1">
      <c r="L789" s="7"/>
      <c r="Q789" s="7"/>
      <c r="S789" s="7"/>
      <c r="U789" s="7"/>
      <c r="W789" s="7"/>
      <c r="Y789" s="7"/>
    </row>
    <row r="790" ht="24.75" customHeight="1">
      <c r="L790" s="7"/>
      <c r="Q790" s="7"/>
      <c r="S790" s="7"/>
      <c r="U790" s="7"/>
      <c r="W790" s="7"/>
      <c r="Y790" s="7"/>
    </row>
    <row r="791" ht="24.75" customHeight="1">
      <c r="L791" s="7"/>
      <c r="Q791" s="7"/>
      <c r="S791" s="7"/>
      <c r="U791" s="7"/>
      <c r="W791" s="7"/>
      <c r="Y791" s="7"/>
    </row>
    <row r="792" ht="24.75" customHeight="1">
      <c r="L792" s="7"/>
      <c r="Q792" s="7"/>
      <c r="S792" s="7"/>
      <c r="U792" s="7"/>
      <c r="W792" s="7"/>
      <c r="Y792" s="7"/>
    </row>
    <row r="793" ht="24.75" customHeight="1">
      <c r="L793" s="7"/>
      <c r="Q793" s="7"/>
      <c r="S793" s="7"/>
      <c r="U793" s="7"/>
      <c r="W793" s="7"/>
      <c r="Y793" s="7"/>
    </row>
    <row r="794" ht="24.75" customHeight="1">
      <c r="L794" s="7"/>
      <c r="Q794" s="7"/>
      <c r="S794" s="7"/>
      <c r="U794" s="7"/>
      <c r="W794" s="7"/>
      <c r="Y794" s="7"/>
    </row>
    <row r="795" ht="24.75" customHeight="1">
      <c r="L795" s="7"/>
      <c r="Q795" s="7"/>
      <c r="S795" s="7"/>
      <c r="U795" s="7"/>
      <c r="W795" s="7"/>
      <c r="Y795" s="7"/>
    </row>
    <row r="796" ht="24.75" customHeight="1">
      <c r="L796" s="7"/>
      <c r="Q796" s="7"/>
      <c r="S796" s="7"/>
      <c r="U796" s="7"/>
      <c r="W796" s="7"/>
      <c r="Y796" s="7"/>
    </row>
    <row r="797" ht="24.75" customHeight="1">
      <c r="L797" s="7"/>
      <c r="Q797" s="7"/>
      <c r="S797" s="7"/>
      <c r="U797" s="7"/>
      <c r="W797" s="7"/>
      <c r="Y797" s="7"/>
    </row>
    <row r="798" ht="24.75" customHeight="1">
      <c r="L798" s="7"/>
      <c r="Q798" s="7"/>
      <c r="S798" s="7"/>
      <c r="U798" s="7"/>
      <c r="W798" s="7"/>
      <c r="Y798" s="7"/>
    </row>
    <row r="799" ht="24.75" customHeight="1">
      <c r="L799" s="7"/>
      <c r="Q799" s="7"/>
      <c r="S799" s="7"/>
      <c r="U799" s="7"/>
      <c r="W799" s="7"/>
      <c r="Y799" s="7"/>
    </row>
    <row r="800" ht="24.75" customHeight="1">
      <c r="L800" s="7"/>
      <c r="Q800" s="7"/>
      <c r="S800" s="7"/>
      <c r="U800" s="7"/>
      <c r="W800" s="7"/>
      <c r="Y800" s="7"/>
    </row>
    <row r="801" ht="24.75" customHeight="1">
      <c r="L801" s="7"/>
      <c r="Q801" s="7"/>
      <c r="S801" s="7"/>
      <c r="U801" s="7"/>
      <c r="W801" s="7"/>
      <c r="Y801" s="7"/>
    </row>
    <row r="802" ht="24.75" customHeight="1">
      <c r="L802" s="7"/>
      <c r="Q802" s="7"/>
      <c r="S802" s="7"/>
      <c r="U802" s="7"/>
      <c r="W802" s="7"/>
      <c r="Y802" s="7"/>
    </row>
    <row r="803" ht="24.75" customHeight="1">
      <c r="L803" s="7"/>
      <c r="Q803" s="7"/>
      <c r="S803" s="7"/>
      <c r="U803" s="7"/>
      <c r="W803" s="7"/>
      <c r="Y803" s="7"/>
    </row>
    <row r="804" ht="24.75" customHeight="1">
      <c r="L804" s="7"/>
      <c r="Q804" s="7"/>
      <c r="S804" s="7"/>
      <c r="U804" s="7"/>
      <c r="W804" s="7"/>
      <c r="Y804" s="7"/>
    </row>
    <row r="805" ht="24.75" customHeight="1">
      <c r="L805" s="7"/>
      <c r="Q805" s="7"/>
      <c r="S805" s="7"/>
      <c r="U805" s="7"/>
      <c r="W805" s="7"/>
      <c r="Y805" s="7"/>
    </row>
    <row r="806" ht="24.75" customHeight="1">
      <c r="L806" s="7"/>
      <c r="Q806" s="7"/>
      <c r="S806" s="7"/>
      <c r="U806" s="7"/>
      <c r="W806" s="7"/>
      <c r="Y806" s="7"/>
    </row>
    <row r="807" ht="24.75" customHeight="1">
      <c r="L807" s="7"/>
      <c r="Q807" s="7"/>
      <c r="S807" s="7"/>
      <c r="U807" s="7"/>
      <c r="W807" s="7"/>
      <c r="Y807" s="7"/>
    </row>
    <row r="808" ht="24.75" customHeight="1">
      <c r="L808" s="7"/>
      <c r="Q808" s="7"/>
      <c r="S808" s="7"/>
      <c r="U808" s="7"/>
      <c r="W808" s="7"/>
      <c r="Y808" s="7"/>
    </row>
    <row r="809" ht="24.75" customHeight="1">
      <c r="L809" s="7"/>
      <c r="Q809" s="7"/>
      <c r="S809" s="7"/>
      <c r="U809" s="7"/>
      <c r="W809" s="7"/>
      <c r="Y809" s="7"/>
    </row>
    <row r="810" ht="24.75" customHeight="1">
      <c r="L810" s="7"/>
      <c r="Q810" s="7"/>
      <c r="S810" s="7"/>
      <c r="U810" s="7"/>
      <c r="W810" s="7"/>
      <c r="Y810" s="7"/>
    </row>
    <row r="811" ht="24.75" customHeight="1">
      <c r="L811" s="7"/>
      <c r="Q811" s="7"/>
      <c r="S811" s="7"/>
      <c r="U811" s="7"/>
      <c r="W811" s="7"/>
      <c r="Y811" s="7"/>
    </row>
    <row r="812" ht="24.75" customHeight="1">
      <c r="L812" s="7"/>
      <c r="Q812" s="7"/>
      <c r="S812" s="7"/>
      <c r="U812" s="7"/>
      <c r="W812" s="7"/>
      <c r="Y812" s="7"/>
    </row>
    <row r="813" ht="24.75" customHeight="1">
      <c r="L813" s="7"/>
      <c r="Q813" s="7"/>
      <c r="S813" s="7"/>
      <c r="U813" s="7"/>
      <c r="W813" s="7"/>
      <c r="Y813" s="7"/>
    </row>
    <row r="814" ht="24.75" customHeight="1">
      <c r="L814" s="7"/>
      <c r="Q814" s="7"/>
      <c r="S814" s="7"/>
      <c r="U814" s="7"/>
      <c r="W814" s="7"/>
      <c r="Y814" s="7"/>
    </row>
    <row r="815" ht="24.75" customHeight="1">
      <c r="L815" s="7"/>
      <c r="Q815" s="7"/>
      <c r="S815" s="7"/>
      <c r="U815" s="7"/>
      <c r="W815" s="7"/>
      <c r="Y815" s="7"/>
    </row>
    <row r="816" ht="24.75" customHeight="1">
      <c r="L816" s="7"/>
      <c r="Q816" s="7"/>
      <c r="S816" s="7"/>
      <c r="U816" s="7"/>
      <c r="W816" s="7"/>
      <c r="Y816" s="7"/>
    </row>
    <row r="817" ht="24.75" customHeight="1">
      <c r="L817" s="7"/>
      <c r="Q817" s="7"/>
      <c r="S817" s="7"/>
      <c r="U817" s="7"/>
      <c r="W817" s="7"/>
      <c r="Y817" s="7"/>
    </row>
    <row r="818" ht="24.75" customHeight="1">
      <c r="L818" s="7"/>
      <c r="Q818" s="7"/>
      <c r="S818" s="7"/>
      <c r="U818" s="7"/>
      <c r="W818" s="7"/>
      <c r="Y818" s="7"/>
    </row>
    <row r="819" ht="24.75" customHeight="1">
      <c r="L819" s="7"/>
      <c r="Q819" s="7"/>
      <c r="S819" s="7"/>
      <c r="U819" s="7"/>
      <c r="W819" s="7"/>
      <c r="Y819" s="7"/>
    </row>
    <row r="820" ht="24.75" customHeight="1">
      <c r="L820" s="7"/>
      <c r="Q820" s="7"/>
      <c r="S820" s="7"/>
      <c r="U820" s="7"/>
      <c r="W820" s="7"/>
      <c r="Y820" s="7"/>
    </row>
    <row r="821" ht="24.75" customHeight="1">
      <c r="L821" s="7"/>
      <c r="Q821" s="7"/>
      <c r="S821" s="7"/>
      <c r="U821" s="7"/>
      <c r="W821" s="7"/>
      <c r="Y821" s="7"/>
    </row>
    <row r="822" ht="24.75" customHeight="1">
      <c r="L822" s="7"/>
      <c r="Q822" s="7"/>
      <c r="S822" s="7"/>
      <c r="U822" s="7"/>
      <c r="W822" s="7"/>
      <c r="Y822" s="7"/>
    </row>
    <row r="823" ht="24.75" customHeight="1">
      <c r="L823" s="7"/>
      <c r="Q823" s="7"/>
      <c r="S823" s="7"/>
      <c r="U823" s="7"/>
      <c r="W823" s="7"/>
      <c r="Y823" s="7"/>
    </row>
    <row r="824" ht="24.75" customHeight="1">
      <c r="L824" s="7"/>
      <c r="Q824" s="7"/>
      <c r="S824" s="7"/>
      <c r="U824" s="7"/>
      <c r="W824" s="7"/>
      <c r="Y824" s="7"/>
    </row>
    <row r="825" ht="24.75" customHeight="1">
      <c r="L825" s="7"/>
      <c r="Q825" s="7"/>
      <c r="S825" s="7"/>
      <c r="U825" s="7"/>
      <c r="W825" s="7"/>
      <c r="Y825" s="7"/>
    </row>
    <row r="826" ht="24.75" customHeight="1">
      <c r="L826" s="7"/>
      <c r="Q826" s="7"/>
      <c r="S826" s="7"/>
      <c r="U826" s="7"/>
      <c r="W826" s="7"/>
      <c r="Y826" s="7"/>
    </row>
    <row r="827" ht="24.75" customHeight="1">
      <c r="L827" s="7"/>
      <c r="Q827" s="7"/>
      <c r="S827" s="7"/>
      <c r="U827" s="7"/>
      <c r="W827" s="7"/>
      <c r="Y827" s="7"/>
    </row>
    <row r="828" ht="24.75" customHeight="1">
      <c r="L828" s="7"/>
      <c r="Q828" s="7"/>
      <c r="S828" s="7"/>
      <c r="U828" s="7"/>
      <c r="W828" s="7"/>
      <c r="Y828" s="7"/>
    </row>
    <row r="829" ht="24.75" customHeight="1">
      <c r="L829" s="7"/>
      <c r="Q829" s="7"/>
      <c r="S829" s="7"/>
      <c r="U829" s="7"/>
      <c r="W829" s="7"/>
      <c r="Y829" s="7"/>
    </row>
    <row r="830" ht="24.75" customHeight="1">
      <c r="L830" s="7"/>
      <c r="Q830" s="7"/>
      <c r="S830" s="7"/>
      <c r="U830" s="7"/>
      <c r="W830" s="7"/>
      <c r="Y830" s="7"/>
    </row>
    <row r="831" ht="24.75" customHeight="1">
      <c r="L831" s="7"/>
      <c r="Q831" s="7"/>
      <c r="S831" s="7"/>
      <c r="U831" s="7"/>
      <c r="W831" s="7"/>
      <c r="Y831" s="7"/>
    </row>
    <row r="832" ht="24.75" customHeight="1">
      <c r="L832" s="7"/>
      <c r="Q832" s="7"/>
      <c r="S832" s="7"/>
      <c r="U832" s="7"/>
      <c r="W832" s="7"/>
      <c r="Y832" s="7"/>
    </row>
    <row r="833" ht="24.75" customHeight="1">
      <c r="L833" s="7"/>
      <c r="Q833" s="7"/>
      <c r="S833" s="7"/>
      <c r="U833" s="7"/>
      <c r="W833" s="7"/>
      <c r="Y833" s="7"/>
    </row>
    <row r="834" ht="24.75" customHeight="1">
      <c r="L834" s="7"/>
      <c r="Q834" s="7"/>
      <c r="S834" s="7"/>
      <c r="U834" s="7"/>
      <c r="W834" s="7"/>
      <c r="Y834" s="7"/>
    </row>
    <row r="835" ht="24.75" customHeight="1">
      <c r="L835" s="7"/>
      <c r="Q835" s="7"/>
      <c r="S835" s="7"/>
      <c r="U835" s="7"/>
      <c r="W835" s="7"/>
      <c r="Y835" s="7"/>
    </row>
    <row r="836" ht="24.75" customHeight="1">
      <c r="L836" s="7"/>
      <c r="Q836" s="7"/>
      <c r="S836" s="7"/>
      <c r="U836" s="7"/>
      <c r="W836" s="7"/>
      <c r="Y836" s="7"/>
    </row>
    <row r="837" ht="24.75" customHeight="1">
      <c r="L837" s="7"/>
      <c r="Q837" s="7"/>
      <c r="S837" s="7"/>
      <c r="U837" s="7"/>
      <c r="W837" s="7"/>
      <c r="Y837" s="7"/>
    </row>
    <row r="838" ht="24.75" customHeight="1">
      <c r="L838" s="7"/>
      <c r="Q838" s="7"/>
      <c r="S838" s="7"/>
      <c r="U838" s="7"/>
      <c r="W838" s="7"/>
      <c r="Y838" s="7"/>
    </row>
    <row r="839" ht="24.75" customHeight="1">
      <c r="L839" s="7"/>
      <c r="Q839" s="7"/>
      <c r="S839" s="7"/>
      <c r="U839" s="7"/>
      <c r="W839" s="7"/>
      <c r="Y839" s="7"/>
    </row>
    <row r="840" ht="24.75" customHeight="1">
      <c r="L840" s="7"/>
      <c r="Q840" s="7"/>
      <c r="S840" s="7"/>
      <c r="U840" s="7"/>
      <c r="W840" s="7"/>
      <c r="Y840" s="7"/>
    </row>
    <row r="841" ht="24.75" customHeight="1">
      <c r="L841" s="7"/>
      <c r="Q841" s="7"/>
      <c r="S841" s="7"/>
      <c r="U841" s="7"/>
      <c r="W841" s="7"/>
      <c r="Y841" s="7"/>
    </row>
    <row r="842" ht="24.75" customHeight="1">
      <c r="L842" s="7"/>
      <c r="Q842" s="7"/>
      <c r="S842" s="7"/>
      <c r="U842" s="7"/>
      <c r="W842" s="7"/>
      <c r="Y842" s="7"/>
    </row>
    <row r="843" ht="24.75" customHeight="1">
      <c r="L843" s="7"/>
      <c r="Q843" s="7"/>
      <c r="S843" s="7"/>
      <c r="U843" s="7"/>
      <c r="W843" s="7"/>
      <c r="Y843" s="7"/>
    </row>
    <row r="844" ht="24.75" customHeight="1">
      <c r="L844" s="7"/>
      <c r="Q844" s="7"/>
      <c r="S844" s="7"/>
      <c r="U844" s="7"/>
      <c r="W844" s="7"/>
      <c r="Y844" s="7"/>
    </row>
    <row r="845" ht="24.75" customHeight="1">
      <c r="L845" s="7"/>
      <c r="Q845" s="7"/>
      <c r="S845" s="7"/>
      <c r="U845" s="7"/>
      <c r="W845" s="7"/>
      <c r="Y845" s="7"/>
    </row>
    <row r="846" ht="24.75" customHeight="1">
      <c r="L846" s="7"/>
      <c r="Q846" s="7"/>
      <c r="S846" s="7"/>
      <c r="U846" s="7"/>
      <c r="W846" s="7"/>
      <c r="Y846" s="7"/>
    </row>
    <row r="847" ht="24.75" customHeight="1">
      <c r="L847" s="7"/>
      <c r="Q847" s="7"/>
      <c r="S847" s="7"/>
      <c r="U847" s="7"/>
      <c r="W847" s="7"/>
      <c r="Y847" s="7"/>
    </row>
    <row r="848" ht="24.75" customHeight="1">
      <c r="L848" s="7"/>
      <c r="Q848" s="7"/>
      <c r="S848" s="7"/>
      <c r="U848" s="7"/>
      <c r="W848" s="7"/>
      <c r="Y848" s="7"/>
    </row>
    <row r="849" ht="24.75" customHeight="1">
      <c r="L849" s="7"/>
      <c r="Q849" s="7"/>
      <c r="S849" s="7"/>
      <c r="U849" s="7"/>
      <c r="W849" s="7"/>
      <c r="Y849" s="7"/>
    </row>
    <row r="850" ht="24.75" customHeight="1">
      <c r="L850" s="7"/>
      <c r="Q850" s="7"/>
      <c r="S850" s="7"/>
      <c r="U850" s="7"/>
      <c r="W850" s="7"/>
      <c r="Y850" s="7"/>
    </row>
    <row r="851" ht="24.75" customHeight="1">
      <c r="L851" s="7"/>
      <c r="Q851" s="7"/>
      <c r="S851" s="7"/>
      <c r="U851" s="7"/>
      <c r="W851" s="7"/>
      <c r="Y851" s="7"/>
    </row>
    <row r="852" ht="24.75" customHeight="1">
      <c r="L852" s="7"/>
      <c r="Q852" s="7"/>
      <c r="S852" s="7"/>
      <c r="U852" s="7"/>
      <c r="W852" s="7"/>
      <c r="Y852" s="7"/>
    </row>
    <row r="853" ht="24.75" customHeight="1">
      <c r="L853" s="7"/>
      <c r="Q853" s="7"/>
      <c r="S853" s="7"/>
      <c r="U853" s="7"/>
      <c r="W853" s="7"/>
      <c r="Y853" s="7"/>
    </row>
    <row r="854" ht="24.75" customHeight="1">
      <c r="L854" s="7"/>
      <c r="Q854" s="7"/>
      <c r="S854" s="7"/>
      <c r="U854" s="7"/>
      <c r="W854" s="7"/>
      <c r="Y854" s="7"/>
    </row>
    <row r="855" ht="24.75" customHeight="1">
      <c r="L855" s="7"/>
      <c r="Q855" s="7"/>
      <c r="S855" s="7"/>
      <c r="U855" s="7"/>
      <c r="W855" s="7"/>
      <c r="Y855" s="7"/>
    </row>
    <row r="856" ht="24.75" customHeight="1">
      <c r="L856" s="7"/>
      <c r="Q856" s="7"/>
      <c r="S856" s="7"/>
      <c r="U856" s="7"/>
      <c r="W856" s="7"/>
      <c r="Y856" s="7"/>
    </row>
    <row r="857" ht="24.75" customHeight="1">
      <c r="L857" s="7"/>
      <c r="Q857" s="7"/>
      <c r="S857" s="7"/>
      <c r="U857" s="7"/>
      <c r="W857" s="7"/>
      <c r="Y857" s="7"/>
    </row>
    <row r="858" ht="24.75" customHeight="1">
      <c r="L858" s="7"/>
      <c r="Q858" s="7"/>
      <c r="S858" s="7"/>
      <c r="U858" s="7"/>
      <c r="W858" s="7"/>
      <c r="Y858" s="7"/>
    </row>
    <row r="859" ht="24.75" customHeight="1">
      <c r="L859" s="7"/>
      <c r="Q859" s="7"/>
      <c r="S859" s="7"/>
      <c r="U859" s="7"/>
      <c r="W859" s="7"/>
      <c r="Y859" s="7"/>
    </row>
    <row r="860" ht="24.75" customHeight="1">
      <c r="L860" s="7"/>
      <c r="Q860" s="7"/>
      <c r="S860" s="7"/>
      <c r="U860" s="7"/>
      <c r="W860" s="7"/>
      <c r="Y860" s="7"/>
    </row>
    <row r="861" ht="24.75" customHeight="1">
      <c r="L861" s="7"/>
      <c r="Q861" s="7"/>
      <c r="S861" s="7"/>
      <c r="U861" s="7"/>
      <c r="W861" s="7"/>
      <c r="Y861" s="7"/>
    </row>
    <row r="862" ht="24.75" customHeight="1">
      <c r="L862" s="7"/>
      <c r="Q862" s="7"/>
      <c r="S862" s="7"/>
      <c r="U862" s="7"/>
      <c r="W862" s="7"/>
      <c r="Y862" s="7"/>
    </row>
    <row r="863" ht="24.75" customHeight="1">
      <c r="L863" s="7"/>
      <c r="Q863" s="7"/>
      <c r="S863" s="7"/>
      <c r="U863" s="7"/>
      <c r="W863" s="7"/>
      <c r="Y863" s="7"/>
    </row>
    <row r="864" ht="24.75" customHeight="1">
      <c r="L864" s="7"/>
      <c r="Q864" s="7"/>
      <c r="S864" s="7"/>
      <c r="U864" s="7"/>
      <c r="W864" s="7"/>
      <c r="Y864" s="7"/>
    </row>
    <row r="865" ht="24.75" customHeight="1">
      <c r="L865" s="7"/>
      <c r="Q865" s="7"/>
      <c r="S865" s="7"/>
      <c r="U865" s="7"/>
      <c r="W865" s="7"/>
      <c r="Y865" s="7"/>
    </row>
    <row r="866" ht="24.75" customHeight="1">
      <c r="L866" s="7"/>
      <c r="Q866" s="7"/>
      <c r="S866" s="7"/>
      <c r="U866" s="7"/>
      <c r="W866" s="7"/>
      <c r="Y866" s="7"/>
    </row>
    <row r="867" ht="24.75" customHeight="1">
      <c r="L867" s="7"/>
      <c r="Q867" s="7"/>
      <c r="S867" s="7"/>
      <c r="U867" s="7"/>
      <c r="W867" s="7"/>
      <c r="Y867" s="7"/>
    </row>
    <row r="868" ht="24.75" customHeight="1">
      <c r="L868" s="7"/>
      <c r="Q868" s="7"/>
      <c r="S868" s="7"/>
      <c r="U868" s="7"/>
      <c r="W868" s="7"/>
      <c r="Y868" s="7"/>
    </row>
    <row r="869" ht="24.75" customHeight="1">
      <c r="L869" s="7"/>
      <c r="Q869" s="7"/>
      <c r="S869" s="7"/>
      <c r="U869" s="7"/>
      <c r="W869" s="7"/>
      <c r="Y869" s="7"/>
    </row>
    <row r="870" ht="24.75" customHeight="1">
      <c r="L870" s="7"/>
      <c r="Q870" s="7"/>
      <c r="S870" s="7"/>
      <c r="U870" s="7"/>
      <c r="W870" s="7"/>
      <c r="Y870" s="7"/>
    </row>
    <row r="871" ht="24.75" customHeight="1">
      <c r="L871" s="7"/>
      <c r="Q871" s="7"/>
      <c r="S871" s="7"/>
      <c r="U871" s="7"/>
      <c r="W871" s="7"/>
      <c r="Y871" s="7"/>
    </row>
    <row r="872" ht="24.75" customHeight="1">
      <c r="L872" s="7"/>
      <c r="Q872" s="7"/>
      <c r="S872" s="7"/>
      <c r="U872" s="7"/>
      <c r="W872" s="7"/>
      <c r="Y872" s="7"/>
    </row>
    <row r="873" ht="24.75" customHeight="1">
      <c r="L873" s="7"/>
      <c r="Q873" s="7"/>
      <c r="S873" s="7"/>
      <c r="U873" s="7"/>
      <c r="W873" s="7"/>
      <c r="Y873" s="7"/>
    </row>
    <row r="874" ht="24.75" customHeight="1">
      <c r="L874" s="7"/>
      <c r="Q874" s="7"/>
      <c r="S874" s="7"/>
      <c r="U874" s="7"/>
      <c r="W874" s="7"/>
      <c r="Y874" s="7"/>
    </row>
    <row r="875" ht="24.75" customHeight="1">
      <c r="L875" s="7"/>
      <c r="Q875" s="7"/>
      <c r="S875" s="7"/>
      <c r="U875" s="7"/>
      <c r="W875" s="7"/>
      <c r="Y875" s="7"/>
    </row>
    <row r="876" ht="24.75" customHeight="1">
      <c r="L876" s="7"/>
      <c r="Q876" s="7"/>
      <c r="S876" s="7"/>
      <c r="U876" s="7"/>
      <c r="W876" s="7"/>
      <c r="Y876" s="7"/>
    </row>
    <row r="877" ht="24.75" customHeight="1">
      <c r="L877" s="7"/>
      <c r="Q877" s="7"/>
      <c r="S877" s="7"/>
      <c r="U877" s="7"/>
      <c r="W877" s="7"/>
      <c r="Y877" s="7"/>
    </row>
    <row r="878" ht="24.75" customHeight="1">
      <c r="L878" s="7"/>
      <c r="Q878" s="7"/>
      <c r="S878" s="7"/>
      <c r="U878" s="7"/>
      <c r="W878" s="7"/>
      <c r="Y878" s="7"/>
    </row>
    <row r="879" ht="24.75" customHeight="1">
      <c r="L879" s="7"/>
      <c r="Q879" s="7"/>
      <c r="S879" s="7"/>
      <c r="U879" s="7"/>
      <c r="W879" s="7"/>
      <c r="Y879" s="7"/>
    </row>
    <row r="880" ht="24.75" customHeight="1">
      <c r="L880" s="7"/>
      <c r="Q880" s="7"/>
      <c r="S880" s="7"/>
      <c r="U880" s="7"/>
      <c r="W880" s="7"/>
      <c r="Y880" s="7"/>
    </row>
    <row r="881" ht="24.75" customHeight="1">
      <c r="L881" s="7"/>
      <c r="Q881" s="7"/>
      <c r="S881" s="7"/>
      <c r="U881" s="7"/>
      <c r="W881" s="7"/>
      <c r="Y881" s="7"/>
    </row>
    <row r="882" ht="24.75" customHeight="1">
      <c r="L882" s="7"/>
      <c r="Q882" s="7"/>
      <c r="S882" s="7"/>
      <c r="U882" s="7"/>
      <c r="W882" s="7"/>
      <c r="Y882" s="7"/>
    </row>
    <row r="883" ht="24.75" customHeight="1">
      <c r="L883" s="7"/>
      <c r="Q883" s="7"/>
      <c r="S883" s="7"/>
      <c r="U883" s="7"/>
      <c r="W883" s="7"/>
      <c r="Y883" s="7"/>
    </row>
    <row r="884" ht="24.75" customHeight="1">
      <c r="L884" s="7"/>
      <c r="Q884" s="7"/>
      <c r="S884" s="7"/>
      <c r="U884" s="7"/>
      <c r="W884" s="7"/>
      <c r="Y884" s="7"/>
    </row>
    <row r="885" ht="24.75" customHeight="1">
      <c r="L885" s="7"/>
      <c r="Q885" s="7"/>
      <c r="S885" s="7"/>
      <c r="U885" s="7"/>
      <c r="W885" s="7"/>
      <c r="Y885" s="7"/>
    </row>
    <row r="886" ht="24.75" customHeight="1">
      <c r="L886" s="7"/>
      <c r="Q886" s="7"/>
      <c r="S886" s="7"/>
      <c r="U886" s="7"/>
      <c r="W886" s="7"/>
      <c r="Y886" s="7"/>
    </row>
    <row r="887" ht="24.75" customHeight="1">
      <c r="L887" s="7"/>
      <c r="Q887" s="7"/>
      <c r="S887" s="7"/>
      <c r="U887" s="7"/>
      <c r="W887" s="7"/>
      <c r="Y887" s="7"/>
    </row>
    <row r="888" ht="24.75" customHeight="1">
      <c r="L888" s="7"/>
      <c r="Q888" s="7"/>
      <c r="S888" s="7"/>
      <c r="U888" s="7"/>
      <c r="W888" s="7"/>
      <c r="Y888" s="7"/>
    </row>
    <row r="889" ht="24.75" customHeight="1">
      <c r="L889" s="7"/>
      <c r="Q889" s="7"/>
      <c r="S889" s="7"/>
      <c r="U889" s="7"/>
      <c r="W889" s="7"/>
      <c r="Y889" s="7"/>
    </row>
    <row r="890" ht="24.75" customHeight="1">
      <c r="L890" s="7"/>
      <c r="Q890" s="7"/>
      <c r="S890" s="7"/>
      <c r="U890" s="7"/>
      <c r="W890" s="7"/>
      <c r="Y890" s="7"/>
    </row>
    <row r="891" ht="24.75" customHeight="1">
      <c r="L891" s="7"/>
      <c r="Q891" s="7"/>
      <c r="S891" s="7"/>
      <c r="U891" s="7"/>
      <c r="W891" s="7"/>
      <c r="Y891" s="7"/>
    </row>
    <row r="892" ht="24.75" customHeight="1">
      <c r="L892" s="7"/>
      <c r="Q892" s="7"/>
      <c r="S892" s="7"/>
      <c r="U892" s="7"/>
      <c r="W892" s="7"/>
      <c r="Y892" s="7"/>
    </row>
    <row r="893" ht="24.75" customHeight="1">
      <c r="L893" s="7"/>
      <c r="Q893" s="7"/>
      <c r="S893" s="7"/>
      <c r="U893" s="7"/>
      <c r="W893" s="7"/>
      <c r="Y893" s="7"/>
    </row>
    <row r="894" ht="24.75" customHeight="1">
      <c r="L894" s="7"/>
      <c r="Q894" s="7"/>
      <c r="S894" s="7"/>
      <c r="U894" s="7"/>
      <c r="W894" s="7"/>
      <c r="Y894" s="7"/>
    </row>
    <row r="895" ht="24.75" customHeight="1">
      <c r="L895" s="7"/>
      <c r="Q895" s="7"/>
      <c r="S895" s="7"/>
      <c r="U895" s="7"/>
      <c r="W895" s="7"/>
      <c r="Y895" s="7"/>
    </row>
    <row r="896" ht="24.75" customHeight="1">
      <c r="L896" s="7"/>
      <c r="Q896" s="7"/>
      <c r="S896" s="7"/>
      <c r="U896" s="7"/>
      <c r="W896" s="7"/>
      <c r="Y896" s="7"/>
    </row>
    <row r="897" ht="24.75" customHeight="1">
      <c r="L897" s="7"/>
      <c r="Q897" s="7"/>
      <c r="S897" s="7"/>
      <c r="U897" s="7"/>
      <c r="W897" s="7"/>
      <c r="Y897" s="7"/>
    </row>
    <row r="898" ht="24.75" customHeight="1">
      <c r="L898" s="7"/>
      <c r="Q898" s="7"/>
      <c r="S898" s="7"/>
      <c r="U898" s="7"/>
      <c r="W898" s="7"/>
      <c r="Y898" s="7"/>
    </row>
    <row r="899" ht="24.75" customHeight="1">
      <c r="L899" s="7"/>
      <c r="Q899" s="7"/>
      <c r="S899" s="7"/>
      <c r="U899" s="7"/>
      <c r="W899" s="7"/>
      <c r="Y899" s="7"/>
    </row>
    <row r="900" ht="24.75" customHeight="1">
      <c r="L900" s="7"/>
      <c r="Q900" s="7"/>
      <c r="S900" s="7"/>
      <c r="U900" s="7"/>
      <c r="W900" s="7"/>
      <c r="Y900" s="7"/>
    </row>
    <row r="901" ht="24.75" customHeight="1">
      <c r="L901" s="7"/>
      <c r="Q901" s="7"/>
      <c r="S901" s="7"/>
      <c r="U901" s="7"/>
      <c r="W901" s="7"/>
      <c r="Y901" s="7"/>
    </row>
    <row r="902" ht="24.75" customHeight="1">
      <c r="L902" s="7"/>
      <c r="Q902" s="7"/>
      <c r="S902" s="7"/>
      <c r="U902" s="7"/>
      <c r="W902" s="7"/>
      <c r="Y902" s="7"/>
    </row>
    <row r="903" ht="24.75" customHeight="1">
      <c r="L903" s="7"/>
      <c r="Q903" s="7"/>
      <c r="S903" s="7"/>
      <c r="U903" s="7"/>
      <c r="W903" s="7"/>
      <c r="Y903" s="7"/>
    </row>
    <row r="904" ht="24.75" customHeight="1">
      <c r="L904" s="7"/>
      <c r="Q904" s="7"/>
      <c r="S904" s="7"/>
      <c r="U904" s="7"/>
      <c r="W904" s="7"/>
      <c r="Y904" s="7"/>
    </row>
    <row r="905" ht="24.75" customHeight="1">
      <c r="L905" s="7"/>
      <c r="Q905" s="7"/>
      <c r="S905" s="7"/>
      <c r="U905" s="7"/>
      <c r="W905" s="7"/>
      <c r="Y905" s="7"/>
    </row>
    <row r="906" ht="24.75" customHeight="1">
      <c r="L906" s="7"/>
      <c r="Q906" s="7"/>
      <c r="S906" s="7"/>
      <c r="U906" s="7"/>
      <c r="W906" s="7"/>
      <c r="Y906" s="7"/>
    </row>
    <row r="907" ht="24.75" customHeight="1">
      <c r="L907" s="7"/>
      <c r="Q907" s="7"/>
      <c r="S907" s="7"/>
      <c r="U907" s="7"/>
      <c r="W907" s="7"/>
      <c r="Y907" s="7"/>
    </row>
    <row r="908" ht="24.75" customHeight="1">
      <c r="L908" s="7"/>
      <c r="Q908" s="7"/>
      <c r="S908" s="7"/>
      <c r="U908" s="7"/>
      <c r="W908" s="7"/>
      <c r="Y908" s="7"/>
    </row>
    <row r="909" ht="24.75" customHeight="1">
      <c r="L909" s="7"/>
      <c r="Q909" s="7"/>
      <c r="S909" s="7"/>
      <c r="U909" s="7"/>
      <c r="W909" s="7"/>
      <c r="Y909" s="7"/>
    </row>
    <row r="910" ht="24.75" customHeight="1">
      <c r="L910" s="7"/>
      <c r="Q910" s="7"/>
      <c r="S910" s="7"/>
      <c r="U910" s="7"/>
      <c r="W910" s="7"/>
      <c r="Y910" s="7"/>
    </row>
    <row r="911" ht="24.75" customHeight="1">
      <c r="L911" s="7"/>
      <c r="Q911" s="7"/>
      <c r="S911" s="7"/>
      <c r="U911" s="7"/>
      <c r="W911" s="7"/>
      <c r="Y911" s="7"/>
    </row>
    <row r="912" ht="24.75" customHeight="1">
      <c r="L912" s="7"/>
      <c r="Q912" s="7"/>
      <c r="S912" s="7"/>
      <c r="U912" s="7"/>
      <c r="W912" s="7"/>
      <c r="Y912" s="7"/>
    </row>
    <row r="913" ht="24.75" customHeight="1">
      <c r="L913" s="7"/>
      <c r="Q913" s="7"/>
      <c r="S913" s="7"/>
      <c r="U913" s="7"/>
      <c r="W913" s="7"/>
      <c r="Y913" s="7"/>
    </row>
    <row r="914" ht="24.75" customHeight="1">
      <c r="L914" s="7"/>
      <c r="Q914" s="7"/>
      <c r="S914" s="7"/>
      <c r="U914" s="7"/>
      <c r="W914" s="7"/>
      <c r="Y914" s="7"/>
    </row>
    <row r="915" ht="24.75" customHeight="1">
      <c r="L915" s="7"/>
      <c r="Q915" s="7"/>
      <c r="S915" s="7"/>
      <c r="U915" s="7"/>
      <c r="W915" s="7"/>
      <c r="Y915" s="7"/>
    </row>
    <row r="916" ht="24.75" customHeight="1">
      <c r="L916" s="7"/>
      <c r="Q916" s="7"/>
      <c r="S916" s="7"/>
      <c r="U916" s="7"/>
      <c r="W916" s="7"/>
      <c r="Y916" s="7"/>
    </row>
    <row r="917" ht="24.75" customHeight="1">
      <c r="L917" s="7"/>
      <c r="Q917" s="7"/>
      <c r="S917" s="7"/>
      <c r="U917" s="7"/>
      <c r="W917" s="7"/>
      <c r="Y917" s="7"/>
    </row>
    <row r="918" ht="24.75" customHeight="1">
      <c r="L918" s="7"/>
      <c r="Q918" s="7"/>
      <c r="S918" s="7"/>
      <c r="U918" s="7"/>
      <c r="W918" s="7"/>
      <c r="Y918" s="7"/>
    </row>
    <row r="919" ht="24.75" customHeight="1">
      <c r="L919" s="7"/>
      <c r="Q919" s="7"/>
      <c r="S919" s="7"/>
      <c r="U919" s="7"/>
      <c r="W919" s="7"/>
      <c r="Y919" s="7"/>
    </row>
    <row r="920" ht="24.75" customHeight="1">
      <c r="L920" s="7"/>
      <c r="Q920" s="7"/>
      <c r="S920" s="7"/>
      <c r="U920" s="7"/>
      <c r="W920" s="7"/>
      <c r="Y920" s="7"/>
    </row>
    <row r="921" ht="24.75" customHeight="1">
      <c r="L921" s="7"/>
      <c r="Q921" s="7"/>
      <c r="S921" s="7"/>
      <c r="U921" s="7"/>
      <c r="W921" s="7"/>
      <c r="Y921" s="7"/>
    </row>
    <row r="922" ht="24.75" customHeight="1">
      <c r="L922" s="7"/>
      <c r="Q922" s="7"/>
      <c r="S922" s="7"/>
      <c r="U922" s="7"/>
      <c r="W922" s="7"/>
      <c r="Y922" s="7"/>
    </row>
    <row r="923" ht="24.75" customHeight="1">
      <c r="L923" s="7"/>
      <c r="Q923" s="7"/>
      <c r="S923" s="7"/>
      <c r="U923" s="7"/>
      <c r="W923" s="7"/>
      <c r="Y923" s="7"/>
    </row>
    <row r="924" ht="24.75" customHeight="1">
      <c r="L924" s="7"/>
      <c r="Q924" s="7"/>
      <c r="S924" s="7"/>
      <c r="U924" s="7"/>
      <c r="W924" s="7"/>
      <c r="Y924" s="7"/>
    </row>
    <row r="925" ht="24.75" customHeight="1">
      <c r="L925" s="7"/>
      <c r="Q925" s="7"/>
      <c r="S925" s="7"/>
      <c r="U925" s="7"/>
      <c r="W925" s="7"/>
      <c r="Y925" s="7"/>
    </row>
    <row r="926" ht="24.75" customHeight="1">
      <c r="L926" s="7"/>
      <c r="Q926" s="7"/>
      <c r="S926" s="7"/>
      <c r="U926" s="7"/>
      <c r="W926" s="7"/>
      <c r="Y926" s="7"/>
    </row>
    <row r="927" ht="24.75" customHeight="1">
      <c r="L927" s="7"/>
      <c r="Q927" s="7"/>
      <c r="S927" s="7"/>
      <c r="U927" s="7"/>
      <c r="W927" s="7"/>
      <c r="Y927" s="7"/>
    </row>
    <row r="928" ht="24.75" customHeight="1">
      <c r="L928" s="7"/>
      <c r="Q928" s="7"/>
      <c r="S928" s="7"/>
      <c r="U928" s="7"/>
      <c r="W928" s="7"/>
      <c r="Y928" s="7"/>
    </row>
    <row r="929" ht="24.75" customHeight="1">
      <c r="L929" s="7"/>
      <c r="Q929" s="7"/>
      <c r="S929" s="7"/>
      <c r="U929" s="7"/>
      <c r="W929" s="7"/>
      <c r="Y929" s="7"/>
    </row>
    <row r="930" ht="24.75" customHeight="1">
      <c r="L930" s="7"/>
      <c r="Q930" s="7"/>
      <c r="S930" s="7"/>
      <c r="U930" s="7"/>
      <c r="W930" s="7"/>
      <c r="Y930" s="7"/>
    </row>
    <row r="931" ht="24.75" customHeight="1">
      <c r="L931" s="7"/>
      <c r="Q931" s="7"/>
      <c r="S931" s="7"/>
      <c r="U931" s="7"/>
      <c r="W931" s="7"/>
      <c r="Y931" s="7"/>
    </row>
    <row r="932" ht="24.75" customHeight="1">
      <c r="L932" s="7"/>
      <c r="Q932" s="7"/>
      <c r="S932" s="7"/>
      <c r="U932" s="7"/>
      <c r="W932" s="7"/>
      <c r="Y932" s="7"/>
    </row>
    <row r="933" ht="24.75" customHeight="1">
      <c r="L933" s="7"/>
      <c r="Q933" s="7"/>
      <c r="S933" s="7"/>
      <c r="U933" s="7"/>
      <c r="W933" s="7"/>
      <c r="Y933" s="7"/>
    </row>
    <row r="934" ht="24.75" customHeight="1">
      <c r="L934" s="7"/>
      <c r="Q934" s="7"/>
      <c r="S934" s="7"/>
      <c r="U934" s="7"/>
      <c r="W934" s="7"/>
      <c r="Y934" s="7"/>
    </row>
    <row r="935" ht="24.75" customHeight="1">
      <c r="L935" s="7"/>
      <c r="Q935" s="7"/>
      <c r="S935" s="7"/>
      <c r="U935" s="7"/>
      <c r="W935" s="7"/>
      <c r="Y935" s="7"/>
    </row>
    <row r="936" ht="24.75" customHeight="1">
      <c r="L936" s="7"/>
      <c r="Q936" s="7"/>
      <c r="S936" s="7"/>
      <c r="U936" s="7"/>
      <c r="W936" s="7"/>
      <c r="Y936" s="7"/>
    </row>
    <row r="937" ht="24.75" customHeight="1">
      <c r="L937" s="7"/>
      <c r="Q937" s="7"/>
      <c r="S937" s="7"/>
      <c r="U937" s="7"/>
      <c r="W937" s="7"/>
      <c r="Y937" s="7"/>
    </row>
    <row r="938" ht="24.75" customHeight="1">
      <c r="L938" s="7"/>
      <c r="Q938" s="7"/>
      <c r="S938" s="7"/>
      <c r="U938" s="7"/>
      <c r="W938" s="7"/>
      <c r="Y938" s="7"/>
    </row>
    <row r="939" ht="24.75" customHeight="1">
      <c r="L939" s="7"/>
      <c r="Q939" s="7"/>
      <c r="S939" s="7"/>
      <c r="U939" s="7"/>
      <c r="W939" s="7"/>
      <c r="Y939" s="7"/>
    </row>
    <row r="940" ht="24.75" customHeight="1">
      <c r="L940" s="7"/>
      <c r="Q940" s="7"/>
      <c r="S940" s="7"/>
      <c r="U940" s="7"/>
      <c r="W940" s="7"/>
      <c r="Y940" s="7"/>
    </row>
    <row r="941" ht="24.75" customHeight="1">
      <c r="L941" s="7"/>
      <c r="Q941" s="7"/>
      <c r="S941" s="7"/>
      <c r="U941" s="7"/>
      <c r="W941" s="7"/>
      <c r="Y941" s="7"/>
    </row>
    <row r="942" ht="24.75" customHeight="1">
      <c r="L942" s="7"/>
      <c r="Q942" s="7"/>
      <c r="S942" s="7"/>
      <c r="U942" s="7"/>
      <c r="W942" s="7"/>
      <c r="Y942" s="7"/>
    </row>
    <row r="943" ht="24.75" customHeight="1">
      <c r="L943" s="7"/>
      <c r="Q943" s="7"/>
      <c r="S943" s="7"/>
      <c r="U943" s="7"/>
      <c r="W943" s="7"/>
      <c r="Y943" s="7"/>
    </row>
    <row r="944" ht="24.75" customHeight="1">
      <c r="L944" s="7"/>
      <c r="Q944" s="7"/>
      <c r="S944" s="7"/>
      <c r="U944" s="7"/>
      <c r="W944" s="7"/>
      <c r="Y944" s="7"/>
    </row>
    <row r="945" ht="24.75" customHeight="1">
      <c r="L945" s="7"/>
      <c r="Q945" s="7"/>
      <c r="S945" s="7"/>
      <c r="U945" s="7"/>
      <c r="W945" s="7"/>
      <c r="Y945" s="7"/>
    </row>
    <row r="946" ht="24.75" customHeight="1">
      <c r="L946" s="7"/>
      <c r="Q946" s="7"/>
      <c r="S946" s="7"/>
      <c r="U946" s="7"/>
      <c r="W946" s="7"/>
      <c r="Y946" s="7"/>
    </row>
    <row r="947" ht="24.75" customHeight="1">
      <c r="L947" s="7"/>
      <c r="Q947" s="7"/>
      <c r="S947" s="7"/>
      <c r="U947" s="7"/>
      <c r="W947" s="7"/>
      <c r="Y947" s="7"/>
    </row>
    <row r="948" ht="24.75" customHeight="1">
      <c r="L948" s="7"/>
      <c r="Q948" s="7"/>
      <c r="S948" s="7"/>
      <c r="U948" s="7"/>
      <c r="W948" s="7"/>
      <c r="Y948" s="7"/>
    </row>
    <row r="949" ht="24.75" customHeight="1">
      <c r="L949" s="7"/>
      <c r="Q949" s="7"/>
      <c r="S949" s="7"/>
      <c r="U949" s="7"/>
      <c r="W949" s="7"/>
      <c r="Y949" s="7"/>
    </row>
    <row r="950" ht="24.75" customHeight="1">
      <c r="L950" s="7"/>
      <c r="Q950" s="7"/>
      <c r="S950" s="7"/>
      <c r="U950" s="7"/>
      <c r="W950" s="7"/>
      <c r="Y950" s="7"/>
    </row>
    <row r="951" ht="24.75" customHeight="1">
      <c r="L951" s="7"/>
      <c r="Q951" s="7"/>
      <c r="S951" s="7"/>
      <c r="U951" s="7"/>
      <c r="W951" s="7"/>
      <c r="Y951" s="7"/>
    </row>
    <row r="952" ht="24.75" customHeight="1">
      <c r="L952" s="7"/>
      <c r="Q952" s="7"/>
      <c r="S952" s="7"/>
      <c r="U952" s="7"/>
      <c r="W952" s="7"/>
      <c r="Y952" s="7"/>
    </row>
    <row r="953" ht="24.75" customHeight="1">
      <c r="L953" s="7"/>
      <c r="Q953" s="7"/>
      <c r="S953" s="7"/>
      <c r="U953" s="7"/>
      <c r="W953" s="7"/>
      <c r="Y953" s="7"/>
    </row>
    <row r="954" ht="24.75" customHeight="1">
      <c r="L954" s="7"/>
      <c r="Q954" s="7"/>
      <c r="S954" s="7"/>
      <c r="U954" s="7"/>
      <c r="W954" s="7"/>
      <c r="Y954" s="7"/>
    </row>
    <row r="955" ht="24.75" customHeight="1">
      <c r="L955" s="7"/>
      <c r="Q955" s="7"/>
      <c r="S955" s="7"/>
      <c r="U955" s="7"/>
      <c r="W955" s="7"/>
      <c r="Y955" s="7"/>
    </row>
    <row r="956" ht="24.75" customHeight="1">
      <c r="L956" s="7"/>
      <c r="Q956" s="7"/>
      <c r="S956" s="7"/>
      <c r="U956" s="7"/>
      <c r="W956" s="7"/>
      <c r="Y956" s="7"/>
    </row>
    <row r="957" ht="24.75" customHeight="1">
      <c r="L957" s="7"/>
      <c r="Q957" s="7"/>
      <c r="S957" s="7"/>
      <c r="U957" s="7"/>
      <c r="W957" s="7"/>
      <c r="Y957" s="7"/>
    </row>
    <row r="958" ht="24.75" customHeight="1">
      <c r="L958" s="7"/>
      <c r="Q958" s="7"/>
      <c r="S958" s="7"/>
      <c r="U958" s="7"/>
      <c r="W958" s="7"/>
      <c r="Y958" s="7"/>
    </row>
    <row r="959" ht="24.75" customHeight="1">
      <c r="L959" s="7"/>
      <c r="Q959" s="7"/>
      <c r="S959" s="7"/>
      <c r="U959" s="7"/>
      <c r="W959" s="7"/>
      <c r="Y959" s="7"/>
    </row>
    <row r="960" ht="24.75" customHeight="1">
      <c r="L960" s="7"/>
      <c r="Q960" s="7"/>
      <c r="S960" s="7"/>
      <c r="U960" s="7"/>
      <c r="W960" s="7"/>
      <c r="Y960" s="7"/>
    </row>
    <row r="961" ht="24.75" customHeight="1">
      <c r="L961" s="7"/>
      <c r="Q961" s="7"/>
      <c r="S961" s="7"/>
      <c r="U961" s="7"/>
      <c r="W961" s="7"/>
      <c r="Y961" s="7"/>
    </row>
    <row r="962" ht="24.75" customHeight="1">
      <c r="L962" s="7"/>
      <c r="Q962" s="7"/>
      <c r="S962" s="7"/>
      <c r="U962" s="7"/>
      <c r="W962" s="7"/>
      <c r="Y962" s="7"/>
    </row>
    <row r="963" ht="24.75" customHeight="1">
      <c r="L963" s="7"/>
      <c r="Q963" s="7"/>
      <c r="S963" s="7"/>
      <c r="U963" s="7"/>
      <c r="W963" s="7"/>
      <c r="Y963" s="7"/>
    </row>
    <row r="964" ht="24.75" customHeight="1">
      <c r="L964" s="7"/>
      <c r="Q964" s="7"/>
      <c r="S964" s="7"/>
      <c r="U964" s="7"/>
      <c r="W964" s="7"/>
      <c r="Y964" s="7"/>
    </row>
    <row r="965" ht="24.75" customHeight="1">
      <c r="L965" s="7"/>
      <c r="Q965" s="7"/>
      <c r="S965" s="7"/>
      <c r="U965" s="7"/>
      <c r="W965" s="7"/>
      <c r="Y965" s="7"/>
    </row>
    <row r="966" ht="24.75" customHeight="1">
      <c r="L966" s="7"/>
      <c r="Q966" s="7"/>
      <c r="S966" s="7"/>
      <c r="U966" s="7"/>
      <c r="W966" s="7"/>
      <c r="Y966" s="7"/>
    </row>
    <row r="967" ht="24.75" customHeight="1">
      <c r="L967" s="7"/>
      <c r="Q967" s="7"/>
      <c r="S967" s="7"/>
      <c r="U967" s="7"/>
      <c r="W967" s="7"/>
      <c r="Y967" s="7"/>
    </row>
    <row r="968" ht="24.75" customHeight="1">
      <c r="L968" s="7"/>
      <c r="Q968" s="7"/>
      <c r="S968" s="7"/>
      <c r="U968" s="7"/>
      <c r="W968" s="7"/>
      <c r="Y968" s="7"/>
    </row>
    <row r="969" ht="24.75" customHeight="1">
      <c r="L969" s="7"/>
      <c r="Q969" s="7"/>
      <c r="S969" s="7"/>
      <c r="U969" s="7"/>
      <c r="W969" s="7"/>
      <c r="Y969" s="7"/>
    </row>
    <row r="970" ht="24.75" customHeight="1">
      <c r="L970" s="7"/>
      <c r="Q970" s="7"/>
      <c r="S970" s="7"/>
      <c r="U970" s="7"/>
      <c r="W970" s="7"/>
      <c r="Y970" s="7"/>
    </row>
    <row r="971" ht="24.75" customHeight="1">
      <c r="L971" s="7"/>
      <c r="Q971" s="7"/>
      <c r="S971" s="7"/>
      <c r="U971" s="7"/>
      <c r="W971" s="7"/>
      <c r="Y971" s="7"/>
    </row>
    <row r="972" ht="24.75" customHeight="1">
      <c r="L972" s="7"/>
      <c r="Q972" s="7"/>
      <c r="S972" s="7"/>
      <c r="U972" s="7"/>
      <c r="W972" s="7"/>
      <c r="Y972" s="7"/>
    </row>
    <row r="973" ht="24.75" customHeight="1">
      <c r="L973" s="7"/>
      <c r="Q973" s="7"/>
      <c r="S973" s="7"/>
      <c r="U973" s="7"/>
      <c r="W973" s="7"/>
      <c r="Y973" s="7"/>
    </row>
    <row r="974" ht="24.75" customHeight="1">
      <c r="L974" s="7"/>
      <c r="Q974" s="7"/>
      <c r="S974" s="7"/>
      <c r="U974" s="7"/>
      <c r="W974" s="7"/>
      <c r="Y974" s="7"/>
    </row>
    <row r="975" ht="24.75" customHeight="1">
      <c r="L975" s="7"/>
      <c r="Q975" s="7"/>
      <c r="S975" s="7"/>
      <c r="U975" s="7"/>
      <c r="W975" s="7"/>
      <c r="Y975" s="7"/>
    </row>
    <row r="976" ht="24.75" customHeight="1">
      <c r="L976" s="7"/>
      <c r="Q976" s="7"/>
      <c r="S976" s="7"/>
      <c r="U976" s="7"/>
      <c r="W976" s="7"/>
      <c r="Y976" s="7"/>
    </row>
    <row r="977" ht="24.75" customHeight="1">
      <c r="L977" s="7"/>
      <c r="Q977" s="7"/>
      <c r="S977" s="7"/>
      <c r="U977" s="7"/>
      <c r="W977" s="7"/>
      <c r="Y977" s="7"/>
    </row>
    <row r="978" ht="24.75" customHeight="1">
      <c r="L978" s="7"/>
      <c r="Q978" s="7"/>
      <c r="S978" s="7"/>
      <c r="U978" s="7"/>
      <c r="W978" s="7"/>
      <c r="Y978" s="7"/>
    </row>
    <row r="979" ht="24.75" customHeight="1">
      <c r="L979" s="7"/>
      <c r="Q979" s="7"/>
      <c r="S979" s="7"/>
      <c r="U979" s="7"/>
      <c r="W979" s="7"/>
      <c r="Y979" s="7"/>
    </row>
    <row r="980" ht="24.75" customHeight="1">
      <c r="L980" s="7"/>
      <c r="Q980" s="7"/>
      <c r="S980" s="7"/>
      <c r="U980" s="7"/>
      <c r="W980" s="7"/>
      <c r="Y980" s="7"/>
    </row>
    <row r="981" ht="24.75" customHeight="1">
      <c r="L981" s="7"/>
      <c r="Q981" s="7"/>
      <c r="S981" s="7"/>
      <c r="U981" s="7"/>
      <c r="W981" s="7"/>
      <c r="Y981" s="7"/>
    </row>
    <row r="982" ht="24.75" customHeight="1">
      <c r="L982" s="7"/>
      <c r="Q982" s="7"/>
      <c r="S982" s="7"/>
      <c r="U982" s="7"/>
      <c r="W982" s="7"/>
      <c r="Y982" s="7"/>
    </row>
    <row r="983" ht="24.75" customHeight="1">
      <c r="L983" s="7"/>
      <c r="Q983" s="7"/>
      <c r="S983" s="7"/>
      <c r="U983" s="7"/>
      <c r="W983" s="7"/>
      <c r="Y983" s="7"/>
    </row>
    <row r="984" ht="24.75" customHeight="1">
      <c r="L984" s="7"/>
      <c r="Q984" s="7"/>
      <c r="S984" s="7"/>
      <c r="U984" s="7"/>
      <c r="W984" s="7"/>
      <c r="Y984" s="7"/>
    </row>
    <row r="985" ht="24.75" customHeight="1">
      <c r="L985" s="7"/>
      <c r="Q985" s="7"/>
      <c r="S985" s="7"/>
      <c r="U985" s="7"/>
      <c r="W985" s="7"/>
      <c r="Y985" s="7"/>
    </row>
    <row r="986" ht="24.75" customHeight="1">
      <c r="L986" s="7"/>
      <c r="Q986" s="7"/>
      <c r="S986" s="7"/>
      <c r="U986" s="7"/>
      <c r="W986" s="7"/>
      <c r="Y986" s="7"/>
    </row>
    <row r="987" ht="24.75" customHeight="1">
      <c r="L987" s="7"/>
      <c r="Q987" s="7"/>
      <c r="S987" s="7"/>
      <c r="U987" s="7"/>
      <c r="W987" s="7"/>
      <c r="Y987" s="7"/>
    </row>
    <row r="988" ht="24.75" customHeight="1">
      <c r="L988" s="7"/>
      <c r="Q988" s="7"/>
      <c r="S988" s="7"/>
      <c r="U988" s="7"/>
      <c r="W988" s="7"/>
      <c r="Y988" s="7"/>
    </row>
    <row r="989" ht="24.75" customHeight="1">
      <c r="L989" s="7"/>
      <c r="Q989" s="7"/>
      <c r="S989" s="7"/>
      <c r="U989" s="7"/>
      <c r="W989" s="7"/>
      <c r="Y989" s="7"/>
    </row>
    <row r="990" ht="24.75" customHeight="1">
      <c r="L990" s="7"/>
      <c r="Q990" s="7"/>
      <c r="S990" s="7"/>
      <c r="U990" s="7"/>
      <c r="W990" s="7"/>
      <c r="Y990" s="7"/>
    </row>
    <row r="991" ht="24.75" customHeight="1">
      <c r="L991" s="7"/>
      <c r="Q991" s="7"/>
      <c r="S991" s="7"/>
      <c r="U991" s="7"/>
      <c r="W991" s="7"/>
      <c r="Y991" s="7"/>
    </row>
    <row r="992" ht="24.75" customHeight="1">
      <c r="L992" s="7"/>
      <c r="Q992" s="7"/>
      <c r="S992" s="7"/>
      <c r="U992" s="7"/>
      <c r="W992" s="7"/>
      <c r="Y992" s="7"/>
    </row>
    <row r="993" ht="24.75" customHeight="1">
      <c r="L993" s="7"/>
      <c r="Q993" s="7"/>
      <c r="S993" s="7"/>
      <c r="U993" s="7"/>
      <c r="W993" s="7"/>
      <c r="Y993" s="7"/>
    </row>
    <row r="994" ht="24.75" customHeight="1">
      <c r="L994" s="7"/>
      <c r="Q994" s="7"/>
      <c r="S994" s="7"/>
      <c r="U994" s="7"/>
      <c r="W994" s="7"/>
      <c r="Y994" s="7"/>
    </row>
    <row r="995" ht="24.75" customHeight="1">
      <c r="L995" s="7"/>
      <c r="Q995" s="7"/>
      <c r="S995" s="7"/>
      <c r="U995" s="7"/>
      <c r="W995" s="7"/>
      <c r="Y995" s="7"/>
    </row>
    <row r="996" ht="24.75" customHeight="1">
      <c r="L996" s="7"/>
      <c r="Q996" s="7"/>
      <c r="S996" s="7"/>
      <c r="U996" s="7"/>
      <c r="W996" s="7"/>
      <c r="Y996" s="7"/>
    </row>
    <row r="997" ht="24.75" customHeight="1">
      <c r="L997" s="7"/>
      <c r="Q997" s="7"/>
      <c r="S997" s="7"/>
      <c r="U997" s="7"/>
      <c r="W997" s="7"/>
      <c r="Y997" s="7"/>
    </row>
    <row r="998" ht="24.75" customHeight="1">
      <c r="L998" s="7"/>
      <c r="Q998" s="7"/>
      <c r="S998" s="7"/>
      <c r="U998" s="7"/>
      <c r="W998" s="7"/>
      <c r="Y998" s="7"/>
    </row>
    <row r="999" ht="24.75" customHeight="1">
      <c r="L999" s="7"/>
      <c r="Q999" s="7"/>
      <c r="S999" s="7"/>
      <c r="U999" s="7"/>
      <c r="W999" s="7"/>
      <c r="Y999" s="7"/>
    </row>
    <row r="1000" ht="24.75" customHeight="1">
      <c r="L1000" s="7"/>
      <c r="Q1000" s="7"/>
      <c r="S1000" s="7"/>
      <c r="U1000" s="7"/>
      <c r="W1000" s="7"/>
      <c r="Y1000" s="7"/>
    </row>
  </sheetData>
  <dataValidations>
    <dataValidation type="list" allowBlank="1" sqref="L2:L1000">
      <formula1>"Must Have,Should Have,Could Have,Will not Have"</formula1>
    </dataValidation>
    <dataValidation type="list" allowBlank="1" sqref="Q2 S2 Q4:Q5 S4:S5 Y2:Y5 Y7 Y9 Q7:Q16 S7:S16 Y12:Y17 W2:W19 Q19:Q20 S19:S20 Y19:Y20 Q22:Q23 U2:U23 W22:W23 Y22:Y23 Q25:Q1000 S22:S1000 U25:U1000 W25:W1000 Y25:Y1000">
      <formula1>"0,1,2,3,5,8,13,21,34,55,89"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0"/>
  </cols>
  <sheetData>
    <row r="1" ht="24.75" hidden="1" customHeight="1">
      <c r="A1" s="7" t="s">
        <v>141</v>
      </c>
      <c r="B1" s="7" t="s">
        <v>142</v>
      </c>
      <c r="C1" s="7" t="s">
        <v>143</v>
      </c>
      <c r="D1" s="7" t="s">
        <v>144</v>
      </c>
      <c r="E1" s="7" t="s">
        <v>145</v>
      </c>
      <c r="F1" s="7" t="s">
        <v>146</v>
      </c>
      <c r="G1" s="7" t="s">
        <v>147</v>
      </c>
    </row>
    <row r="2" ht="24.75" customHeight="1">
      <c r="A2" s="10" t="s">
        <v>148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4.75" customHeight="1">
      <c r="A3" s="14" t="s">
        <v>149</v>
      </c>
      <c r="B3" s="14" t="s">
        <v>150</v>
      </c>
      <c r="C3" s="14" t="s">
        <v>151</v>
      </c>
      <c r="D3" s="14" t="s">
        <v>144</v>
      </c>
      <c r="E3" s="14" t="s">
        <v>145</v>
      </c>
      <c r="F3" s="14" t="s">
        <v>146</v>
      </c>
      <c r="G3" s="14" t="s">
        <v>147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4.75" customHeight="1">
      <c r="A4" s="3">
        <v>1.0</v>
      </c>
      <c r="B4" s="3" t="s">
        <v>152</v>
      </c>
      <c r="C4" s="3">
        <v>0.5</v>
      </c>
      <c r="D4" s="3">
        <v>0.5</v>
      </c>
      <c r="E4" s="3">
        <v>1.0</v>
      </c>
      <c r="F4" s="3">
        <v>100.0</v>
      </c>
      <c r="G4" s="3">
        <v>100.0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4.75" customHeight="1">
      <c r="A5" s="3">
        <v>2.0</v>
      </c>
      <c r="B5" s="3" t="s">
        <v>153</v>
      </c>
      <c r="C5" s="3">
        <v>1.0</v>
      </c>
      <c r="D5" s="3">
        <v>0.5</v>
      </c>
      <c r="E5" s="3">
        <v>1.0</v>
      </c>
      <c r="F5" s="3">
        <v>50.0</v>
      </c>
      <c r="G5" s="3">
        <v>50.0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3">
        <v>3.0</v>
      </c>
      <c r="B6" s="3" t="s">
        <v>154</v>
      </c>
      <c r="C6" s="3">
        <v>2.0</v>
      </c>
      <c r="D6" s="3">
        <v>1.0</v>
      </c>
      <c r="E6" s="3">
        <v>1.0</v>
      </c>
      <c r="F6" s="3">
        <v>50.0</v>
      </c>
      <c r="G6" s="3">
        <v>33.34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4.75" customHeight="1">
      <c r="A7" s="3">
        <v>5.0</v>
      </c>
      <c r="B7" s="3" t="s">
        <v>155</v>
      </c>
      <c r="C7" s="3">
        <v>4.0</v>
      </c>
      <c r="D7" s="3">
        <v>2.0</v>
      </c>
      <c r="E7" s="3">
        <v>2.0</v>
      </c>
      <c r="F7" s="3">
        <v>50.0</v>
      </c>
      <c r="G7" s="3">
        <v>40.0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4.75" customHeight="1">
      <c r="A8" s="3">
        <v>8.0</v>
      </c>
      <c r="B8" s="3" t="s">
        <v>156</v>
      </c>
      <c r="C8" s="3">
        <v>7.0</v>
      </c>
      <c r="D8" s="3">
        <v>3.0</v>
      </c>
      <c r="E8" s="3">
        <v>3.0</v>
      </c>
      <c r="F8" s="3">
        <v>42.86</v>
      </c>
      <c r="G8" s="3">
        <v>37.5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24.75" customHeight="1">
      <c r="A9" s="3">
        <v>13.0</v>
      </c>
      <c r="B9" s="3" t="s">
        <v>157</v>
      </c>
      <c r="C9" s="3">
        <v>11.0</v>
      </c>
      <c r="D9" s="3">
        <v>4.0</v>
      </c>
      <c r="E9" s="3">
        <v>5.0</v>
      </c>
      <c r="F9" s="3">
        <v>36.37</v>
      </c>
      <c r="G9" s="3">
        <v>38.47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4.75" customHeight="1">
      <c r="A10" s="3">
        <v>21.0</v>
      </c>
      <c r="B10" s="3" t="s">
        <v>158</v>
      </c>
      <c r="C10" s="3">
        <v>16.0</v>
      </c>
      <c r="D10" s="3">
        <v>5.0</v>
      </c>
      <c r="E10" s="3">
        <v>8.0</v>
      </c>
      <c r="F10" s="3">
        <v>31.25</v>
      </c>
      <c r="G10" s="3">
        <v>38.1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4.75" customHeight="1">
      <c r="A11" s="3">
        <v>34.0</v>
      </c>
      <c r="B11" s="3" t="s">
        <v>159</v>
      </c>
      <c r="C11" s="3">
        <v>24.0</v>
      </c>
      <c r="D11" s="3">
        <v>8.0</v>
      </c>
      <c r="E11" s="3">
        <v>13.0</v>
      </c>
      <c r="F11" s="3">
        <v>33.34</v>
      </c>
      <c r="G11" s="3">
        <v>38.24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4.75" customHeight="1">
      <c r="A12" s="3">
        <v>55.0</v>
      </c>
      <c r="B12" s="3" t="s">
        <v>160</v>
      </c>
      <c r="C12" s="3">
        <v>40.0</v>
      </c>
      <c r="D12" s="3">
        <v>16.0</v>
      </c>
      <c r="E12" s="3">
        <v>21.0</v>
      </c>
      <c r="F12" s="3">
        <v>40.0</v>
      </c>
      <c r="G12" s="3">
        <v>38.19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4.75" customHeight="1">
      <c r="A13" s="3">
        <v>89.0</v>
      </c>
      <c r="B13" s="3" t="s">
        <v>161</v>
      </c>
      <c r="C13" s="3">
        <v>60.0</v>
      </c>
      <c r="D13" s="3">
        <v>20.0</v>
      </c>
      <c r="E13" s="3">
        <v>34.0</v>
      </c>
      <c r="F13" s="3">
        <v>33.34</v>
      </c>
      <c r="G13" s="3">
        <v>38.21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4.75" customHeight="1"/>
    <row r="15" ht="24.75" customHeight="1"/>
    <row r="16" ht="24.75" customHeight="1"/>
    <row r="17" ht="24.75" customHeight="1"/>
    <row r="18" ht="24.75" customHeight="1">
      <c r="A18" s="10" t="s">
        <v>162</v>
      </c>
      <c r="B18" s="11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4.75" customHeight="1">
      <c r="A19" s="14" t="s">
        <v>163</v>
      </c>
      <c r="B19" s="14" t="s">
        <v>142</v>
      </c>
      <c r="C19" s="14" t="s">
        <v>143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4.75" customHeight="1">
      <c r="A20" s="3" t="s">
        <v>164</v>
      </c>
      <c r="B20" s="3" t="s">
        <v>165</v>
      </c>
      <c r="C20" s="3">
        <v>32.0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24.75" customHeight="1">
      <c r="A21" s="3" t="s">
        <v>166</v>
      </c>
      <c r="B21" s="3" t="s">
        <v>167</v>
      </c>
      <c r="C21" s="3">
        <v>72.0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4.75" customHeight="1">
      <c r="A22" s="3" t="s">
        <v>168</v>
      </c>
      <c r="B22" s="3" t="s">
        <v>169</v>
      </c>
      <c r="C22" s="3">
        <v>73.0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24.75" customHeight="1"/>
    <row r="24" ht="24.75" customHeight="1"/>
    <row r="25" ht="24.75" customHeight="1"/>
    <row r="26" ht="24.75" customHeight="1"/>
    <row r="27" ht="24.75" customHeight="1">
      <c r="A27" s="1" t="s">
        <v>170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24.75" customHeight="1">
      <c r="A28" s="14" t="s">
        <v>141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4.75" customHeight="1">
      <c r="A29" s="3" t="s">
        <v>27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24.75" customHeight="1">
      <c r="A30" s="3" t="s">
        <v>171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24.75" customHeight="1">
      <c r="A31" s="3" t="s">
        <v>172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24.75" customHeight="1">
      <c r="A32" s="3" t="s">
        <v>173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mergeCells count="2">
    <mergeCell ref="A2:G2"/>
    <mergeCell ref="A18:C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2026-02-20T07:44:45Z</dcterms:created>
  <dc:creator>Unknown</dc:creator>
</cp:coreProperties>
</file>