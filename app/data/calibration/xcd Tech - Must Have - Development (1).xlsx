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ummary" state="visible" r:id="rId4"/>
    <sheet sheetId="2" name="Web App - Dev" state="visible" r:id="rId5"/>
    <sheet sheetId="3" name="Admin Panel - Dev" state="visible" r:id="rId6"/>
    <sheet sheetId="4" name="Web App - Summary" state="visible" r:id="rId7"/>
    <sheet sheetId="5" name="Admin Panel - Summary" state="visible" r:id="rId8"/>
    <sheet sheetId="6" name="Points-Table" state="visible" r:id="rId9"/>
  </sheets>
  <calcPr calcId="171027"/>
</workbook>
</file>

<file path=xl/sharedStrings.xml><?xml version="1.0" encoding="utf-8"?>
<sst xmlns="http://schemas.openxmlformats.org/spreadsheetml/2006/main" count="2522" uniqueCount="546">
  <si>
    <t>Name</t>
  </si>
  <si>
    <t>Total Hours</t>
  </si>
  <si>
    <t>Visual Design</t>
  </si>
  <si>
    <t>Backend</t>
  </si>
  <si>
    <t>Web Mobile</t>
  </si>
  <si>
    <t>Wireframe</t>
  </si>
  <si>
    <t>Sheet Name</t>
  </si>
  <si>
    <t>Project  Management</t>
  </si>
  <si>
    <t>Team</t>
  </si>
  <si>
    <t>Overall</t>
  </si>
  <si>
    <t>UI/UX Lead</t>
  </si>
  <si>
    <t>UI/UX Review</t>
  </si>
  <si>
    <t>Design Hours (Wireframe + Visual Design)</t>
  </si>
  <si>
    <t>UI/UX BA</t>
  </si>
  <si>
    <t>UI/UX UAT</t>
  </si>
  <si>
    <t>UI/UX Documentation</t>
  </si>
  <si>
    <t>Development Hours (Web/Mobile + Backend)</t>
  </si>
  <si>
    <t>BA</t>
  </si>
  <si>
    <t>QA</t>
  </si>
  <si>
    <t>UAT</t>
  </si>
  <si>
    <t>Lead</t>
  </si>
  <si>
    <t>Documentation</t>
  </si>
  <si>
    <t>Deployment</t>
  </si>
  <si>
    <t>Team  Size</t>
  </si>
  <si>
    <t>Role</t>
  </si>
  <si>
    <t>Count</t>
  </si>
  <si>
    <t>Fe</t>
  </si>
  <si>
    <t>SE</t>
  </si>
  <si>
    <t>SSE</t>
  </si>
  <si>
    <t>Be</t>
  </si>
  <si>
    <t>Ux</t>
  </si>
  <si>
    <t>UIUX_DESIGNER</t>
  </si>
  <si>
    <t>Team  Hours</t>
  </si>
  <si>
    <t>Hr / Day</t>
  </si>
  <si>
    <t>ba</t>
  </si>
  <si>
    <t>lead</t>
  </si>
  <si>
    <t>qa</t>
  </si>
  <si>
    <t>uiux_ba</t>
  </si>
  <si>
    <t>uiux_lead</t>
  </si>
  <si>
    <t>Project  Development  Time  Line</t>
  </si>
  <si>
    <t>App Name</t>
  </si>
  <si>
    <t>FE Min</t>
  </si>
  <si>
    <t>FE Max</t>
  </si>
  <si>
    <t>BE Min</t>
  </si>
  <si>
    <t>BE Max</t>
  </si>
  <si>
    <t>Design Min</t>
  </si>
  <si>
    <t>Design Max</t>
  </si>
  <si>
    <t>Over All</t>
  </si>
  <si>
    <t>App  Wise  Phase  Estimation</t>
  </si>
  <si>
    <t>Web/Mobile</t>
  </si>
  <si>
    <t>Wireframes</t>
  </si>
  <si>
    <t>Web App</t>
  </si>
  <si>
    <t>Web App - Summary</t>
  </si>
  <si>
    <t>Admin Panel</t>
  </si>
  <si>
    <t>Admin Panel - Summary</t>
  </si>
  <si>
    <t>Sub Total</t>
  </si>
  <si>
    <t/>
  </si>
  <si>
    <t>Module Name</t>
  </si>
  <si>
    <t>Feature</t>
  </si>
  <si>
    <t>Sub-Feature</t>
  </si>
  <si>
    <t>Description</t>
  </si>
  <si>
    <t>Reference Link</t>
  </si>
  <si>
    <t>Assumption</t>
  </si>
  <si>
    <t>Queries</t>
  </si>
  <si>
    <t>Prototype Link</t>
  </si>
  <si>
    <t>What to do?</t>
  </si>
  <si>
    <t>How to do?</t>
  </si>
  <si>
    <t>Complexity</t>
  </si>
  <si>
    <t>Priority</t>
  </si>
  <si>
    <t>Frequency</t>
  </si>
  <si>
    <t>Design Available</t>
  </si>
  <si>
    <t>Required Development</t>
  </si>
  <si>
    <t>NPM Packages</t>
  </si>
  <si>
    <t>Wireframes Story Points</t>
  </si>
  <si>
    <t>Visual Design Story Points</t>
  </si>
  <si>
    <t>Frontend Story Points</t>
  </si>
  <si>
    <t>Integration Story Points</t>
  </si>
  <si>
    <t>Backend Story Points</t>
  </si>
  <si>
    <t>T-Shirt Size</t>
  </si>
  <si>
    <t>Tags</t>
  </si>
  <si>
    <t>Screen Patterns</t>
  </si>
  <si>
    <t>Feature Categories</t>
  </si>
  <si>
    <t>Non Functional</t>
  </si>
  <si>
    <t>Boilerplate</t>
  </si>
  <si>
    <t>Simple</t>
  </si>
  <si>
    <t>Must Have</t>
  </si>
  <si>
    <t>ERD</t>
  </si>
  <si>
    <t>db planning, relation mapping &amp; verification with client</t>
  </si>
  <si>
    <t>Login</t>
  </si>
  <si>
    <t>Email ID</t>
  </si>
  <si>
    <t>OTP</t>
  </si>
  <si>
    <t>Login with SSO</t>
  </si>
  <si>
    <t>will try to reutilize the sso flow of admin end as base layer</t>
  </si>
  <si>
    <t>Policies rule Validation checks engine</t>
  </si>
  <si>
    <t>payment policy rule</t>
  </si>
  <si>
    <t xml:space="preserve">pre-pay checks &amp; post pay autocharge user for remaining balance cron setup </t>
  </si>
  <si>
    <t>this will include pre payment rule check, post autocharge with specified date, specified amount if selected,  autopay attempts fails then admin will sort this out on ground</t>
  </si>
  <si>
    <t xml:space="preserve">cancellation policy rule check + charge the penalty amount as per rule </t>
  </si>
  <si>
    <t>check cancellation restrictions,  post cancellation charge penalty % amount as per rule</t>
  </si>
  <si>
    <t>minimum room night &amp; multiple room booking rule</t>
  </si>
  <si>
    <t>hotel operational &amp; custom text policy rulle</t>
  </si>
  <si>
    <t>these are only be shown as preview text during booking journey  no system rule checks needed</t>
  </si>
  <si>
    <t>Lock &amp; release inventory mechanism during cart creation</t>
  </si>
  <si>
    <t>Hotels List &amp; Booking Flow</t>
  </si>
  <si>
    <t>Check in and check out date</t>
  </si>
  <si>
    <t>Search | Sort | Filter (Based on Events)</t>
  </si>
  <si>
    <t>View Hotels List</t>
  </si>
  <si>
    <t>List View</t>
  </si>
  <si>
    <t>Map View</t>
  </si>
  <si>
    <t>Grid view</t>
  </si>
  <si>
    <t>View Hotel details</t>
  </si>
  <si>
    <t>Explore Rooms view, about hotel</t>
  </si>
  <si>
    <t>Amenities</t>
  </si>
  <si>
    <t>Distance to venue, Room types, Nightly rates</t>
  </si>
  <si>
    <t>Hotel Policies</t>
  </si>
  <si>
    <t>Booking and refund policies</t>
  </si>
  <si>
    <t>Booking Flow</t>
  </si>
  <si>
    <t>Select the room type + Checkin/checkout dates + count of rooms</t>
  </si>
  <si>
    <t>Preview Summary View</t>
  </si>
  <si>
    <t>Summary Page &amp; modify the current booking state</t>
  </si>
  <si>
    <t>frontend state management will be done here</t>
  </si>
  <si>
    <t>Add Guest</t>
  </si>
  <si>
    <t>Review Policies</t>
  </si>
  <si>
    <t>Payment View - Bills and taxes(add to cart type)</t>
  </si>
  <si>
    <t>add to cart api, inventory lock/release mechanism api to use here</t>
  </si>
  <si>
    <t>More details (Description)</t>
  </si>
  <si>
    <t xml:space="preserve">Collect necessary information about the guest (and any additional guests sharing the room). This includes name, contact information (phone, email), and possibly special requests (like dietary needs for breakfast or accessibility requests). User is logged in as an attendee, some details can be pre-filled from their profile to streamline the process.
</t>
  </si>
  <si>
    <t>?</t>
  </si>
  <si>
    <t>Select the Check-in and Check out dates</t>
  </si>
  <si>
    <t>Bulk Booking</t>
  </si>
  <si>
    <t>Select room type</t>
  </si>
  <si>
    <t>Reservation view</t>
  </si>
  <si>
    <t>Booking Summary Page(add to cart type)</t>
  </si>
  <si>
    <t xml:space="preserve">1. add to cart api
2. inventory lock/release mechanism api to use</t>
  </si>
  <si>
    <t>Modify Current Booking State</t>
  </si>
  <si>
    <t>Add guest details</t>
  </si>
  <si>
    <t>Add/Edit number of rooms per day</t>
  </si>
  <si>
    <t>Make a Payment (Stripe)</t>
  </si>
  <si>
    <t>Booking confirmation</t>
  </si>
  <si>
    <t>save booking with all transactional details</t>
  </si>
  <si>
    <t>Trigger Booking Email confirmation</t>
  </si>
  <si>
    <t>also setup other system booking emails</t>
  </si>
  <si>
    <t>My Bookings</t>
  </si>
  <si>
    <t>Bookings List ( Present Bookings / Past Bookings / Cancelled)</t>
  </si>
  <si>
    <t>Tab is not needed as per the design.</t>
  </si>
  <si>
    <t>View Booking details</t>
  </si>
  <si>
    <t>Modify Booking</t>
  </si>
  <si>
    <t>*</t>
  </si>
  <si>
    <t>Confirmation screen on Modification / Cancellation</t>
  </si>
  <si>
    <t>Cancel Booking + Additional Remarks</t>
  </si>
  <si>
    <t>Show cancellation / modification charges</t>
  </si>
  <si>
    <t>Make a payment (For modification) + Booking confirmation</t>
  </si>
  <si>
    <t>Trigger email to Event Admin incase of cancellation</t>
  </si>
  <si>
    <t>Download Invoice</t>
  </si>
  <si>
    <t>iInclude invoice setup with branding also here</t>
  </si>
  <si>
    <t>all booking transactional  invoices considering here, invoice capture from stripe</t>
  </si>
  <si>
    <t>Search | Sort | Filter</t>
  </si>
  <si>
    <t>Notifications</t>
  </si>
  <si>
    <t xml:space="preserve">Booking confirmation Email </t>
  </si>
  <si>
    <t xml:space="preserve">Email  to the user immediately after booking with all details. Optionally, send a summary to relevant admins or hotel contacts if needed (for example, the hotel could get a daily report of new reservations).
</t>
  </si>
  <si>
    <t>Post-Modification Notices:</t>
  </si>
  <si>
    <t xml:space="preserve">If a booking is changed or canceled, send an updated confirmation or a cancellation notice to the user. If admin approval was needed for a change, notify the user that their request has been processed or require further action.
</t>
  </si>
  <si>
    <t>Contact Support (Contact info)</t>
  </si>
  <si>
    <t>Contact mail id is mentioned</t>
  </si>
  <si>
    <t>Profile</t>
  </si>
  <si>
    <t>We just have logout under Profile</t>
  </si>
  <si>
    <t>view and edit is considered</t>
  </si>
  <si>
    <t>Logout</t>
  </si>
  <si>
    <t>User journey Analytics Integration(Optional)</t>
  </si>
  <si>
    <t>basic Firebase  basic event based analytics</t>
  </si>
  <si>
    <t>Tab Responsive</t>
  </si>
  <si>
    <t>Mobile Responsive</t>
  </si>
  <si>
    <t>Join Waitlist for Sold-out rooms</t>
  </si>
  <si>
    <t>UX Process</t>
  </si>
  <si>
    <t>Competitive Analysis</t>
  </si>
  <si>
    <t>User Flow</t>
  </si>
  <si>
    <t>Brainstorming &amp; Research</t>
  </si>
  <si>
    <t>Requirement Gathering</t>
  </si>
  <si>
    <t>Style Guide</t>
  </si>
  <si>
    <t>Prototype</t>
  </si>
  <si>
    <t>Via Email and Password</t>
  </si>
  <si>
    <t>Forgot Password</t>
  </si>
  <si>
    <t>Send verification email</t>
  </si>
  <si>
    <t>Reset Password</t>
  </si>
  <si>
    <t>Via Email + OTP</t>
  </si>
  <si>
    <t>assuming system based otp generation here with sending out emais</t>
  </si>
  <si>
    <t>Resend OTP</t>
  </si>
  <si>
    <t>Via SSO</t>
  </si>
  <si>
    <t xml:space="preserve">User clicks "SSO Login" on Next.js app
Next.js redirects user to existing system's SSO endpoint
User authenticates on existing system (or already logged in)
Existing system generates signed token
Existing system redirects user back to Next.js with token
Next.js sends token to Nest.js API for validation
Nest.js validates token signature and extracts user info &amp; shadow user to db if it's a new user, Nest.js creates local session and returns session token
Next.js stores session token and grants user access
User is now logged into new system with SSO session
Summary: User → Next.js → Existing System → Authentication → Token → Next.js → Nest.js → Validation → Session → Access Granted, for now basic sso flow assumed here as above defined, efforts will be adjusted post flow confirmation</t>
  </si>
  <si>
    <t>Event Management</t>
  </si>
  <si>
    <t>Add New Event</t>
  </si>
  <si>
    <t>Add New Event CTA Screen</t>
  </si>
  <si>
    <t>Search Event</t>
  </si>
  <si>
    <t>Fetch events list already present in the XCD system</t>
  </si>
  <si>
    <t>assuming we will be calling xcd api for searching &amp; fetching event details form our BE with xcd valid usr token as needed</t>
  </si>
  <si>
    <t>Select Event, showing popups</t>
  </si>
  <si>
    <t>Fetch specific event details from XCD</t>
  </si>
  <si>
    <t>assuming we will be calling fetch events details from xcd using user xcd token as per need in our BE</t>
  </si>
  <si>
    <t>Add Event Details</t>
  </si>
  <si>
    <t>storing events details in our db side with event logo on s3 with additional details(S3 provider setup efforts considered here), google maps integration (search api, coordinates to location map)</t>
  </si>
  <si>
    <t>Add primary support contact &amp; Finish Event Setup</t>
  </si>
  <si>
    <t>store events details in BE With all information</t>
  </si>
  <si>
    <t>My Events View Page</t>
  </si>
  <si>
    <t>fetch events list created in our BE with search &amp; sort capability option</t>
  </si>
  <si>
    <t>View Event overview</t>
  </si>
  <si>
    <t>Total revenue</t>
  </si>
  <si>
    <t>Revenue this month</t>
  </si>
  <si>
    <t>Hotels added</t>
  </si>
  <si>
    <t>Bookings done</t>
  </si>
  <si>
    <t>show basic events details</t>
  </si>
  <si>
    <t>fetch particular event detail from an api which is saved in our db side</t>
  </si>
  <si>
    <t>Support Contact</t>
  </si>
  <si>
    <t>Is this a static data or pulled dynamically from db as per event wise ?</t>
  </si>
  <si>
    <t>Add category</t>
  </si>
  <si>
    <t>Add general/ multiple category</t>
  </si>
  <si>
    <t>Categorise by Group/Registration</t>
  </si>
  <si>
    <t>fetch categories by group &amp; registration api from xcd user token will call from our BE, add categories add api for adding category in our Backend</t>
  </si>
  <si>
    <t>View &amp; Manage Category</t>
  </si>
  <si>
    <t xml:space="preserve">view &amp; update category api will use here </t>
  </si>
  <si>
    <t>Delete Category</t>
  </si>
  <si>
    <t>View, adjust, preview Category policy</t>
  </si>
  <si>
    <t xml:space="preserve">Inherited from event policy, also here only we are creating policy crud for category, event, hotel, room, sub-block as base setup, will re-utilize at other places </t>
  </si>
  <si>
    <t>inherit policy from event as api call and then adjust category policy as override api, category policy crud will use thru out for other as per need for hotel, room, sub-block policy, back reflections won't work here suppose if someone change event policy then it won't change policy for its associated hotels, only first time inherit will work untill not setup</t>
  </si>
  <si>
    <t>Edit Event</t>
  </si>
  <si>
    <t>Set up Event Policy</t>
  </si>
  <si>
    <t>Add policy</t>
  </si>
  <si>
    <t>takes us to policy module</t>
  </si>
  <si>
    <t xml:space="preserve">inherit from policy management api </t>
  </si>
  <si>
    <t>Edit Policy</t>
  </si>
  <si>
    <t>add event policy api with inherited value or override value</t>
  </si>
  <si>
    <t>Preview Policy</t>
  </si>
  <si>
    <t>Audit logs</t>
  </si>
  <si>
    <t>considering paginated tabular list view with search filter option, drop down api needed also for team member search list</t>
  </si>
  <si>
    <t>Active/Inactive Event</t>
  </si>
  <si>
    <t>Delete Event</t>
  </si>
  <si>
    <t>Enable/Disable status digest</t>
  </si>
  <si>
    <t>Add/edit/delete recipients</t>
  </si>
  <si>
    <t>In BE we have to save the recipients and enable/disable the schedule as per toggle so 2 api's needed</t>
  </si>
  <si>
    <t>Set frequency + Send Digest Summary Email</t>
  </si>
  <si>
    <t>frequency set api needed</t>
  </si>
  <si>
    <t>Policy Management</t>
  </si>
  <si>
    <t>Block Level Policies (Add and Modify)</t>
  </si>
  <si>
    <t xml:space="preserve">When editing, the admin is presented with appropriate input fields (e.g., date pickers for cancellation deadlines, numeric fields for deposit amounts, toggles for dynamic pricing options).
Upon saving, the system validates the inputs (ensuring logical deadlines and amounts) and immediately updates the active policy.
A “Reset to Default” option is available to revert any overridden policy back to its inherited value.
</t>
  </si>
  <si>
    <t>Hotel Level Policies (Add and Modify)</t>
  </si>
  <si>
    <t>Room level policies (Add and Modify)</t>
  </si>
  <si>
    <t>Cancellation Policy (Add/Modify)</t>
  </si>
  <si>
    <t>Payment Policy (Add/Modify)</t>
  </si>
  <si>
    <t>minimum room night Policy (Add/Modify)</t>
  </si>
  <si>
    <t>multi-room booking limit policy Policy (Add/Modify)</t>
  </si>
  <si>
    <t>hotel operational payment  Policy (Add/Modify)</t>
  </si>
  <si>
    <t>Custom Text Policy(Add/modify)</t>
  </si>
  <si>
    <t>Hotel Management</t>
  </si>
  <si>
    <t>Add Hotel</t>
  </si>
  <si>
    <t>Search</t>
  </si>
  <si>
    <t>have to check for public api resources which can be fit in here</t>
  </si>
  <si>
    <t>Create hotel manually</t>
  </si>
  <si>
    <t>save hotel in our db either from global api details or manual entry</t>
  </si>
  <si>
    <t>Hotel Details</t>
  </si>
  <si>
    <t>Hotel address, location on map, hotel description, hotel rating</t>
  </si>
  <si>
    <t>fetch from global hotel api or add manually and save those details in db</t>
  </si>
  <si>
    <t>Hotel Address</t>
  </si>
  <si>
    <t>upload images (media)</t>
  </si>
  <si>
    <t>s3 upload and store url db end</t>
  </si>
  <si>
    <t>Amenities(Search,select,add custom)</t>
  </si>
  <si>
    <t>Add custom amenity CTA is present in designs</t>
  </si>
  <si>
    <t>get amenity list, search, add &amp; store new custom amenities.By default from db dataset will be showing set of amenities, select amenities from available list, Sp prepare amenities dataset</t>
  </si>
  <si>
    <t>Add Tag</t>
  </si>
  <si>
    <t>Preview hotel</t>
  </si>
  <si>
    <t>save hotel</t>
  </si>
  <si>
    <t>moved hotel from draft to active state</t>
  </si>
  <si>
    <t>Active/inactive hotel</t>
  </si>
  <si>
    <t>Hotel List</t>
  </si>
  <si>
    <t>Should Have</t>
  </si>
  <si>
    <t>Sort</t>
  </si>
  <si>
    <t>Filter</t>
  </si>
  <si>
    <t>List</t>
  </si>
  <si>
    <t xml:space="preserve">View Hotel Details </t>
  </si>
  <si>
    <t>(Overview) tab</t>
  </si>
  <si>
    <t>Overview, sub-block, rooms, inventory and pricing, hotel policies</t>
  </si>
  <si>
    <t>api for total revenue, revenue by month, booking done count, rooms available, inventory status, Single api for all above data fetch</t>
  </si>
  <si>
    <t>Sub-block tab view</t>
  </si>
  <si>
    <t>check Sub block List for efforts</t>
  </si>
  <si>
    <t>room type tab view</t>
  </si>
  <si>
    <t>Inventory &amp; Pricing Tab</t>
  </si>
  <si>
    <t xml:space="preserve">no exact defined room type soo generic room type inventory considering here </t>
  </si>
  <si>
    <t>hotel policies tab view</t>
  </si>
  <si>
    <t>inherit from event and update as per need so 2 api's</t>
  </si>
  <si>
    <t>Hotel policy Audit logs</t>
  </si>
  <si>
    <t>View Hotel Rooms List</t>
  </si>
  <si>
    <t>View Room details</t>
  </si>
  <si>
    <t>Edit Room details</t>
  </si>
  <si>
    <t>Delete room</t>
  </si>
  <si>
    <t>Allow bulk updates of rooms</t>
  </si>
  <si>
    <t xml:space="preserve">If room rates or attributes need to change for many rooms, the system will allow batch editing. For instance, an admin could select all “Standard Queen” room types and update the price or amenity in one action.
</t>
  </si>
  <si>
    <t>Edit Hotel Details</t>
  </si>
  <si>
    <t>Add room type</t>
  </si>
  <si>
    <t>Search room type</t>
  </si>
  <si>
    <t>seeder room type list fetch</t>
  </si>
  <si>
    <t>Create manually</t>
  </si>
  <si>
    <t>Fill details</t>
  </si>
  <si>
    <t>Upload images</t>
  </si>
  <si>
    <t>Add amenities</t>
  </si>
  <si>
    <t>Set room inventory and pricing</t>
  </si>
  <si>
    <t>will extend base room inventory ui &amp; BE for room type also</t>
  </si>
  <si>
    <t>Set room policies</t>
  </si>
  <si>
    <t>inherit hotel policy and override as per need</t>
  </si>
  <si>
    <t>Edit room type</t>
  </si>
  <si>
    <t>edit room details</t>
  </si>
  <si>
    <t>Review Policy</t>
  </si>
  <si>
    <t>where in wireframe ?</t>
  </si>
  <si>
    <t>Delete room type</t>
  </si>
  <si>
    <t>Enable / Disable Hotel</t>
  </si>
  <si>
    <t>Active/Inactive Hotel</t>
  </si>
  <si>
    <t>Delete Hotel</t>
  </si>
  <si>
    <t>Add Room</t>
  </si>
  <si>
    <t>Set Occupancy Limits</t>
  </si>
  <si>
    <t xml:space="preserve">Define the maximum number of guests per room (e.g., 2 adults, or 2 adults + 2 children). This will be used to control bookings (the system won’t allow more guests than the limit).
</t>
  </si>
  <si>
    <t>Set Bed type</t>
  </si>
  <si>
    <t xml:space="preserve">Options like King, Queen, Double Twin, etc., selectable per room type. If a room type offers multiple configurations (e.g., “Two Queens or One King”), the system can list variants or note it in the description.
</t>
  </si>
  <si>
    <t>Set Smoking Preference</t>
  </si>
  <si>
    <t xml:space="preserve">Mark rooms or room types as Non-smoking or Smoking allowed. Many modern hotels are entirely non-smoking, but the setting is tracked especially if some rooms in the block permit smoking.
</t>
  </si>
  <si>
    <t>Accessibility Features : Mark which is applicable</t>
  </si>
  <si>
    <t xml:space="preserve">Flags for ADA/accessibility features, such as wheelchair-accessible rooms, roll-in showers, or grab bars. Users with needs can filter or request these, and admins can ensure a certain inventory of accessible rooms is set aside.
</t>
  </si>
  <si>
    <t>Set if its available for all / VIP customers [Sub-blocks]</t>
  </si>
  <si>
    <t>Set discounts</t>
  </si>
  <si>
    <t>Pricing per Night :: Static (Dynamic Price)</t>
  </si>
  <si>
    <t xml:space="preserve">If enabled, the price might be modified by the dynamic rules (from Policy Management). The room config can include a toggle “Allow dynamic pricing adjustments” so that the pricing engine knows which rooms to adjust.
</t>
  </si>
  <si>
    <t>Pricing per Night :: Static (Fixed Price)</t>
  </si>
  <si>
    <t xml:space="preserve">A fixed rate (possibly different for weekdays vs weekends, or pre-defined seasonal rates).
</t>
  </si>
  <si>
    <t>Amenities : Display the list and mark applicable</t>
  </si>
  <si>
    <t xml:space="preserve">List standard amenities (Wi-Fi, breakfast included, parking, minibar, etc.). These can be predefined tags or free-text notes. Amenities will appear in the user booking interface as icons or a list, and can be used as filters (e.g., “show only rooms with free breakfast”).
</t>
  </si>
  <si>
    <t>Special conditions :: Set discounts for VIP customers only</t>
  </si>
  <si>
    <t>Add Cancellation policies</t>
  </si>
  <si>
    <t>Set the slabs for cancellation (Eg : Within 7 days - 100% refund, Within 3 days - 40% refund, etc)</t>
  </si>
  <si>
    <t>Set limit - 1 room per user or add manually the count</t>
  </si>
  <si>
    <t>Additional Details (View Description)</t>
  </si>
  <si>
    <t xml:space="preserve">Optionally include room size (sq. ft.), floor level, or photos and descriptions to help users understand what they are booking. (While not explicitly requested, including images and detailed descriptions can enhance user choice.)
</t>
  </si>
  <si>
    <t>Specify the number of rooms (Bulk creation)</t>
  </si>
  <si>
    <t xml:space="preserve">The admin module will support bulk creation of room inventory. For example, after defining a room type (e.g., “Deluxe King Room”), an admin can specify the number of such rooms allocated to the event block (e.g., 50 rooms) and the system will create an inventory count of 50 available rooms of that type.
</t>
  </si>
  <si>
    <t>Sub block management</t>
  </si>
  <si>
    <t>Add Sub block</t>
  </si>
  <si>
    <t>Enter name</t>
  </si>
  <si>
    <t>Select category sub block is applicable to</t>
  </si>
  <si>
    <t>Create sub block</t>
  </si>
  <si>
    <t>Assign rooms</t>
  </si>
  <si>
    <t>Set pricing and inventory</t>
  </si>
  <si>
    <t>sub-block vs main-block difference ?</t>
  </si>
  <si>
    <t>Sub block policies</t>
  </si>
  <si>
    <t>Basic Form</t>
  </si>
  <si>
    <t>Sub block List</t>
  </si>
  <si>
    <t>View Sub bock</t>
  </si>
  <si>
    <t>Sub-block overview</t>
  </si>
  <si>
    <t>View pricing and inventory</t>
  </si>
  <si>
    <t>View Sub block policies</t>
  </si>
  <si>
    <t>inherit and override api</t>
  </si>
  <si>
    <t>View the rooms list within sub blocks</t>
  </si>
  <si>
    <t>Unassign or Reassign room to another sub block</t>
  </si>
  <si>
    <t>Edit Sub block</t>
  </si>
  <si>
    <t>Delete Sub block</t>
  </si>
  <si>
    <t>Enable / Disable Sub block</t>
  </si>
  <si>
    <t>Customer Management</t>
  </si>
  <si>
    <t>XCD Admin Login to  xcd customer portal with sso/email link</t>
  </si>
  <si>
    <t>Add customer</t>
  </si>
  <si>
    <t>Select customer</t>
  </si>
  <si>
    <t>from where we will fetch the customers ?, Is they are event organisers ?</t>
  </si>
  <si>
    <t>Send Invite</t>
  </si>
  <si>
    <t>BE not clear how invite will work</t>
  </si>
  <si>
    <t>Save Customer</t>
  </si>
  <si>
    <t>we will be saving customer in our db right ?</t>
  </si>
  <si>
    <t>Customer List</t>
  </si>
  <si>
    <t>KPIs</t>
  </si>
  <si>
    <t>All customers, Events, Active customers, Inactive customer</t>
  </si>
  <si>
    <t xml:space="preserve">View Customer Details </t>
  </si>
  <si>
    <t>Customer Details</t>
  </si>
  <si>
    <t>View Customer Bookings List</t>
  </si>
  <si>
    <t xml:space="preserve">View Booking Details </t>
  </si>
  <si>
    <t>Download invoice</t>
  </si>
  <si>
    <t>Download Customer Bookings List</t>
  </si>
  <si>
    <t>Edit Customer Details (Contact Information)</t>
  </si>
  <si>
    <t>All details like name, email address, phone no</t>
  </si>
  <si>
    <t>Enable/Disable Customer</t>
  </si>
  <si>
    <t>Delete Customer</t>
  </si>
  <si>
    <t>Manage Customer</t>
  </si>
  <si>
    <t>Switches the role from XCD admin to XCD customer</t>
  </si>
  <si>
    <t>admin will be logged in into event portal with internal verification</t>
  </si>
  <si>
    <t>Download Customer List (Single or Multiple)</t>
  </si>
  <si>
    <t>Considered as a PDF in tabular format</t>
  </si>
  <si>
    <t>Dashboard</t>
  </si>
  <si>
    <t>Total room nights reserved</t>
  </si>
  <si>
    <t>Overall pickup rate</t>
  </si>
  <si>
    <t>% of attendees made reservation</t>
  </si>
  <si>
    <t>Event coverage</t>
  </si>
  <si>
    <t>Total committed revenue</t>
  </si>
  <si>
    <t>Average room nights/reservation</t>
  </si>
  <si>
    <t>Total cancellations</t>
  </si>
  <si>
    <t>Hotel comparison</t>
  </si>
  <si>
    <t>Individual hotel metrics</t>
  </si>
  <si>
    <t>see hotel regency design page</t>
  </si>
  <si>
    <t>All Hotel comparison List View</t>
  </si>
  <si>
    <t>Widget for hotel performance</t>
  </si>
  <si>
    <t>Booking pace</t>
  </si>
  <si>
    <t>Booking velocity</t>
  </si>
  <si>
    <t>Daily pickup rate</t>
  </si>
  <si>
    <t>Performance analytics</t>
  </si>
  <si>
    <t>Sort and filter for hotel performance</t>
  </si>
  <si>
    <t>hotel list api as dropdown for filter and one api for providing filtered based set of results for Hotel comparison view</t>
  </si>
  <si>
    <t>Alerts</t>
  </si>
  <si>
    <t>Alerts to capturing in BE System</t>
  </si>
  <si>
    <t>what sort of alerts to capture to show later on as alert list ?</t>
  </si>
  <si>
    <t>Read/unread indicator</t>
  </si>
  <si>
    <t>Mark all as read</t>
  </si>
  <si>
    <t>alert list</t>
  </si>
  <si>
    <t>KPIS (Statistics)</t>
  </si>
  <si>
    <t>Total bookings made and total cancellations (perhaps with a ratio or trend indicator).</t>
  </si>
  <si>
    <t>Current pick-up/occupancy rate per hotel or overall (e.g., “120 of 200 rooms booked, 60% occupancy”).</t>
  </si>
  <si>
    <t>Revenue collected to date and any outstanding payments (for deposits or balances not yet charged).</t>
  </si>
  <si>
    <t>Upcoming important dates and tasks (e.g., “Cancellation deadline in 5 days for Event X” or “Room release for Hotel Y tomorrow”).</t>
  </si>
  <si>
    <t>Visulaizations</t>
  </si>
  <si>
    <t>A line or bar chart of bookings over time (booking pace) leading up to the event.</t>
  </si>
  <si>
    <t>A pie chart or bar breakdown of room types booked (to see which room types are most popular).</t>
  </si>
  <si>
    <t>Progress bars for each hotel’s block showing percentage booked vs remaining, and another for minimum pickup vs achieved.</t>
  </si>
  <si>
    <t>Interactive Dashboard</t>
  </si>
  <si>
    <t>Clicking on a metric or chart segment can drill down to more details. For example, clicking on “Cancellations: 25” could open a list of those canceled reservations and their details.</t>
  </si>
  <si>
    <t>Analytics</t>
  </si>
  <si>
    <t>Cancellation Rate</t>
  </si>
  <si>
    <t xml:space="preserve">Calculate the percentage of bookings that were canceled and when they occurred. For instance, if many cancellations occur right before the penalty kicks in, that indicates users are very aware of the policy timing.
</t>
  </si>
  <si>
    <t>Refund vs. Retained Revenue</t>
  </si>
  <si>
    <t xml:space="preserve"> Measure how much money was refunded due to cancellations vs. retained. A high refund amount might indicate a too-lenient policy (or external factors causing cancellations), whereas a low cancellation/refund rate might mean policies are strict but effective.
</t>
  </si>
  <si>
    <t>Early-Bird vs. Regular Bookings</t>
  </si>
  <si>
    <t xml:space="preserve">If dynamic pricing/discounts were used, analyze how many bookings happened during the discounted period versus afterward. This shows if the early-bird incentive successfully drove early reservations.
</t>
  </si>
  <si>
    <t>Override Frequency</t>
  </si>
  <si>
    <t xml:space="preserve">Track how often admins had to override or adjust policies (e.g., manual fee waivers). Frequent overrides might highlight that a policy is too strict or causing user dissatisfaction, which is valuable feedback.
</t>
  </si>
  <si>
    <t xml:space="preserve">Additional </t>
  </si>
  <si>
    <t>Filters</t>
  </si>
  <si>
    <t>Specific Event</t>
  </si>
  <si>
    <t>Notifications Template Management/ Email templates</t>
  </si>
  <si>
    <t>Notification Templates List</t>
  </si>
  <si>
    <t>Manage template elements</t>
  </si>
  <si>
    <t>View Template</t>
  </si>
  <si>
    <t>open in preview &amp; edit mode</t>
  </si>
  <si>
    <t>Reset to default</t>
  </si>
  <si>
    <t>send test email</t>
  </si>
  <si>
    <t>Save template</t>
  </si>
  <si>
    <t>only edit exisitng template, not adding new template</t>
  </si>
  <si>
    <t>Delete</t>
  </si>
  <si>
    <t>Create New Notification</t>
  </si>
  <si>
    <t>Add Notification Details + Image (Optional)</t>
  </si>
  <si>
    <t>Rich text Editor</t>
  </si>
  <si>
    <t>Edit Template</t>
  </si>
  <si>
    <t>Enable / Disable</t>
  </si>
  <si>
    <t>View Profile</t>
  </si>
  <si>
    <t>Edit Profile</t>
  </si>
  <si>
    <t>Bookings Management</t>
  </si>
  <si>
    <t>Bookings List (All including the payment failures as well)</t>
  </si>
  <si>
    <t>Filter (By event, by hotel, by status,room,category)</t>
  </si>
  <si>
    <t>List - view reservation, groups, cancellations</t>
  </si>
  <si>
    <t>3 tabs data fetch as api with types</t>
  </si>
  <si>
    <t>Allow to do a Booking Reservation</t>
  </si>
  <si>
    <t>Same workflow as user</t>
  </si>
  <si>
    <t>View Booking Details</t>
  </si>
  <si>
    <t>View details - booking, cancellation</t>
  </si>
  <si>
    <t>Modify single  booking resevation</t>
  </si>
  <si>
    <t>BE api for refund/paid/due type handling</t>
  </si>
  <si>
    <t>Modify group  booking reservation</t>
  </si>
  <si>
    <t>Ability to cancel a booking (based on customer request)</t>
  </si>
  <si>
    <t>View modification charges</t>
  </si>
  <si>
    <t>Payment gateway</t>
  </si>
  <si>
    <t>charging  payment from invoice links to users and tracking those on db level from webhook</t>
  </si>
  <si>
    <t>Could Have</t>
  </si>
  <si>
    <t>Audit Logs</t>
  </si>
  <si>
    <t>List of modifications with Admin name, date and timestamp</t>
  </si>
  <si>
    <t>Send Email confirmation</t>
  </si>
  <si>
    <t>Add mail id</t>
  </si>
  <si>
    <t>Send</t>
  </si>
  <si>
    <t xml:space="preserve">Multi-select bookings </t>
  </si>
  <si>
    <t>Allow to Download CSV report</t>
  </si>
  <si>
    <t>Allow Cancellations</t>
  </si>
  <si>
    <t>Allow Policy Updates</t>
  </si>
  <si>
    <t>Allow to undo actions</t>
  </si>
  <si>
    <t>Dynamic Pricing Adjustments</t>
  </si>
  <si>
    <t>Notifications (Email Templates)</t>
  </si>
  <si>
    <t>Notify admin when all the rooms are almost booked in hotel</t>
  </si>
  <si>
    <t xml:space="preserve"> For events like nearing cancellation deadlines or failed payment charges, send alerts to administrators. For instance, if an automatic charge for a balance payment fails, flag that reservation and notify admins to follow up with the guest.
</t>
  </si>
  <si>
    <t>Booking Cancellation</t>
  </si>
  <si>
    <t>Internal Alerts for Admins</t>
  </si>
  <si>
    <t>Schedule Email Alerts</t>
  </si>
  <si>
    <t>Select Hotel</t>
  </si>
  <si>
    <t>Select Frequency</t>
  </si>
  <si>
    <t>Select Start and End date</t>
  </si>
  <si>
    <t>Daily rooming list update</t>
  </si>
  <si>
    <t>Frontend</t>
  </si>
  <si>
    <t>General Assumption</t>
  </si>
  <si>
    <t>Fe Max</t>
  </si>
  <si>
    <t>Fe Min</t>
  </si>
  <si>
    <t>Development  Sheet</t>
  </si>
  <si>
    <t>Web App - Dev</t>
  </si>
  <si>
    <t>App  Summary</t>
  </si>
  <si>
    <t>Will not Have</t>
  </si>
  <si>
    <t>UX/UI WireFrame</t>
  </si>
  <si>
    <t>UX/UI Visual Design</t>
  </si>
  <si>
    <t>UX/UI Lead</t>
  </si>
  <si>
    <t>UX/UI Review</t>
  </si>
  <si>
    <t>Web / Mobile</t>
  </si>
  <si>
    <t>Qa</t>
  </si>
  <si>
    <t>Ba</t>
  </si>
  <si>
    <t>Total</t>
  </si>
  <si>
    <t>Development  Timeline ( Weeks)</t>
  </si>
  <si>
    <t>Will Not Have</t>
  </si>
  <si>
    <t>Development  Timeline ( Months)</t>
  </si>
  <si>
    <t>Tech  Details</t>
  </si>
  <si>
    <t>Redux, NextJS</t>
  </si>
  <si>
    <t>NestJS, postgres</t>
  </si>
  <si>
    <t>AWS</t>
  </si>
  <si>
    <t>Not added yet</t>
  </si>
  <si>
    <t>Admin Panel - Dev</t>
  </si>
  <si>
    <t>NextJS, Redux</t>
  </si>
  <si>
    <t>M O S C O W</t>
  </si>
  <si>
    <t>Range</t>
  </si>
  <si>
    <t>Efforts</t>
  </si>
  <si>
    <t>Difference in  Time  Duration</t>
  </si>
  <si>
    <t>Different in  Fib  Points</t>
  </si>
  <si>
    <t>% change in  Time</t>
  </si>
  <si>
    <t>% change in  Fib  Points</t>
  </si>
  <si>
    <t>Story  Points  Matrix</t>
  </si>
  <si>
    <t>Number</t>
  </si>
  <si>
    <t>Hours</t>
  </si>
  <si>
    <t>Efforts ( Time in  Hours)</t>
  </si>
  <si>
    <t>&lt;= 0.5</t>
  </si>
  <si>
    <t>0.5 - 1</t>
  </si>
  <si>
    <t>1 - 2</t>
  </si>
  <si>
    <t>2 - 4</t>
  </si>
  <si>
    <t>4 - 7</t>
  </si>
  <si>
    <t>7 - 11</t>
  </si>
  <si>
    <t>12 - 16</t>
  </si>
  <si>
    <t>18 - 24</t>
  </si>
  <si>
    <t>25 - 40</t>
  </si>
  <si>
    <t>41 - 60</t>
  </si>
  <si>
    <t>T- Shirt  Sizing  Matrix</t>
  </si>
  <si>
    <t>Size</t>
  </si>
  <si>
    <t>S</t>
  </si>
  <si>
    <t>0-32</t>
  </si>
  <si>
    <t>M</t>
  </si>
  <si>
    <t>32-72</t>
  </si>
  <si>
    <t>L</t>
  </si>
  <si>
    <t>&gt;=72</t>
  </si>
  <si>
    <t>M O S C O W  Matrix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</si>
</sst>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
      <name val="Calibri"/>
    </font>
    <font>
      <b/>
      <color rgb="000000"/>
      <name val="Calibri"/>
    </font>
    <font>
      <name val="Calibri"/>
    </font>
    <font>
      <b/>
    </font>
  </fonts>
  <fills count="9">
    <fill>
      <patternFill patternType="none"/>
    </fill>
    <fill>
      <patternFill patternType="gray125"/>
    </fill>
    <fill>
      <patternFill patternType="solid">
        <fgColor rgb="222222"/>
        <bgColor rgb="222222"/>
      </patternFill>
    </fill>
    <fill>
      <patternFill patternType="solid">
        <fgColor rgb="ead1dc"/>
        <bgColor rgb="ead1dc"/>
      </patternFill>
    </fill>
    <fill>
      <patternFill patternType="solid">
        <fgColor rgb="ffe599"/>
        <bgColor rgb="ffe599"/>
      </patternFill>
    </fill>
    <fill>
      <patternFill patternType="solid">
        <fgColor rgb="d7e8fc"/>
        <bgColor rgb="d7e8fc"/>
      </patternFill>
    </fill>
    <fill>
      <patternFill patternType="solid">
        <fgColor rgb="c9daf8"/>
        <bgColor rgb="c9daf8"/>
      </patternFill>
    </fill>
    <fill>
      <patternFill patternType="solid">
        <fgColor rgb="d9ead3"/>
        <bgColor rgb="d9ead3"/>
      </patternFill>
    </fill>
    <fill>
      <patternFill patternType="solid">
        <fgColor rgb="#f3cccb"/>
        <bgColor rgb="#f3cccb"/>
      </patternFill>
    </fill>
  </fills>
  <borders count="2">
    <border>
      <left/>
      <right/>
      <top/>
      <bottom/>
      <diagonal/>
    </border>
    <border>
      <left style="double"/>
      <right style="double"/>
      <top style="double"/>
      <bottom style="double"/>
      <diagonal/>
    </border>
  </borders>
  <cellStyleXfs count="1">
    <xf numFmtId="0" fontId="0" fillId="0" borderId="0"/>
  </cellStyleXfs>
  <cellXfs count="16">
    <xf numFmtId="0" fontId="0" fillId="0" borderId="0" xfId="0"/>
    <xf numFmtId="0" fontId="1" fillId="0" borderId="0" xfId="0" applyFont="1" applyAlignment="1">
      <alignment horizontal="center" vertical="center"/>
    </xf>
    <xf numFmtId="0" fontId="1" fillId="2" borderId="1" xfId="0" applyFont="1" applyFill="1" applyBorder="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1" fillId="2" borderId="0" xfId="0" applyFont="1" applyFill="1" applyAlignment="1">
      <alignment horizontal="center" vertical="center"/>
    </xf>
    <xf numFmtId="0" fontId="3"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8" borderId="1" xfId="0" applyFont="1" applyFill="1" applyBorder="1" applyAlignment="1">
      <alignment horizontal="center" vertical="center"/>
    </xf>
    <xf numFmtId="0" fontId="0" fillId="6" borderId="0" xfId="0" applyFill="1"/>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FormatPr defaultRowHeight="25" outlineLevelRow="0" outlineLevelCol="0" x14ac:dyDescent="55" defaultColWidth="20" customHeight="1"/>
  <cols>
    <col min="1" max="1" width="40" customWidth="1"/>
    <col min="2" max="7" width="20" customWidth="1"/>
  </cols>
  <sheetData>
    <row r="1" hidden="1" spans="1:7" x14ac:dyDescent="0.25">
      <c r="A1" t="s">
        <v>0</v>
      </c>
      <c r="B1" t="s">
        <v>1</v>
      </c>
      <c r="C1" t="s">
        <v>2</v>
      </c>
      <c r="D1" t="s">
        <v>3</v>
      </c>
      <c r="E1" t="s">
        <v>4</v>
      </c>
      <c r="F1" t="s">
        <v>5</v>
      </c>
      <c r="G1" t="s">
        <v>6</v>
      </c>
    </row>
    <row r="2" spans="1:2" s="1" customFormat="1" x14ac:dyDescent="0.25">
      <c r="A2" s="2" t="s">
        <v>7</v>
      </c>
      <c r="B2" s="2"/>
    </row>
    <row r="3" spans="1:2" s="3" customFormat="1" x14ac:dyDescent="0.25">
      <c r="A3" s="4" t="s">
        <v>8</v>
      </c>
      <c r="B3" s="4" t="s">
        <v>9</v>
      </c>
    </row>
    <row r="4" spans="1:2" s="5" customFormat="1" x14ac:dyDescent="0.25">
      <c r="A4" s="6" t="s">
        <v>10</v>
      </c>
      <c r="B4" s="6">
        <f>ROUND((min(F46, G46) * (B$39 / 8)) * 40)</f>
      </c>
    </row>
    <row r="5" spans="1:2" s="5" customFormat="1" x14ac:dyDescent="0.25">
      <c r="A5" s="6" t="s">
        <v>11</v>
      </c>
      <c r="B5" s="6">
        <f>ROUND(B6 * 10%)</f>
      </c>
    </row>
    <row r="6" spans="1:2" s="5" customFormat="1" x14ac:dyDescent="0.25">
      <c r="A6" s="6" t="s">
        <v>12</v>
      </c>
      <c r="B6" s="6">
        <f>ROUND(SUM(E55,F55))</f>
      </c>
    </row>
    <row r="7" spans="1:2" s="5" customFormat="1" x14ac:dyDescent="0.25">
      <c r="A7" s="6" t="s">
        <v>13</v>
      </c>
      <c r="B7" s="6">
        <f>ROUND((min(F46, G46) * (B$38 / 8)) * 40)</f>
      </c>
    </row>
    <row r="8" spans="1:2" s="5" customFormat="1" x14ac:dyDescent="0.25">
      <c r="A8" s="6" t="s">
        <v>14</v>
      </c>
      <c r="B8" s="6">
        <f>(((min(F46, G46) / 2 ) / 2) * 40)</f>
      </c>
    </row>
    <row r="9" spans="1:2" s="5" customFormat="1" x14ac:dyDescent="0.25">
      <c r="A9" s="6" t="s">
        <v>15</v>
      </c>
      <c r="B9" s="6">
        <v>0</v>
      </c>
    </row>
    <row r="10" spans="1:2" s="5" customFormat="1" x14ac:dyDescent="0.25">
      <c r="A10" s="6" t="s">
        <v>16</v>
      </c>
      <c r="B10" s="6">
        <f>ROUND(SUM(C55,D55))</f>
      </c>
    </row>
    <row r="11" spans="1:2" s="5" customFormat="1" x14ac:dyDescent="0.25">
      <c r="A11" s="6" t="s">
        <v>17</v>
      </c>
      <c r="B11" s="6">
        <f>ROUND((max(min(B46, C46), min(D46, E46)) * (B$35 / 8)) * 40)</f>
      </c>
    </row>
    <row r="12" spans="1:2" s="5" customFormat="1" x14ac:dyDescent="0.25">
      <c r="A12" s="6" t="s">
        <v>18</v>
      </c>
      <c r="B12" s="6">
        <f>ROUND((max(min(B46, C46), min(D46, E46)) * (B$37 / 8)) * 40)</f>
      </c>
    </row>
    <row r="13" spans="1:2" s="5" customFormat="1" x14ac:dyDescent="0.25">
      <c r="A13" s="6" t="s">
        <v>19</v>
      </c>
      <c r="B13" s="6">
        <f>(((max(min(B46, C46), min(D46, E46)) / 2 ) / 2) * 40)</f>
      </c>
    </row>
    <row r="14" spans="1:2" s="5" customFormat="1" x14ac:dyDescent="0.25">
      <c r="A14" s="6" t="s">
        <v>20</v>
      </c>
      <c r="B14" s="6">
        <f>ROUND((max(min(B46, C46), min(D46, E46)) * (B$36 / 8)) * 40)</f>
      </c>
    </row>
    <row r="15" spans="1:2" s="5" customFormat="1" x14ac:dyDescent="0.25">
      <c r="A15" s="6" t="s">
        <v>21</v>
      </c>
      <c r="B15" s="6">
        <v>20</v>
      </c>
    </row>
    <row r="16" spans="1:2" s="5" customFormat="1" x14ac:dyDescent="0.25">
      <c r="A16" s="6" t="s">
        <v>22</v>
      </c>
      <c r="B16" s="6">
        <v>80</v>
      </c>
    </row>
    <row r="17" spans="1:2" s="5" customFormat="1" x14ac:dyDescent="0.25">
      <c r="A17" s="6" t="s">
        <v>9</v>
      </c>
      <c r="B17" s="6">
        <f>SUM(B4:B16)</f>
      </c>
    </row>
    <row r="22" spans="1:3" s="1" customFormat="1" x14ac:dyDescent="0.25">
      <c r="A22" s="2" t="s">
        <v>23</v>
      </c>
      <c r="B22" s="2"/>
      <c r="C22" s="2"/>
    </row>
    <row r="23" spans="1:3" s="3" customFormat="1" x14ac:dyDescent="0.25">
      <c r="A23" s="4" t="s">
        <v>0</v>
      </c>
      <c r="B23" s="4" t="s">
        <v>24</v>
      </c>
      <c r="C23" s="4" t="s">
        <v>25</v>
      </c>
    </row>
    <row r="24" spans="1:3" s="5" customFormat="1" x14ac:dyDescent="0.25">
      <c r="A24" s="7" t="s">
        <v>26</v>
      </c>
      <c r="B24" s="6" t="s">
        <v>27</v>
      </c>
      <c r="C24" s="6">
        <v>1</v>
      </c>
    </row>
    <row r="25" spans="1:3" s="5" customFormat="1" x14ac:dyDescent="0.25">
      <c r="A25" s="7" t="s">
        <v>26</v>
      </c>
      <c r="B25" s="6" t="s">
        <v>28</v>
      </c>
      <c r="C25" s="6">
        <v>1</v>
      </c>
    </row>
    <row r="26" spans="1:3" s="5" customFormat="1" x14ac:dyDescent="0.25">
      <c r="A26" s="7" t="s">
        <v>29</v>
      </c>
      <c r="B26" s="6" t="s">
        <v>28</v>
      </c>
      <c r="C26" s="6">
        <v>1</v>
      </c>
    </row>
    <row r="27" spans="1:3" s="5" customFormat="1" x14ac:dyDescent="0.25">
      <c r="A27" s="7" t="s">
        <v>29</v>
      </c>
      <c r="B27" s="6" t="s">
        <v>27</v>
      </c>
      <c r="C27" s="6">
        <v>1</v>
      </c>
    </row>
    <row r="28" spans="1:3" s="5" customFormat="1" x14ac:dyDescent="0.25">
      <c r="A28" s="7" t="s">
        <v>30</v>
      </c>
      <c r="B28" s="6" t="s">
        <v>31</v>
      </c>
      <c r="C28" s="6">
        <v>0</v>
      </c>
    </row>
    <row r="33" spans="1:2" s="1" customFormat="1" x14ac:dyDescent="0.25">
      <c r="A33" s="2" t="s">
        <v>32</v>
      </c>
      <c r="B33" s="2"/>
    </row>
    <row r="34" spans="1:2" s="3" customFormat="1" x14ac:dyDescent="0.25">
      <c r="A34" s="4" t="s">
        <v>8</v>
      </c>
      <c r="B34" s="4" t="s">
        <v>33</v>
      </c>
    </row>
    <row r="35" spans="1:2" s="5" customFormat="1" x14ac:dyDescent="0.25">
      <c r="A35" s="7" t="s">
        <v>34</v>
      </c>
      <c r="B35" s="6">
        <v>3</v>
      </c>
    </row>
    <row r="36" spans="1:2" s="5" customFormat="1" x14ac:dyDescent="0.25">
      <c r="A36" s="7" t="s">
        <v>35</v>
      </c>
      <c r="B36" s="6">
        <v>4</v>
      </c>
    </row>
    <row r="37" spans="1:2" s="5" customFormat="1" x14ac:dyDescent="0.25">
      <c r="A37" s="7" t="s">
        <v>36</v>
      </c>
      <c r="B37" s="6">
        <v>4</v>
      </c>
    </row>
    <row r="38" spans="1:2" s="5" customFormat="1" x14ac:dyDescent="0.25">
      <c r="A38" s="7" t="s">
        <v>37</v>
      </c>
      <c r="B38" s="6">
        <v>2</v>
      </c>
    </row>
    <row r="39" spans="1:2" s="5" customFormat="1" x14ac:dyDescent="0.25">
      <c r="A39" s="7" t="s">
        <v>38</v>
      </c>
      <c r="B39" s="6">
        <v>1</v>
      </c>
    </row>
    <row r="44" spans="1:7" s="1" customFormat="1" x14ac:dyDescent="0.25">
      <c r="A44" s="2" t="s">
        <v>39</v>
      </c>
      <c r="B44" s="2"/>
      <c r="C44" s="2"/>
      <c r="D44" s="2"/>
      <c r="E44" s="2"/>
      <c r="F44" s="2"/>
      <c r="G44" s="2"/>
    </row>
    <row r="45" spans="1:7" s="3" customFormat="1" x14ac:dyDescent="0.25">
      <c r="A45" s="4" t="s">
        <v>40</v>
      </c>
      <c r="B45" s="4" t="s">
        <v>41</v>
      </c>
      <c r="C45" s="4" t="s">
        <v>42</v>
      </c>
      <c r="D45" s="4" t="s">
        <v>43</v>
      </c>
      <c r="E45" s="4" t="s">
        <v>44</v>
      </c>
      <c r="F45" s="4" t="s">
        <v>45</v>
      </c>
      <c r="G45" s="4" t="s">
        <v>46</v>
      </c>
    </row>
    <row r="46" spans="1:7" s="5" customFormat="1" x14ac:dyDescent="0.25">
      <c r="A46" s="7" t="s">
        <v>47</v>
      </c>
      <c r="B46" s="6">
        <f>Round(IFERROR((SUM(C55)/ (SUM(C$24:C25) * 40))), 0)</f>
      </c>
      <c r="C46" s="6">
        <f>Round(IFERROR((SUM(C55)/ (SUM(C$24:C25) * 35))), 0)</f>
      </c>
      <c r="D46" s="6">
        <f>Round(IFERROR((SUM(D55)/ (SUM(C26:C27) * 40))), 0)</f>
      </c>
      <c r="E46" s="6">
        <f>Round(IFERROR((SUM(D55)/ (SUM(C26:C27) * 35))), 0)</f>
      </c>
      <c r="F46" s="6">
        <f>Round(IFERROR((SUM(E55:F55)/ (SUM(C28) * 40))), 0)</f>
      </c>
      <c r="G46" s="6">
        <f>Round(IFERROR((SUM(E55:F55)/ (SUM(C28) * 35))), 0)</f>
      </c>
    </row>
    <row r="51" spans="1:7" s="1" customFormat="1" x14ac:dyDescent="0.25">
      <c r="A51" s="2" t="s">
        <v>48</v>
      </c>
      <c r="B51" s="2"/>
      <c r="C51" s="2"/>
      <c r="D51" s="2"/>
      <c r="E51" s="2"/>
      <c r="F51" s="2"/>
      <c r="G51" s="2"/>
    </row>
    <row r="52" spans="1:7" s="3" customFormat="1" x14ac:dyDescent="0.25">
      <c r="A52" s="4" t="s">
        <v>0</v>
      </c>
      <c r="B52" s="4" t="s">
        <v>6</v>
      </c>
      <c r="C52" s="4" t="s">
        <v>49</v>
      </c>
      <c r="D52" s="4" t="s">
        <v>3</v>
      </c>
      <c r="E52" s="4" t="s">
        <v>2</v>
      </c>
      <c r="F52" s="4" t="s">
        <v>50</v>
      </c>
      <c r="G52" s="4" t="s">
        <v>1</v>
      </c>
    </row>
    <row r="53" spans="1:7" s="5" customFormat="1" x14ac:dyDescent="0.25">
      <c r="A53" s="7" t="s">
        <v>51</v>
      </c>
      <c r="B53" s="6" t="s">
        <v>52</v>
      </c>
      <c r="C53" s="6">
        <f>INDIRECT("'"&amp;B53&amp;"'!F18")</f>
      </c>
      <c r="D53" s="6">
        <f>INDIRECT("'"&amp;B53&amp;"'!F19")</f>
      </c>
      <c r="E53" s="6">
        <f>INDIRECT("'"&amp;B53&amp;"'!F12")</f>
      </c>
      <c r="F53" s="6">
        <f>INDIRECT("'"&amp;B53&amp;"'!F11")</f>
      </c>
      <c r="G53" s="6">
        <f>sum(C53:F53)</f>
      </c>
    </row>
    <row r="54" spans="1:7" s="5" customFormat="1" x14ac:dyDescent="0.25">
      <c r="A54" s="7" t="s">
        <v>53</v>
      </c>
      <c r="B54" s="6" t="s">
        <v>54</v>
      </c>
      <c r="C54" s="6">
        <f>INDIRECT("'"&amp;B54&amp;"'!F18")</f>
      </c>
      <c r="D54" s="6">
        <f>INDIRECT("'"&amp;B54&amp;"'!F19")</f>
      </c>
      <c r="E54" s="6">
        <f>INDIRECT("'"&amp;B54&amp;"'!F12")</f>
      </c>
      <c r="F54" s="6">
        <f>INDIRECT("'"&amp;B54&amp;"'!F11")</f>
      </c>
      <c r="G54" s="6">
        <f>sum(C54:F54)</f>
      </c>
    </row>
    <row r="55" spans="1:7" s="5" customFormat="1" x14ac:dyDescent="0.25">
      <c r="A55" s="8" t="s">
        <v>55</v>
      </c>
      <c r="B55" s="9" t="s">
        <v>56</v>
      </c>
      <c r="C55" s="9">
        <f>SUM(C48:C54)</f>
      </c>
      <c r="D55" s="9">
        <f>SUM(D48:D54)</f>
      </c>
      <c r="E55" s="9">
        <f>SUM(E48:E54)</f>
      </c>
      <c r="F55" s="9">
        <f>SUM(F48:F54)</f>
      </c>
      <c r="G55" s="9">
        <f>sum(C55:F55)</f>
      </c>
    </row>
  </sheetData>
  <mergeCells count="5">
    <mergeCell ref="A2:B2"/>
    <mergeCell ref="A22:C22"/>
    <mergeCell ref="A33:B33"/>
    <mergeCell ref="A44:G44"/>
    <mergeCell ref="A51:G5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128"/>
  <sheetFormatPr defaultRowHeight="25" outlineLevelRow="0" outlineLevelCol="0" x14ac:dyDescent="55" defaultColWidth="20" customHeight="1"/>
  <cols>
    <col min="1" max="31" width="30" customWidth="1"/>
  </cols>
  <sheetData>
    <row r="1" spans="1:31" s="10" customFormat="1" x14ac:dyDescent="0.25">
      <c r="A1" s="2" t="s">
        <v>57</v>
      </c>
      <c r="B1" s="2" t="s">
        <v>58</v>
      </c>
      <c r="C1" s="2" t="s">
        <v>59</v>
      </c>
      <c r="D1" s="2" t="s">
        <v>60</v>
      </c>
      <c r="E1" s="2" t="s">
        <v>61</v>
      </c>
      <c r="F1" s="2" t="s">
        <v>62</v>
      </c>
      <c r="G1" s="2" t="s">
        <v>63</v>
      </c>
      <c r="H1" s="2" t="s">
        <v>64</v>
      </c>
      <c r="I1" s="2" t="s">
        <v>65</v>
      </c>
      <c r="J1" s="2" t="s">
        <v>66</v>
      </c>
      <c r="K1" s="2" t="s">
        <v>67</v>
      </c>
      <c r="L1" s="2" t="s">
        <v>68</v>
      </c>
      <c r="M1" s="2" t="s">
        <v>69</v>
      </c>
      <c r="N1" s="2" t="s">
        <v>70</v>
      </c>
      <c r="O1" s="2" t="s">
        <v>71</v>
      </c>
      <c r="P1" s="2" t="s">
        <v>72</v>
      </c>
      <c r="Q1" s="2" t="s">
        <v>73</v>
      </c>
      <c r="R1" s="10">
        <f>SUM(R2:R1006)</f>
      </c>
      <c r="S1" s="2" t="s">
        <v>74</v>
      </c>
      <c r="T1" s="10">
        <f>SUM(T2:T1006)</f>
      </c>
      <c r="U1" s="2" t="s">
        <v>75</v>
      </c>
      <c r="V1" s="10">
        <f>SUM(V2:V1006)</f>
      </c>
      <c r="W1" s="2" t="s">
        <v>76</v>
      </c>
      <c r="X1" s="10">
        <f>SUM(X2:X1006)</f>
      </c>
      <c r="Y1" s="2" t="s">
        <v>77</v>
      </c>
      <c r="Z1" s="10">
        <f>SUM(Z2:Z1006)</f>
      </c>
      <c r="AA1" s="10">
        <f>SUM(AA2:AA1006)</f>
      </c>
      <c r="AB1" s="2" t="s">
        <v>78</v>
      </c>
      <c r="AC1" s="2" t="s">
        <v>79</v>
      </c>
      <c r="AD1" s="2" t="s">
        <v>80</v>
      </c>
      <c r="AE1" s="2" t="s">
        <v>81</v>
      </c>
    </row>
    <row r="2" spans="1:31" s="6" customFormat="1" x14ac:dyDescent="0.25">
      <c r="A2" s="6" t="s">
        <v>82</v>
      </c>
      <c r="B2" s="6" t="s">
        <v>83</v>
      </c>
      <c r="D2" s="6"/>
      <c r="E2" s="6"/>
      <c r="F2" s="6"/>
      <c r="G2" s="6"/>
      <c r="H2" s="6"/>
      <c r="I2" s="6"/>
      <c r="J2" s="6"/>
      <c r="K2" s="6" t="s">
        <v>84</v>
      </c>
      <c r="L2" s="6" t="s">
        <v>85</v>
      </c>
      <c r="M2" s="6"/>
      <c r="N2" s="6"/>
      <c r="O2" s="6"/>
      <c r="P2" s="6"/>
      <c r="Q2" s="11"/>
      <c r="R2" s="12">
        <f>
              Ifs(
                (Q2 = 'Points-Table'!$A$4), 'Points-Table'!$C$4,
                (Q2 = 'Points-Table'!$A$5), 'Points-Table'!$C$5,
                (Q2 = 'Points-Table'!$A$6), 'Points-Table'!$C$6,
                (Q2 = 'Points-Table'!$A$7), 'Points-Table'!$C$7,
                (Q2 = 'Points-Table'!$A$8), 'Points-Table'!$C$8,
                (Q2 = 'Points-Table'!$A$9), 'Points-Table'!$C$9,
                (Q2 = 'Points-Table'!$A$10), 'Points-Table'!$C$10,
                (Q2 = 'Points-Table'!$A$11), 'Points-Table'!$C$11,
                (Q2 = 'Points-Table'!$A$12), 'Points-Table'!$C$12,
                (Q2 = 'Points-Table'!$A$13), 'Points-Table'!$C$13,
                true, 0
              )
            </f>
      </c>
      <c r="S2" s="11"/>
      <c r="T2" s="12">
        <f>
              Ifs(
                (S2 = 'Points-Table'!$A$4), 'Points-Table'!$C$4,
                (S2 = 'Points-Table'!$A$5), 'Points-Table'!$C$5,
                (S2 = 'Points-Table'!$A$6), 'Points-Table'!$C$6,
                (S2 = 'Points-Table'!$A$7), 'Points-Table'!$C$7,
                (S2 = 'Points-Table'!$A$8), 'Points-Table'!$C$8,
                (S2 = 'Points-Table'!$A$9), 'Points-Table'!$C$9,
                (S2 = 'Points-Table'!$A$10), 'Points-Table'!$C$10,
                (S2 = 'Points-Table'!$A$11), 'Points-Table'!$C$11,
                (S2 = 'Points-Table'!$A$12), 'Points-Table'!$C$12,
                (S2 = 'Points-Table'!$A$13), 'Points-Table'!$C$13,
                true, 0
              )
            </f>
      </c>
      <c r="U2" s="11">
        <v>21</v>
      </c>
      <c r="V2" s="12">
        <f>
              Ifs(
                (U2 = 'Points-Table'!$A$4), 'Points-Table'!$C$4,
                (U2 = 'Points-Table'!$A$5), 'Points-Table'!$C$5,
                (U2 = 'Points-Table'!$A$6), 'Points-Table'!$C$6,
                (U2 = 'Points-Table'!$A$7), 'Points-Table'!$C$7,
                (U2 = 'Points-Table'!$A$8), 'Points-Table'!$C$8,
                (U2 = 'Points-Table'!$A$9), 'Points-Table'!$C$9,
                (U2 = 'Points-Table'!$A$10), 'Points-Table'!$C$10,
                (U2 = 'Points-Table'!$A$11), 'Points-Table'!$C$11,
                (U2 = 'Points-Table'!$A$12), 'Points-Table'!$C$12,
                (U2 = 'Points-Table'!$A$13), 'Points-Table'!$C$13,
                true, 0
              )
            </f>
      </c>
      <c r="W2" s="11">
        <v>5</v>
      </c>
      <c r="X2" s="12">
        <f>
              Ifs(
                (W2 = 'Points-Table'!$A$4), 'Points-Table'!$C$4,
                (W2 = 'Points-Table'!$A$5), 'Points-Table'!$C$5,
                (W2 = 'Points-Table'!$A$6), 'Points-Table'!$C$6,
                (W2 = 'Points-Table'!$A$7), 'Points-Table'!$C$7,
                (W2 = 'Points-Table'!$A$8), 'Points-Table'!$C$8,
                (W2 = 'Points-Table'!$A$9), 'Points-Table'!$C$9,
                (W2 = 'Points-Table'!$A$10), 'Points-Table'!$C$10,
                (W2 = 'Points-Table'!$A$11), 'Points-Table'!$C$11,
                (W2 = 'Points-Table'!$A$12), 'Points-Table'!$C$12,
                (W2 = 'Points-Table'!$A$13), 'Points-Table'!$C$13,
                true, 0
              )
            </f>
      </c>
      <c r="Y2" s="11">
        <v>21</v>
      </c>
      <c r="Z2" s="12">
        <f>
              Ifs(
                (Y2 = 'Points-Table'!$A$4), 'Points-Table'!$C$4,
                (Y2 = 'Points-Table'!$A$5), 'Points-Table'!$C$5,
                (Y2 = 'Points-Table'!$A$6), 'Points-Table'!$C$6,
                (Y2 = 'Points-Table'!$A$7), 'Points-Table'!$C$7,
                (Y2 = 'Points-Table'!$A$8), 'Points-Table'!$C$8,
                (Y2 = 'Points-Table'!$A$9), 'Points-Table'!$C$9,
                (Y2 = 'Points-Table'!$A$10), 'Points-Table'!$C$10,
                (Y2 = 'Points-Table'!$A$11), 'Points-Table'!$C$11,
                (Y2 = 'Points-Table'!$A$12), 'Points-Table'!$C$12,
                (Y2 = 'Points-Table'!$A$13), 'Points-Table'!$C$13,
                true, 0
              )
            </f>
      </c>
      <c r="AA2" s="6">
        <f>SUM(V2,X2,Z2)</f>
      </c>
      <c r="AB2" s="6">
        <f>
      Ifs( 
        ISBETWEEN(AA2, 0, 'Points-Table'!C$20, TRUE, False), 'Points-Table'!A$20,
        ISBETWEEN(AA2, 'Points-Table'!C$20, 'Points-Table'!C$21, TRUE, False), 'Points-Table'!A$21,
        ISBETWEEN(AA2, 'Points-Table'!C$22, 10000, TRUE, TRUE), 'Points-Table'!A$22,
        true, 
        0)
      </f>
      </c>
      <c r="AC2" s="6" t="s">
        <v>56</v>
      </c>
      <c r="AD2" s="6" t="s">
        <v>56</v>
      </c>
      <c r="AE2" s="6" t="s">
        <v>56</v>
      </c>
    </row>
    <row r="3" spans="1:31" s="6" customFormat="1" x14ac:dyDescent="0.25">
      <c r="A3" s="6" t="s">
        <v>82</v>
      </c>
      <c r="B3" s="6" t="s">
        <v>86</v>
      </c>
      <c r="D3" s="6"/>
      <c r="E3" s="6"/>
      <c r="F3" s="6" t="s">
        <v>87</v>
      </c>
      <c r="G3" s="6"/>
      <c r="H3" s="6"/>
      <c r="I3" s="6"/>
      <c r="J3" s="6"/>
      <c r="K3" s="6" t="s">
        <v>84</v>
      </c>
      <c r="L3" s="6" t="s">
        <v>85</v>
      </c>
      <c r="M3" s="6"/>
      <c r="N3" s="6"/>
      <c r="O3" s="6"/>
      <c r="P3" s="6"/>
      <c r="Q3" s="11"/>
      <c r="R3" s="12">
        <f>
              Ifs(
                (Q3 = 'Points-Table'!$A$4), 'Points-Table'!$C$4,
                (Q3 = 'Points-Table'!$A$5), 'Points-Table'!$C$5,
                (Q3 = 'Points-Table'!$A$6), 'Points-Table'!$C$6,
                (Q3 = 'Points-Table'!$A$7), 'Points-Table'!$C$7,
                (Q3 = 'Points-Table'!$A$8), 'Points-Table'!$C$8,
                (Q3 = 'Points-Table'!$A$9), 'Points-Table'!$C$9,
                (Q3 = 'Points-Table'!$A$10), 'Points-Table'!$C$10,
                (Q3 = 'Points-Table'!$A$11), 'Points-Table'!$C$11,
                (Q3 = 'Points-Table'!$A$12), 'Points-Table'!$C$12,
                (Q3 = 'Points-Table'!$A$13), 'Points-Table'!$C$13,
                true, 0
              )
            </f>
      </c>
      <c r="S3" s="11"/>
      <c r="T3" s="12">
        <f>
              Ifs(
                (S3 = 'Points-Table'!$A$4), 'Points-Table'!$C$4,
                (S3 = 'Points-Table'!$A$5), 'Points-Table'!$C$5,
                (S3 = 'Points-Table'!$A$6), 'Points-Table'!$C$6,
                (S3 = 'Points-Table'!$A$7), 'Points-Table'!$C$7,
                (S3 = 'Points-Table'!$A$8), 'Points-Table'!$C$8,
                (S3 = 'Points-Table'!$A$9), 'Points-Table'!$C$9,
                (S3 = 'Points-Table'!$A$10), 'Points-Table'!$C$10,
                (S3 = 'Points-Table'!$A$11), 'Points-Table'!$C$11,
                (S3 = 'Points-Table'!$A$12), 'Points-Table'!$C$12,
                (S3 = 'Points-Table'!$A$13), 'Points-Table'!$C$13,
                true, 0
              )
            </f>
      </c>
      <c r="U3" s="11">
        <v>0</v>
      </c>
      <c r="V3" s="12">
        <f>
              Ifs(
                (U3 = 'Points-Table'!$A$4), 'Points-Table'!$C$4,
                (U3 = 'Points-Table'!$A$5), 'Points-Table'!$C$5,
                (U3 = 'Points-Table'!$A$6), 'Points-Table'!$C$6,
                (U3 = 'Points-Table'!$A$7), 'Points-Table'!$C$7,
                (U3 = 'Points-Table'!$A$8), 'Points-Table'!$C$8,
                (U3 = 'Points-Table'!$A$9), 'Points-Table'!$C$9,
                (U3 = 'Points-Table'!$A$10), 'Points-Table'!$C$10,
                (U3 = 'Points-Table'!$A$11), 'Points-Table'!$C$11,
                (U3 = 'Points-Table'!$A$12), 'Points-Table'!$C$12,
                (U3 = 'Points-Table'!$A$13), 'Points-Table'!$C$13,
                true, 0
              )
            </f>
      </c>
      <c r="W3" s="11">
        <v>0</v>
      </c>
      <c r="X3" s="12">
        <f>
              Ifs(
                (W3 = 'Points-Table'!$A$4), 'Points-Table'!$C$4,
                (W3 = 'Points-Table'!$A$5), 'Points-Table'!$C$5,
                (W3 = 'Points-Table'!$A$6), 'Points-Table'!$C$6,
                (W3 = 'Points-Table'!$A$7), 'Points-Table'!$C$7,
                (W3 = 'Points-Table'!$A$8), 'Points-Table'!$C$8,
                (W3 = 'Points-Table'!$A$9), 'Points-Table'!$C$9,
                (W3 = 'Points-Table'!$A$10), 'Points-Table'!$C$10,
                (W3 = 'Points-Table'!$A$11), 'Points-Table'!$C$11,
                (W3 = 'Points-Table'!$A$12), 'Points-Table'!$C$12,
                (W3 = 'Points-Table'!$A$13), 'Points-Table'!$C$13,
                true, 0
              )
            </f>
      </c>
      <c r="Y3" s="11">
        <v>34</v>
      </c>
      <c r="Z3" s="12">
        <f>
              Ifs(
                (Y3 = 'Points-Table'!$A$4), 'Points-Table'!$C$4,
                (Y3 = 'Points-Table'!$A$5), 'Points-Table'!$C$5,
                (Y3 = 'Points-Table'!$A$6), 'Points-Table'!$C$6,
                (Y3 = 'Points-Table'!$A$7), 'Points-Table'!$C$7,
                (Y3 = 'Points-Table'!$A$8), 'Points-Table'!$C$8,
                (Y3 = 'Points-Table'!$A$9), 'Points-Table'!$C$9,
                (Y3 = 'Points-Table'!$A$10), 'Points-Table'!$C$10,
                (Y3 = 'Points-Table'!$A$11), 'Points-Table'!$C$11,
                (Y3 = 'Points-Table'!$A$12), 'Points-Table'!$C$12,
                (Y3 = 'Points-Table'!$A$13), 'Points-Table'!$C$13,
                true, 0
              )
            </f>
      </c>
      <c r="AA3" s="6">
        <f>SUM(V3,X3,Z3)</f>
      </c>
      <c r="AB3" s="6">
        <f>
      Ifs( 
        ISBETWEEN(AA3, 0, 'Points-Table'!C$20, TRUE, False), 'Points-Table'!A$20,
        ISBETWEEN(AA3, 'Points-Table'!C$20, 'Points-Table'!C$21, TRUE, False), 'Points-Table'!A$21,
        ISBETWEEN(AA3, 'Points-Table'!C$22, 10000, TRUE, TRUE), 'Points-Table'!A$22,
        true, 
        0)
      </f>
      </c>
      <c r="AC3" s="6" t="s">
        <v>56</v>
      </c>
      <c r="AD3" s="6" t="s">
        <v>56</v>
      </c>
      <c r="AE3" s="6" t="s">
        <v>56</v>
      </c>
    </row>
    <row r="4" spans="1:31" s="6" customFormat="1" x14ac:dyDescent="0.25">
      <c r="A4" s="6" t="s">
        <v>88</v>
      </c>
      <c r="B4" s="6" t="s">
        <v>89</v>
      </c>
      <c r="D4" s="6"/>
      <c r="E4" s="6"/>
      <c r="F4" s="6"/>
      <c r="G4" s="6"/>
      <c r="H4" s="6"/>
      <c r="I4" s="6"/>
      <c r="J4" s="6"/>
      <c r="K4" s="6" t="s">
        <v>84</v>
      </c>
      <c r="L4" s="6" t="s">
        <v>85</v>
      </c>
      <c r="M4" s="6"/>
      <c r="N4" s="6"/>
      <c r="O4" s="6"/>
      <c r="P4" s="6"/>
      <c r="Q4" s="11">
        <v>2</v>
      </c>
      <c r="R4" s="12">
        <f>
              Ifs(
                (Q4 = 'Points-Table'!$A$4), 'Points-Table'!$C$4,
                (Q4 = 'Points-Table'!$A$5), 'Points-Table'!$C$5,
                (Q4 = 'Points-Table'!$A$6), 'Points-Table'!$C$6,
                (Q4 = 'Points-Table'!$A$7), 'Points-Table'!$C$7,
                (Q4 = 'Points-Table'!$A$8), 'Points-Table'!$C$8,
                (Q4 = 'Points-Table'!$A$9), 'Points-Table'!$C$9,
                (Q4 = 'Points-Table'!$A$10), 'Points-Table'!$C$10,
                (Q4 = 'Points-Table'!$A$11), 'Points-Table'!$C$11,
                (Q4 = 'Points-Table'!$A$12), 'Points-Table'!$C$12,
                (Q4 = 'Points-Table'!$A$13), 'Points-Table'!$C$13,
                true, 0
              )
            </f>
      </c>
      <c r="S4" s="11">
        <v>2</v>
      </c>
      <c r="T4" s="12">
        <f>
              Ifs(
                (S4 = 'Points-Table'!$A$4), 'Points-Table'!$C$4,
                (S4 = 'Points-Table'!$A$5), 'Points-Table'!$C$5,
                (S4 = 'Points-Table'!$A$6), 'Points-Table'!$C$6,
                (S4 = 'Points-Table'!$A$7), 'Points-Table'!$C$7,
                (S4 = 'Points-Table'!$A$8), 'Points-Table'!$C$8,
                (S4 = 'Points-Table'!$A$9), 'Points-Table'!$C$9,
                (S4 = 'Points-Table'!$A$10), 'Points-Table'!$C$10,
                (S4 = 'Points-Table'!$A$11), 'Points-Table'!$C$11,
                (S4 = 'Points-Table'!$A$12), 'Points-Table'!$C$12,
                (S4 = 'Points-Table'!$A$13), 'Points-Table'!$C$13,
                true, 0
              )
            </f>
      </c>
      <c r="U4" s="11">
        <v>5</v>
      </c>
      <c r="V4" s="12">
        <f>
              Ifs(
                (U4 = 'Points-Table'!$A$4), 'Points-Table'!$C$4,
                (U4 = 'Points-Table'!$A$5), 'Points-Table'!$C$5,
                (U4 = 'Points-Table'!$A$6), 'Points-Table'!$C$6,
                (U4 = 'Points-Table'!$A$7), 'Points-Table'!$C$7,
                (U4 = 'Points-Table'!$A$8), 'Points-Table'!$C$8,
                (U4 = 'Points-Table'!$A$9), 'Points-Table'!$C$9,
                (U4 = 'Points-Table'!$A$10), 'Points-Table'!$C$10,
                (U4 = 'Points-Table'!$A$11), 'Points-Table'!$C$11,
                (U4 = 'Points-Table'!$A$12), 'Points-Table'!$C$12,
                (U4 = 'Points-Table'!$A$13), 'Points-Table'!$C$13,
                true, 0
              )
            </f>
      </c>
      <c r="W4" s="11">
        <v>2</v>
      </c>
      <c r="X4" s="12">
        <f>
              Ifs(
                (W4 = 'Points-Table'!$A$4), 'Points-Table'!$C$4,
                (W4 = 'Points-Table'!$A$5), 'Points-Table'!$C$5,
                (W4 = 'Points-Table'!$A$6), 'Points-Table'!$C$6,
                (W4 = 'Points-Table'!$A$7), 'Points-Table'!$C$7,
                (W4 = 'Points-Table'!$A$8), 'Points-Table'!$C$8,
                (W4 = 'Points-Table'!$A$9), 'Points-Table'!$C$9,
                (W4 = 'Points-Table'!$A$10), 'Points-Table'!$C$10,
                (W4 = 'Points-Table'!$A$11), 'Points-Table'!$C$11,
                (W4 = 'Points-Table'!$A$12), 'Points-Table'!$C$12,
                (W4 = 'Points-Table'!$A$13), 'Points-Table'!$C$13,
                true, 0
              )
            </f>
      </c>
      <c r="Y4" s="11">
        <v>5</v>
      </c>
      <c r="Z4" s="12">
        <f>
              Ifs(
                (Y4 = 'Points-Table'!$A$4), 'Points-Table'!$C$4,
                (Y4 = 'Points-Table'!$A$5), 'Points-Table'!$C$5,
                (Y4 = 'Points-Table'!$A$6), 'Points-Table'!$C$6,
                (Y4 = 'Points-Table'!$A$7), 'Points-Table'!$C$7,
                (Y4 = 'Points-Table'!$A$8), 'Points-Table'!$C$8,
                (Y4 = 'Points-Table'!$A$9), 'Points-Table'!$C$9,
                (Y4 = 'Points-Table'!$A$10), 'Points-Table'!$C$10,
                (Y4 = 'Points-Table'!$A$11), 'Points-Table'!$C$11,
                (Y4 = 'Points-Table'!$A$12), 'Points-Table'!$C$12,
                (Y4 = 'Points-Table'!$A$13), 'Points-Table'!$C$13,
                true, 0
              )
            </f>
      </c>
      <c r="AA4" s="6">
        <f>SUM(V4,X4,Z4)</f>
      </c>
      <c r="AB4" s="6">
        <f>
      Ifs( 
        ISBETWEEN(AA4, 0, 'Points-Table'!C$20, TRUE, False), 'Points-Table'!A$20,
        ISBETWEEN(AA4, 'Points-Table'!C$20, 'Points-Table'!C$21, TRUE, False), 'Points-Table'!A$21,
        ISBETWEEN(AA4, 'Points-Table'!C$22, 10000, TRUE, TRUE), 'Points-Table'!A$22,
        true, 
        0)
      </f>
      </c>
      <c r="AC4" s="6" t="s">
        <v>56</v>
      </c>
      <c r="AD4" s="6" t="s">
        <v>56</v>
      </c>
      <c r="AE4" s="6" t="s">
        <v>56</v>
      </c>
    </row>
    <row r="5" spans="1:31" s="6" customFormat="1" x14ac:dyDescent="0.25">
      <c r="A5" s="6" t="s">
        <v>88</v>
      </c>
      <c r="B5" s="6" t="s">
        <v>90</v>
      </c>
      <c r="D5" s="6"/>
      <c r="E5" s="6"/>
      <c r="F5" s="6"/>
      <c r="G5" s="6"/>
      <c r="H5" s="6"/>
      <c r="I5" s="6"/>
      <c r="J5" s="6"/>
      <c r="K5" s="6" t="s">
        <v>84</v>
      </c>
      <c r="L5" s="6" t="s">
        <v>85</v>
      </c>
      <c r="M5" s="6"/>
      <c r="N5" s="6"/>
      <c r="O5" s="6"/>
      <c r="P5" s="6"/>
      <c r="Q5" s="11"/>
      <c r="R5" s="12">
        <f>
              Ifs(
                (Q5 = 'Points-Table'!$A$4), 'Points-Table'!$C$4,
                (Q5 = 'Points-Table'!$A$5), 'Points-Table'!$C$5,
                (Q5 = 'Points-Table'!$A$6), 'Points-Table'!$C$6,
                (Q5 = 'Points-Table'!$A$7), 'Points-Table'!$C$7,
                (Q5 = 'Points-Table'!$A$8), 'Points-Table'!$C$8,
                (Q5 = 'Points-Table'!$A$9), 'Points-Table'!$C$9,
                (Q5 = 'Points-Table'!$A$10), 'Points-Table'!$C$10,
                (Q5 = 'Points-Table'!$A$11), 'Points-Table'!$C$11,
                (Q5 = 'Points-Table'!$A$12), 'Points-Table'!$C$12,
                (Q5 = 'Points-Table'!$A$13), 'Points-Table'!$C$13,
                true, 0
              )
            </f>
      </c>
      <c r="S5" s="11"/>
      <c r="T5" s="12">
        <f>
              Ifs(
                (S5 = 'Points-Table'!$A$4), 'Points-Table'!$C$4,
                (S5 = 'Points-Table'!$A$5), 'Points-Table'!$C$5,
                (S5 = 'Points-Table'!$A$6), 'Points-Table'!$C$6,
                (S5 = 'Points-Table'!$A$7), 'Points-Table'!$C$7,
                (S5 = 'Points-Table'!$A$8), 'Points-Table'!$C$8,
                (S5 = 'Points-Table'!$A$9), 'Points-Table'!$C$9,
                (S5 = 'Points-Table'!$A$10), 'Points-Table'!$C$10,
                (S5 = 'Points-Table'!$A$11), 'Points-Table'!$C$11,
                (S5 = 'Points-Table'!$A$12), 'Points-Table'!$C$12,
                (S5 = 'Points-Table'!$A$13), 'Points-Table'!$C$13,
                true, 0
              )
            </f>
      </c>
      <c r="U5" s="11">
        <v>3</v>
      </c>
      <c r="V5" s="12">
        <f>
              Ifs(
                (U5 = 'Points-Table'!$A$4), 'Points-Table'!$C$4,
                (U5 = 'Points-Table'!$A$5), 'Points-Table'!$C$5,
                (U5 = 'Points-Table'!$A$6), 'Points-Table'!$C$6,
                (U5 = 'Points-Table'!$A$7), 'Points-Table'!$C$7,
                (U5 = 'Points-Table'!$A$8), 'Points-Table'!$C$8,
                (U5 = 'Points-Table'!$A$9), 'Points-Table'!$C$9,
                (U5 = 'Points-Table'!$A$10), 'Points-Table'!$C$10,
                (U5 = 'Points-Table'!$A$11), 'Points-Table'!$C$11,
                (U5 = 'Points-Table'!$A$12), 'Points-Table'!$C$12,
                (U5 = 'Points-Table'!$A$13), 'Points-Table'!$C$13,
                true, 0
              )
            </f>
      </c>
      <c r="W5" s="11">
        <v>2</v>
      </c>
      <c r="X5" s="12">
        <f>
              Ifs(
                (W5 = 'Points-Table'!$A$4), 'Points-Table'!$C$4,
                (W5 = 'Points-Table'!$A$5), 'Points-Table'!$C$5,
                (W5 = 'Points-Table'!$A$6), 'Points-Table'!$C$6,
                (W5 = 'Points-Table'!$A$7), 'Points-Table'!$C$7,
                (W5 = 'Points-Table'!$A$8), 'Points-Table'!$C$8,
                (W5 = 'Points-Table'!$A$9), 'Points-Table'!$C$9,
                (W5 = 'Points-Table'!$A$10), 'Points-Table'!$C$10,
                (W5 = 'Points-Table'!$A$11), 'Points-Table'!$C$11,
                (W5 = 'Points-Table'!$A$12), 'Points-Table'!$C$12,
                (W5 = 'Points-Table'!$A$13), 'Points-Table'!$C$13,
                true, 0
              )
            </f>
      </c>
      <c r="Y5" s="11">
        <v>3</v>
      </c>
      <c r="Z5" s="12">
        <f>
              Ifs(
                (Y5 = 'Points-Table'!$A$4), 'Points-Table'!$C$4,
                (Y5 = 'Points-Table'!$A$5), 'Points-Table'!$C$5,
                (Y5 = 'Points-Table'!$A$6), 'Points-Table'!$C$6,
                (Y5 = 'Points-Table'!$A$7), 'Points-Table'!$C$7,
                (Y5 = 'Points-Table'!$A$8), 'Points-Table'!$C$8,
                (Y5 = 'Points-Table'!$A$9), 'Points-Table'!$C$9,
                (Y5 = 'Points-Table'!$A$10), 'Points-Table'!$C$10,
                (Y5 = 'Points-Table'!$A$11), 'Points-Table'!$C$11,
                (Y5 = 'Points-Table'!$A$12), 'Points-Table'!$C$12,
                (Y5 = 'Points-Table'!$A$13), 'Points-Table'!$C$13,
                true, 0
              )
            </f>
      </c>
      <c r="AA5" s="6">
        <f>SUM(V5,X5,Z5)</f>
      </c>
      <c r="AB5" s="6">
        <f>
      Ifs( 
        ISBETWEEN(AA5, 0, 'Points-Table'!C$20, TRUE, False), 'Points-Table'!A$20,
        ISBETWEEN(AA5, 'Points-Table'!C$20, 'Points-Table'!C$21, TRUE, False), 'Points-Table'!A$21,
        ISBETWEEN(AA5, 'Points-Table'!C$22, 10000, TRUE, TRUE), 'Points-Table'!A$22,
        true, 
        0)
      </f>
      </c>
      <c r="AC5" s="6" t="s">
        <v>56</v>
      </c>
      <c r="AD5" s="6" t="s">
        <v>56</v>
      </c>
      <c r="AE5" s="6" t="s">
        <v>56</v>
      </c>
    </row>
    <row r="6" spans="1:31" s="6" customFormat="1" x14ac:dyDescent="0.25">
      <c r="A6" s="6" t="s">
        <v>88</v>
      </c>
      <c r="B6" s="6" t="s">
        <v>91</v>
      </c>
      <c r="D6" s="6"/>
      <c r="E6" s="6"/>
      <c r="F6" s="6" t="s">
        <v>92</v>
      </c>
      <c r="G6" s="6"/>
      <c r="H6" s="6"/>
      <c r="I6" s="6"/>
      <c r="J6" s="6"/>
      <c r="K6" s="6" t="s">
        <v>84</v>
      </c>
      <c r="L6" s="6" t="s">
        <v>85</v>
      </c>
      <c r="M6" s="6"/>
      <c r="N6" s="6"/>
      <c r="O6" s="6"/>
      <c r="P6" s="6"/>
      <c r="Q6" s="11"/>
      <c r="R6" s="12">
        <f>
              Ifs(
                (Q6 = 'Points-Table'!$A$4), 'Points-Table'!$C$4,
                (Q6 = 'Points-Table'!$A$5), 'Points-Table'!$C$5,
                (Q6 = 'Points-Table'!$A$6), 'Points-Table'!$C$6,
                (Q6 = 'Points-Table'!$A$7), 'Points-Table'!$C$7,
                (Q6 = 'Points-Table'!$A$8), 'Points-Table'!$C$8,
                (Q6 = 'Points-Table'!$A$9), 'Points-Table'!$C$9,
                (Q6 = 'Points-Table'!$A$10), 'Points-Table'!$C$10,
                (Q6 = 'Points-Table'!$A$11), 'Points-Table'!$C$11,
                (Q6 = 'Points-Table'!$A$12), 'Points-Table'!$C$12,
                (Q6 = 'Points-Table'!$A$13), 'Points-Table'!$C$13,
                true, 0
              )
            </f>
      </c>
      <c r="S6" s="11"/>
      <c r="T6" s="12">
        <f>
              Ifs(
                (S6 = 'Points-Table'!$A$4), 'Points-Table'!$C$4,
                (S6 = 'Points-Table'!$A$5), 'Points-Table'!$C$5,
                (S6 = 'Points-Table'!$A$6), 'Points-Table'!$C$6,
                (S6 = 'Points-Table'!$A$7), 'Points-Table'!$C$7,
                (S6 = 'Points-Table'!$A$8), 'Points-Table'!$C$8,
                (S6 = 'Points-Table'!$A$9), 'Points-Table'!$C$9,
                (S6 = 'Points-Table'!$A$10), 'Points-Table'!$C$10,
                (S6 = 'Points-Table'!$A$11), 'Points-Table'!$C$11,
                (S6 = 'Points-Table'!$A$12), 'Points-Table'!$C$12,
                (S6 = 'Points-Table'!$A$13), 'Points-Table'!$C$13,
                true, 0
              )
            </f>
      </c>
      <c r="U6" s="11">
        <v>1</v>
      </c>
      <c r="V6" s="12">
        <f>
              Ifs(
                (U6 = 'Points-Table'!$A$4), 'Points-Table'!$C$4,
                (U6 = 'Points-Table'!$A$5), 'Points-Table'!$C$5,
                (U6 = 'Points-Table'!$A$6), 'Points-Table'!$C$6,
                (U6 = 'Points-Table'!$A$7), 'Points-Table'!$C$7,
                (U6 = 'Points-Table'!$A$8), 'Points-Table'!$C$8,
                (U6 = 'Points-Table'!$A$9), 'Points-Table'!$C$9,
                (U6 = 'Points-Table'!$A$10), 'Points-Table'!$C$10,
                (U6 = 'Points-Table'!$A$11), 'Points-Table'!$C$11,
                (U6 = 'Points-Table'!$A$12), 'Points-Table'!$C$12,
                (U6 = 'Points-Table'!$A$13), 'Points-Table'!$C$13,
                true, 0
              )
            </f>
      </c>
      <c r="W6" s="11">
        <v>5</v>
      </c>
      <c r="X6" s="12">
        <f>
              Ifs(
                (W6 = 'Points-Table'!$A$4), 'Points-Table'!$C$4,
                (W6 = 'Points-Table'!$A$5), 'Points-Table'!$C$5,
                (W6 = 'Points-Table'!$A$6), 'Points-Table'!$C$6,
                (W6 = 'Points-Table'!$A$7), 'Points-Table'!$C$7,
                (W6 = 'Points-Table'!$A$8), 'Points-Table'!$C$8,
                (W6 = 'Points-Table'!$A$9), 'Points-Table'!$C$9,
                (W6 = 'Points-Table'!$A$10), 'Points-Table'!$C$10,
                (W6 = 'Points-Table'!$A$11), 'Points-Table'!$C$11,
                (W6 = 'Points-Table'!$A$12), 'Points-Table'!$C$12,
                (W6 = 'Points-Table'!$A$13), 'Points-Table'!$C$13,
                true, 0
              )
            </f>
      </c>
      <c r="Y6" s="11">
        <v>5</v>
      </c>
      <c r="Z6" s="12">
        <f>
              Ifs(
                (Y6 = 'Points-Table'!$A$4), 'Points-Table'!$C$4,
                (Y6 = 'Points-Table'!$A$5), 'Points-Table'!$C$5,
                (Y6 = 'Points-Table'!$A$6), 'Points-Table'!$C$6,
                (Y6 = 'Points-Table'!$A$7), 'Points-Table'!$C$7,
                (Y6 = 'Points-Table'!$A$8), 'Points-Table'!$C$8,
                (Y6 = 'Points-Table'!$A$9), 'Points-Table'!$C$9,
                (Y6 = 'Points-Table'!$A$10), 'Points-Table'!$C$10,
                (Y6 = 'Points-Table'!$A$11), 'Points-Table'!$C$11,
                (Y6 = 'Points-Table'!$A$12), 'Points-Table'!$C$12,
                (Y6 = 'Points-Table'!$A$13), 'Points-Table'!$C$13,
                true, 0
              )
            </f>
      </c>
      <c r="AA6" s="6">
        <f>SUM(V6,X6,Z6)</f>
      </c>
      <c r="AB6" s="6">
        <f>
      Ifs( 
        ISBETWEEN(AA6, 0, 'Points-Table'!C$20, TRUE, False), 'Points-Table'!A$20,
        ISBETWEEN(AA6, 'Points-Table'!C$20, 'Points-Table'!C$21, TRUE, False), 'Points-Table'!A$21,
        ISBETWEEN(AA6, 'Points-Table'!C$22, 10000, TRUE, TRUE), 'Points-Table'!A$22,
        true, 
        0)
      </f>
      </c>
      <c r="AC6" s="6" t="s">
        <v>56</v>
      </c>
      <c r="AD6" s="6" t="s">
        <v>56</v>
      </c>
      <c r="AE6" s="6" t="s">
        <v>56</v>
      </c>
    </row>
    <row r="7" spans="1:31" s="6" customFormat="1" x14ac:dyDescent="0.25">
      <c r="A7" s="6" t="s">
        <v>93</v>
      </c>
      <c r="B7" s="6" t="s">
        <v>94</v>
      </c>
      <c r="D7" s="6" t="s">
        <v>95</v>
      </c>
      <c r="E7" s="6"/>
      <c r="F7" s="6" t="s">
        <v>96</v>
      </c>
      <c r="G7" s="6"/>
      <c r="H7" s="6"/>
      <c r="I7" s="6"/>
      <c r="J7" s="6"/>
      <c r="K7" s="6" t="s">
        <v>84</v>
      </c>
      <c r="L7" s="6" t="s">
        <v>85</v>
      </c>
      <c r="M7" s="6"/>
      <c r="N7" s="6"/>
      <c r="O7" s="6"/>
      <c r="P7" s="6"/>
      <c r="Q7" s="11"/>
      <c r="R7" s="12">
        <f>
              Ifs(
                (Q7 = 'Points-Table'!$A$4), 'Points-Table'!$C$4,
                (Q7 = 'Points-Table'!$A$5), 'Points-Table'!$C$5,
                (Q7 = 'Points-Table'!$A$6), 'Points-Table'!$C$6,
                (Q7 = 'Points-Table'!$A$7), 'Points-Table'!$C$7,
                (Q7 = 'Points-Table'!$A$8), 'Points-Table'!$C$8,
                (Q7 = 'Points-Table'!$A$9), 'Points-Table'!$C$9,
                (Q7 = 'Points-Table'!$A$10), 'Points-Table'!$C$10,
                (Q7 = 'Points-Table'!$A$11), 'Points-Table'!$C$11,
                (Q7 = 'Points-Table'!$A$12), 'Points-Table'!$C$12,
                (Q7 = 'Points-Table'!$A$13), 'Points-Table'!$C$13,
                true, 0
              )
            </f>
      </c>
      <c r="S7" s="11"/>
      <c r="T7" s="12">
        <f>
              Ifs(
                (S7 = 'Points-Table'!$A$4), 'Points-Table'!$C$4,
                (S7 = 'Points-Table'!$A$5), 'Points-Table'!$C$5,
                (S7 = 'Points-Table'!$A$6), 'Points-Table'!$C$6,
                (S7 = 'Points-Table'!$A$7), 'Points-Table'!$C$7,
                (S7 = 'Points-Table'!$A$8), 'Points-Table'!$C$8,
                (S7 = 'Points-Table'!$A$9), 'Points-Table'!$C$9,
                (S7 = 'Points-Table'!$A$10), 'Points-Table'!$C$10,
                (S7 = 'Points-Table'!$A$11), 'Points-Table'!$C$11,
                (S7 = 'Points-Table'!$A$12), 'Points-Table'!$C$12,
                (S7 = 'Points-Table'!$A$13), 'Points-Table'!$C$13,
                true, 0
              )
            </f>
      </c>
      <c r="U7" s="11">
        <v>0</v>
      </c>
      <c r="V7" s="12">
        <f>
              Ifs(
                (U7 = 'Points-Table'!$A$4), 'Points-Table'!$C$4,
                (U7 = 'Points-Table'!$A$5), 'Points-Table'!$C$5,
                (U7 = 'Points-Table'!$A$6), 'Points-Table'!$C$6,
                (U7 = 'Points-Table'!$A$7), 'Points-Table'!$C$7,
                (U7 = 'Points-Table'!$A$8), 'Points-Table'!$C$8,
                (U7 = 'Points-Table'!$A$9), 'Points-Table'!$C$9,
                (U7 = 'Points-Table'!$A$10), 'Points-Table'!$C$10,
                (U7 = 'Points-Table'!$A$11), 'Points-Table'!$C$11,
                (U7 = 'Points-Table'!$A$12), 'Points-Table'!$C$12,
                (U7 = 'Points-Table'!$A$13), 'Points-Table'!$C$13,
                true, 0
              )
            </f>
      </c>
      <c r="W7" s="11">
        <v>2</v>
      </c>
      <c r="X7" s="12">
        <f>
              Ifs(
                (W7 = 'Points-Table'!$A$4), 'Points-Table'!$C$4,
                (W7 = 'Points-Table'!$A$5), 'Points-Table'!$C$5,
                (W7 = 'Points-Table'!$A$6), 'Points-Table'!$C$6,
                (W7 = 'Points-Table'!$A$7), 'Points-Table'!$C$7,
                (W7 = 'Points-Table'!$A$8), 'Points-Table'!$C$8,
                (W7 = 'Points-Table'!$A$9), 'Points-Table'!$C$9,
                (W7 = 'Points-Table'!$A$10), 'Points-Table'!$C$10,
                (W7 = 'Points-Table'!$A$11), 'Points-Table'!$C$11,
                (W7 = 'Points-Table'!$A$12), 'Points-Table'!$C$12,
                (W7 = 'Points-Table'!$A$13), 'Points-Table'!$C$13,
                true, 0
              )
            </f>
      </c>
      <c r="Y7" s="11">
        <v>21</v>
      </c>
      <c r="Z7" s="12">
        <f>
              Ifs(
                (Y7 = 'Points-Table'!$A$4), 'Points-Table'!$C$4,
                (Y7 = 'Points-Table'!$A$5), 'Points-Table'!$C$5,
                (Y7 = 'Points-Table'!$A$6), 'Points-Table'!$C$6,
                (Y7 = 'Points-Table'!$A$7), 'Points-Table'!$C$7,
                (Y7 = 'Points-Table'!$A$8), 'Points-Table'!$C$8,
                (Y7 = 'Points-Table'!$A$9), 'Points-Table'!$C$9,
                (Y7 = 'Points-Table'!$A$10), 'Points-Table'!$C$10,
                (Y7 = 'Points-Table'!$A$11), 'Points-Table'!$C$11,
                (Y7 = 'Points-Table'!$A$12), 'Points-Table'!$C$12,
                (Y7 = 'Points-Table'!$A$13), 'Points-Table'!$C$13,
                true, 0
              )
            </f>
      </c>
      <c r="AA7" s="6">
        <f>SUM(V7,X7,Z7)</f>
      </c>
      <c r="AB7" s="6">
        <f>
      Ifs( 
        ISBETWEEN(AA7, 0, 'Points-Table'!C$20, TRUE, False), 'Points-Table'!A$20,
        ISBETWEEN(AA7, 'Points-Table'!C$20, 'Points-Table'!C$21, TRUE, False), 'Points-Table'!A$21,
        ISBETWEEN(AA7, 'Points-Table'!C$22, 10000, TRUE, TRUE), 'Points-Table'!A$22,
        true, 
        0)
      </f>
      </c>
      <c r="AC7" s="6" t="s">
        <v>56</v>
      </c>
      <c r="AD7" s="6" t="s">
        <v>56</v>
      </c>
      <c r="AE7" s="6" t="s">
        <v>56</v>
      </c>
    </row>
    <row r="8" spans="1:31" s="6" customFormat="1" x14ac:dyDescent="0.25">
      <c r="A8" s="6" t="s">
        <v>93</v>
      </c>
      <c r="B8" s="6" t="s">
        <v>97</v>
      </c>
      <c r="D8" s="6" t="s">
        <v>98</v>
      </c>
      <c r="E8" s="6"/>
      <c r="F8" s="6" t="s">
        <v>56</v>
      </c>
      <c r="G8" s="6"/>
      <c r="H8" s="6"/>
      <c r="I8" s="6"/>
      <c r="J8" s="6"/>
      <c r="K8" s="6" t="s">
        <v>84</v>
      </c>
      <c r="L8" s="6" t="s">
        <v>85</v>
      </c>
      <c r="M8" s="6"/>
      <c r="N8" s="6"/>
      <c r="O8" s="6"/>
      <c r="P8" s="6"/>
      <c r="Q8" s="11"/>
      <c r="R8" s="12">
        <f>
              Ifs(
                (Q8 = 'Points-Table'!$A$4), 'Points-Table'!$C$4,
                (Q8 = 'Points-Table'!$A$5), 'Points-Table'!$C$5,
                (Q8 = 'Points-Table'!$A$6), 'Points-Table'!$C$6,
                (Q8 = 'Points-Table'!$A$7), 'Points-Table'!$C$7,
                (Q8 = 'Points-Table'!$A$8), 'Points-Table'!$C$8,
                (Q8 = 'Points-Table'!$A$9), 'Points-Table'!$C$9,
                (Q8 = 'Points-Table'!$A$10), 'Points-Table'!$C$10,
                (Q8 = 'Points-Table'!$A$11), 'Points-Table'!$C$11,
                (Q8 = 'Points-Table'!$A$12), 'Points-Table'!$C$12,
                (Q8 = 'Points-Table'!$A$13), 'Points-Table'!$C$13,
                true, 0
              )
            </f>
      </c>
      <c r="S8" s="11"/>
      <c r="T8" s="12">
        <f>
              Ifs(
                (S8 = 'Points-Table'!$A$4), 'Points-Table'!$C$4,
                (S8 = 'Points-Table'!$A$5), 'Points-Table'!$C$5,
                (S8 = 'Points-Table'!$A$6), 'Points-Table'!$C$6,
                (S8 = 'Points-Table'!$A$7), 'Points-Table'!$C$7,
                (S8 = 'Points-Table'!$A$8), 'Points-Table'!$C$8,
                (S8 = 'Points-Table'!$A$9), 'Points-Table'!$C$9,
                (S8 = 'Points-Table'!$A$10), 'Points-Table'!$C$10,
                (S8 = 'Points-Table'!$A$11), 'Points-Table'!$C$11,
                (S8 = 'Points-Table'!$A$12), 'Points-Table'!$C$12,
                (S8 = 'Points-Table'!$A$13), 'Points-Table'!$C$13,
                true, 0
              )
            </f>
      </c>
      <c r="U8" s="11">
        <v>0</v>
      </c>
      <c r="V8" s="12">
        <f>
              Ifs(
                (U8 = 'Points-Table'!$A$4), 'Points-Table'!$C$4,
                (U8 = 'Points-Table'!$A$5), 'Points-Table'!$C$5,
                (U8 = 'Points-Table'!$A$6), 'Points-Table'!$C$6,
                (U8 = 'Points-Table'!$A$7), 'Points-Table'!$C$7,
                (U8 = 'Points-Table'!$A$8), 'Points-Table'!$C$8,
                (U8 = 'Points-Table'!$A$9), 'Points-Table'!$C$9,
                (U8 = 'Points-Table'!$A$10), 'Points-Table'!$C$10,
                (U8 = 'Points-Table'!$A$11), 'Points-Table'!$C$11,
                (U8 = 'Points-Table'!$A$12), 'Points-Table'!$C$12,
                (U8 = 'Points-Table'!$A$13), 'Points-Table'!$C$13,
                true, 0
              )
            </f>
      </c>
      <c r="W8" s="11">
        <v>2</v>
      </c>
      <c r="X8" s="12">
        <f>
              Ifs(
                (W8 = 'Points-Table'!$A$4), 'Points-Table'!$C$4,
                (W8 = 'Points-Table'!$A$5), 'Points-Table'!$C$5,
                (W8 = 'Points-Table'!$A$6), 'Points-Table'!$C$6,
                (W8 = 'Points-Table'!$A$7), 'Points-Table'!$C$7,
                (W8 = 'Points-Table'!$A$8), 'Points-Table'!$C$8,
                (W8 = 'Points-Table'!$A$9), 'Points-Table'!$C$9,
                (W8 = 'Points-Table'!$A$10), 'Points-Table'!$C$10,
                (W8 = 'Points-Table'!$A$11), 'Points-Table'!$C$11,
                (W8 = 'Points-Table'!$A$12), 'Points-Table'!$C$12,
                (W8 = 'Points-Table'!$A$13), 'Points-Table'!$C$13,
                true, 0
              )
            </f>
      </c>
      <c r="Y8" s="11">
        <v>13</v>
      </c>
      <c r="Z8" s="12">
        <f>
              Ifs(
                (Y8 = 'Points-Table'!$A$4), 'Points-Table'!$C$4,
                (Y8 = 'Points-Table'!$A$5), 'Points-Table'!$C$5,
                (Y8 = 'Points-Table'!$A$6), 'Points-Table'!$C$6,
                (Y8 = 'Points-Table'!$A$7), 'Points-Table'!$C$7,
                (Y8 = 'Points-Table'!$A$8), 'Points-Table'!$C$8,
                (Y8 = 'Points-Table'!$A$9), 'Points-Table'!$C$9,
                (Y8 = 'Points-Table'!$A$10), 'Points-Table'!$C$10,
                (Y8 = 'Points-Table'!$A$11), 'Points-Table'!$C$11,
                (Y8 = 'Points-Table'!$A$12), 'Points-Table'!$C$12,
                (Y8 = 'Points-Table'!$A$13), 'Points-Table'!$C$13,
                true, 0
              )
            </f>
      </c>
      <c r="AA8" s="6">
        <f>SUM(V8,X8,Z8)</f>
      </c>
      <c r="AB8" s="6">
        <f>
      Ifs( 
        ISBETWEEN(AA8, 0, 'Points-Table'!C$20, TRUE, False), 'Points-Table'!A$20,
        ISBETWEEN(AA8, 'Points-Table'!C$20, 'Points-Table'!C$21, TRUE, False), 'Points-Table'!A$21,
        ISBETWEEN(AA8, 'Points-Table'!C$22, 10000, TRUE, TRUE), 'Points-Table'!A$22,
        true, 
        0)
      </f>
      </c>
      <c r="AC8" s="6" t="s">
        <v>56</v>
      </c>
      <c r="AD8" s="6" t="s">
        <v>56</v>
      </c>
      <c r="AE8" s="6" t="s">
        <v>56</v>
      </c>
    </row>
    <row r="9" spans="1:31" s="6" customFormat="1" x14ac:dyDescent="0.25">
      <c r="A9" s="6" t="s">
        <v>93</v>
      </c>
      <c r="B9" s="6" t="s">
        <v>99</v>
      </c>
      <c r="D9" s="6"/>
      <c r="E9" s="6"/>
      <c r="F9" s="6"/>
      <c r="G9" s="6"/>
      <c r="H9" s="6"/>
      <c r="I9" s="6"/>
      <c r="J9" s="6"/>
      <c r="K9" s="6" t="s">
        <v>84</v>
      </c>
      <c r="L9" s="6" t="s">
        <v>85</v>
      </c>
      <c r="M9" s="6"/>
      <c r="N9" s="6"/>
      <c r="O9" s="6"/>
      <c r="P9" s="6"/>
      <c r="Q9" s="11"/>
      <c r="R9" s="12">
        <f>
              Ifs(
                (Q9 = 'Points-Table'!$A$4), 'Points-Table'!$C$4,
                (Q9 = 'Points-Table'!$A$5), 'Points-Table'!$C$5,
                (Q9 = 'Points-Table'!$A$6), 'Points-Table'!$C$6,
                (Q9 = 'Points-Table'!$A$7), 'Points-Table'!$C$7,
                (Q9 = 'Points-Table'!$A$8), 'Points-Table'!$C$8,
                (Q9 = 'Points-Table'!$A$9), 'Points-Table'!$C$9,
                (Q9 = 'Points-Table'!$A$10), 'Points-Table'!$C$10,
                (Q9 = 'Points-Table'!$A$11), 'Points-Table'!$C$11,
                (Q9 = 'Points-Table'!$A$12), 'Points-Table'!$C$12,
                (Q9 = 'Points-Table'!$A$13), 'Points-Table'!$C$13,
                true, 0
              )
            </f>
      </c>
      <c r="S9" s="11"/>
      <c r="T9" s="12">
        <f>
              Ifs(
                (S9 = 'Points-Table'!$A$4), 'Points-Table'!$C$4,
                (S9 = 'Points-Table'!$A$5), 'Points-Table'!$C$5,
                (S9 = 'Points-Table'!$A$6), 'Points-Table'!$C$6,
                (S9 = 'Points-Table'!$A$7), 'Points-Table'!$C$7,
                (S9 = 'Points-Table'!$A$8), 'Points-Table'!$C$8,
                (S9 = 'Points-Table'!$A$9), 'Points-Table'!$C$9,
                (S9 = 'Points-Table'!$A$10), 'Points-Table'!$C$10,
                (S9 = 'Points-Table'!$A$11), 'Points-Table'!$C$11,
                (S9 = 'Points-Table'!$A$12), 'Points-Table'!$C$12,
                (S9 = 'Points-Table'!$A$13), 'Points-Table'!$C$13,
                true, 0
              )
            </f>
      </c>
      <c r="U9" s="11">
        <v>0</v>
      </c>
      <c r="V9" s="12">
        <f>
              Ifs(
                (U9 = 'Points-Table'!$A$4), 'Points-Table'!$C$4,
                (U9 = 'Points-Table'!$A$5), 'Points-Table'!$C$5,
                (U9 = 'Points-Table'!$A$6), 'Points-Table'!$C$6,
                (U9 = 'Points-Table'!$A$7), 'Points-Table'!$C$7,
                (U9 = 'Points-Table'!$A$8), 'Points-Table'!$C$8,
                (U9 = 'Points-Table'!$A$9), 'Points-Table'!$C$9,
                (U9 = 'Points-Table'!$A$10), 'Points-Table'!$C$10,
                (U9 = 'Points-Table'!$A$11), 'Points-Table'!$C$11,
                (U9 = 'Points-Table'!$A$12), 'Points-Table'!$C$12,
                (U9 = 'Points-Table'!$A$13), 'Points-Table'!$C$13,
                true, 0
              )
            </f>
      </c>
      <c r="W9" s="11">
        <v>2</v>
      </c>
      <c r="X9" s="12">
        <f>
              Ifs(
                (W9 = 'Points-Table'!$A$4), 'Points-Table'!$C$4,
                (W9 = 'Points-Table'!$A$5), 'Points-Table'!$C$5,
                (W9 = 'Points-Table'!$A$6), 'Points-Table'!$C$6,
                (W9 = 'Points-Table'!$A$7), 'Points-Table'!$C$7,
                (W9 = 'Points-Table'!$A$8), 'Points-Table'!$C$8,
                (W9 = 'Points-Table'!$A$9), 'Points-Table'!$C$9,
                (W9 = 'Points-Table'!$A$10), 'Points-Table'!$C$10,
                (W9 = 'Points-Table'!$A$11), 'Points-Table'!$C$11,
                (W9 = 'Points-Table'!$A$12), 'Points-Table'!$C$12,
                (W9 = 'Points-Table'!$A$13), 'Points-Table'!$C$13,
                true, 0
              )
            </f>
      </c>
      <c r="Y9" s="11">
        <v>5</v>
      </c>
      <c r="Z9" s="12">
        <f>
              Ifs(
                (Y9 = 'Points-Table'!$A$4), 'Points-Table'!$C$4,
                (Y9 = 'Points-Table'!$A$5), 'Points-Table'!$C$5,
                (Y9 = 'Points-Table'!$A$6), 'Points-Table'!$C$6,
                (Y9 = 'Points-Table'!$A$7), 'Points-Table'!$C$7,
                (Y9 = 'Points-Table'!$A$8), 'Points-Table'!$C$8,
                (Y9 = 'Points-Table'!$A$9), 'Points-Table'!$C$9,
                (Y9 = 'Points-Table'!$A$10), 'Points-Table'!$C$10,
                (Y9 = 'Points-Table'!$A$11), 'Points-Table'!$C$11,
                (Y9 = 'Points-Table'!$A$12), 'Points-Table'!$C$12,
                (Y9 = 'Points-Table'!$A$13), 'Points-Table'!$C$13,
                true, 0
              )
            </f>
      </c>
      <c r="AA9" s="6">
        <f>SUM(V9,X9,Z9)</f>
      </c>
      <c r="AB9" s="6">
        <f>
      Ifs( 
        ISBETWEEN(AA9, 0, 'Points-Table'!C$20, TRUE, False), 'Points-Table'!A$20,
        ISBETWEEN(AA9, 'Points-Table'!C$20, 'Points-Table'!C$21, TRUE, False), 'Points-Table'!A$21,
        ISBETWEEN(AA9, 'Points-Table'!C$22, 10000, TRUE, TRUE), 'Points-Table'!A$22,
        true, 
        0)
      </f>
      </c>
      <c r="AC9" s="6" t="s">
        <v>56</v>
      </c>
      <c r="AD9" s="6" t="s">
        <v>56</v>
      </c>
      <c r="AE9" s="6" t="s">
        <v>56</v>
      </c>
    </row>
    <row r="10" spans="1:31" s="6" customFormat="1" x14ac:dyDescent="0.25">
      <c r="A10" s="6" t="s">
        <v>93</v>
      </c>
      <c r="B10" s="6" t="s">
        <v>100</v>
      </c>
      <c r="D10" s="6"/>
      <c r="E10" s="6"/>
      <c r="F10" s="6" t="s">
        <v>101</v>
      </c>
      <c r="G10" s="6"/>
      <c r="H10" s="6"/>
      <c r="I10" s="6"/>
      <c r="J10" s="6"/>
      <c r="K10" s="6" t="s">
        <v>84</v>
      </c>
      <c r="L10" s="6" t="s">
        <v>85</v>
      </c>
      <c r="M10" s="6"/>
      <c r="N10" s="6"/>
      <c r="O10" s="6"/>
      <c r="P10" s="6"/>
      <c r="Q10" s="11"/>
      <c r="R10" s="12">
        <f>
              Ifs(
                (Q10 = 'Points-Table'!$A$4), 'Points-Table'!$C$4,
                (Q10 = 'Points-Table'!$A$5), 'Points-Table'!$C$5,
                (Q10 = 'Points-Table'!$A$6), 'Points-Table'!$C$6,
                (Q10 = 'Points-Table'!$A$7), 'Points-Table'!$C$7,
                (Q10 = 'Points-Table'!$A$8), 'Points-Table'!$C$8,
                (Q10 = 'Points-Table'!$A$9), 'Points-Table'!$C$9,
                (Q10 = 'Points-Table'!$A$10), 'Points-Table'!$C$10,
                (Q10 = 'Points-Table'!$A$11), 'Points-Table'!$C$11,
                (Q10 = 'Points-Table'!$A$12), 'Points-Table'!$C$12,
                (Q10 = 'Points-Table'!$A$13), 'Points-Table'!$C$13,
                true, 0
              )
            </f>
      </c>
      <c r="S10" s="11"/>
      <c r="T10" s="12">
        <f>
              Ifs(
                (S10 = 'Points-Table'!$A$4), 'Points-Table'!$C$4,
                (S10 = 'Points-Table'!$A$5), 'Points-Table'!$C$5,
                (S10 = 'Points-Table'!$A$6), 'Points-Table'!$C$6,
                (S10 = 'Points-Table'!$A$7), 'Points-Table'!$C$7,
                (S10 = 'Points-Table'!$A$8), 'Points-Table'!$C$8,
                (S10 = 'Points-Table'!$A$9), 'Points-Table'!$C$9,
                (S10 = 'Points-Table'!$A$10), 'Points-Table'!$C$10,
                (S10 = 'Points-Table'!$A$11), 'Points-Table'!$C$11,
                (S10 = 'Points-Table'!$A$12), 'Points-Table'!$C$12,
                (S10 = 'Points-Table'!$A$13), 'Points-Table'!$C$13,
                true, 0
              )
            </f>
      </c>
      <c r="U10" s="11">
        <v>0</v>
      </c>
      <c r="V10" s="12">
        <f>
              Ifs(
                (U10 = 'Points-Table'!$A$4), 'Points-Table'!$C$4,
                (U10 = 'Points-Table'!$A$5), 'Points-Table'!$C$5,
                (U10 = 'Points-Table'!$A$6), 'Points-Table'!$C$6,
                (U10 = 'Points-Table'!$A$7), 'Points-Table'!$C$7,
                (U10 = 'Points-Table'!$A$8), 'Points-Table'!$C$8,
                (U10 = 'Points-Table'!$A$9), 'Points-Table'!$C$9,
                (U10 = 'Points-Table'!$A$10), 'Points-Table'!$C$10,
                (U10 = 'Points-Table'!$A$11), 'Points-Table'!$C$11,
                (U10 = 'Points-Table'!$A$12), 'Points-Table'!$C$12,
                (U10 = 'Points-Table'!$A$13), 'Points-Table'!$C$13,
                true, 0
              )
            </f>
      </c>
      <c r="W10" s="11">
        <v>0</v>
      </c>
      <c r="X10" s="12">
        <f>
              Ifs(
                (W10 = 'Points-Table'!$A$4), 'Points-Table'!$C$4,
                (W10 = 'Points-Table'!$A$5), 'Points-Table'!$C$5,
                (W10 = 'Points-Table'!$A$6), 'Points-Table'!$C$6,
                (W10 = 'Points-Table'!$A$7), 'Points-Table'!$C$7,
                (W10 = 'Points-Table'!$A$8), 'Points-Table'!$C$8,
                (W10 = 'Points-Table'!$A$9), 'Points-Table'!$C$9,
                (W10 = 'Points-Table'!$A$10), 'Points-Table'!$C$10,
                (W10 = 'Points-Table'!$A$11), 'Points-Table'!$C$11,
                (W10 = 'Points-Table'!$A$12), 'Points-Table'!$C$12,
                (W10 = 'Points-Table'!$A$13), 'Points-Table'!$C$13,
                true, 0
              )
            </f>
      </c>
      <c r="Y10" s="11">
        <v>0</v>
      </c>
      <c r="Z10" s="12">
        <f>
              Ifs(
                (Y10 = 'Points-Table'!$A$4), 'Points-Table'!$C$4,
                (Y10 = 'Points-Table'!$A$5), 'Points-Table'!$C$5,
                (Y10 = 'Points-Table'!$A$6), 'Points-Table'!$C$6,
                (Y10 = 'Points-Table'!$A$7), 'Points-Table'!$C$7,
                (Y10 = 'Points-Table'!$A$8), 'Points-Table'!$C$8,
                (Y10 = 'Points-Table'!$A$9), 'Points-Table'!$C$9,
                (Y10 = 'Points-Table'!$A$10), 'Points-Table'!$C$10,
                (Y10 = 'Points-Table'!$A$11), 'Points-Table'!$C$11,
                (Y10 = 'Points-Table'!$A$12), 'Points-Table'!$C$12,
                (Y10 = 'Points-Table'!$A$13), 'Points-Table'!$C$13,
                true, 0
              )
            </f>
      </c>
      <c r="AA10" s="6">
        <f>SUM(V10,X10,Z10)</f>
      </c>
      <c r="AB10" s="6">
        <f>
      Ifs( 
        ISBETWEEN(AA10, 0, 'Points-Table'!C$20, TRUE, False), 'Points-Table'!A$20,
        ISBETWEEN(AA10, 'Points-Table'!C$20, 'Points-Table'!C$21, TRUE, False), 'Points-Table'!A$21,
        ISBETWEEN(AA10, 'Points-Table'!C$22, 10000, TRUE, TRUE), 'Points-Table'!A$22,
        true, 
        0)
      </f>
      </c>
      <c r="AC10" s="6" t="s">
        <v>56</v>
      </c>
      <c r="AD10" s="6" t="s">
        <v>56</v>
      </c>
      <c r="AE10" s="6" t="s">
        <v>56</v>
      </c>
    </row>
    <row r="11" spans="1:31" s="6" customFormat="1" x14ac:dyDescent="0.25">
      <c r="A11" s="6" t="s">
        <v>102</v>
      </c>
      <c r="D11" s="6"/>
      <c r="E11" s="6"/>
      <c r="F11" s="6"/>
      <c r="G11" s="6"/>
      <c r="H11" s="6"/>
      <c r="I11" s="6"/>
      <c r="J11" s="6"/>
      <c r="K11" s="6" t="s">
        <v>84</v>
      </c>
      <c r="L11" s="6" t="s">
        <v>85</v>
      </c>
      <c r="M11" s="6"/>
      <c r="N11" s="6"/>
      <c r="O11" s="6"/>
      <c r="P11" s="6"/>
      <c r="Q11" s="11"/>
      <c r="R11" s="12">
        <f>
              Ifs(
                (Q11 = 'Points-Table'!$A$4), 'Points-Table'!$C$4,
                (Q11 = 'Points-Table'!$A$5), 'Points-Table'!$C$5,
                (Q11 = 'Points-Table'!$A$6), 'Points-Table'!$C$6,
                (Q11 = 'Points-Table'!$A$7), 'Points-Table'!$C$7,
                (Q11 = 'Points-Table'!$A$8), 'Points-Table'!$C$8,
                (Q11 = 'Points-Table'!$A$9), 'Points-Table'!$C$9,
                (Q11 = 'Points-Table'!$A$10), 'Points-Table'!$C$10,
                (Q11 = 'Points-Table'!$A$11), 'Points-Table'!$C$11,
                (Q11 = 'Points-Table'!$A$12), 'Points-Table'!$C$12,
                (Q11 = 'Points-Table'!$A$13), 'Points-Table'!$C$13,
                true, 0
              )
            </f>
      </c>
      <c r="S11" s="11"/>
      <c r="T11" s="12">
        <f>
              Ifs(
                (S11 = 'Points-Table'!$A$4), 'Points-Table'!$C$4,
                (S11 = 'Points-Table'!$A$5), 'Points-Table'!$C$5,
                (S11 = 'Points-Table'!$A$6), 'Points-Table'!$C$6,
                (S11 = 'Points-Table'!$A$7), 'Points-Table'!$C$7,
                (S11 = 'Points-Table'!$A$8), 'Points-Table'!$C$8,
                (S11 = 'Points-Table'!$A$9), 'Points-Table'!$C$9,
                (S11 = 'Points-Table'!$A$10), 'Points-Table'!$C$10,
                (S11 = 'Points-Table'!$A$11), 'Points-Table'!$C$11,
                (S11 = 'Points-Table'!$A$12), 'Points-Table'!$C$12,
                (S11 = 'Points-Table'!$A$13), 'Points-Table'!$C$13,
                true, 0
              )
            </f>
      </c>
      <c r="U11" s="11">
        <v>3</v>
      </c>
      <c r="V11" s="12">
        <f>
              Ifs(
                (U11 = 'Points-Table'!$A$4), 'Points-Table'!$C$4,
                (U11 = 'Points-Table'!$A$5), 'Points-Table'!$C$5,
                (U11 = 'Points-Table'!$A$6), 'Points-Table'!$C$6,
                (U11 = 'Points-Table'!$A$7), 'Points-Table'!$C$7,
                (U11 = 'Points-Table'!$A$8), 'Points-Table'!$C$8,
                (U11 = 'Points-Table'!$A$9), 'Points-Table'!$C$9,
                (U11 = 'Points-Table'!$A$10), 'Points-Table'!$C$10,
                (U11 = 'Points-Table'!$A$11), 'Points-Table'!$C$11,
                (U11 = 'Points-Table'!$A$12), 'Points-Table'!$C$12,
                (U11 = 'Points-Table'!$A$13), 'Points-Table'!$C$13,
                true, 0
              )
            </f>
      </c>
      <c r="W11" s="11">
        <v>5</v>
      </c>
      <c r="X11" s="12">
        <f>
              Ifs(
                (W11 = 'Points-Table'!$A$4), 'Points-Table'!$C$4,
                (W11 = 'Points-Table'!$A$5), 'Points-Table'!$C$5,
                (W11 = 'Points-Table'!$A$6), 'Points-Table'!$C$6,
                (W11 = 'Points-Table'!$A$7), 'Points-Table'!$C$7,
                (W11 = 'Points-Table'!$A$8), 'Points-Table'!$C$8,
                (W11 = 'Points-Table'!$A$9), 'Points-Table'!$C$9,
                (W11 = 'Points-Table'!$A$10), 'Points-Table'!$C$10,
                (W11 = 'Points-Table'!$A$11), 'Points-Table'!$C$11,
                (W11 = 'Points-Table'!$A$12), 'Points-Table'!$C$12,
                (W11 = 'Points-Table'!$A$13), 'Points-Table'!$C$13,
                true, 0
              )
            </f>
      </c>
      <c r="Y11" s="11">
        <v>21</v>
      </c>
      <c r="Z11" s="12">
        <f>
              Ifs(
                (Y11 = 'Points-Table'!$A$4), 'Points-Table'!$C$4,
                (Y11 = 'Points-Table'!$A$5), 'Points-Table'!$C$5,
                (Y11 = 'Points-Table'!$A$6), 'Points-Table'!$C$6,
                (Y11 = 'Points-Table'!$A$7), 'Points-Table'!$C$7,
                (Y11 = 'Points-Table'!$A$8), 'Points-Table'!$C$8,
                (Y11 = 'Points-Table'!$A$9), 'Points-Table'!$C$9,
                (Y11 = 'Points-Table'!$A$10), 'Points-Table'!$C$10,
                (Y11 = 'Points-Table'!$A$11), 'Points-Table'!$C$11,
                (Y11 = 'Points-Table'!$A$12), 'Points-Table'!$C$12,
                (Y11 = 'Points-Table'!$A$13), 'Points-Table'!$C$13,
                true, 0
              )
            </f>
      </c>
      <c r="AA11" s="6">
        <f>SUM(V11,X11,Z11)</f>
      </c>
      <c r="AB11" s="6">
        <f>
      Ifs( 
        ISBETWEEN(AA11, 0, 'Points-Table'!C$20, TRUE, False), 'Points-Table'!A$20,
        ISBETWEEN(AA11, 'Points-Table'!C$20, 'Points-Table'!C$21, TRUE, False), 'Points-Table'!A$21,
        ISBETWEEN(AA11, 'Points-Table'!C$22, 10000, TRUE, TRUE), 'Points-Table'!A$22,
        true, 
        0)
      </f>
      </c>
      <c r="AC11" s="6" t="s">
        <v>56</v>
      </c>
      <c r="AD11" s="6" t="s">
        <v>56</v>
      </c>
      <c r="AE11" s="6" t="s">
        <v>56</v>
      </c>
    </row>
    <row r="12" spans="1:31" s="6" customFormat="1" x14ac:dyDescent="0.25">
      <c r="A12" s="6" t="s">
        <v>103</v>
      </c>
      <c r="B12" s="6" t="s">
        <v>104</v>
      </c>
      <c r="D12" s="6"/>
      <c r="E12" s="6"/>
      <c r="F12" s="6"/>
      <c r="G12" s="6"/>
      <c r="H12" s="6"/>
      <c r="I12" s="6"/>
      <c r="J12" s="6"/>
      <c r="K12" s="6" t="s">
        <v>84</v>
      </c>
      <c r="L12" s="6" t="s">
        <v>85</v>
      </c>
      <c r="M12" s="6"/>
      <c r="N12" s="6"/>
      <c r="O12" s="6"/>
      <c r="P12" s="6"/>
      <c r="Q12" s="11"/>
      <c r="R12" s="12">
        <f>
              Ifs(
                (Q12 = 'Points-Table'!$A$4), 'Points-Table'!$C$4,
                (Q12 = 'Points-Table'!$A$5), 'Points-Table'!$C$5,
                (Q12 = 'Points-Table'!$A$6), 'Points-Table'!$C$6,
                (Q12 = 'Points-Table'!$A$7), 'Points-Table'!$C$7,
                (Q12 = 'Points-Table'!$A$8), 'Points-Table'!$C$8,
                (Q12 = 'Points-Table'!$A$9), 'Points-Table'!$C$9,
                (Q12 = 'Points-Table'!$A$10), 'Points-Table'!$C$10,
                (Q12 = 'Points-Table'!$A$11), 'Points-Table'!$C$11,
                (Q12 = 'Points-Table'!$A$12), 'Points-Table'!$C$12,
                (Q12 = 'Points-Table'!$A$13), 'Points-Table'!$C$13,
                true, 0
              )
            </f>
      </c>
      <c r="S12" s="11"/>
      <c r="T12" s="12">
        <f>
              Ifs(
                (S12 = 'Points-Table'!$A$4), 'Points-Table'!$C$4,
                (S12 = 'Points-Table'!$A$5), 'Points-Table'!$C$5,
                (S12 = 'Points-Table'!$A$6), 'Points-Table'!$C$6,
                (S12 = 'Points-Table'!$A$7), 'Points-Table'!$C$7,
                (S12 = 'Points-Table'!$A$8), 'Points-Table'!$C$8,
                (S12 = 'Points-Table'!$A$9), 'Points-Table'!$C$9,
                (S12 = 'Points-Table'!$A$10), 'Points-Table'!$C$10,
                (S12 = 'Points-Table'!$A$11), 'Points-Table'!$C$11,
                (S12 = 'Points-Table'!$A$12), 'Points-Table'!$C$12,
                (S12 = 'Points-Table'!$A$13), 'Points-Table'!$C$13,
                true, 0
              )
            </f>
      </c>
      <c r="U12" s="11">
        <v>5</v>
      </c>
      <c r="V12" s="12">
        <f>
              Ifs(
                (U12 = 'Points-Table'!$A$4), 'Points-Table'!$C$4,
                (U12 = 'Points-Table'!$A$5), 'Points-Table'!$C$5,
                (U12 = 'Points-Table'!$A$6), 'Points-Table'!$C$6,
                (U12 = 'Points-Table'!$A$7), 'Points-Table'!$C$7,
                (U12 = 'Points-Table'!$A$8), 'Points-Table'!$C$8,
                (U12 = 'Points-Table'!$A$9), 'Points-Table'!$C$9,
                (U12 = 'Points-Table'!$A$10), 'Points-Table'!$C$10,
                (U12 = 'Points-Table'!$A$11), 'Points-Table'!$C$11,
                (U12 = 'Points-Table'!$A$12), 'Points-Table'!$C$12,
                (U12 = 'Points-Table'!$A$13), 'Points-Table'!$C$13,
                true, 0
              )
            </f>
      </c>
      <c r="W12" s="11">
        <v>2</v>
      </c>
      <c r="X12" s="12">
        <f>
              Ifs(
                (W12 = 'Points-Table'!$A$4), 'Points-Table'!$C$4,
                (W12 = 'Points-Table'!$A$5), 'Points-Table'!$C$5,
                (W12 = 'Points-Table'!$A$6), 'Points-Table'!$C$6,
                (W12 = 'Points-Table'!$A$7), 'Points-Table'!$C$7,
                (W12 = 'Points-Table'!$A$8), 'Points-Table'!$C$8,
                (W12 = 'Points-Table'!$A$9), 'Points-Table'!$C$9,
                (W12 = 'Points-Table'!$A$10), 'Points-Table'!$C$10,
                (W12 = 'Points-Table'!$A$11), 'Points-Table'!$C$11,
                (W12 = 'Points-Table'!$A$12), 'Points-Table'!$C$12,
                (W12 = 'Points-Table'!$A$13), 'Points-Table'!$C$13,
                true, 0
              )
            </f>
      </c>
      <c r="Y12" s="11">
        <v>3</v>
      </c>
      <c r="Z12" s="12">
        <f>
              Ifs(
                (Y12 = 'Points-Table'!$A$4), 'Points-Table'!$C$4,
                (Y12 = 'Points-Table'!$A$5), 'Points-Table'!$C$5,
                (Y12 = 'Points-Table'!$A$6), 'Points-Table'!$C$6,
                (Y12 = 'Points-Table'!$A$7), 'Points-Table'!$C$7,
                (Y12 = 'Points-Table'!$A$8), 'Points-Table'!$C$8,
                (Y12 = 'Points-Table'!$A$9), 'Points-Table'!$C$9,
                (Y12 = 'Points-Table'!$A$10), 'Points-Table'!$C$10,
                (Y12 = 'Points-Table'!$A$11), 'Points-Table'!$C$11,
                (Y12 = 'Points-Table'!$A$12), 'Points-Table'!$C$12,
                (Y12 = 'Points-Table'!$A$13), 'Points-Table'!$C$13,
                true, 0
              )
            </f>
      </c>
      <c r="AA12" s="6">
        <f>SUM(V12,X12,Z12)</f>
      </c>
      <c r="AB12" s="6">
        <f>
      Ifs( 
        ISBETWEEN(AA12, 0, 'Points-Table'!C$20, TRUE, False), 'Points-Table'!A$20,
        ISBETWEEN(AA12, 'Points-Table'!C$20, 'Points-Table'!C$21, TRUE, False), 'Points-Table'!A$21,
        ISBETWEEN(AA12, 'Points-Table'!C$22, 10000, TRUE, TRUE), 'Points-Table'!A$22,
        true, 
        0)
      </f>
      </c>
      <c r="AC12" s="6" t="s">
        <v>56</v>
      </c>
      <c r="AD12" s="6" t="s">
        <v>56</v>
      </c>
      <c r="AE12" s="6" t="s">
        <v>56</v>
      </c>
    </row>
    <row r="13" spans="1:31" s="6" customFormat="1" x14ac:dyDescent="0.25">
      <c r="A13" s="6" t="s">
        <v>103</v>
      </c>
      <c r="B13" s="6" t="s">
        <v>105</v>
      </c>
      <c r="D13" s="6"/>
      <c r="E13" s="6"/>
      <c r="F13" s="6"/>
      <c r="G13" s="6"/>
      <c r="H13" s="6"/>
      <c r="I13" s="6"/>
      <c r="J13" s="6"/>
      <c r="K13" s="6" t="s">
        <v>84</v>
      </c>
      <c r="L13" s="6" t="s">
        <v>85</v>
      </c>
      <c r="M13" s="6"/>
      <c r="N13" s="6"/>
      <c r="O13" s="6"/>
      <c r="P13" s="6"/>
      <c r="Q13" s="11">
        <v>2</v>
      </c>
      <c r="R13" s="12">
        <f>
              Ifs(
                (Q13 = 'Points-Table'!$A$4), 'Points-Table'!$C$4,
                (Q13 = 'Points-Table'!$A$5), 'Points-Table'!$C$5,
                (Q13 = 'Points-Table'!$A$6), 'Points-Table'!$C$6,
                (Q13 = 'Points-Table'!$A$7), 'Points-Table'!$C$7,
                (Q13 = 'Points-Table'!$A$8), 'Points-Table'!$C$8,
                (Q13 = 'Points-Table'!$A$9), 'Points-Table'!$C$9,
                (Q13 = 'Points-Table'!$A$10), 'Points-Table'!$C$10,
                (Q13 = 'Points-Table'!$A$11), 'Points-Table'!$C$11,
                (Q13 = 'Points-Table'!$A$12), 'Points-Table'!$C$12,
                (Q13 = 'Points-Table'!$A$13), 'Points-Table'!$C$13,
                true, 0
              )
            </f>
      </c>
      <c r="S13" s="11">
        <v>2</v>
      </c>
      <c r="T13" s="12">
        <f>
              Ifs(
                (S13 = 'Points-Table'!$A$4), 'Points-Table'!$C$4,
                (S13 = 'Points-Table'!$A$5), 'Points-Table'!$C$5,
                (S13 = 'Points-Table'!$A$6), 'Points-Table'!$C$6,
                (S13 = 'Points-Table'!$A$7), 'Points-Table'!$C$7,
                (S13 = 'Points-Table'!$A$8), 'Points-Table'!$C$8,
                (S13 = 'Points-Table'!$A$9), 'Points-Table'!$C$9,
                (S13 = 'Points-Table'!$A$10), 'Points-Table'!$C$10,
                (S13 = 'Points-Table'!$A$11), 'Points-Table'!$C$11,
                (S13 = 'Points-Table'!$A$12), 'Points-Table'!$C$12,
                (S13 = 'Points-Table'!$A$13), 'Points-Table'!$C$13,
                true, 0
              )
            </f>
      </c>
      <c r="U13" s="11">
        <v>3</v>
      </c>
      <c r="V13" s="12">
        <f>
              Ifs(
                (U13 = 'Points-Table'!$A$4), 'Points-Table'!$C$4,
                (U13 = 'Points-Table'!$A$5), 'Points-Table'!$C$5,
                (U13 = 'Points-Table'!$A$6), 'Points-Table'!$C$6,
                (U13 = 'Points-Table'!$A$7), 'Points-Table'!$C$7,
                (U13 = 'Points-Table'!$A$8), 'Points-Table'!$C$8,
                (U13 = 'Points-Table'!$A$9), 'Points-Table'!$C$9,
                (U13 = 'Points-Table'!$A$10), 'Points-Table'!$C$10,
                (U13 = 'Points-Table'!$A$11), 'Points-Table'!$C$11,
                (U13 = 'Points-Table'!$A$12), 'Points-Table'!$C$12,
                (U13 = 'Points-Table'!$A$13), 'Points-Table'!$C$13,
                true, 0
              )
            </f>
      </c>
      <c r="W13" s="11">
        <v>2</v>
      </c>
      <c r="X13" s="12">
        <f>
              Ifs(
                (W13 = 'Points-Table'!$A$4), 'Points-Table'!$C$4,
                (W13 = 'Points-Table'!$A$5), 'Points-Table'!$C$5,
                (W13 = 'Points-Table'!$A$6), 'Points-Table'!$C$6,
                (W13 = 'Points-Table'!$A$7), 'Points-Table'!$C$7,
                (W13 = 'Points-Table'!$A$8), 'Points-Table'!$C$8,
                (W13 = 'Points-Table'!$A$9), 'Points-Table'!$C$9,
                (W13 = 'Points-Table'!$A$10), 'Points-Table'!$C$10,
                (W13 = 'Points-Table'!$A$11), 'Points-Table'!$C$11,
                (W13 = 'Points-Table'!$A$12), 'Points-Table'!$C$12,
                (W13 = 'Points-Table'!$A$13), 'Points-Table'!$C$13,
                true, 0
              )
            </f>
      </c>
      <c r="Y13" s="11">
        <v>5</v>
      </c>
      <c r="Z13" s="12">
        <f>
              Ifs(
                (Y13 = 'Points-Table'!$A$4), 'Points-Table'!$C$4,
                (Y13 = 'Points-Table'!$A$5), 'Points-Table'!$C$5,
                (Y13 = 'Points-Table'!$A$6), 'Points-Table'!$C$6,
                (Y13 = 'Points-Table'!$A$7), 'Points-Table'!$C$7,
                (Y13 = 'Points-Table'!$A$8), 'Points-Table'!$C$8,
                (Y13 = 'Points-Table'!$A$9), 'Points-Table'!$C$9,
                (Y13 = 'Points-Table'!$A$10), 'Points-Table'!$C$10,
                (Y13 = 'Points-Table'!$A$11), 'Points-Table'!$C$11,
                (Y13 = 'Points-Table'!$A$12), 'Points-Table'!$C$12,
                (Y13 = 'Points-Table'!$A$13), 'Points-Table'!$C$13,
                true, 0
              )
            </f>
      </c>
      <c r="AA13" s="6">
        <f>SUM(V13,X13,Z13)</f>
      </c>
      <c r="AB13" s="6">
        <f>
      Ifs( 
        ISBETWEEN(AA13, 0, 'Points-Table'!C$20, TRUE, False), 'Points-Table'!A$20,
        ISBETWEEN(AA13, 'Points-Table'!C$20, 'Points-Table'!C$21, TRUE, False), 'Points-Table'!A$21,
        ISBETWEEN(AA13, 'Points-Table'!C$22, 10000, TRUE, TRUE), 'Points-Table'!A$22,
        true, 
        0)
      </f>
      </c>
      <c r="AC13" s="6" t="s">
        <v>56</v>
      </c>
      <c r="AD13" s="6" t="s">
        <v>56</v>
      </c>
      <c r="AE13" s="6" t="s">
        <v>56</v>
      </c>
    </row>
    <row r="14" spans="1:31" s="6" customFormat="1" x14ac:dyDescent="0.25">
      <c r="A14" s="6" t="s">
        <v>103</v>
      </c>
      <c r="B14" s="6" t="s">
        <v>106</v>
      </c>
      <c r="C14" s="6" t="s">
        <v>107</v>
      </c>
      <c r="D14" s="6"/>
      <c r="E14" s="6"/>
      <c r="F14" s="6"/>
      <c r="G14" s="6"/>
      <c r="H14" s="6"/>
      <c r="I14" s="6"/>
      <c r="J14" s="6"/>
      <c r="K14" s="6" t="s">
        <v>84</v>
      </c>
      <c r="L14" s="6" t="s">
        <v>85</v>
      </c>
      <c r="M14" s="6"/>
      <c r="N14" s="6"/>
      <c r="O14" s="6"/>
      <c r="P14" s="6"/>
      <c r="Q14" s="11">
        <v>5</v>
      </c>
      <c r="R14" s="12">
        <f>
              Ifs(
                (Q14 = 'Points-Table'!$A$4), 'Points-Table'!$C$4,
                (Q14 = 'Points-Table'!$A$5), 'Points-Table'!$C$5,
                (Q14 = 'Points-Table'!$A$6), 'Points-Table'!$C$6,
                (Q14 = 'Points-Table'!$A$7), 'Points-Table'!$C$7,
                (Q14 = 'Points-Table'!$A$8), 'Points-Table'!$C$8,
                (Q14 = 'Points-Table'!$A$9), 'Points-Table'!$C$9,
                (Q14 = 'Points-Table'!$A$10), 'Points-Table'!$C$10,
                (Q14 = 'Points-Table'!$A$11), 'Points-Table'!$C$11,
                (Q14 = 'Points-Table'!$A$12), 'Points-Table'!$C$12,
                (Q14 = 'Points-Table'!$A$13), 'Points-Table'!$C$13,
                true, 0
              )
            </f>
      </c>
      <c r="S14" s="11">
        <v>5</v>
      </c>
      <c r="T14" s="12">
        <f>
              Ifs(
                (S14 = 'Points-Table'!$A$4), 'Points-Table'!$C$4,
                (S14 = 'Points-Table'!$A$5), 'Points-Table'!$C$5,
                (S14 = 'Points-Table'!$A$6), 'Points-Table'!$C$6,
                (S14 = 'Points-Table'!$A$7), 'Points-Table'!$C$7,
                (S14 = 'Points-Table'!$A$8), 'Points-Table'!$C$8,
                (S14 = 'Points-Table'!$A$9), 'Points-Table'!$C$9,
                (S14 = 'Points-Table'!$A$10), 'Points-Table'!$C$10,
                (S14 = 'Points-Table'!$A$11), 'Points-Table'!$C$11,
                (S14 = 'Points-Table'!$A$12), 'Points-Table'!$C$12,
                (S14 = 'Points-Table'!$A$13), 'Points-Table'!$C$13,
                true, 0
              )
            </f>
      </c>
      <c r="U14" s="11">
        <v>5</v>
      </c>
      <c r="V14" s="12">
        <f>
              Ifs(
                (U14 = 'Points-Table'!$A$4), 'Points-Table'!$C$4,
                (U14 = 'Points-Table'!$A$5), 'Points-Table'!$C$5,
                (U14 = 'Points-Table'!$A$6), 'Points-Table'!$C$6,
                (U14 = 'Points-Table'!$A$7), 'Points-Table'!$C$7,
                (U14 = 'Points-Table'!$A$8), 'Points-Table'!$C$8,
                (U14 = 'Points-Table'!$A$9), 'Points-Table'!$C$9,
                (U14 = 'Points-Table'!$A$10), 'Points-Table'!$C$10,
                (U14 = 'Points-Table'!$A$11), 'Points-Table'!$C$11,
                (U14 = 'Points-Table'!$A$12), 'Points-Table'!$C$12,
                (U14 = 'Points-Table'!$A$13), 'Points-Table'!$C$13,
                true, 0
              )
            </f>
      </c>
      <c r="W14" s="11">
        <v>3</v>
      </c>
      <c r="X14" s="12">
        <f>
              Ifs(
                (W14 = 'Points-Table'!$A$4), 'Points-Table'!$C$4,
                (W14 = 'Points-Table'!$A$5), 'Points-Table'!$C$5,
                (W14 = 'Points-Table'!$A$6), 'Points-Table'!$C$6,
                (W14 = 'Points-Table'!$A$7), 'Points-Table'!$C$7,
                (W14 = 'Points-Table'!$A$8), 'Points-Table'!$C$8,
                (W14 = 'Points-Table'!$A$9), 'Points-Table'!$C$9,
                (W14 = 'Points-Table'!$A$10), 'Points-Table'!$C$10,
                (W14 = 'Points-Table'!$A$11), 'Points-Table'!$C$11,
                (W14 = 'Points-Table'!$A$12), 'Points-Table'!$C$12,
                (W14 = 'Points-Table'!$A$13), 'Points-Table'!$C$13,
                true, 0
              )
            </f>
      </c>
      <c r="Y14" s="11">
        <v>8</v>
      </c>
      <c r="Z14" s="12">
        <f>
              Ifs(
                (Y14 = 'Points-Table'!$A$4), 'Points-Table'!$C$4,
                (Y14 = 'Points-Table'!$A$5), 'Points-Table'!$C$5,
                (Y14 = 'Points-Table'!$A$6), 'Points-Table'!$C$6,
                (Y14 = 'Points-Table'!$A$7), 'Points-Table'!$C$7,
                (Y14 = 'Points-Table'!$A$8), 'Points-Table'!$C$8,
                (Y14 = 'Points-Table'!$A$9), 'Points-Table'!$C$9,
                (Y14 = 'Points-Table'!$A$10), 'Points-Table'!$C$10,
                (Y14 = 'Points-Table'!$A$11), 'Points-Table'!$C$11,
                (Y14 = 'Points-Table'!$A$12), 'Points-Table'!$C$12,
                (Y14 = 'Points-Table'!$A$13), 'Points-Table'!$C$13,
                true, 0
              )
            </f>
      </c>
      <c r="AA14" s="6">
        <f>SUM(V14,X14,Z14)</f>
      </c>
      <c r="AB14" s="6">
        <f>
      Ifs( 
        ISBETWEEN(AA14, 0, 'Points-Table'!C$20, TRUE, False), 'Points-Table'!A$20,
        ISBETWEEN(AA14, 'Points-Table'!C$20, 'Points-Table'!C$21, TRUE, False), 'Points-Table'!A$21,
        ISBETWEEN(AA14, 'Points-Table'!C$22, 10000, TRUE, TRUE), 'Points-Table'!A$22,
        true, 
        0)
      </f>
      </c>
      <c r="AC14" s="6" t="s">
        <v>56</v>
      </c>
      <c r="AD14" s="6" t="s">
        <v>56</v>
      </c>
      <c r="AE14" s="6" t="s">
        <v>56</v>
      </c>
    </row>
    <row r="15" spans="1:31" s="6" customFormat="1" x14ac:dyDescent="0.25">
      <c r="A15" s="6" t="s">
        <v>103</v>
      </c>
      <c r="B15" s="6" t="s">
        <v>106</v>
      </c>
      <c r="C15" s="6" t="s">
        <v>108</v>
      </c>
      <c r="D15" s="6"/>
      <c r="E15" s="6"/>
      <c r="F15" s="6"/>
      <c r="G15" s="6"/>
      <c r="H15" s="6"/>
      <c r="I15" s="6"/>
      <c r="J15" s="6"/>
      <c r="K15" s="6" t="s">
        <v>84</v>
      </c>
      <c r="L15" s="6" t="s">
        <v>85</v>
      </c>
      <c r="M15" s="6"/>
      <c r="N15" s="6"/>
      <c r="O15" s="6"/>
      <c r="P15" s="6"/>
      <c r="Q15" s="11"/>
      <c r="R15" s="12">
        <f>
              Ifs(
                (Q15 = 'Points-Table'!$A$4), 'Points-Table'!$C$4,
                (Q15 = 'Points-Table'!$A$5), 'Points-Table'!$C$5,
                (Q15 = 'Points-Table'!$A$6), 'Points-Table'!$C$6,
                (Q15 = 'Points-Table'!$A$7), 'Points-Table'!$C$7,
                (Q15 = 'Points-Table'!$A$8), 'Points-Table'!$C$8,
                (Q15 = 'Points-Table'!$A$9), 'Points-Table'!$C$9,
                (Q15 = 'Points-Table'!$A$10), 'Points-Table'!$C$10,
                (Q15 = 'Points-Table'!$A$11), 'Points-Table'!$C$11,
                (Q15 = 'Points-Table'!$A$12), 'Points-Table'!$C$12,
                (Q15 = 'Points-Table'!$A$13), 'Points-Table'!$C$13,
                true, 0
              )
            </f>
      </c>
      <c r="S15" s="11"/>
      <c r="T15" s="12">
        <f>
              Ifs(
                (S15 = 'Points-Table'!$A$4), 'Points-Table'!$C$4,
                (S15 = 'Points-Table'!$A$5), 'Points-Table'!$C$5,
                (S15 = 'Points-Table'!$A$6), 'Points-Table'!$C$6,
                (S15 = 'Points-Table'!$A$7), 'Points-Table'!$C$7,
                (S15 = 'Points-Table'!$A$8), 'Points-Table'!$C$8,
                (S15 = 'Points-Table'!$A$9), 'Points-Table'!$C$9,
                (S15 = 'Points-Table'!$A$10), 'Points-Table'!$C$10,
                (S15 = 'Points-Table'!$A$11), 'Points-Table'!$C$11,
                (S15 = 'Points-Table'!$A$12), 'Points-Table'!$C$12,
                (S15 = 'Points-Table'!$A$13), 'Points-Table'!$C$13,
                true, 0
              )
            </f>
      </c>
      <c r="U15" s="11">
        <v>13</v>
      </c>
      <c r="V15" s="12">
        <f>
              Ifs(
                (U15 = 'Points-Table'!$A$4), 'Points-Table'!$C$4,
                (U15 = 'Points-Table'!$A$5), 'Points-Table'!$C$5,
                (U15 = 'Points-Table'!$A$6), 'Points-Table'!$C$6,
                (U15 = 'Points-Table'!$A$7), 'Points-Table'!$C$7,
                (U15 = 'Points-Table'!$A$8), 'Points-Table'!$C$8,
                (U15 = 'Points-Table'!$A$9), 'Points-Table'!$C$9,
                (U15 = 'Points-Table'!$A$10), 'Points-Table'!$C$10,
                (U15 = 'Points-Table'!$A$11), 'Points-Table'!$C$11,
                (U15 = 'Points-Table'!$A$12), 'Points-Table'!$C$12,
                (U15 = 'Points-Table'!$A$13), 'Points-Table'!$C$13,
                true, 0
              )
            </f>
      </c>
      <c r="W15" s="11">
        <v>0</v>
      </c>
      <c r="X15" s="12">
        <f>
              Ifs(
                (W15 = 'Points-Table'!$A$4), 'Points-Table'!$C$4,
                (W15 = 'Points-Table'!$A$5), 'Points-Table'!$C$5,
                (W15 = 'Points-Table'!$A$6), 'Points-Table'!$C$6,
                (W15 = 'Points-Table'!$A$7), 'Points-Table'!$C$7,
                (W15 = 'Points-Table'!$A$8), 'Points-Table'!$C$8,
                (W15 = 'Points-Table'!$A$9), 'Points-Table'!$C$9,
                (W15 = 'Points-Table'!$A$10), 'Points-Table'!$C$10,
                (W15 = 'Points-Table'!$A$11), 'Points-Table'!$C$11,
                (W15 = 'Points-Table'!$A$12), 'Points-Table'!$C$12,
                (W15 = 'Points-Table'!$A$13), 'Points-Table'!$C$13,
                true, 0
              )
            </f>
      </c>
      <c r="Y15" s="11">
        <v>2</v>
      </c>
      <c r="Z15" s="12">
        <f>
              Ifs(
                (Y15 = 'Points-Table'!$A$4), 'Points-Table'!$C$4,
                (Y15 = 'Points-Table'!$A$5), 'Points-Table'!$C$5,
                (Y15 = 'Points-Table'!$A$6), 'Points-Table'!$C$6,
                (Y15 = 'Points-Table'!$A$7), 'Points-Table'!$C$7,
                (Y15 = 'Points-Table'!$A$8), 'Points-Table'!$C$8,
                (Y15 = 'Points-Table'!$A$9), 'Points-Table'!$C$9,
                (Y15 = 'Points-Table'!$A$10), 'Points-Table'!$C$10,
                (Y15 = 'Points-Table'!$A$11), 'Points-Table'!$C$11,
                (Y15 = 'Points-Table'!$A$12), 'Points-Table'!$C$12,
                (Y15 = 'Points-Table'!$A$13), 'Points-Table'!$C$13,
                true, 0
              )
            </f>
      </c>
      <c r="AA15" s="6">
        <f>SUM(V15,X15,Z15)</f>
      </c>
      <c r="AB15" s="6">
        <f>
      Ifs( 
        ISBETWEEN(AA15, 0, 'Points-Table'!C$20, TRUE, False), 'Points-Table'!A$20,
        ISBETWEEN(AA15, 'Points-Table'!C$20, 'Points-Table'!C$21, TRUE, False), 'Points-Table'!A$21,
        ISBETWEEN(AA15, 'Points-Table'!C$22, 10000, TRUE, TRUE), 'Points-Table'!A$22,
        true, 
        0)
      </f>
      </c>
      <c r="AC15" s="6" t="s">
        <v>56</v>
      </c>
      <c r="AD15" s="6" t="s">
        <v>56</v>
      </c>
      <c r="AE15" s="6" t="s">
        <v>56</v>
      </c>
    </row>
    <row r="16" spans="1:31" s="13" customFormat="1" x14ac:dyDescent="0.25">
      <c r="A16" s="13" t="s">
        <v>103</v>
      </c>
      <c r="B16" s="13" t="s">
        <v>106</v>
      </c>
      <c r="C16" s="13" t="s">
        <v>109</v>
      </c>
      <c r="D16" s="13"/>
      <c r="E16" s="13"/>
      <c r="F16" s="13"/>
      <c r="G16" s="13"/>
      <c r="H16" s="13"/>
      <c r="I16" s="13"/>
      <c r="J16" s="13"/>
      <c r="K16" s="13" t="s">
        <v>84</v>
      </c>
      <c r="L16" s="13" t="s">
        <v>85</v>
      </c>
      <c r="M16" s="13"/>
      <c r="N16" s="13"/>
      <c r="O16" s="13"/>
      <c r="P16" s="13"/>
      <c r="Q16" s="13">
        <v>2</v>
      </c>
      <c r="R16" s="13">
        <f>
              Ifs(
                (Q16 = 'Points-Table'!$A$4), 'Points-Table'!$C$4,
                (Q16 = 'Points-Table'!$A$5), 'Points-Table'!$C$5,
                (Q16 = 'Points-Table'!$A$6), 'Points-Table'!$C$6,
                (Q16 = 'Points-Table'!$A$7), 'Points-Table'!$C$7,
                (Q16 = 'Points-Table'!$A$8), 'Points-Table'!$C$8,
                (Q16 = 'Points-Table'!$A$9), 'Points-Table'!$C$9,
                (Q16 = 'Points-Table'!$A$10), 'Points-Table'!$C$10,
                (Q16 = 'Points-Table'!$A$11), 'Points-Table'!$C$11,
                (Q16 = 'Points-Table'!$A$12), 'Points-Table'!$C$12,
                (Q16 = 'Points-Table'!$A$13), 'Points-Table'!$C$13,
                true, 0
              )
            </f>
      </c>
      <c r="S16" s="13">
        <v>2</v>
      </c>
      <c r="T16" s="13">
        <f>
              Ifs(
                (S16 = 'Points-Table'!$A$4), 'Points-Table'!$C$4,
                (S16 = 'Points-Table'!$A$5), 'Points-Table'!$C$5,
                (S16 = 'Points-Table'!$A$6), 'Points-Table'!$C$6,
                (S16 = 'Points-Table'!$A$7), 'Points-Table'!$C$7,
                (S16 = 'Points-Table'!$A$8), 'Points-Table'!$C$8,
                (S16 = 'Points-Table'!$A$9), 'Points-Table'!$C$9,
                (S16 = 'Points-Table'!$A$10), 'Points-Table'!$C$10,
                (S16 = 'Points-Table'!$A$11), 'Points-Table'!$C$11,
                (S16 = 'Points-Table'!$A$12), 'Points-Table'!$C$12,
                (S16 = 'Points-Table'!$A$13), 'Points-Table'!$C$13,
                true, 0
              )
            </f>
      </c>
      <c r="U16" s="13">
        <v>8</v>
      </c>
      <c r="V16" s="13">
        <f>
              Ifs(
                (U16 = 'Points-Table'!$A$4), 'Points-Table'!$C$4,
                (U16 = 'Points-Table'!$A$5), 'Points-Table'!$C$5,
                (U16 = 'Points-Table'!$A$6), 'Points-Table'!$C$6,
                (U16 = 'Points-Table'!$A$7), 'Points-Table'!$C$7,
                (U16 = 'Points-Table'!$A$8), 'Points-Table'!$C$8,
                (U16 = 'Points-Table'!$A$9), 'Points-Table'!$C$9,
                (U16 = 'Points-Table'!$A$10), 'Points-Table'!$C$10,
                (U16 = 'Points-Table'!$A$11), 'Points-Table'!$C$11,
                (U16 = 'Points-Table'!$A$12), 'Points-Table'!$C$12,
                (U16 = 'Points-Table'!$A$13), 'Points-Table'!$C$13,
                true, 0
              )
            </f>
      </c>
      <c r="W16" s="13">
        <v>0</v>
      </c>
      <c r="X16" s="13">
        <f>
              Ifs(
                (W16 = 'Points-Table'!$A$4), 'Points-Table'!$C$4,
                (W16 = 'Points-Table'!$A$5), 'Points-Table'!$C$5,
                (W16 = 'Points-Table'!$A$6), 'Points-Table'!$C$6,
                (W16 = 'Points-Table'!$A$7), 'Points-Table'!$C$7,
                (W16 = 'Points-Table'!$A$8), 'Points-Table'!$C$8,
                (W16 = 'Points-Table'!$A$9), 'Points-Table'!$C$9,
                (W16 = 'Points-Table'!$A$10), 'Points-Table'!$C$10,
                (W16 = 'Points-Table'!$A$11), 'Points-Table'!$C$11,
                (W16 = 'Points-Table'!$A$12), 'Points-Table'!$C$12,
                (W16 = 'Points-Table'!$A$13), 'Points-Table'!$C$13,
                true, 0
              )
            </f>
      </c>
      <c r="Y16" s="13">
        <v>0</v>
      </c>
      <c r="Z16" s="13">
        <f>
              Ifs(
                (Y16 = 'Points-Table'!$A$4), 'Points-Table'!$C$4,
                (Y16 = 'Points-Table'!$A$5), 'Points-Table'!$C$5,
                (Y16 = 'Points-Table'!$A$6), 'Points-Table'!$C$6,
                (Y16 = 'Points-Table'!$A$7), 'Points-Table'!$C$7,
                (Y16 = 'Points-Table'!$A$8), 'Points-Table'!$C$8,
                (Y16 = 'Points-Table'!$A$9), 'Points-Table'!$C$9,
                (Y16 = 'Points-Table'!$A$10), 'Points-Table'!$C$10,
                (Y16 = 'Points-Table'!$A$11), 'Points-Table'!$C$11,
                (Y16 = 'Points-Table'!$A$12), 'Points-Table'!$C$12,
                (Y16 = 'Points-Table'!$A$13), 'Points-Table'!$C$13,
                true, 0
              )
            </f>
      </c>
      <c r="AA16" s="13">
        <f>SUM(V16,X16,Z16)</f>
      </c>
      <c r="AB16" s="13">
        <f>
      Ifs( 
        ISBETWEEN(AA16, 0, 'Points-Table'!C$20, TRUE, False), 'Points-Table'!A$20,
        ISBETWEEN(AA16, 'Points-Table'!C$20, 'Points-Table'!C$21, TRUE, False), 'Points-Table'!A$21,
        ISBETWEEN(AA16, 'Points-Table'!C$22, 10000, TRUE, TRUE), 'Points-Table'!A$22,
        true, 
        0)
      </f>
      </c>
      <c r="AC16" s="13" t="s">
        <v>56</v>
      </c>
      <c r="AD16" s="13" t="s">
        <v>56</v>
      </c>
      <c r="AE16" s="13" t="s">
        <v>56</v>
      </c>
    </row>
    <row r="17" spans="1:31" s="6" customFormat="1" x14ac:dyDescent="0.25">
      <c r="A17" s="6" t="s">
        <v>103</v>
      </c>
      <c r="B17" s="6" t="s">
        <v>110</v>
      </c>
      <c r="C17" s="6" t="s">
        <v>111</v>
      </c>
      <c r="D17" s="6"/>
      <c r="E17" s="6"/>
      <c r="F17" s="6"/>
      <c r="G17" s="6"/>
      <c r="H17" s="6"/>
      <c r="I17" s="6"/>
      <c r="J17" s="6"/>
      <c r="K17" s="6" t="s">
        <v>84</v>
      </c>
      <c r="L17" s="6" t="s">
        <v>85</v>
      </c>
      <c r="M17" s="6"/>
      <c r="N17" s="6"/>
      <c r="O17" s="6"/>
      <c r="P17" s="6"/>
      <c r="Q17" s="11"/>
      <c r="R17" s="12">
        <f>
              Ifs(
                (Q17 = 'Points-Table'!$A$4), 'Points-Table'!$C$4,
                (Q17 = 'Points-Table'!$A$5), 'Points-Table'!$C$5,
                (Q17 = 'Points-Table'!$A$6), 'Points-Table'!$C$6,
                (Q17 = 'Points-Table'!$A$7), 'Points-Table'!$C$7,
                (Q17 = 'Points-Table'!$A$8), 'Points-Table'!$C$8,
                (Q17 = 'Points-Table'!$A$9), 'Points-Table'!$C$9,
                (Q17 = 'Points-Table'!$A$10), 'Points-Table'!$C$10,
                (Q17 = 'Points-Table'!$A$11), 'Points-Table'!$C$11,
                (Q17 = 'Points-Table'!$A$12), 'Points-Table'!$C$12,
                (Q17 = 'Points-Table'!$A$13), 'Points-Table'!$C$13,
                true, 0
              )
            </f>
      </c>
      <c r="S17" s="11"/>
      <c r="T17" s="12">
        <f>
              Ifs(
                (S17 = 'Points-Table'!$A$4), 'Points-Table'!$C$4,
                (S17 = 'Points-Table'!$A$5), 'Points-Table'!$C$5,
                (S17 = 'Points-Table'!$A$6), 'Points-Table'!$C$6,
                (S17 = 'Points-Table'!$A$7), 'Points-Table'!$C$7,
                (S17 = 'Points-Table'!$A$8), 'Points-Table'!$C$8,
                (S17 = 'Points-Table'!$A$9), 'Points-Table'!$C$9,
                (S17 = 'Points-Table'!$A$10), 'Points-Table'!$C$10,
                (S17 = 'Points-Table'!$A$11), 'Points-Table'!$C$11,
                (S17 = 'Points-Table'!$A$12), 'Points-Table'!$C$12,
                (S17 = 'Points-Table'!$A$13), 'Points-Table'!$C$13,
                true, 0
              )
            </f>
      </c>
      <c r="U17" s="11">
        <v>8</v>
      </c>
      <c r="V17" s="12">
        <f>
              Ifs(
                (U17 = 'Points-Table'!$A$4), 'Points-Table'!$C$4,
                (U17 = 'Points-Table'!$A$5), 'Points-Table'!$C$5,
                (U17 = 'Points-Table'!$A$6), 'Points-Table'!$C$6,
                (U17 = 'Points-Table'!$A$7), 'Points-Table'!$C$7,
                (U17 = 'Points-Table'!$A$8), 'Points-Table'!$C$8,
                (U17 = 'Points-Table'!$A$9), 'Points-Table'!$C$9,
                (U17 = 'Points-Table'!$A$10), 'Points-Table'!$C$10,
                (U17 = 'Points-Table'!$A$11), 'Points-Table'!$C$11,
                (U17 = 'Points-Table'!$A$12), 'Points-Table'!$C$12,
                (U17 = 'Points-Table'!$A$13), 'Points-Table'!$C$13,
                true, 0
              )
            </f>
      </c>
      <c r="W17" s="11">
        <v>2</v>
      </c>
      <c r="X17" s="12">
        <f>
              Ifs(
                (W17 = 'Points-Table'!$A$4), 'Points-Table'!$C$4,
                (W17 = 'Points-Table'!$A$5), 'Points-Table'!$C$5,
                (W17 = 'Points-Table'!$A$6), 'Points-Table'!$C$6,
                (W17 = 'Points-Table'!$A$7), 'Points-Table'!$C$7,
                (W17 = 'Points-Table'!$A$8), 'Points-Table'!$C$8,
                (W17 = 'Points-Table'!$A$9), 'Points-Table'!$C$9,
                (W17 = 'Points-Table'!$A$10), 'Points-Table'!$C$10,
                (W17 = 'Points-Table'!$A$11), 'Points-Table'!$C$11,
                (W17 = 'Points-Table'!$A$12), 'Points-Table'!$C$12,
                (W17 = 'Points-Table'!$A$13), 'Points-Table'!$C$13,
                true, 0
              )
            </f>
      </c>
      <c r="Y17" s="11">
        <v>8</v>
      </c>
      <c r="Z17" s="12">
        <f>
              Ifs(
                (Y17 = 'Points-Table'!$A$4), 'Points-Table'!$C$4,
                (Y17 = 'Points-Table'!$A$5), 'Points-Table'!$C$5,
                (Y17 = 'Points-Table'!$A$6), 'Points-Table'!$C$6,
                (Y17 = 'Points-Table'!$A$7), 'Points-Table'!$C$7,
                (Y17 = 'Points-Table'!$A$8), 'Points-Table'!$C$8,
                (Y17 = 'Points-Table'!$A$9), 'Points-Table'!$C$9,
                (Y17 = 'Points-Table'!$A$10), 'Points-Table'!$C$10,
                (Y17 = 'Points-Table'!$A$11), 'Points-Table'!$C$11,
                (Y17 = 'Points-Table'!$A$12), 'Points-Table'!$C$12,
                (Y17 = 'Points-Table'!$A$13), 'Points-Table'!$C$13,
                true, 0
              )
            </f>
      </c>
      <c r="AA17" s="6">
        <f>SUM(V17,X17,Z17)</f>
      </c>
      <c r="AB17" s="6">
        <f>
      Ifs( 
        ISBETWEEN(AA17, 0, 'Points-Table'!C$20, TRUE, False), 'Points-Table'!A$20,
        ISBETWEEN(AA17, 'Points-Table'!C$20, 'Points-Table'!C$21, TRUE, False), 'Points-Table'!A$21,
        ISBETWEEN(AA17, 'Points-Table'!C$22, 10000, TRUE, TRUE), 'Points-Table'!A$22,
        true, 
        0)
      </f>
      </c>
      <c r="AC17" s="6" t="s">
        <v>56</v>
      </c>
      <c r="AD17" s="6" t="s">
        <v>56</v>
      </c>
      <c r="AE17" s="6" t="s">
        <v>56</v>
      </c>
    </row>
    <row r="18" spans="1:31" s="6" customFormat="1" x14ac:dyDescent="0.25">
      <c r="A18" s="6" t="s">
        <v>103</v>
      </c>
      <c r="B18" s="6" t="s">
        <v>110</v>
      </c>
      <c r="C18" s="6" t="s">
        <v>112</v>
      </c>
      <c r="D18" s="6"/>
      <c r="E18" s="6"/>
      <c r="F18" s="6"/>
      <c r="G18" s="6"/>
      <c r="H18" s="6"/>
      <c r="I18" s="6"/>
      <c r="J18" s="6"/>
      <c r="K18" s="6" t="s">
        <v>84</v>
      </c>
      <c r="L18" s="6" t="s">
        <v>85</v>
      </c>
      <c r="M18" s="6"/>
      <c r="N18" s="6"/>
      <c r="O18" s="6"/>
      <c r="P18" s="6"/>
      <c r="Q18" s="11">
        <v>1</v>
      </c>
      <c r="R18" s="12">
        <f>
              Ifs(
                (Q18 = 'Points-Table'!$A$4), 'Points-Table'!$C$4,
                (Q18 = 'Points-Table'!$A$5), 'Points-Table'!$C$5,
                (Q18 = 'Points-Table'!$A$6), 'Points-Table'!$C$6,
                (Q18 = 'Points-Table'!$A$7), 'Points-Table'!$C$7,
                (Q18 = 'Points-Table'!$A$8), 'Points-Table'!$C$8,
                (Q18 = 'Points-Table'!$A$9), 'Points-Table'!$C$9,
                (Q18 = 'Points-Table'!$A$10), 'Points-Table'!$C$10,
                (Q18 = 'Points-Table'!$A$11), 'Points-Table'!$C$11,
                (Q18 = 'Points-Table'!$A$12), 'Points-Table'!$C$12,
                (Q18 = 'Points-Table'!$A$13), 'Points-Table'!$C$13,
                true, 0
              )
            </f>
      </c>
      <c r="S18" s="11">
        <v>1</v>
      </c>
      <c r="T18" s="12">
        <f>
              Ifs(
                (S18 = 'Points-Table'!$A$4), 'Points-Table'!$C$4,
                (S18 = 'Points-Table'!$A$5), 'Points-Table'!$C$5,
                (S18 = 'Points-Table'!$A$6), 'Points-Table'!$C$6,
                (S18 = 'Points-Table'!$A$7), 'Points-Table'!$C$7,
                (S18 = 'Points-Table'!$A$8), 'Points-Table'!$C$8,
                (S18 = 'Points-Table'!$A$9), 'Points-Table'!$C$9,
                (S18 = 'Points-Table'!$A$10), 'Points-Table'!$C$10,
                (S18 = 'Points-Table'!$A$11), 'Points-Table'!$C$11,
                (S18 = 'Points-Table'!$A$12), 'Points-Table'!$C$12,
                (S18 = 'Points-Table'!$A$13), 'Points-Table'!$C$13,
                true, 0
              )
            </f>
      </c>
      <c r="U18" s="11">
        <v>3</v>
      </c>
      <c r="V18" s="12">
        <f>
              Ifs(
                (U18 = 'Points-Table'!$A$4), 'Points-Table'!$C$4,
                (U18 = 'Points-Table'!$A$5), 'Points-Table'!$C$5,
                (U18 = 'Points-Table'!$A$6), 'Points-Table'!$C$6,
                (U18 = 'Points-Table'!$A$7), 'Points-Table'!$C$7,
                (U18 = 'Points-Table'!$A$8), 'Points-Table'!$C$8,
                (U18 = 'Points-Table'!$A$9), 'Points-Table'!$C$9,
                (U18 = 'Points-Table'!$A$10), 'Points-Table'!$C$10,
                (U18 = 'Points-Table'!$A$11), 'Points-Table'!$C$11,
                (U18 = 'Points-Table'!$A$12), 'Points-Table'!$C$12,
                (U18 = 'Points-Table'!$A$13), 'Points-Table'!$C$13,
                true, 0
              )
            </f>
      </c>
      <c r="W18" s="11">
        <v>2</v>
      </c>
      <c r="X18" s="12">
        <f>
              Ifs(
                (W18 = 'Points-Table'!$A$4), 'Points-Table'!$C$4,
                (W18 = 'Points-Table'!$A$5), 'Points-Table'!$C$5,
                (W18 = 'Points-Table'!$A$6), 'Points-Table'!$C$6,
                (W18 = 'Points-Table'!$A$7), 'Points-Table'!$C$7,
                (W18 = 'Points-Table'!$A$8), 'Points-Table'!$C$8,
                (W18 = 'Points-Table'!$A$9), 'Points-Table'!$C$9,
                (W18 = 'Points-Table'!$A$10), 'Points-Table'!$C$10,
                (W18 = 'Points-Table'!$A$11), 'Points-Table'!$C$11,
                (W18 = 'Points-Table'!$A$12), 'Points-Table'!$C$12,
                (W18 = 'Points-Table'!$A$13), 'Points-Table'!$C$13,
                true, 0
              )
            </f>
      </c>
      <c r="Y18" s="11">
        <v>2</v>
      </c>
      <c r="Z18" s="12">
        <f>
              Ifs(
                (Y18 = 'Points-Table'!$A$4), 'Points-Table'!$C$4,
                (Y18 = 'Points-Table'!$A$5), 'Points-Table'!$C$5,
                (Y18 = 'Points-Table'!$A$6), 'Points-Table'!$C$6,
                (Y18 = 'Points-Table'!$A$7), 'Points-Table'!$C$7,
                (Y18 = 'Points-Table'!$A$8), 'Points-Table'!$C$8,
                (Y18 = 'Points-Table'!$A$9), 'Points-Table'!$C$9,
                (Y18 = 'Points-Table'!$A$10), 'Points-Table'!$C$10,
                (Y18 = 'Points-Table'!$A$11), 'Points-Table'!$C$11,
                (Y18 = 'Points-Table'!$A$12), 'Points-Table'!$C$12,
                (Y18 = 'Points-Table'!$A$13), 'Points-Table'!$C$13,
                true, 0
              )
            </f>
      </c>
      <c r="AA18" s="6">
        <f>SUM(V18,X18,Z18)</f>
      </c>
      <c r="AB18" s="6">
        <f>
      Ifs( 
        ISBETWEEN(AA18, 0, 'Points-Table'!C$20, TRUE, False), 'Points-Table'!A$20,
        ISBETWEEN(AA18, 'Points-Table'!C$20, 'Points-Table'!C$21, TRUE, False), 'Points-Table'!A$21,
        ISBETWEEN(AA18, 'Points-Table'!C$22, 10000, TRUE, TRUE), 'Points-Table'!A$22,
        true, 
        0)
      </f>
      </c>
      <c r="AC18" s="6" t="s">
        <v>56</v>
      </c>
      <c r="AD18" s="6" t="s">
        <v>56</v>
      </c>
      <c r="AE18" s="6" t="s">
        <v>56</v>
      </c>
    </row>
    <row r="19" spans="1:31" s="6" customFormat="1" x14ac:dyDescent="0.25">
      <c r="A19" s="6" t="s">
        <v>103</v>
      </c>
      <c r="B19" s="6" t="s">
        <v>110</v>
      </c>
      <c r="C19" s="6" t="s">
        <v>113</v>
      </c>
      <c r="D19" s="6"/>
      <c r="E19" s="6"/>
      <c r="F19" s="6"/>
      <c r="G19" s="6"/>
      <c r="H19" s="6"/>
      <c r="I19" s="6"/>
      <c r="J19" s="6"/>
      <c r="K19" s="6" t="s">
        <v>84</v>
      </c>
      <c r="L19" s="6" t="s">
        <v>85</v>
      </c>
      <c r="M19" s="6"/>
      <c r="N19" s="6"/>
      <c r="O19" s="6"/>
      <c r="P19" s="6"/>
      <c r="Q19" s="11">
        <v>1</v>
      </c>
      <c r="R19" s="12">
        <f>
              Ifs(
                (Q19 = 'Points-Table'!$A$4), 'Points-Table'!$C$4,
                (Q19 = 'Points-Table'!$A$5), 'Points-Table'!$C$5,
                (Q19 = 'Points-Table'!$A$6), 'Points-Table'!$C$6,
                (Q19 = 'Points-Table'!$A$7), 'Points-Table'!$C$7,
                (Q19 = 'Points-Table'!$A$8), 'Points-Table'!$C$8,
                (Q19 = 'Points-Table'!$A$9), 'Points-Table'!$C$9,
                (Q19 = 'Points-Table'!$A$10), 'Points-Table'!$C$10,
                (Q19 = 'Points-Table'!$A$11), 'Points-Table'!$C$11,
                (Q19 = 'Points-Table'!$A$12), 'Points-Table'!$C$12,
                (Q19 = 'Points-Table'!$A$13), 'Points-Table'!$C$13,
                true, 0
              )
            </f>
      </c>
      <c r="S19" s="11">
        <v>1</v>
      </c>
      <c r="T19" s="12">
        <f>
              Ifs(
                (S19 = 'Points-Table'!$A$4), 'Points-Table'!$C$4,
                (S19 = 'Points-Table'!$A$5), 'Points-Table'!$C$5,
                (S19 = 'Points-Table'!$A$6), 'Points-Table'!$C$6,
                (S19 = 'Points-Table'!$A$7), 'Points-Table'!$C$7,
                (S19 = 'Points-Table'!$A$8), 'Points-Table'!$C$8,
                (S19 = 'Points-Table'!$A$9), 'Points-Table'!$C$9,
                (S19 = 'Points-Table'!$A$10), 'Points-Table'!$C$10,
                (S19 = 'Points-Table'!$A$11), 'Points-Table'!$C$11,
                (S19 = 'Points-Table'!$A$12), 'Points-Table'!$C$12,
                (S19 = 'Points-Table'!$A$13), 'Points-Table'!$C$13,
                true, 0
              )
            </f>
      </c>
      <c r="U19" s="11">
        <v>5</v>
      </c>
      <c r="V19" s="12">
        <f>
              Ifs(
                (U19 = 'Points-Table'!$A$4), 'Points-Table'!$C$4,
                (U19 = 'Points-Table'!$A$5), 'Points-Table'!$C$5,
                (U19 = 'Points-Table'!$A$6), 'Points-Table'!$C$6,
                (U19 = 'Points-Table'!$A$7), 'Points-Table'!$C$7,
                (U19 = 'Points-Table'!$A$8), 'Points-Table'!$C$8,
                (U19 = 'Points-Table'!$A$9), 'Points-Table'!$C$9,
                (U19 = 'Points-Table'!$A$10), 'Points-Table'!$C$10,
                (U19 = 'Points-Table'!$A$11), 'Points-Table'!$C$11,
                (U19 = 'Points-Table'!$A$12), 'Points-Table'!$C$12,
                (U19 = 'Points-Table'!$A$13), 'Points-Table'!$C$13,
                true, 0
              )
            </f>
      </c>
      <c r="W19" s="11">
        <v>2</v>
      </c>
      <c r="X19" s="12">
        <f>
              Ifs(
                (W19 = 'Points-Table'!$A$4), 'Points-Table'!$C$4,
                (W19 = 'Points-Table'!$A$5), 'Points-Table'!$C$5,
                (W19 = 'Points-Table'!$A$6), 'Points-Table'!$C$6,
                (W19 = 'Points-Table'!$A$7), 'Points-Table'!$C$7,
                (W19 = 'Points-Table'!$A$8), 'Points-Table'!$C$8,
                (W19 = 'Points-Table'!$A$9), 'Points-Table'!$C$9,
                (W19 = 'Points-Table'!$A$10), 'Points-Table'!$C$10,
                (W19 = 'Points-Table'!$A$11), 'Points-Table'!$C$11,
                (W19 = 'Points-Table'!$A$12), 'Points-Table'!$C$12,
                (W19 = 'Points-Table'!$A$13), 'Points-Table'!$C$13,
                true, 0
              )
            </f>
      </c>
      <c r="Y19" s="11">
        <v>5</v>
      </c>
      <c r="Z19" s="12">
        <f>
              Ifs(
                (Y19 = 'Points-Table'!$A$4), 'Points-Table'!$C$4,
                (Y19 = 'Points-Table'!$A$5), 'Points-Table'!$C$5,
                (Y19 = 'Points-Table'!$A$6), 'Points-Table'!$C$6,
                (Y19 = 'Points-Table'!$A$7), 'Points-Table'!$C$7,
                (Y19 = 'Points-Table'!$A$8), 'Points-Table'!$C$8,
                (Y19 = 'Points-Table'!$A$9), 'Points-Table'!$C$9,
                (Y19 = 'Points-Table'!$A$10), 'Points-Table'!$C$10,
                (Y19 = 'Points-Table'!$A$11), 'Points-Table'!$C$11,
                (Y19 = 'Points-Table'!$A$12), 'Points-Table'!$C$12,
                (Y19 = 'Points-Table'!$A$13), 'Points-Table'!$C$13,
                true, 0
              )
            </f>
      </c>
      <c r="AA19" s="6">
        <f>SUM(V19,X19,Z19)</f>
      </c>
      <c r="AB19" s="6">
        <f>
      Ifs( 
        ISBETWEEN(AA19, 0, 'Points-Table'!C$20, TRUE, False), 'Points-Table'!A$20,
        ISBETWEEN(AA19, 'Points-Table'!C$20, 'Points-Table'!C$21, TRUE, False), 'Points-Table'!A$21,
        ISBETWEEN(AA19, 'Points-Table'!C$22, 10000, TRUE, TRUE), 'Points-Table'!A$22,
        true, 
        0)
      </f>
      </c>
      <c r="AC19" s="6" t="s">
        <v>56</v>
      </c>
      <c r="AD19" s="6" t="s">
        <v>56</v>
      </c>
      <c r="AE19" s="6" t="s">
        <v>56</v>
      </c>
    </row>
    <row r="20" spans="1:31" s="6" customFormat="1" x14ac:dyDescent="0.25">
      <c r="A20" s="6" t="s">
        <v>103</v>
      </c>
      <c r="B20" s="6" t="s">
        <v>110</v>
      </c>
      <c r="C20" s="6" t="s">
        <v>114</v>
      </c>
      <c r="D20" s="6"/>
      <c r="E20" s="6"/>
      <c r="F20" s="6"/>
      <c r="G20" s="6"/>
      <c r="H20" s="6"/>
      <c r="I20" s="6"/>
      <c r="J20" s="6"/>
      <c r="K20" s="6" t="s">
        <v>84</v>
      </c>
      <c r="L20" s="6" t="s">
        <v>85</v>
      </c>
      <c r="M20" s="6"/>
      <c r="N20" s="6"/>
      <c r="O20" s="6"/>
      <c r="P20" s="6"/>
      <c r="Q20" s="11"/>
      <c r="R20" s="12">
        <f>
              Ifs(
                (Q20 = 'Points-Table'!$A$4), 'Points-Table'!$C$4,
                (Q20 = 'Points-Table'!$A$5), 'Points-Table'!$C$5,
                (Q20 = 'Points-Table'!$A$6), 'Points-Table'!$C$6,
                (Q20 = 'Points-Table'!$A$7), 'Points-Table'!$C$7,
                (Q20 = 'Points-Table'!$A$8), 'Points-Table'!$C$8,
                (Q20 = 'Points-Table'!$A$9), 'Points-Table'!$C$9,
                (Q20 = 'Points-Table'!$A$10), 'Points-Table'!$C$10,
                (Q20 = 'Points-Table'!$A$11), 'Points-Table'!$C$11,
                (Q20 = 'Points-Table'!$A$12), 'Points-Table'!$C$12,
                (Q20 = 'Points-Table'!$A$13), 'Points-Table'!$C$13,
                true, 0
              )
            </f>
      </c>
      <c r="S20" s="11"/>
      <c r="T20" s="12">
        <f>
              Ifs(
                (S20 = 'Points-Table'!$A$4), 'Points-Table'!$C$4,
                (S20 = 'Points-Table'!$A$5), 'Points-Table'!$C$5,
                (S20 = 'Points-Table'!$A$6), 'Points-Table'!$C$6,
                (S20 = 'Points-Table'!$A$7), 'Points-Table'!$C$7,
                (S20 = 'Points-Table'!$A$8), 'Points-Table'!$C$8,
                (S20 = 'Points-Table'!$A$9), 'Points-Table'!$C$9,
                (S20 = 'Points-Table'!$A$10), 'Points-Table'!$C$10,
                (S20 = 'Points-Table'!$A$11), 'Points-Table'!$C$11,
                (S20 = 'Points-Table'!$A$12), 'Points-Table'!$C$12,
                (S20 = 'Points-Table'!$A$13), 'Points-Table'!$C$13,
                true, 0
              )
            </f>
      </c>
      <c r="U20" s="11">
        <v>3</v>
      </c>
      <c r="V20" s="12">
        <f>
              Ifs(
                (U20 = 'Points-Table'!$A$4), 'Points-Table'!$C$4,
                (U20 = 'Points-Table'!$A$5), 'Points-Table'!$C$5,
                (U20 = 'Points-Table'!$A$6), 'Points-Table'!$C$6,
                (U20 = 'Points-Table'!$A$7), 'Points-Table'!$C$7,
                (U20 = 'Points-Table'!$A$8), 'Points-Table'!$C$8,
                (U20 = 'Points-Table'!$A$9), 'Points-Table'!$C$9,
                (U20 = 'Points-Table'!$A$10), 'Points-Table'!$C$10,
                (U20 = 'Points-Table'!$A$11), 'Points-Table'!$C$11,
                (U20 = 'Points-Table'!$A$12), 'Points-Table'!$C$12,
                (U20 = 'Points-Table'!$A$13), 'Points-Table'!$C$13,
                true, 0
              )
            </f>
      </c>
      <c r="W20" s="11">
        <v>2</v>
      </c>
      <c r="X20" s="12">
        <f>
              Ifs(
                (W20 = 'Points-Table'!$A$4), 'Points-Table'!$C$4,
                (W20 = 'Points-Table'!$A$5), 'Points-Table'!$C$5,
                (W20 = 'Points-Table'!$A$6), 'Points-Table'!$C$6,
                (W20 = 'Points-Table'!$A$7), 'Points-Table'!$C$7,
                (W20 = 'Points-Table'!$A$8), 'Points-Table'!$C$8,
                (W20 = 'Points-Table'!$A$9), 'Points-Table'!$C$9,
                (W20 = 'Points-Table'!$A$10), 'Points-Table'!$C$10,
                (W20 = 'Points-Table'!$A$11), 'Points-Table'!$C$11,
                (W20 = 'Points-Table'!$A$12), 'Points-Table'!$C$12,
                (W20 = 'Points-Table'!$A$13), 'Points-Table'!$C$13,
                true, 0
              )
            </f>
      </c>
      <c r="Y20" s="11">
        <v>3</v>
      </c>
      <c r="Z20" s="12">
        <f>
              Ifs(
                (Y20 = 'Points-Table'!$A$4), 'Points-Table'!$C$4,
                (Y20 = 'Points-Table'!$A$5), 'Points-Table'!$C$5,
                (Y20 = 'Points-Table'!$A$6), 'Points-Table'!$C$6,
                (Y20 = 'Points-Table'!$A$7), 'Points-Table'!$C$7,
                (Y20 = 'Points-Table'!$A$8), 'Points-Table'!$C$8,
                (Y20 = 'Points-Table'!$A$9), 'Points-Table'!$C$9,
                (Y20 = 'Points-Table'!$A$10), 'Points-Table'!$C$10,
                (Y20 = 'Points-Table'!$A$11), 'Points-Table'!$C$11,
                (Y20 = 'Points-Table'!$A$12), 'Points-Table'!$C$12,
                (Y20 = 'Points-Table'!$A$13), 'Points-Table'!$C$13,
                true, 0
              )
            </f>
      </c>
      <c r="AA20" s="6">
        <f>SUM(V20,X20,Z20)</f>
      </c>
      <c r="AB20" s="6">
        <f>
      Ifs( 
        ISBETWEEN(AA20, 0, 'Points-Table'!C$20, TRUE, False), 'Points-Table'!A$20,
        ISBETWEEN(AA20, 'Points-Table'!C$20, 'Points-Table'!C$21, TRUE, False), 'Points-Table'!A$21,
        ISBETWEEN(AA20, 'Points-Table'!C$22, 10000, TRUE, TRUE), 'Points-Table'!A$22,
        true, 
        0)
      </f>
      </c>
      <c r="AC20" s="6" t="s">
        <v>56</v>
      </c>
      <c r="AD20" s="6" t="s">
        <v>56</v>
      </c>
      <c r="AE20" s="6" t="s">
        <v>56</v>
      </c>
    </row>
    <row r="21" spans="1:31" s="13" customFormat="1" x14ac:dyDescent="0.25">
      <c r="A21" s="13" t="s">
        <v>103</v>
      </c>
      <c r="B21" s="13" t="s">
        <v>110</v>
      </c>
      <c r="C21" s="13" t="s">
        <v>115</v>
      </c>
      <c r="D21" s="13"/>
      <c r="E21" s="13"/>
      <c r="F21" s="13"/>
      <c r="G21" s="13"/>
      <c r="H21" s="13"/>
      <c r="I21" s="13"/>
      <c r="J21" s="13"/>
      <c r="K21" s="13" t="s">
        <v>84</v>
      </c>
      <c r="L21" s="13" t="s">
        <v>85</v>
      </c>
      <c r="M21" s="13"/>
      <c r="N21" s="13"/>
      <c r="O21" s="13"/>
      <c r="P21" s="13"/>
      <c r="Q21" s="13"/>
      <c r="R21" s="13">
        <f>
              Ifs(
                (Q21 = 'Points-Table'!$A$4), 'Points-Table'!$C$4,
                (Q21 = 'Points-Table'!$A$5), 'Points-Table'!$C$5,
                (Q21 = 'Points-Table'!$A$6), 'Points-Table'!$C$6,
                (Q21 = 'Points-Table'!$A$7), 'Points-Table'!$C$7,
                (Q21 = 'Points-Table'!$A$8), 'Points-Table'!$C$8,
                (Q21 = 'Points-Table'!$A$9), 'Points-Table'!$C$9,
                (Q21 = 'Points-Table'!$A$10), 'Points-Table'!$C$10,
                (Q21 = 'Points-Table'!$A$11), 'Points-Table'!$C$11,
                (Q21 = 'Points-Table'!$A$12), 'Points-Table'!$C$12,
                (Q21 = 'Points-Table'!$A$13), 'Points-Table'!$C$13,
                true, 0
              )
            </f>
      </c>
      <c r="S21" s="13"/>
      <c r="T21" s="13">
        <f>
              Ifs(
                (S21 = 'Points-Table'!$A$4), 'Points-Table'!$C$4,
                (S21 = 'Points-Table'!$A$5), 'Points-Table'!$C$5,
                (S21 = 'Points-Table'!$A$6), 'Points-Table'!$C$6,
                (S21 = 'Points-Table'!$A$7), 'Points-Table'!$C$7,
                (S21 = 'Points-Table'!$A$8), 'Points-Table'!$C$8,
                (S21 = 'Points-Table'!$A$9), 'Points-Table'!$C$9,
                (S21 = 'Points-Table'!$A$10), 'Points-Table'!$C$10,
                (S21 = 'Points-Table'!$A$11), 'Points-Table'!$C$11,
                (S21 = 'Points-Table'!$A$12), 'Points-Table'!$C$12,
                (S21 = 'Points-Table'!$A$13), 'Points-Table'!$C$13,
                true, 0
              )
            </f>
      </c>
      <c r="U21" s="13">
        <v>3</v>
      </c>
      <c r="V21" s="13">
        <f>
              Ifs(
                (U21 = 'Points-Table'!$A$4), 'Points-Table'!$C$4,
                (U21 = 'Points-Table'!$A$5), 'Points-Table'!$C$5,
                (U21 = 'Points-Table'!$A$6), 'Points-Table'!$C$6,
                (U21 = 'Points-Table'!$A$7), 'Points-Table'!$C$7,
                (U21 = 'Points-Table'!$A$8), 'Points-Table'!$C$8,
                (U21 = 'Points-Table'!$A$9), 'Points-Table'!$C$9,
                (U21 = 'Points-Table'!$A$10), 'Points-Table'!$C$10,
                (U21 = 'Points-Table'!$A$11), 'Points-Table'!$C$11,
                (U21 = 'Points-Table'!$A$12), 'Points-Table'!$C$12,
                (U21 = 'Points-Table'!$A$13), 'Points-Table'!$C$13,
                true, 0
              )
            </f>
      </c>
      <c r="W21" s="13">
        <v>1</v>
      </c>
      <c r="X21" s="13">
        <f>
              Ifs(
                (W21 = 'Points-Table'!$A$4), 'Points-Table'!$C$4,
                (W21 = 'Points-Table'!$A$5), 'Points-Table'!$C$5,
                (W21 = 'Points-Table'!$A$6), 'Points-Table'!$C$6,
                (W21 = 'Points-Table'!$A$7), 'Points-Table'!$C$7,
                (W21 = 'Points-Table'!$A$8), 'Points-Table'!$C$8,
                (W21 = 'Points-Table'!$A$9), 'Points-Table'!$C$9,
                (W21 = 'Points-Table'!$A$10), 'Points-Table'!$C$10,
                (W21 = 'Points-Table'!$A$11), 'Points-Table'!$C$11,
                (W21 = 'Points-Table'!$A$12), 'Points-Table'!$C$12,
                (W21 = 'Points-Table'!$A$13), 'Points-Table'!$C$13,
                true, 0
              )
            </f>
      </c>
      <c r="Y21" s="13">
        <v>0</v>
      </c>
      <c r="Z21" s="13">
        <f>
              Ifs(
                (Y21 = 'Points-Table'!$A$4), 'Points-Table'!$C$4,
                (Y21 = 'Points-Table'!$A$5), 'Points-Table'!$C$5,
                (Y21 = 'Points-Table'!$A$6), 'Points-Table'!$C$6,
                (Y21 = 'Points-Table'!$A$7), 'Points-Table'!$C$7,
                (Y21 = 'Points-Table'!$A$8), 'Points-Table'!$C$8,
                (Y21 = 'Points-Table'!$A$9), 'Points-Table'!$C$9,
                (Y21 = 'Points-Table'!$A$10), 'Points-Table'!$C$10,
                (Y21 = 'Points-Table'!$A$11), 'Points-Table'!$C$11,
                (Y21 = 'Points-Table'!$A$12), 'Points-Table'!$C$12,
                (Y21 = 'Points-Table'!$A$13), 'Points-Table'!$C$13,
                true, 0
              )
            </f>
      </c>
      <c r="AA21" s="13">
        <f>SUM(V21,X21,Z21)</f>
      </c>
      <c r="AB21" s="13">
        <f>
      Ifs( 
        ISBETWEEN(AA21, 0, 'Points-Table'!C$20, TRUE, False), 'Points-Table'!A$20,
        ISBETWEEN(AA21, 'Points-Table'!C$20, 'Points-Table'!C$21, TRUE, False), 'Points-Table'!A$21,
        ISBETWEEN(AA21, 'Points-Table'!C$22, 10000, TRUE, TRUE), 'Points-Table'!A$22,
        true, 
        0)
      </f>
      </c>
      <c r="AC21" s="13" t="s">
        <v>56</v>
      </c>
      <c r="AD21" s="13" t="s">
        <v>56</v>
      </c>
      <c r="AE21" s="13" t="s">
        <v>56</v>
      </c>
    </row>
    <row r="22" spans="1:31" s="6" customFormat="1" x14ac:dyDescent="0.25">
      <c r="A22" s="6" t="s">
        <v>103</v>
      </c>
      <c r="B22" s="6" t="s">
        <v>116</v>
      </c>
      <c r="C22" s="6" t="s">
        <v>117</v>
      </c>
      <c r="D22" s="6"/>
      <c r="E22" s="6"/>
      <c r="F22" s="6"/>
      <c r="G22" s="6"/>
      <c r="H22" s="6"/>
      <c r="I22" s="6"/>
      <c r="J22" s="6"/>
      <c r="K22" s="6" t="s">
        <v>84</v>
      </c>
      <c r="L22" s="6" t="s">
        <v>85</v>
      </c>
      <c r="M22" s="6"/>
      <c r="N22" s="6"/>
      <c r="O22" s="6"/>
      <c r="P22" s="6"/>
      <c r="Q22" s="11">
        <v>1</v>
      </c>
      <c r="R22" s="12">
        <f>
              Ifs(
                (Q22 = 'Points-Table'!$A$4), 'Points-Table'!$C$4,
                (Q22 = 'Points-Table'!$A$5), 'Points-Table'!$C$5,
                (Q22 = 'Points-Table'!$A$6), 'Points-Table'!$C$6,
                (Q22 = 'Points-Table'!$A$7), 'Points-Table'!$C$7,
                (Q22 = 'Points-Table'!$A$8), 'Points-Table'!$C$8,
                (Q22 = 'Points-Table'!$A$9), 'Points-Table'!$C$9,
                (Q22 = 'Points-Table'!$A$10), 'Points-Table'!$C$10,
                (Q22 = 'Points-Table'!$A$11), 'Points-Table'!$C$11,
                (Q22 = 'Points-Table'!$A$12), 'Points-Table'!$C$12,
                (Q22 = 'Points-Table'!$A$13), 'Points-Table'!$C$13,
                true, 0
              )
            </f>
      </c>
      <c r="S22" s="11">
        <v>1</v>
      </c>
      <c r="T22" s="12">
        <f>
              Ifs(
                (S22 = 'Points-Table'!$A$4), 'Points-Table'!$C$4,
                (S22 = 'Points-Table'!$A$5), 'Points-Table'!$C$5,
                (S22 = 'Points-Table'!$A$6), 'Points-Table'!$C$6,
                (S22 = 'Points-Table'!$A$7), 'Points-Table'!$C$7,
                (S22 = 'Points-Table'!$A$8), 'Points-Table'!$C$8,
                (S22 = 'Points-Table'!$A$9), 'Points-Table'!$C$9,
                (S22 = 'Points-Table'!$A$10), 'Points-Table'!$C$10,
                (S22 = 'Points-Table'!$A$11), 'Points-Table'!$C$11,
                (S22 = 'Points-Table'!$A$12), 'Points-Table'!$C$12,
                (S22 = 'Points-Table'!$A$13), 'Points-Table'!$C$13,
                true, 0
              )
            </f>
      </c>
      <c r="U22" s="11">
        <v>5</v>
      </c>
      <c r="V22" s="12">
        <f>
              Ifs(
                (U22 = 'Points-Table'!$A$4), 'Points-Table'!$C$4,
                (U22 = 'Points-Table'!$A$5), 'Points-Table'!$C$5,
                (U22 = 'Points-Table'!$A$6), 'Points-Table'!$C$6,
                (U22 = 'Points-Table'!$A$7), 'Points-Table'!$C$7,
                (U22 = 'Points-Table'!$A$8), 'Points-Table'!$C$8,
                (U22 = 'Points-Table'!$A$9), 'Points-Table'!$C$9,
                (U22 = 'Points-Table'!$A$10), 'Points-Table'!$C$10,
                (U22 = 'Points-Table'!$A$11), 'Points-Table'!$C$11,
                (U22 = 'Points-Table'!$A$12), 'Points-Table'!$C$12,
                (U22 = 'Points-Table'!$A$13), 'Points-Table'!$C$13,
                true, 0
              )
            </f>
      </c>
      <c r="W22" s="11">
        <v>5</v>
      </c>
      <c r="X22" s="12">
        <f>
              Ifs(
                (W22 = 'Points-Table'!$A$4), 'Points-Table'!$C$4,
                (W22 = 'Points-Table'!$A$5), 'Points-Table'!$C$5,
                (W22 = 'Points-Table'!$A$6), 'Points-Table'!$C$6,
                (W22 = 'Points-Table'!$A$7), 'Points-Table'!$C$7,
                (W22 = 'Points-Table'!$A$8), 'Points-Table'!$C$8,
                (W22 = 'Points-Table'!$A$9), 'Points-Table'!$C$9,
                (W22 = 'Points-Table'!$A$10), 'Points-Table'!$C$10,
                (W22 = 'Points-Table'!$A$11), 'Points-Table'!$C$11,
                (W22 = 'Points-Table'!$A$12), 'Points-Table'!$C$12,
                (W22 = 'Points-Table'!$A$13), 'Points-Table'!$C$13,
                true, 0
              )
            </f>
      </c>
      <c r="Y22" s="11">
        <v>8</v>
      </c>
      <c r="Z22" s="12">
        <f>
              Ifs(
                (Y22 = 'Points-Table'!$A$4), 'Points-Table'!$C$4,
                (Y22 = 'Points-Table'!$A$5), 'Points-Table'!$C$5,
                (Y22 = 'Points-Table'!$A$6), 'Points-Table'!$C$6,
                (Y22 = 'Points-Table'!$A$7), 'Points-Table'!$C$7,
                (Y22 = 'Points-Table'!$A$8), 'Points-Table'!$C$8,
                (Y22 = 'Points-Table'!$A$9), 'Points-Table'!$C$9,
                (Y22 = 'Points-Table'!$A$10), 'Points-Table'!$C$10,
                (Y22 = 'Points-Table'!$A$11), 'Points-Table'!$C$11,
                (Y22 = 'Points-Table'!$A$12), 'Points-Table'!$C$12,
                (Y22 = 'Points-Table'!$A$13), 'Points-Table'!$C$13,
                true, 0
              )
            </f>
      </c>
      <c r="AA22" s="6">
        <f>SUM(V22,X22,Z22)</f>
      </c>
      <c r="AB22" s="6">
        <f>
      Ifs( 
        ISBETWEEN(AA22, 0, 'Points-Table'!C$20, TRUE, False), 'Points-Table'!A$20,
        ISBETWEEN(AA22, 'Points-Table'!C$20, 'Points-Table'!C$21, TRUE, False), 'Points-Table'!A$21,
        ISBETWEEN(AA22, 'Points-Table'!C$22, 10000, TRUE, TRUE), 'Points-Table'!A$22,
        true, 
        0)
      </f>
      </c>
      <c r="AC22" s="6" t="s">
        <v>56</v>
      </c>
      <c r="AD22" s="6" t="s">
        <v>56</v>
      </c>
      <c r="AE22" s="6" t="s">
        <v>56</v>
      </c>
    </row>
    <row r="23" spans="1:31" s="6" customFormat="1" x14ac:dyDescent="0.25">
      <c r="A23" s="6" t="s">
        <v>103</v>
      </c>
      <c r="B23" s="6" t="s">
        <v>116</v>
      </c>
      <c r="C23" s="6" t="s">
        <v>118</v>
      </c>
      <c r="D23" s="6"/>
      <c r="E23" s="6"/>
      <c r="F23" s="6"/>
      <c r="G23" s="6"/>
      <c r="H23" s="6"/>
      <c r="I23" s="6"/>
      <c r="J23" s="6"/>
      <c r="K23" s="6" t="s">
        <v>84</v>
      </c>
      <c r="L23" s="6" t="s">
        <v>85</v>
      </c>
      <c r="M23" s="6"/>
      <c r="N23" s="6"/>
      <c r="O23" s="6"/>
      <c r="P23" s="6"/>
      <c r="Q23" s="11"/>
      <c r="R23" s="12">
        <f>
              Ifs(
                (Q23 = 'Points-Table'!$A$4), 'Points-Table'!$C$4,
                (Q23 = 'Points-Table'!$A$5), 'Points-Table'!$C$5,
                (Q23 = 'Points-Table'!$A$6), 'Points-Table'!$C$6,
                (Q23 = 'Points-Table'!$A$7), 'Points-Table'!$C$7,
                (Q23 = 'Points-Table'!$A$8), 'Points-Table'!$C$8,
                (Q23 = 'Points-Table'!$A$9), 'Points-Table'!$C$9,
                (Q23 = 'Points-Table'!$A$10), 'Points-Table'!$C$10,
                (Q23 = 'Points-Table'!$A$11), 'Points-Table'!$C$11,
                (Q23 = 'Points-Table'!$A$12), 'Points-Table'!$C$12,
                (Q23 = 'Points-Table'!$A$13), 'Points-Table'!$C$13,
                true, 0
              )
            </f>
      </c>
      <c r="S23" s="11"/>
      <c r="T23" s="12">
        <f>
              Ifs(
                (S23 = 'Points-Table'!$A$4), 'Points-Table'!$C$4,
                (S23 = 'Points-Table'!$A$5), 'Points-Table'!$C$5,
                (S23 = 'Points-Table'!$A$6), 'Points-Table'!$C$6,
                (S23 = 'Points-Table'!$A$7), 'Points-Table'!$C$7,
                (S23 = 'Points-Table'!$A$8), 'Points-Table'!$C$8,
                (S23 = 'Points-Table'!$A$9), 'Points-Table'!$C$9,
                (S23 = 'Points-Table'!$A$10), 'Points-Table'!$C$10,
                (S23 = 'Points-Table'!$A$11), 'Points-Table'!$C$11,
                (S23 = 'Points-Table'!$A$12), 'Points-Table'!$C$12,
                (S23 = 'Points-Table'!$A$13), 'Points-Table'!$C$13,
                true, 0
              )
            </f>
      </c>
      <c r="U23" s="11">
        <v>3</v>
      </c>
      <c r="V23" s="12">
        <f>
              Ifs(
                (U23 = 'Points-Table'!$A$4), 'Points-Table'!$C$4,
                (U23 = 'Points-Table'!$A$5), 'Points-Table'!$C$5,
                (U23 = 'Points-Table'!$A$6), 'Points-Table'!$C$6,
                (U23 = 'Points-Table'!$A$7), 'Points-Table'!$C$7,
                (U23 = 'Points-Table'!$A$8), 'Points-Table'!$C$8,
                (U23 = 'Points-Table'!$A$9), 'Points-Table'!$C$9,
                (U23 = 'Points-Table'!$A$10), 'Points-Table'!$C$10,
                (U23 = 'Points-Table'!$A$11), 'Points-Table'!$C$11,
                (U23 = 'Points-Table'!$A$12), 'Points-Table'!$C$12,
                (U23 = 'Points-Table'!$A$13), 'Points-Table'!$C$13,
                true, 0
              )
            </f>
      </c>
      <c r="W23" s="11">
        <v>0</v>
      </c>
      <c r="X23" s="12">
        <f>
              Ifs(
                (W23 = 'Points-Table'!$A$4), 'Points-Table'!$C$4,
                (W23 = 'Points-Table'!$A$5), 'Points-Table'!$C$5,
                (W23 = 'Points-Table'!$A$6), 'Points-Table'!$C$6,
                (W23 = 'Points-Table'!$A$7), 'Points-Table'!$C$7,
                (W23 = 'Points-Table'!$A$8), 'Points-Table'!$C$8,
                (W23 = 'Points-Table'!$A$9), 'Points-Table'!$C$9,
                (W23 = 'Points-Table'!$A$10), 'Points-Table'!$C$10,
                (W23 = 'Points-Table'!$A$11), 'Points-Table'!$C$11,
                (W23 = 'Points-Table'!$A$12), 'Points-Table'!$C$12,
                (W23 = 'Points-Table'!$A$13), 'Points-Table'!$C$13,
                true, 0
              )
            </f>
      </c>
      <c r="Y23" s="11">
        <v>0</v>
      </c>
      <c r="Z23" s="12">
        <f>
              Ifs(
                (Y23 = 'Points-Table'!$A$4), 'Points-Table'!$C$4,
                (Y23 = 'Points-Table'!$A$5), 'Points-Table'!$C$5,
                (Y23 = 'Points-Table'!$A$6), 'Points-Table'!$C$6,
                (Y23 = 'Points-Table'!$A$7), 'Points-Table'!$C$7,
                (Y23 = 'Points-Table'!$A$8), 'Points-Table'!$C$8,
                (Y23 = 'Points-Table'!$A$9), 'Points-Table'!$C$9,
                (Y23 = 'Points-Table'!$A$10), 'Points-Table'!$C$10,
                (Y23 = 'Points-Table'!$A$11), 'Points-Table'!$C$11,
                (Y23 = 'Points-Table'!$A$12), 'Points-Table'!$C$12,
                (Y23 = 'Points-Table'!$A$13), 'Points-Table'!$C$13,
                true, 0
              )
            </f>
      </c>
      <c r="AA23" s="6">
        <f>SUM(V23,X23,Z23)</f>
      </c>
      <c r="AB23" s="6">
        <f>
      Ifs( 
        ISBETWEEN(AA23, 0, 'Points-Table'!C$20, TRUE, False), 'Points-Table'!A$20,
        ISBETWEEN(AA23, 'Points-Table'!C$20, 'Points-Table'!C$21, TRUE, False), 'Points-Table'!A$21,
        ISBETWEEN(AA23, 'Points-Table'!C$22, 10000, TRUE, TRUE), 'Points-Table'!A$22,
        true, 
        0)
      </f>
      </c>
      <c r="AC23" s="6" t="s">
        <v>56</v>
      </c>
      <c r="AD23" s="6" t="s">
        <v>56</v>
      </c>
      <c r="AE23" s="6" t="s">
        <v>56</v>
      </c>
    </row>
    <row r="24" spans="1:31" s="6" customFormat="1" x14ac:dyDescent="0.25">
      <c r="A24" s="6" t="s">
        <v>103</v>
      </c>
      <c r="B24" s="6" t="s">
        <v>116</v>
      </c>
      <c r="C24" s="6" t="s">
        <v>119</v>
      </c>
      <c r="D24" s="6"/>
      <c r="E24" s="6"/>
      <c r="F24" s="6" t="s">
        <v>120</v>
      </c>
      <c r="G24" s="6"/>
      <c r="H24" s="6"/>
      <c r="I24" s="6"/>
      <c r="J24" s="6"/>
      <c r="K24" s="6" t="s">
        <v>84</v>
      </c>
      <c r="L24" s="6" t="s">
        <v>85</v>
      </c>
      <c r="M24" s="6"/>
      <c r="N24" s="6"/>
      <c r="O24" s="6"/>
      <c r="P24" s="6"/>
      <c r="Q24" s="11"/>
      <c r="R24" s="12">
        <f>
              Ifs(
                (Q24 = 'Points-Table'!$A$4), 'Points-Table'!$C$4,
                (Q24 = 'Points-Table'!$A$5), 'Points-Table'!$C$5,
                (Q24 = 'Points-Table'!$A$6), 'Points-Table'!$C$6,
                (Q24 = 'Points-Table'!$A$7), 'Points-Table'!$C$7,
                (Q24 = 'Points-Table'!$A$8), 'Points-Table'!$C$8,
                (Q24 = 'Points-Table'!$A$9), 'Points-Table'!$C$9,
                (Q24 = 'Points-Table'!$A$10), 'Points-Table'!$C$10,
                (Q24 = 'Points-Table'!$A$11), 'Points-Table'!$C$11,
                (Q24 = 'Points-Table'!$A$12), 'Points-Table'!$C$12,
                (Q24 = 'Points-Table'!$A$13), 'Points-Table'!$C$13,
                true, 0
              )
            </f>
      </c>
      <c r="S24" s="11"/>
      <c r="T24" s="12">
        <f>
              Ifs(
                (S24 = 'Points-Table'!$A$4), 'Points-Table'!$C$4,
                (S24 = 'Points-Table'!$A$5), 'Points-Table'!$C$5,
                (S24 = 'Points-Table'!$A$6), 'Points-Table'!$C$6,
                (S24 = 'Points-Table'!$A$7), 'Points-Table'!$C$7,
                (S24 = 'Points-Table'!$A$8), 'Points-Table'!$C$8,
                (S24 = 'Points-Table'!$A$9), 'Points-Table'!$C$9,
                (S24 = 'Points-Table'!$A$10), 'Points-Table'!$C$10,
                (S24 = 'Points-Table'!$A$11), 'Points-Table'!$C$11,
                (S24 = 'Points-Table'!$A$12), 'Points-Table'!$C$12,
                (S24 = 'Points-Table'!$A$13), 'Points-Table'!$C$13,
                true, 0
              )
            </f>
      </c>
      <c r="U24" s="11">
        <v>8</v>
      </c>
      <c r="V24" s="12">
        <f>
              Ifs(
                (U24 = 'Points-Table'!$A$4), 'Points-Table'!$C$4,
                (U24 = 'Points-Table'!$A$5), 'Points-Table'!$C$5,
                (U24 = 'Points-Table'!$A$6), 'Points-Table'!$C$6,
                (U24 = 'Points-Table'!$A$7), 'Points-Table'!$C$7,
                (U24 = 'Points-Table'!$A$8), 'Points-Table'!$C$8,
                (U24 = 'Points-Table'!$A$9), 'Points-Table'!$C$9,
                (U24 = 'Points-Table'!$A$10), 'Points-Table'!$C$10,
                (U24 = 'Points-Table'!$A$11), 'Points-Table'!$C$11,
                (U24 = 'Points-Table'!$A$12), 'Points-Table'!$C$12,
                (U24 = 'Points-Table'!$A$13), 'Points-Table'!$C$13,
                true, 0
              )
            </f>
      </c>
      <c r="W24" s="11">
        <v>0</v>
      </c>
      <c r="X24" s="12">
        <f>
              Ifs(
                (W24 = 'Points-Table'!$A$4), 'Points-Table'!$C$4,
                (W24 = 'Points-Table'!$A$5), 'Points-Table'!$C$5,
                (W24 = 'Points-Table'!$A$6), 'Points-Table'!$C$6,
                (W24 = 'Points-Table'!$A$7), 'Points-Table'!$C$7,
                (W24 = 'Points-Table'!$A$8), 'Points-Table'!$C$8,
                (W24 = 'Points-Table'!$A$9), 'Points-Table'!$C$9,
                (W24 = 'Points-Table'!$A$10), 'Points-Table'!$C$10,
                (W24 = 'Points-Table'!$A$11), 'Points-Table'!$C$11,
                (W24 = 'Points-Table'!$A$12), 'Points-Table'!$C$12,
                (W24 = 'Points-Table'!$A$13), 'Points-Table'!$C$13,
                true, 0
              )
            </f>
      </c>
      <c r="Y24" s="11">
        <v>0</v>
      </c>
      <c r="Z24" s="12">
        <f>
              Ifs(
                (Y24 = 'Points-Table'!$A$4), 'Points-Table'!$C$4,
                (Y24 = 'Points-Table'!$A$5), 'Points-Table'!$C$5,
                (Y24 = 'Points-Table'!$A$6), 'Points-Table'!$C$6,
                (Y24 = 'Points-Table'!$A$7), 'Points-Table'!$C$7,
                (Y24 = 'Points-Table'!$A$8), 'Points-Table'!$C$8,
                (Y24 = 'Points-Table'!$A$9), 'Points-Table'!$C$9,
                (Y24 = 'Points-Table'!$A$10), 'Points-Table'!$C$10,
                (Y24 = 'Points-Table'!$A$11), 'Points-Table'!$C$11,
                (Y24 = 'Points-Table'!$A$12), 'Points-Table'!$C$12,
                (Y24 = 'Points-Table'!$A$13), 'Points-Table'!$C$13,
                true, 0
              )
            </f>
      </c>
      <c r="AA24" s="6">
        <f>SUM(V24,X24,Z24)</f>
      </c>
      <c r="AB24" s="6">
        <f>
      Ifs( 
        ISBETWEEN(AA24, 0, 'Points-Table'!C$20, TRUE, False), 'Points-Table'!A$20,
        ISBETWEEN(AA24, 'Points-Table'!C$20, 'Points-Table'!C$21, TRUE, False), 'Points-Table'!A$21,
        ISBETWEEN(AA24, 'Points-Table'!C$22, 10000, TRUE, TRUE), 'Points-Table'!A$22,
        true, 
        0)
      </f>
      </c>
      <c r="AC24" s="6" t="s">
        <v>56</v>
      </c>
      <c r="AD24" s="6" t="s">
        <v>56</v>
      </c>
      <c r="AE24" s="6" t="s">
        <v>56</v>
      </c>
    </row>
    <row r="25" spans="1:31" s="6" customFormat="1" x14ac:dyDescent="0.25">
      <c r="A25" s="6" t="s">
        <v>103</v>
      </c>
      <c r="B25" s="6" t="s">
        <v>116</v>
      </c>
      <c r="C25" s="6" t="s">
        <v>121</v>
      </c>
      <c r="D25" s="6"/>
      <c r="E25" s="6"/>
      <c r="F25" s="6"/>
      <c r="G25" s="6"/>
      <c r="H25" s="6"/>
      <c r="I25" s="6"/>
      <c r="J25" s="6"/>
      <c r="K25" s="6" t="s">
        <v>84</v>
      </c>
      <c r="L25" s="6" t="s">
        <v>85</v>
      </c>
      <c r="M25" s="6"/>
      <c r="N25" s="6"/>
      <c r="O25" s="6"/>
      <c r="P25" s="6"/>
      <c r="Q25" s="11">
        <v>1</v>
      </c>
      <c r="R25" s="12">
        <f>
              Ifs(
                (Q25 = 'Points-Table'!$A$4), 'Points-Table'!$C$4,
                (Q25 = 'Points-Table'!$A$5), 'Points-Table'!$C$5,
                (Q25 = 'Points-Table'!$A$6), 'Points-Table'!$C$6,
                (Q25 = 'Points-Table'!$A$7), 'Points-Table'!$C$7,
                (Q25 = 'Points-Table'!$A$8), 'Points-Table'!$C$8,
                (Q25 = 'Points-Table'!$A$9), 'Points-Table'!$C$9,
                (Q25 = 'Points-Table'!$A$10), 'Points-Table'!$C$10,
                (Q25 = 'Points-Table'!$A$11), 'Points-Table'!$C$11,
                (Q25 = 'Points-Table'!$A$12), 'Points-Table'!$C$12,
                (Q25 = 'Points-Table'!$A$13), 'Points-Table'!$C$13,
                true, 0
              )
            </f>
      </c>
      <c r="S25" s="11">
        <v>1</v>
      </c>
      <c r="T25" s="12">
        <f>
              Ifs(
                (S25 = 'Points-Table'!$A$4), 'Points-Table'!$C$4,
                (S25 = 'Points-Table'!$A$5), 'Points-Table'!$C$5,
                (S25 = 'Points-Table'!$A$6), 'Points-Table'!$C$6,
                (S25 = 'Points-Table'!$A$7), 'Points-Table'!$C$7,
                (S25 = 'Points-Table'!$A$8), 'Points-Table'!$C$8,
                (S25 = 'Points-Table'!$A$9), 'Points-Table'!$C$9,
                (S25 = 'Points-Table'!$A$10), 'Points-Table'!$C$10,
                (S25 = 'Points-Table'!$A$11), 'Points-Table'!$C$11,
                (S25 = 'Points-Table'!$A$12), 'Points-Table'!$C$12,
                (S25 = 'Points-Table'!$A$13), 'Points-Table'!$C$13,
                true, 0
              )
            </f>
      </c>
      <c r="U25" s="11">
        <v>5</v>
      </c>
      <c r="V25" s="12">
        <f>
              Ifs(
                (U25 = 'Points-Table'!$A$4), 'Points-Table'!$C$4,
                (U25 = 'Points-Table'!$A$5), 'Points-Table'!$C$5,
                (U25 = 'Points-Table'!$A$6), 'Points-Table'!$C$6,
                (U25 = 'Points-Table'!$A$7), 'Points-Table'!$C$7,
                (U25 = 'Points-Table'!$A$8), 'Points-Table'!$C$8,
                (U25 = 'Points-Table'!$A$9), 'Points-Table'!$C$9,
                (U25 = 'Points-Table'!$A$10), 'Points-Table'!$C$10,
                (U25 = 'Points-Table'!$A$11), 'Points-Table'!$C$11,
                (U25 = 'Points-Table'!$A$12), 'Points-Table'!$C$12,
                (U25 = 'Points-Table'!$A$13), 'Points-Table'!$C$13,
                true, 0
              )
            </f>
      </c>
      <c r="W25" s="11">
        <v>3</v>
      </c>
      <c r="X25" s="12">
        <f>
              Ifs(
                (W25 = 'Points-Table'!$A$4), 'Points-Table'!$C$4,
                (W25 = 'Points-Table'!$A$5), 'Points-Table'!$C$5,
                (W25 = 'Points-Table'!$A$6), 'Points-Table'!$C$6,
                (W25 = 'Points-Table'!$A$7), 'Points-Table'!$C$7,
                (W25 = 'Points-Table'!$A$8), 'Points-Table'!$C$8,
                (W25 = 'Points-Table'!$A$9), 'Points-Table'!$C$9,
                (W25 = 'Points-Table'!$A$10), 'Points-Table'!$C$10,
                (W25 = 'Points-Table'!$A$11), 'Points-Table'!$C$11,
                (W25 = 'Points-Table'!$A$12), 'Points-Table'!$C$12,
                (W25 = 'Points-Table'!$A$13), 'Points-Table'!$C$13,
                true, 0
              )
            </f>
      </c>
      <c r="Y25" s="11">
        <v>5</v>
      </c>
      <c r="Z25" s="12">
        <f>
              Ifs(
                (Y25 = 'Points-Table'!$A$4), 'Points-Table'!$C$4,
                (Y25 = 'Points-Table'!$A$5), 'Points-Table'!$C$5,
                (Y25 = 'Points-Table'!$A$6), 'Points-Table'!$C$6,
                (Y25 = 'Points-Table'!$A$7), 'Points-Table'!$C$7,
                (Y25 = 'Points-Table'!$A$8), 'Points-Table'!$C$8,
                (Y25 = 'Points-Table'!$A$9), 'Points-Table'!$C$9,
                (Y25 = 'Points-Table'!$A$10), 'Points-Table'!$C$10,
                (Y25 = 'Points-Table'!$A$11), 'Points-Table'!$C$11,
                (Y25 = 'Points-Table'!$A$12), 'Points-Table'!$C$12,
                (Y25 = 'Points-Table'!$A$13), 'Points-Table'!$C$13,
                true, 0
              )
            </f>
      </c>
      <c r="AA25" s="6">
        <f>SUM(V25,X25,Z25)</f>
      </c>
      <c r="AB25" s="6">
        <f>
      Ifs( 
        ISBETWEEN(AA25, 0, 'Points-Table'!C$20, TRUE, False), 'Points-Table'!A$20,
        ISBETWEEN(AA25, 'Points-Table'!C$20, 'Points-Table'!C$21, TRUE, False), 'Points-Table'!A$21,
        ISBETWEEN(AA25, 'Points-Table'!C$22, 10000, TRUE, TRUE), 'Points-Table'!A$22,
        true, 
        0)
      </f>
      </c>
      <c r="AC25" s="6" t="s">
        <v>56</v>
      </c>
      <c r="AD25" s="6" t="s">
        <v>56</v>
      </c>
      <c r="AE25" s="6" t="s">
        <v>56</v>
      </c>
    </row>
    <row r="26" spans="1:31" s="6" customFormat="1" x14ac:dyDescent="0.25">
      <c r="A26" s="6" t="s">
        <v>103</v>
      </c>
      <c r="B26" s="6" t="s">
        <v>116</v>
      </c>
      <c r="C26" s="6" t="s">
        <v>122</v>
      </c>
      <c r="D26" s="6"/>
      <c r="E26" s="6"/>
      <c r="F26" s="6"/>
      <c r="G26" s="6"/>
      <c r="H26" s="6"/>
      <c r="I26" s="6"/>
      <c r="J26" s="6"/>
      <c r="K26" s="6" t="s">
        <v>84</v>
      </c>
      <c r="L26" s="6" t="s">
        <v>85</v>
      </c>
      <c r="M26" s="6"/>
      <c r="N26" s="6"/>
      <c r="O26" s="6"/>
      <c r="P26" s="6"/>
      <c r="Q26" s="11"/>
      <c r="R26" s="12">
        <f>
              Ifs(
                (Q26 = 'Points-Table'!$A$4), 'Points-Table'!$C$4,
                (Q26 = 'Points-Table'!$A$5), 'Points-Table'!$C$5,
                (Q26 = 'Points-Table'!$A$6), 'Points-Table'!$C$6,
                (Q26 = 'Points-Table'!$A$7), 'Points-Table'!$C$7,
                (Q26 = 'Points-Table'!$A$8), 'Points-Table'!$C$8,
                (Q26 = 'Points-Table'!$A$9), 'Points-Table'!$C$9,
                (Q26 = 'Points-Table'!$A$10), 'Points-Table'!$C$10,
                (Q26 = 'Points-Table'!$A$11), 'Points-Table'!$C$11,
                (Q26 = 'Points-Table'!$A$12), 'Points-Table'!$C$12,
                (Q26 = 'Points-Table'!$A$13), 'Points-Table'!$C$13,
                true, 0
              )
            </f>
      </c>
      <c r="S26" s="11"/>
      <c r="T26" s="12">
        <f>
              Ifs(
                (S26 = 'Points-Table'!$A$4), 'Points-Table'!$C$4,
                (S26 = 'Points-Table'!$A$5), 'Points-Table'!$C$5,
                (S26 = 'Points-Table'!$A$6), 'Points-Table'!$C$6,
                (S26 = 'Points-Table'!$A$7), 'Points-Table'!$C$7,
                (S26 = 'Points-Table'!$A$8), 'Points-Table'!$C$8,
                (S26 = 'Points-Table'!$A$9), 'Points-Table'!$C$9,
                (S26 = 'Points-Table'!$A$10), 'Points-Table'!$C$10,
                (S26 = 'Points-Table'!$A$11), 'Points-Table'!$C$11,
                (S26 = 'Points-Table'!$A$12), 'Points-Table'!$C$12,
                (S26 = 'Points-Table'!$A$13), 'Points-Table'!$C$13,
                true, 0
              )
            </f>
      </c>
      <c r="U26" s="11">
        <v>5</v>
      </c>
      <c r="V26" s="12">
        <f>
              Ifs(
                (U26 = 'Points-Table'!$A$4), 'Points-Table'!$C$4,
                (U26 = 'Points-Table'!$A$5), 'Points-Table'!$C$5,
                (U26 = 'Points-Table'!$A$6), 'Points-Table'!$C$6,
                (U26 = 'Points-Table'!$A$7), 'Points-Table'!$C$7,
                (U26 = 'Points-Table'!$A$8), 'Points-Table'!$C$8,
                (U26 = 'Points-Table'!$A$9), 'Points-Table'!$C$9,
                (U26 = 'Points-Table'!$A$10), 'Points-Table'!$C$10,
                (U26 = 'Points-Table'!$A$11), 'Points-Table'!$C$11,
                (U26 = 'Points-Table'!$A$12), 'Points-Table'!$C$12,
                (U26 = 'Points-Table'!$A$13), 'Points-Table'!$C$13,
                true, 0
              )
            </f>
      </c>
      <c r="W26" s="11">
        <v>2</v>
      </c>
      <c r="X26" s="12">
        <f>
              Ifs(
                (W26 = 'Points-Table'!$A$4), 'Points-Table'!$C$4,
                (W26 = 'Points-Table'!$A$5), 'Points-Table'!$C$5,
                (W26 = 'Points-Table'!$A$6), 'Points-Table'!$C$6,
                (W26 = 'Points-Table'!$A$7), 'Points-Table'!$C$7,
                (W26 = 'Points-Table'!$A$8), 'Points-Table'!$C$8,
                (W26 = 'Points-Table'!$A$9), 'Points-Table'!$C$9,
                (W26 = 'Points-Table'!$A$10), 'Points-Table'!$C$10,
                (W26 = 'Points-Table'!$A$11), 'Points-Table'!$C$11,
                (W26 = 'Points-Table'!$A$12), 'Points-Table'!$C$12,
                (W26 = 'Points-Table'!$A$13), 'Points-Table'!$C$13,
                true, 0
              )
            </f>
      </c>
      <c r="Y26" s="11">
        <v>3</v>
      </c>
      <c r="Z26" s="12">
        <f>
              Ifs(
                (Y26 = 'Points-Table'!$A$4), 'Points-Table'!$C$4,
                (Y26 = 'Points-Table'!$A$5), 'Points-Table'!$C$5,
                (Y26 = 'Points-Table'!$A$6), 'Points-Table'!$C$6,
                (Y26 = 'Points-Table'!$A$7), 'Points-Table'!$C$7,
                (Y26 = 'Points-Table'!$A$8), 'Points-Table'!$C$8,
                (Y26 = 'Points-Table'!$A$9), 'Points-Table'!$C$9,
                (Y26 = 'Points-Table'!$A$10), 'Points-Table'!$C$10,
                (Y26 = 'Points-Table'!$A$11), 'Points-Table'!$C$11,
                (Y26 = 'Points-Table'!$A$12), 'Points-Table'!$C$12,
                (Y26 = 'Points-Table'!$A$13), 'Points-Table'!$C$13,
                true, 0
              )
            </f>
      </c>
      <c r="AA26" s="6">
        <f>SUM(V26,X26,Z26)</f>
      </c>
      <c r="AB26" s="6">
        <f>
      Ifs( 
        ISBETWEEN(AA26, 0, 'Points-Table'!C$20, TRUE, False), 'Points-Table'!A$20,
        ISBETWEEN(AA26, 'Points-Table'!C$20, 'Points-Table'!C$21, TRUE, False), 'Points-Table'!A$21,
        ISBETWEEN(AA26, 'Points-Table'!C$22, 10000, TRUE, TRUE), 'Points-Table'!A$22,
        true, 
        0)
      </f>
      </c>
      <c r="AC26" s="6" t="s">
        <v>56</v>
      </c>
      <c r="AD26" s="6" t="s">
        <v>56</v>
      </c>
      <c r="AE26" s="6" t="s">
        <v>56</v>
      </c>
    </row>
    <row r="27" spans="1:31" s="6" customFormat="1" x14ac:dyDescent="0.25">
      <c r="A27" s="6" t="s">
        <v>103</v>
      </c>
      <c r="B27" s="6" t="s">
        <v>116</v>
      </c>
      <c r="C27" s="6" t="s">
        <v>123</v>
      </c>
      <c r="D27" s="6"/>
      <c r="E27" s="6"/>
      <c r="F27" s="6" t="s">
        <v>124</v>
      </c>
      <c r="G27" s="6"/>
      <c r="H27" s="6"/>
      <c r="I27" s="6"/>
      <c r="J27" s="6"/>
      <c r="K27" s="6" t="s">
        <v>84</v>
      </c>
      <c r="L27" s="6" t="s">
        <v>85</v>
      </c>
      <c r="M27" s="6"/>
      <c r="N27" s="6"/>
      <c r="O27" s="6"/>
      <c r="P27" s="6"/>
      <c r="Q27" s="11"/>
      <c r="R27" s="12">
        <f>
              Ifs(
                (Q27 = 'Points-Table'!$A$4), 'Points-Table'!$C$4,
                (Q27 = 'Points-Table'!$A$5), 'Points-Table'!$C$5,
                (Q27 = 'Points-Table'!$A$6), 'Points-Table'!$C$6,
                (Q27 = 'Points-Table'!$A$7), 'Points-Table'!$C$7,
                (Q27 = 'Points-Table'!$A$8), 'Points-Table'!$C$8,
                (Q27 = 'Points-Table'!$A$9), 'Points-Table'!$C$9,
                (Q27 = 'Points-Table'!$A$10), 'Points-Table'!$C$10,
                (Q27 = 'Points-Table'!$A$11), 'Points-Table'!$C$11,
                (Q27 = 'Points-Table'!$A$12), 'Points-Table'!$C$12,
                (Q27 = 'Points-Table'!$A$13), 'Points-Table'!$C$13,
                true, 0
              )
            </f>
      </c>
      <c r="S27" s="11"/>
      <c r="T27" s="12">
        <f>
              Ifs(
                (S27 = 'Points-Table'!$A$4), 'Points-Table'!$C$4,
                (S27 = 'Points-Table'!$A$5), 'Points-Table'!$C$5,
                (S27 = 'Points-Table'!$A$6), 'Points-Table'!$C$6,
                (S27 = 'Points-Table'!$A$7), 'Points-Table'!$C$7,
                (S27 = 'Points-Table'!$A$8), 'Points-Table'!$C$8,
                (S27 = 'Points-Table'!$A$9), 'Points-Table'!$C$9,
                (S27 = 'Points-Table'!$A$10), 'Points-Table'!$C$10,
                (S27 = 'Points-Table'!$A$11), 'Points-Table'!$C$11,
                (S27 = 'Points-Table'!$A$12), 'Points-Table'!$C$12,
                (S27 = 'Points-Table'!$A$13), 'Points-Table'!$C$13,
                true, 0
              )
            </f>
      </c>
      <c r="U27" s="11">
        <v>5</v>
      </c>
      <c r="V27" s="12">
        <f>
              Ifs(
                (U27 = 'Points-Table'!$A$4), 'Points-Table'!$C$4,
                (U27 = 'Points-Table'!$A$5), 'Points-Table'!$C$5,
                (U27 = 'Points-Table'!$A$6), 'Points-Table'!$C$6,
                (U27 = 'Points-Table'!$A$7), 'Points-Table'!$C$7,
                (U27 = 'Points-Table'!$A$8), 'Points-Table'!$C$8,
                (U27 = 'Points-Table'!$A$9), 'Points-Table'!$C$9,
                (U27 = 'Points-Table'!$A$10), 'Points-Table'!$C$10,
                (U27 = 'Points-Table'!$A$11), 'Points-Table'!$C$11,
                (U27 = 'Points-Table'!$A$12), 'Points-Table'!$C$12,
                (U27 = 'Points-Table'!$A$13), 'Points-Table'!$C$13,
                true, 0
              )
            </f>
      </c>
      <c r="W27" s="11">
        <v>3</v>
      </c>
      <c r="X27" s="12">
        <f>
              Ifs(
                (W27 = 'Points-Table'!$A$4), 'Points-Table'!$C$4,
                (W27 = 'Points-Table'!$A$5), 'Points-Table'!$C$5,
                (W27 = 'Points-Table'!$A$6), 'Points-Table'!$C$6,
                (W27 = 'Points-Table'!$A$7), 'Points-Table'!$C$7,
                (W27 = 'Points-Table'!$A$8), 'Points-Table'!$C$8,
                (W27 = 'Points-Table'!$A$9), 'Points-Table'!$C$9,
                (W27 = 'Points-Table'!$A$10), 'Points-Table'!$C$10,
                (W27 = 'Points-Table'!$A$11), 'Points-Table'!$C$11,
                (W27 = 'Points-Table'!$A$12), 'Points-Table'!$C$12,
                (W27 = 'Points-Table'!$A$13), 'Points-Table'!$C$13,
                true, 0
              )
            </f>
      </c>
      <c r="Y27" s="11">
        <v>8</v>
      </c>
      <c r="Z27" s="12">
        <f>
              Ifs(
                (Y27 = 'Points-Table'!$A$4), 'Points-Table'!$C$4,
                (Y27 = 'Points-Table'!$A$5), 'Points-Table'!$C$5,
                (Y27 = 'Points-Table'!$A$6), 'Points-Table'!$C$6,
                (Y27 = 'Points-Table'!$A$7), 'Points-Table'!$C$7,
                (Y27 = 'Points-Table'!$A$8), 'Points-Table'!$C$8,
                (Y27 = 'Points-Table'!$A$9), 'Points-Table'!$C$9,
                (Y27 = 'Points-Table'!$A$10), 'Points-Table'!$C$10,
                (Y27 = 'Points-Table'!$A$11), 'Points-Table'!$C$11,
                (Y27 = 'Points-Table'!$A$12), 'Points-Table'!$C$12,
                (Y27 = 'Points-Table'!$A$13), 'Points-Table'!$C$13,
                true, 0
              )
            </f>
      </c>
      <c r="AA27" s="6">
        <f>SUM(V27,X27,Z27)</f>
      </c>
      <c r="AB27" s="6">
        <f>
      Ifs( 
        ISBETWEEN(AA27, 0, 'Points-Table'!C$20, TRUE, False), 'Points-Table'!A$20,
        ISBETWEEN(AA27, 'Points-Table'!C$20, 'Points-Table'!C$21, TRUE, False), 'Points-Table'!A$21,
        ISBETWEEN(AA27, 'Points-Table'!C$22, 10000, TRUE, TRUE), 'Points-Table'!A$22,
        true, 
        0)
      </f>
      </c>
      <c r="AC27" s="6" t="s">
        <v>56</v>
      </c>
      <c r="AD27" s="6" t="s">
        <v>56</v>
      </c>
      <c r="AE27" s="6" t="s">
        <v>56</v>
      </c>
    </row>
    <row r="28" spans="1:31" s="6" customFormat="1" x14ac:dyDescent="0.25">
      <c r="A28" s="6" t="s">
        <v>103</v>
      </c>
      <c r="B28" s="6" t="s">
        <v>116</v>
      </c>
      <c r="C28" s="6" t="s">
        <v>125</v>
      </c>
      <c r="D28" s="6" t="s">
        <v>126</v>
      </c>
      <c r="E28" s="6"/>
      <c r="F28" s="6" t="s">
        <v>127</v>
      </c>
      <c r="G28" s="6"/>
      <c r="H28" s="6"/>
      <c r="I28" s="6"/>
      <c r="J28" s="6"/>
      <c r="K28" s="6" t="s">
        <v>84</v>
      </c>
      <c r="L28" s="6" t="s">
        <v>85</v>
      </c>
      <c r="M28" s="6"/>
      <c r="N28" s="6"/>
      <c r="O28" s="6"/>
      <c r="P28" s="6"/>
      <c r="Q28" s="11"/>
      <c r="R28" s="12">
        <f>
              Ifs(
                (Q28 = 'Points-Table'!$A$4), 'Points-Table'!$C$4,
                (Q28 = 'Points-Table'!$A$5), 'Points-Table'!$C$5,
                (Q28 = 'Points-Table'!$A$6), 'Points-Table'!$C$6,
                (Q28 = 'Points-Table'!$A$7), 'Points-Table'!$C$7,
                (Q28 = 'Points-Table'!$A$8), 'Points-Table'!$C$8,
                (Q28 = 'Points-Table'!$A$9), 'Points-Table'!$C$9,
                (Q28 = 'Points-Table'!$A$10), 'Points-Table'!$C$10,
                (Q28 = 'Points-Table'!$A$11), 'Points-Table'!$C$11,
                (Q28 = 'Points-Table'!$A$12), 'Points-Table'!$C$12,
                (Q28 = 'Points-Table'!$A$13), 'Points-Table'!$C$13,
                true, 0
              )
            </f>
      </c>
      <c r="S28" s="11"/>
      <c r="T28" s="12">
        <f>
              Ifs(
                (S28 = 'Points-Table'!$A$4), 'Points-Table'!$C$4,
                (S28 = 'Points-Table'!$A$5), 'Points-Table'!$C$5,
                (S28 = 'Points-Table'!$A$6), 'Points-Table'!$C$6,
                (S28 = 'Points-Table'!$A$7), 'Points-Table'!$C$7,
                (S28 = 'Points-Table'!$A$8), 'Points-Table'!$C$8,
                (S28 = 'Points-Table'!$A$9), 'Points-Table'!$C$9,
                (S28 = 'Points-Table'!$A$10), 'Points-Table'!$C$10,
                (S28 = 'Points-Table'!$A$11), 'Points-Table'!$C$11,
                (S28 = 'Points-Table'!$A$12), 'Points-Table'!$C$12,
                (S28 = 'Points-Table'!$A$13), 'Points-Table'!$C$13,
                true, 0
              )
            </f>
      </c>
      <c r="U28" s="11">
        <v>0</v>
      </c>
      <c r="V28" s="12">
        <f>
              Ifs(
                (U28 = 'Points-Table'!$A$4), 'Points-Table'!$C$4,
                (U28 = 'Points-Table'!$A$5), 'Points-Table'!$C$5,
                (U28 = 'Points-Table'!$A$6), 'Points-Table'!$C$6,
                (U28 = 'Points-Table'!$A$7), 'Points-Table'!$C$7,
                (U28 = 'Points-Table'!$A$8), 'Points-Table'!$C$8,
                (U28 = 'Points-Table'!$A$9), 'Points-Table'!$C$9,
                (U28 = 'Points-Table'!$A$10), 'Points-Table'!$C$10,
                (U28 = 'Points-Table'!$A$11), 'Points-Table'!$C$11,
                (U28 = 'Points-Table'!$A$12), 'Points-Table'!$C$12,
                (U28 = 'Points-Table'!$A$13), 'Points-Table'!$C$13,
                true, 0
              )
            </f>
      </c>
      <c r="W28" s="11">
        <v>0</v>
      </c>
      <c r="X28" s="12">
        <f>
              Ifs(
                (W28 = 'Points-Table'!$A$4), 'Points-Table'!$C$4,
                (W28 = 'Points-Table'!$A$5), 'Points-Table'!$C$5,
                (W28 = 'Points-Table'!$A$6), 'Points-Table'!$C$6,
                (W28 = 'Points-Table'!$A$7), 'Points-Table'!$C$7,
                (W28 = 'Points-Table'!$A$8), 'Points-Table'!$C$8,
                (W28 = 'Points-Table'!$A$9), 'Points-Table'!$C$9,
                (W28 = 'Points-Table'!$A$10), 'Points-Table'!$C$10,
                (W28 = 'Points-Table'!$A$11), 'Points-Table'!$C$11,
                (W28 = 'Points-Table'!$A$12), 'Points-Table'!$C$12,
                (W28 = 'Points-Table'!$A$13), 'Points-Table'!$C$13,
                true, 0
              )
            </f>
      </c>
      <c r="Y28" s="11">
        <v>0</v>
      </c>
      <c r="Z28" s="12">
        <f>
              Ifs(
                (Y28 = 'Points-Table'!$A$4), 'Points-Table'!$C$4,
                (Y28 = 'Points-Table'!$A$5), 'Points-Table'!$C$5,
                (Y28 = 'Points-Table'!$A$6), 'Points-Table'!$C$6,
                (Y28 = 'Points-Table'!$A$7), 'Points-Table'!$C$7,
                (Y28 = 'Points-Table'!$A$8), 'Points-Table'!$C$8,
                (Y28 = 'Points-Table'!$A$9), 'Points-Table'!$C$9,
                (Y28 = 'Points-Table'!$A$10), 'Points-Table'!$C$10,
                (Y28 = 'Points-Table'!$A$11), 'Points-Table'!$C$11,
                (Y28 = 'Points-Table'!$A$12), 'Points-Table'!$C$12,
                (Y28 = 'Points-Table'!$A$13), 'Points-Table'!$C$13,
                true, 0
              )
            </f>
      </c>
      <c r="AA28" s="6">
        <f>SUM(V28,X28,Z28)</f>
      </c>
      <c r="AB28" s="6">
        <f>
      Ifs( 
        ISBETWEEN(AA28, 0, 'Points-Table'!C$20, TRUE, False), 'Points-Table'!A$20,
        ISBETWEEN(AA28, 'Points-Table'!C$20, 'Points-Table'!C$21, TRUE, False), 'Points-Table'!A$21,
        ISBETWEEN(AA28, 'Points-Table'!C$22, 10000, TRUE, TRUE), 'Points-Table'!A$22,
        true, 
        0)
      </f>
      </c>
      <c r="AC28" s="6" t="s">
        <v>56</v>
      </c>
      <c r="AD28" s="6" t="s">
        <v>56</v>
      </c>
      <c r="AE28" s="6" t="s">
        <v>56</v>
      </c>
    </row>
    <row r="29" spans="1:31" s="13" customFormat="1" x14ac:dyDescent="0.25">
      <c r="A29" s="13" t="s">
        <v>103</v>
      </c>
      <c r="B29" s="13" t="s">
        <v>116</v>
      </c>
      <c r="C29" s="13" t="s">
        <v>128</v>
      </c>
      <c r="D29" s="13"/>
      <c r="E29" s="13"/>
      <c r="F29" s="13"/>
      <c r="G29" s="13"/>
      <c r="H29" s="13"/>
      <c r="I29" s="13"/>
      <c r="J29" s="13"/>
      <c r="K29" s="13" t="s">
        <v>84</v>
      </c>
      <c r="L29" s="13" t="s">
        <v>85</v>
      </c>
      <c r="M29" s="13"/>
      <c r="N29" s="13"/>
      <c r="O29" s="13"/>
      <c r="P29" s="13"/>
      <c r="Q29" s="13">
        <v>1</v>
      </c>
      <c r="R29" s="13">
        <f>
              Ifs(
                (Q29 = 'Points-Table'!$A$4), 'Points-Table'!$C$4,
                (Q29 = 'Points-Table'!$A$5), 'Points-Table'!$C$5,
                (Q29 = 'Points-Table'!$A$6), 'Points-Table'!$C$6,
                (Q29 = 'Points-Table'!$A$7), 'Points-Table'!$C$7,
                (Q29 = 'Points-Table'!$A$8), 'Points-Table'!$C$8,
                (Q29 = 'Points-Table'!$A$9), 'Points-Table'!$C$9,
                (Q29 = 'Points-Table'!$A$10), 'Points-Table'!$C$10,
                (Q29 = 'Points-Table'!$A$11), 'Points-Table'!$C$11,
                (Q29 = 'Points-Table'!$A$12), 'Points-Table'!$C$12,
                (Q29 = 'Points-Table'!$A$13), 'Points-Table'!$C$13,
                true, 0
              )
            </f>
      </c>
      <c r="S29" s="13">
        <v>1</v>
      </c>
      <c r="T29" s="13">
        <f>
              Ifs(
                (S29 = 'Points-Table'!$A$4), 'Points-Table'!$C$4,
                (S29 = 'Points-Table'!$A$5), 'Points-Table'!$C$5,
                (S29 = 'Points-Table'!$A$6), 'Points-Table'!$C$6,
                (S29 = 'Points-Table'!$A$7), 'Points-Table'!$C$7,
                (S29 = 'Points-Table'!$A$8), 'Points-Table'!$C$8,
                (S29 = 'Points-Table'!$A$9), 'Points-Table'!$C$9,
                (S29 = 'Points-Table'!$A$10), 'Points-Table'!$C$10,
                (S29 = 'Points-Table'!$A$11), 'Points-Table'!$C$11,
                (S29 = 'Points-Table'!$A$12), 'Points-Table'!$C$12,
                (S29 = 'Points-Table'!$A$13), 'Points-Table'!$C$13,
                true, 0
              )
            </f>
      </c>
      <c r="U29" s="13">
        <v>5</v>
      </c>
      <c r="V29" s="13">
        <f>
              Ifs(
                (U29 = 'Points-Table'!$A$4), 'Points-Table'!$C$4,
                (U29 = 'Points-Table'!$A$5), 'Points-Table'!$C$5,
                (U29 = 'Points-Table'!$A$6), 'Points-Table'!$C$6,
                (U29 = 'Points-Table'!$A$7), 'Points-Table'!$C$7,
                (U29 = 'Points-Table'!$A$8), 'Points-Table'!$C$8,
                (U29 = 'Points-Table'!$A$9), 'Points-Table'!$C$9,
                (U29 = 'Points-Table'!$A$10), 'Points-Table'!$C$10,
                (U29 = 'Points-Table'!$A$11), 'Points-Table'!$C$11,
                (U29 = 'Points-Table'!$A$12), 'Points-Table'!$C$12,
                (U29 = 'Points-Table'!$A$13), 'Points-Table'!$C$13,
                true, 0
              )
            </f>
      </c>
      <c r="W29" s="13">
        <v>0</v>
      </c>
      <c r="X29" s="13">
        <f>
              Ifs(
                (W29 = 'Points-Table'!$A$4), 'Points-Table'!$C$4,
                (W29 = 'Points-Table'!$A$5), 'Points-Table'!$C$5,
                (W29 = 'Points-Table'!$A$6), 'Points-Table'!$C$6,
                (W29 = 'Points-Table'!$A$7), 'Points-Table'!$C$7,
                (W29 = 'Points-Table'!$A$8), 'Points-Table'!$C$8,
                (W29 = 'Points-Table'!$A$9), 'Points-Table'!$C$9,
                (W29 = 'Points-Table'!$A$10), 'Points-Table'!$C$10,
                (W29 = 'Points-Table'!$A$11), 'Points-Table'!$C$11,
                (W29 = 'Points-Table'!$A$12), 'Points-Table'!$C$12,
                (W29 = 'Points-Table'!$A$13), 'Points-Table'!$C$13,
                true, 0
              )
            </f>
      </c>
      <c r="Y29" s="13">
        <v>0</v>
      </c>
      <c r="Z29" s="13">
        <f>
              Ifs(
                (Y29 = 'Points-Table'!$A$4), 'Points-Table'!$C$4,
                (Y29 = 'Points-Table'!$A$5), 'Points-Table'!$C$5,
                (Y29 = 'Points-Table'!$A$6), 'Points-Table'!$C$6,
                (Y29 = 'Points-Table'!$A$7), 'Points-Table'!$C$7,
                (Y29 = 'Points-Table'!$A$8), 'Points-Table'!$C$8,
                (Y29 = 'Points-Table'!$A$9), 'Points-Table'!$C$9,
                (Y29 = 'Points-Table'!$A$10), 'Points-Table'!$C$10,
                (Y29 = 'Points-Table'!$A$11), 'Points-Table'!$C$11,
                (Y29 = 'Points-Table'!$A$12), 'Points-Table'!$C$12,
                (Y29 = 'Points-Table'!$A$13), 'Points-Table'!$C$13,
                true, 0
              )
            </f>
      </c>
      <c r="AA29" s="13">
        <f>SUM(V29,X29,Z29)</f>
      </c>
      <c r="AB29" s="13">
        <f>
      Ifs( 
        ISBETWEEN(AA29, 0, 'Points-Table'!C$20, TRUE, False), 'Points-Table'!A$20,
        ISBETWEEN(AA29, 'Points-Table'!C$20, 'Points-Table'!C$21, TRUE, False), 'Points-Table'!A$21,
        ISBETWEEN(AA29, 'Points-Table'!C$22, 10000, TRUE, TRUE), 'Points-Table'!A$22,
        true, 
        0)
      </f>
      </c>
      <c r="AC29" s="13" t="s">
        <v>56</v>
      </c>
      <c r="AD29" s="13" t="s">
        <v>56</v>
      </c>
      <c r="AE29" s="13" t="s">
        <v>56</v>
      </c>
    </row>
    <row r="30" spans="1:31" s="6" customFormat="1" x14ac:dyDescent="0.25">
      <c r="A30" s="6" t="s">
        <v>103</v>
      </c>
      <c r="B30" s="6" t="s">
        <v>129</v>
      </c>
      <c r="C30" s="6" t="s">
        <v>104</v>
      </c>
      <c r="D30" s="6"/>
      <c r="E30" s="6"/>
      <c r="F30" s="6"/>
      <c r="G30" s="6"/>
      <c r="H30" s="6"/>
      <c r="I30" s="6"/>
      <c r="J30" s="6"/>
      <c r="K30" s="6" t="s">
        <v>84</v>
      </c>
      <c r="L30" s="6" t="s">
        <v>85</v>
      </c>
      <c r="M30" s="6"/>
      <c r="N30" s="6"/>
      <c r="O30" s="6"/>
      <c r="P30" s="6"/>
      <c r="Q30" s="11"/>
      <c r="R30" s="12">
        <f>
              Ifs(
                (Q30 = 'Points-Table'!$A$4), 'Points-Table'!$C$4,
                (Q30 = 'Points-Table'!$A$5), 'Points-Table'!$C$5,
                (Q30 = 'Points-Table'!$A$6), 'Points-Table'!$C$6,
                (Q30 = 'Points-Table'!$A$7), 'Points-Table'!$C$7,
                (Q30 = 'Points-Table'!$A$8), 'Points-Table'!$C$8,
                (Q30 = 'Points-Table'!$A$9), 'Points-Table'!$C$9,
                (Q30 = 'Points-Table'!$A$10), 'Points-Table'!$C$10,
                (Q30 = 'Points-Table'!$A$11), 'Points-Table'!$C$11,
                (Q30 = 'Points-Table'!$A$12), 'Points-Table'!$C$12,
                (Q30 = 'Points-Table'!$A$13), 'Points-Table'!$C$13,
                true, 0
              )
            </f>
      </c>
      <c r="S30" s="11"/>
      <c r="T30" s="12">
        <f>
              Ifs(
                (S30 = 'Points-Table'!$A$4), 'Points-Table'!$C$4,
                (S30 = 'Points-Table'!$A$5), 'Points-Table'!$C$5,
                (S30 = 'Points-Table'!$A$6), 'Points-Table'!$C$6,
                (S30 = 'Points-Table'!$A$7), 'Points-Table'!$C$7,
                (S30 = 'Points-Table'!$A$8), 'Points-Table'!$C$8,
                (S30 = 'Points-Table'!$A$9), 'Points-Table'!$C$9,
                (S30 = 'Points-Table'!$A$10), 'Points-Table'!$C$10,
                (S30 = 'Points-Table'!$A$11), 'Points-Table'!$C$11,
                (S30 = 'Points-Table'!$A$12), 'Points-Table'!$C$12,
                (S30 = 'Points-Table'!$A$13), 'Points-Table'!$C$13,
                true, 0
              )
            </f>
      </c>
      <c r="U30" s="11">
        <v>2</v>
      </c>
      <c r="V30" s="12">
        <f>
              Ifs(
                (U30 = 'Points-Table'!$A$4), 'Points-Table'!$C$4,
                (U30 = 'Points-Table'!$A$5), 'Points-Table'!$C$5,
                (U30 = 'Points-Table'!$A$6), 'Points-Table'!$C$6,
                (U30 = 'Points-Table'!$A$7), 'Points-Table'!$C$7,
                (U30 = 'Points-Table'!$A$8), 'Points-Table'!$C$8,
                (U30 = 'Points-Table'!$A$9), 'Points-Table'!$C$9,
                (U30 = 'Points-Table'!$A$10), 'Points-Table'!$C$10,
                (U30 = 'Points-Table'!$A$11), 'Points-Table'!$C$11,
                (U30 = 'Points-Table'!$A$12), 'Points-Table'!$C$12,
                (U30 = 'Points-Table'!$A$13), 'Points-Table'!$C$13,
                true, 0
              )
            </f>
      </c>
      <c r="W30" s="11">
        <v>2</v>
      </c>
      <c r="X30" s="12">
        <f>
              Ifs(
                (W30 = 'Points-Table'!$A$4), 'Points-Table'!$C$4,
                (W30 = 'Points-Table'!$A$5), 'Points-Table'!$C$5,
                (W30 = 'Points-Table'!$A$6), 'Points-Table'!$C$6,
                (W30 = 'Points-Table'!$A$7), 'Points-Table'!$C$7,
                (W30 = 'Points-Table'!$A$8), 'Points-Table'!$C$8,
                (W30 = 'Points-Table'!$A$9), 'Points-Table'!$C$9,
                (W30 = 'Points-Table'!$A$10), 'Points-Table'!$C$10,
                (W30 = 'Points-Table'!$A$11), 'Points-Table'!$C$11,
                (W30 = 'Points-Table'!$A$12), 'Points-Table'!$C$12,
                (W30 = 'Points-Table'!$A$13), 'Points-Table'!$C$13,
                true, 0
              )
            </f>
      </c>
      <c r="Y30" s="11">
        <v>3</v>
      </c>
      <c r="Z30" s="12">
        <f>
              Ifs(
                (Y30 = 'Points-Table'!$A$4), 'Points-Table'!$C$4,
                (Y30 = 'Points-Table'!$A$5), 'Points-Table'!$C$5,
                (Y30 = 'Points-Table'!$A$6), 'Points-Table'!$C$6,
                (Y30 = 'Points-Table'!$A$7), 'Points-Table'!$C$7,
                (Y30 = 'Points-Table'!$A$8), 'Points-Table'!$C$8,
                (Y30 = 'Points-Table'!$A$9), 'Points-Table'!$C$9,
                (Y30 = 'Points-Table'!$A$10), 'Points-Table'!$C$10,
                (Y30 = 'Points-Table'!$A$11), 'Points-Table'!$C$11,
                (Y30 = 'Points-Table'!$A$12), 'Points-Table'!$C$12,
                (Y30 = 'Points-Table'!$A$13), 'Points-Table'!$C$13,
                true, 0
              )
            </f>
      </c>
      <c r="AA30" s="6">
        <f>SUM(V30,X30,Z30)</f>
      </c>
      <c r="AB30" s="6">
        <f>
      Ifs( 
        ISBETWEEN(AA30, 0, 'Points-Table'!C$20, TRUE, False), 'Points-Table'!A$20,
        ISBETWEEN(AA30, 'Points-Table'!C$20, 'Points-Table'!C$21, TRUE, False), 'Points-Table'!A$21,
        ISBETWEEN(AA30, 'Points-Table'!C$22, 10000, TRUE, TRUE), 'Points-Table'!A$22,
        true, 
        0)
      </f>
      </c>
      <c r="AC30" s="6" t="s">
        <v>56</v>
      </c>
      <c r="AD30" s="6" t="s">
        <v>56</v>
      </c>
      <c r="AE30" s="6" t="s">
        <v>56</v>
      </c>
    </row>
    <row r="31" spans="1:31" s="6" customFormat="1" x14ac:dyDescent="0.25">
      <c r="A31" s="6" t="s">
        <v>103</v>
      </c>
      <c r="B31" s="6" t="s">
        <v>129</v>
      </c>
      <c r="C31" s="6" t="s">
        <v>130</v>
      </c>
      <c r="D31" s="6"/>
      <c r="E31" s="6"/>
      <c r="F31" s="6"/>
      <c r="G31" s="6"/>
      <c r="H31" s="6"/>
      <c r="I31" s="6"/>
      <c r="J31" s="6"/>
      <c r="K31" s="6" t="s">
        <v>84</v>
      </c>
      <c r="L31" s="6" t="s">
        <v>85</v>
      </c>
      <c r="M31" s="6"/>
      <c r="N31" s="6"/>
      <c r="O31" s="6"/>
      <c r="P31" s="6"/>
      <c r="Q31" s="11"/>
      <c r="R31" s="12">
        <f>
              Ifs(
                (Q31 = 'Points-Table'!$A$4), 'Points-Table'!$C$4,
                (Q31 = 'Points-Table'!$A$5), 'Points-Table'!$C$5,
                (Q31 = 'Points-Table'!$A$6), 'Points-Table'!$C$6,
                (Q31 = 'Points-Table'!$A$7), 'Points-Table'!$C$7,
                (Q31 = 'Points-Table'!$A$8), 'Points-Table'!$C$8,
                (Q31 = 'Points-Table'!$A$9), 'Points-Table'!$C$9,
                (Q31 = 'Points-Table'!$A$10), 'Points-Table'!$C$10,
                (Q31 = 'Points-Table'!$A$11), 'Points-Table'!$C$11,
                (Q31 = 'Points-Table'!$A$12), 'Points-Table'!$C$12,
                (Q31 = 'Points-Table'!$A$13), 'Points-Table'!$C$13,
                true, 0
              )
            </f>
      </c>
      <c r="S31" s="11"/>
      <c r="T31" s="12">
        <f>
              Ifs(
                (S31 = 'Points-Table'!$A$4), 'Points-Table'!$C$4,
                (S31 = 'Points-Table'!$A$5), 'Points-Table'!$C$5,
                (S31 = 'Points-Table'!$A$6), 'Points-Table'!$C$6,
                (S31 = 'Points-Table'!$A$7), 'Points-Table'!$C$7,
                (S31 = 'Points-Table'!$A$8), 'Points-Table'!$C$8,
                (S31 = 'Points-Table'!$A$9), 'Points-Table'!$C$9,
                (S31 = 'Points-Table'!$A$10), 'Points-Table'!$C$10,
                (S31 = 'Points-Table'!$A$11), 'Points-Table'!$C$11,
                (S31 = 'Points-Table'!$A$12), 'Points-Table'!$C$12,
                (S31 = 'Points-Table'!$A$13), 'Points-Table'!$C$13,
                true, 0
              )
            </f>
      </c>
      <c r="U31" s="11">
        <v>2</v>
      </c>
      <c r="V31" s="12">
        <f>
              Ifs(
                (U31 = 'Points-Table'!$A$4), 'Points-Table'!$C$4,
                (U31 = 'Points-Table'!$A$5), 'Points-Table'!$C$5,
                (U31 = 'Points-Table'!$A$6), 'Points-Table'!$C$6,
                (U31 = 'Points-Table'!$A$7), 'Points-Table'!$C$7,
                (U31 = 'Points-Table'!$A$8), 'Points-Table'!$C$8,
                (U31 = 'Points-Table'!$A$9), 'Points-Table'!$C$9,
                (U31 = 'Points-Table'!$A$10), 'Points-Table'!$C$10,
                (U31 = 'Points-Table'!$A$11), 'Points-Table'!$C$11,
                (U31 = 'Points-Table'!$A$12), 'Points-Table'!$C$12,
                (U31 = 'Points-Table'!$A$13), 'Points-Table'!$C$13,
                true, 0
              )
            </f>
      </c>
      <c r="W31" s="11">
        <v>2</v>
      </c>
      <c r="X31" s="12">
        <f>
              Ifs(
                (W31 = 'Points-Table'!$A$4), 'Points-Table'!$C$4,
                (W31 = 'Points-Table'!$A$5), 'Points-Table'!$C$5,
                (W31 = 'Points-Table'!$A$6), 'Points-Table'!$C$6,
                (W31 = 'Points-Table'!$A$7), 'Points-Table'!$C$7,
                (W31 = 'Points-Table'!$A$8), 'Points-Table'!$C$8,
                (W31 = 'Points-Table'!$A$9), 'Points-Table'!$C$9,
                (W31 = 'Points-Table'!$A$10), 'Points-Table'!$C$10,
                (W31 = 'Points-Table'!$A$11), 'Points-Table'!$C$11,
                (W31 = 'Points-Table'!$A$12), 'Points-Table'!$C$12,
                (W31 = 'Points-Table'!$A$13), 'Points-Table'!$C$13,
                true, 0
              )
            </f>
      </c>
      <c r="Y31" s="11">
        <v>3</v>
      </c>
      <c r="Z31" s="12">
        <f>
              Ifs(
                (Y31 = 'Points-Table'!$A$4), 'Points-Table'!$C$4,
                (Y31 = 'Points-Table'!$A$5), 'Points-Table'!$C$5,
                (Y31 = 'Points-Table'!$A$6), 'Points-Table'!$C$6,
                (Y31 = 'Points-Table'!$A$7), 'Points-Table'!$C$7,
                (Y31 = 'Points-Table'!$A$8), 'Points-Table'!$C$8,
                (Y31 = 'Points-Table'!$A$9), 'Points-Table'!$C$9,
                (Y31 = 'Points-Table'!$A$10), 'Points-Table'!$C$10,
                (Y31 = 'Points-Table'!$A$11), 'Points-Table'!$C$11,
                (Y31 = 'Points-Table'!$A$12), 'Points-Table'!$C$12,
                (Y31 = 'Points-Table'!$A$13), 'Points-Table'!$C$13,
                true, 0
              )
            </f>
      </c>
      <c r="AA31" s="6">
        <f>SUM(V31,X31,Z31)</f>
      </c>
      <c r="AB31" s="6">
        <f>
      Ifs( 
        ISBETWEEN(AA31, 0, 'Points-Table'!C$20, TRUE, False), 'Points-Table'!A$20,
        ISBETWEEN(AA31, 'Points-Table'!C$20, 'Points-Table'!C$21, TRUE, False), 'Points-Table'!A$21,
        ISBETWEEN(AA31, 'Points-Table'!C$22, 10000, TRUE, TRUE), 'Points-Table'!A$22,
        true, 
        0)
      </f>
      </c>
      <c r="AC31" s="6" t="s">
        <v>56</v>
      </c>
      <c r="AD31" s="6" t="s">
        <v>56</v>
      </c>
      <c r="AE31" s="6" t="s">
        <v>56</v>
      </c>
    </row>
    <row r="32" spans="1:31" s="6" customFormat="1" x14ac:dyDescent="0.25">
      <c r="A32" s="6" t="s">
        <v>103</v>
      </c>
      <c r="B32" s="6" t="s">
        <v>129</v>
      </c>
      <c r="C32" s="6" t="s">
        <v>131</v>
      </c>
      <c r="D32" s="6"/>
      <c r="E32" s="6"/>
      <c r="F32" s="6"/>
      <c r="G32" s="6"/>
      <c r="H32" s="6"/>
      <c r="I32" s="6"/>
      <c r="J32" s="6"/>
      <c r="K32" s="6" t="s">
        <v>84</v>
      </c>
      <c r="L32" s="6" t="s">
        <v>85</v>
      </c>
      <c r="M32" s="6"/>
      <c r="N32" s="6"/>
      <c r="O32" s="6"/>
      <c r="P32" s="6"/>
      <c r="Q32" s="11"/>
      <c r="R32" s="12">
        <f>
              Ifs(
                (Q32 = 'Points-Table'!$A$4), 'Points-Table'!$C$4,
                (Q32 = 'Points-Table'!$A$5), 'Points-Table'!$C$5,
                (Q32 = 'Points-Table'!$A$6), 'Points-Table'!$C$6,
                (Q32 = 'Points-Table'!$A$7), 'Points-Table'!$C$7,
                (Q32 = 'Points-Table'!$A$8), 'Points-Table'!$C$8,
                (Q32 = 'Points-Table'!$A$9), 'Points-Table'!$C$9,
                (Q32 = 'Points-Table'!$A$10), 'Points-Table'!$C$10,
                (Q32 = 'Points-Table'!$A$11), 'Points-Table'!$C$11,
                (Q32 = 'Points-Table'!$A$12), 'Points-Table'!$C$12,
                (Q32 = 'Points-Table'!$A$13), 'Points-Table'!$C$13,
                true, 0
              )
            </f>
      </c>
      <c r="S32" s="11"/>
      <c r="T32" s="12">
        <f>
              Ifs(
                (S32 = 'Points-Table'!$A$4), 'Points-Table'!$C$4,
                (S32 = 'Points-Table'!$A$5), 'Points-Table'!$C$5,
                (S32 = 'Points-Table'!$A$6), 'Points-Table'!$C$6,
                (S32 = 'Points-Table'!$A$7), 'Points-Table'!$C$7,
                (S32 = 'Points-Table'!$A$8), 'Points-Table'!$C$8,
                (S32 = 'Points-Table'!$A$9), 'Points-Table'!$C$9,
                (S32 = 'Points-Table'!$A$10), 'Points-Table'!$C$10,
                (S32 = 'Points-Table'!$A$11), 'Points-Table'!$C$11,
                (S32 = 'Points-Table'!$A$12), 'Points-Table'!$C$12,
                (S32 = 'Points-Table'!$A$13), 'Points-Table'!$C$13,
                true, 0
              )
            </f>
      </c>
      <c r="U32" s="11">
        <v>8</v>
      </c>
      <c r="V32" s="12">
        <f>
              Ifs(
                (U32 = 'Points-Table'!$A$4), 'Points-Table'!$C$4,
                (U32 = 'Points-Table'!$A$5), 'Points-Table'!$C$5,
                (U32 = 'Points-Table'!$A$6), 'Points-Table'!$C$6,
                (U32 = 'Points-Table'!$A$7), 'Points-Table'!$C$7,
                (U32 = 'Points-Table'!$A$8), 'Points-Table'!$C$8,
                (U32 = 'Points-Table'!$A$9), 'Points-Table'!$C$9,
                (U32 = 'Points-Table'!$A$10), 'Points-Table'!$C$10,
                (U32 = 'Points-Table'!$A$11), 'Points-Table'!$C$11,
                (U32 = 'Points-Table'!$A$12), 'Points-Table'!$C$12,
                (U32 = 'Points-Table'!$A$13), 'Points-Table'!$C$13,
                true, 0
              )
            </f>
      </c>
      <c r="W32" s="11">
        <v>2</v>
      </c>
      <c r="X32" s="12">
        <f>
              Ifs(
                (W32 = 'Points-Table'!$A$4), 'Points-Table'!$C$4,
                (W32 = 'Points-Table'!$A$5), 'Points-Table'!$C$5,
                (W32 = 'Points-Table'!$A$6), 'Points-Table'!$C$6,
                (W32 = 'Points-Table'!$A$7), 'Points-Table'!$C$7,
                (W32 = 'Points-Table'!$A$8), 'Points-Table'!$C$8,
                (W32 = 'Points-Table'!$A$9), 'Points-Table'!$C$9,
                (W32 = 'Points-Table'!$A$10), 'Points-Table'!$C$10,
                (W32 = 'Points-Table'!$A$11), 'Points-Table'!$C$11,
                (W32 = 'Points-Table'!$A$12), 'Points-Table'!$C$12,
                (W32 = 'Points-Table'!$A$13), 'Points-Table'!$C$13,
                true, 0
              )
            </f>
      </c>
      <c r="Y32" s="11">
        <v>3</v>
      </c>
      <c r="Z32" s="12">
        <f>
              Ifs(
                (Y32 = 'Points-Table'!$A$4), 'Points-Table'!$C$4,
                (Y32 = 'Points-Table'!$A$5), 'Points-Table'!$C$5,
                (Y32 = 'Points-Table'!$A$6), 'Points-Table'!$C$6,
                (Y32 = 'Points-Table'!$A$7), 'Points-Table'!$C$7,
                (Y32 = 'Points-Table'!$A$8), 'Points-Table'!$C$8,
                (Y32 = 'Points-Table'!$A$9), 'Points-Table'!$C$9,
                (Y32 = 'Points-Table'!$A$10), 'Points-Table'!$C$10,
                (Y32 = 'Points-Table'!$A$11), 'Points-Table'!$C$11,
                (Y32 = 'Points-Table'!$A$12), 'Points-Table'!$C$12,
                (Y32 = 'Points-Table'!$A$13), 'Points-Table'!$C$13,
                true, 0
              )
            </f>
      </c>
      <c r="AA32" s="6">
        <f>SUM(V32,X32,Z32)</f>
      </c>
      <c r="AB32" s="6">
        <f>
      Ifs( 
        ISBETWEEN(AA32, 0, 'Points-Table'!C$20, TRUE, False), 'Points-Table'!A$20,
        ISBETWEEN(AA32, 'Points-Table'!C$20, 'Points-Table'!C$21, TRUE, False), 'Points-Table'!A$21,
        ISBETWEEN(AA32, 'Points-Table'!C$22, 10000, TRUE, TRUE), 'Points-Table'!A$22,
        true, 
        0)
      </f>
      </c>
      <c r="AC32" s="6" t="s">
        <v>56</v>
      </c>
      <c r="AD32" s="6" t="s">
        <v>56</v>
      </c>
      <c r="AE32" s="6" t="s">
        <v>56</v>
      </c>
    </row>
    <row r="33" spans="1:31" s="6" customFormat="1" x14ac:dyDescent="0.25">
      <c r="A33" s="6" t="s">
        <v>103</v>
      </c>
      <c r="B33" s="6" t="s">
        <v>129</v>
      </c>
      <c r="C33" s="6" t="s">
        <v>118</v>
      </c>
      <c r="D33" s="6"/>
      <c r="E33" s="6"/>
      <c r="F33" s="6"/>
      <c r="G33" s="6"/>
      <c r="H33" s="6"/>
      <c r="I33" s="6"/>
      <c r="J33" s="6"/>
      <c r="K33" s="6" t="s">
        <v>84</v>
      </c>
      <c r="L33" s="6" t="s">
        <v>85</v>
      </c>
      <c r="M33" s="6"/>
      <c r="N33" s="6"/>
      <c r="O33" s="6"/>
      <c r="P33" s="6"/>
      <c r="Q33" s="11"/>
      <c r="R33" s="12">
        <f>
              Ifs(
                (Q33 = 'Points-Table'!$A$4), 'Points-Table'!$C$4,
                (Q33 = 'Points-Table'!$A$5), 'Points-Table'!$C$5,
                (Q33 = 'Points-Table'!$A$6), 'Points-Table'!$C$6,
                (Q33 = 'Points-Table'!$A$7), 'Points-Table'!$C$7,
                (Q33 = 'Points-Table'!$A$8), 'Points-Table'!$C$8,
                (Q33 = 'Points-Table'!$A$9), 'Points-Table'!$C$9,
                (Q33 = 'Points-Table'!$A$10), 'Points-Table'!$C$10,
                (Q33 = 'Points-Table'!$A$11), 'Points-Table'!$C$11,
                (Q33 = 'Points-Table'!$A$12), 'Points-Table'!$C$12,
                (Q33 = 'Points-Table'!$A$13), 'Points-Table'!$C$13,
                true, 0
              )
            </f>
      </c>
      <c r="S33" s="11"/>
      <c r="T33" s="12">
        <f>
              Ifs(
                (S33 = 'Points-Table'!$A$4), 'Points-Table'!$C$4,
                (S33 = 'Points-Table'!$A$5), 'Points-Table'!$C$5,
                (S33 = 'Points-Table'!$A$6), 'Points-Table'!$C$6,
                (S33 = 'Points-Table'!$A$7), 'Points-Table'!$C$7,
                (S33 = 'Points-Table'!$A$8), 'Points-Table'!$C$8,
                (S33 = 'Points-Table'!$A$9), 'Points-Table'!$C$9,
                (S33 = 'Points-Table'!$A$10), 'Points-Table'!$C$10,
                (S33 = 'Points-Table'!$A$11), 'Points-Table'!$C$11,
                (S33 = 'Points-Table'!$A$12), 'Points-Table'!$C$12,
                (S33 = 'Points-Table'!$A$13), 'Points-Table'!$C$13,
                true, 0
              )
            </f>
      </c>
      <c r="U33" s="11">
        <v>5</v>
      </c>
      <c r="V33" s="12">
        <f>
              Ifs(
                (U33 = 'Points-Table'!$A$4), 'Points-Table'!$C$4,
                (U33 = 'Points-Table'!$A$5), 'Points-Table'!$C$5,
                (U33 = 'Points-Table'!$A$6), 'Points-Table'!$C$6,
                (U33 = 'Points-Table'!$A$7), 'Points-Table'!$C$7,
                (U33 = 'Points-Table'!$A$8), 'Points-Table'!$C$8,
                (U33 = 'Points-Table'!$A$9), 'Points-Table'!$C$9,
                (U33 = 'Points-Table'!$A$10), 'Points-Table'!$C$10,
                (U33 = 'Points-Table'!$A$11), 'Points-Table'!$C$11,
                (U33 = 'Points-Table'!$A$12), 'Points-Table'!$C$12,
                (U33 = 'Points-Table'!$A$13), 'Points-Table'!$C$13,
                true, 0
              )
            </f>
      </c>
      <c r="W33" s="11">
        <v>2</v>
      </c>
      <c r="X33" s="12">
        <f>
              Ifs(
                (W33 = 'Points-Table'!$A$4), 'Points-Table'!$C$4,
                (W33 = 'Points-Table'!$A$5), 'Points-Table'!$C$5,
                (W33 = 'Points-Table'!$A$6), 'Points-Table'!$C$6,
                (W33 = 'Points-Table'!$A$7), 'Points-Table'!$C$7,
                (W33 = 'Points-Table'!$A$8), 'Points-Table'!$C$8,
                (W33 = 'Points-Table'!$A$9), 'Points-Table'!$C$9,
                (W33 = 'Points-Table'!$A$10), 'Points-Table'!$C$10,
                (W33 = 'Points-Table'!$A$11), 'Points-Table'!$C$11,
                (W33 = 'Points-Table'!$A$12), 'Points-Table'!$C$12,
                (W33 = 'Points-Table'!$A$13), 'Points-Table'!$C$13,
                true, 0
              )
            </f>
      </c>
      <c r="Y33" s="11">
        <v>5</v>
      </c>
      <c r="Z33" s="12">
        <f>
              Ifs(
                (Y33 = 'Points-Table'!$A$4), 'Points-Table'!$C$4,
                (Y33 = 'Points-Table'!$A$5), 'Points-Table'!$C$5,
                (Y33 = 'Points-Table'!$A$6), 'Points-Table'!$C$6,
                (Y33 = 'Points-Table'!$A$7), 'Points-Table'!$C$7,
                (Y33 = 'Points-Table'!$A$8), 'Points-Table'!$C$8,
                (Y33 = 'Points-Table'!$A$9), 'Points-Table'!$C$9,
                (Y33 = 'Points-Table'!$A$10), 'Points-Table'!$C$10,
                (Y33 = 'Points-Table'!$A$11), 'Points-Table'!$C$11,
                (Y33 = 'Points-Table'!$A$12), 'Points-Table'!$C$12,
                (Y33 = 'Points-Table'!$A$13), 'Points-Table'!$C$13,
                true, 0
              )
            </f>
      </c>
      <c r="AA33" s="6">
        <f>SUM(V33,X33,Z33)</f>
      </c>
      <c r="AB33" s="6">
        <f>
      Ifs( 
        ISBETWEEN(AA33, 0, 'Points-Table'!C$20, TRUE, False), 'Points-Table'!A$20,
        ISBETWEEN(AA33, 'Points-Table'!C$20, 'Points-Table'!C$21, TRUE, False), 'Points-Table'!A$21,
        ISBETWEEN(AA33, 'Points-Table'!C$22, 10000, TRUE, TRUE), 'Points-Table'!A$22,
        true, 
        0)
      </f>
      </c>
      <c r="AC33" s="6" t="s">
        <v>56</v>
      </c>
      <c r="AD33" s="6" t="s">
        <v>56</v>
      </c>
      <c r="AE33" s="6" t="s">
        <v>56</v>
      </c>
    </row>
    <row r="34" spans="1:31" s="6" customFormat="1" x14ac:dyDescent="0.25">
      <c r="A34" s="6" t="s">
        <v>103</v>
      </c>
      <c r="B34" s="6" t="s">
        <v>129</v>
      </c>
      <c r="C34" s="6" t="s">
        <v>132</v>
      </c>
      <c r="D34" s="6"/>
      <c r="E34" s="6"/>
      <c r="F34" s="6" t="s">
        <v>133</v>
      </c>
      <c r="G34" s="6"/>
      <c r="H34" s="6"/>
      <c r="I34" s="6"/>
      <c r="J34" s="6"/>
      <c r="K34" s="6" t="s">
        <v>84</v>
      </c>
      <c r="L34" s="6" t="s">
        <v>85</v>
      </c>
      <c r="M34" s="6"/>
      <c r="N34" s="6"/>
      <c r="O34" s="6"/>
      <c r="P34" s="6"/>
      <c r="Q34" s="11"/>
      <c r="R34" s="12">
        <f>
              Ifs(
                (Q34 = 'Points-Table'!$A$4), 'Points-Table'!$C$4,
                (Q34 = 'Points-Table'!$A$5), 'Points-Table'!$C$5,
                (Q34 = 'Points-Table'!$A$6), 'Points-Table'!$C$6,
                (Q34 = 'Points-Table'!$A$7), 'Points-Table'!$C$7,
                (Q34 = 'Points-Table'!$A$8), 'Points-Table'!$C$8,
                (Q34 = 'Points-Table'!$A$9), 'Points-Table'!$C$9,
                (Q34 = 'Points-Table'!$A$10), 'Points-Table'!$C$10,
                (Q34 = 'Points-Table'!$A$11), 'Points-Table'!$C$11,
                (Q34 = 'Points-Table'!$A$12), 'Points-Table'!$C$12,
                (Q34 = 'Points-Table'!$A$13), 'Points-Table'!$C$13,
                true, 0
              )
            </f>
      </c>
      <c r="S34" s="11"/>
      <c r="T34" s="12">
        <f>
              Ifs(
                (S34 = 'Points-Table'!$A$4), 'Points-Table'!$C$4,
                (S34 = 'Points-Table'!$A$5), 'Points-Table'!$C$5,
                (S34 = 'Points-Table'!$A$6), 'Points-Table'!$C$6,
                (S34 = 'Points-Table'!$A$7), 'Points-Table'!$C$7,
                (S34 = 'Points-Table'!$A$8), 'Points-Table'!$C$8,
                (S34 = 'Points-Table'!$A$9), 'Points-Table'!$C$9,
                (S34 = 'Points-Table'!$A$10), 'Points-Table'!$C$10,
                (S34 = 'Points-Table'!$A$11), 'Points-Table'!$C$11,
                (S34 = 'Points-Table'!$A$12), 'Points-Table'!$C$12,
                (S34 = 'Points-Table'!$A$13), 'Points-Table'!$C$13,
                true, 0
              )
            </f>
      </c>
      <c r="U34" s="11">
        <v>5</v>
      </c>
      <c r="V34" s="12">
        <f>
              Ifs(
                (U34 = 'Points-Table'!$A$4), 'Points-Table'!$C$4,
                (U34 = 'Points-Table'!$A$5), 'Points-Table'!$C$5,
                (U34 = 'Points-Table'!$A$6), 'Points-Table'!$C$6,
                (U34 = 'Points-Table'!$A$7), 'Points-Table'!$C$7,
                (U34 = 'Points-Table'!$A$8), 'Points-Table'!$C$8,
                (U34 = 'Points-Table'!$A$9), 'Points-Table'!$C$9,
                (U34 = 'Points-Table'!$A$10), 'Points-Table'!$C$10,
                (U34 = 'Points-Table'!$A$11), 'Points-Table'!$C$11,
                (U34 = 'Points-Table'!$A$12), 'Points-Table'!$C$12,
                (U34 = 'Points-Table'!$A$13), 'Points-Table'!$C$13,
                true, 0
              )
            </f>
      </c>
      <c r="W34" s="11">
        <v>0</v>
      </c>
      <c r="X34" s="12">
        <f>
              Ifs(
                (W34 = 'Points-Table'!$A$4), 'Points-Table'!$C$4,
                (W34 = 'Points-Table'!$A$5), 'Points-Table'!$C$5,
                (W34 = 'Points-Table'!$A$6), 'Points-Table'!$C$6,
                (W34 = 'Points-Table'!$A$7), 'Points-Table'!$C$7,
                (W34 = 'Points-Table'!$A$8), 'Points-Table'!$C$8,
                (W34 = 'Points-Table'!$A$9), 'Points-Table'!$C$9,
                (W34 = 'Points-Table'!$A$10), 'Points-Table'!$C$10,
                (W34 = 'Points-Table'!$A$11), 'Points-Table'!$C$11,
                (W34 = 'Points-Table'!$A$12), 'Points-Table'!$C$12,
                (W34 = 'Points-Table'!$A$13), 'Points-Table'!$C$13,
                true, 0
              )
            </f>
      </c>
      <c r="Y34" s="11">
        <v>8</v>
      </c>
      <c r="Z34" s="12">
        <f>
              Ifs(
                (Y34 = 'Points-Table'!$A$4), 'Points-Table'!$C$4,
                (Y34 = 'Points-Table'!$A$5), 'Points-Table'!$C$5,
                (Y34 = 'Points-Table'!$A$6), 'Points-Table'!$C$6,
                (Y34 = 'Points-Table'!$A$7), 'Points-Table'!$C$7,
                (Y34 = 'Points-Table'!$A$8), 'Points-Table'!$C$8,
                (Y34 = 'Points-Table'!$A$9), 'Points-Table'!$C$9,
                (Y34 = 'Points-Table'!$A$10), 'Points-Table'!$C$10,
                (Y34 = 'Points-Table'!$A$11), 'Points-Table'!$C$11,
                (Y34 = 'Points-Table'!$A$12), 'Points-Table'!$C$12,
                (Y34 = 'Points-Table'!$A$13), 'Points-Table'!$C$13,
                true, 0
              )
            </f>
      </c>
      <c r="AA34" s="6">
        <f>SUM(V34,X34,Z34)</f>
      </c>
      <c r="AB34" s="6">
        <f>
      Ifs( 
        ISBETWEEN(AA34, 0, 'Points-Table'!C$20, TRUE, False), 'Points-Table'!A$20,
        ISBETWEEN(AA34, 'Points-Table'!C$20, 'Points-Table'!C$21, TRUE, False), 'Points-Table'!A$21,
        ISBETWEEN(AA34, 'Points-Table'!C$22, 10000, TRUE, TRUE), 'Points-Table'!A$22,
        true, 
        0)
      </f>
      </c>
      <c r="AC34" s="6" t="s">
        <v>56</v>
      </c>
      <c r="AD34" s="6" t="s">
        <v>56</v>
      </c>
      <c r="AE34" s="6" t="s">
        <v>56</v>
      </c>
    </row>
    <row r="35" spans="1:31" s="6" customFormat="1" x14ac:dyDescent="0.25">
      <c r="A35" s="6" t="s">
        <v>103</v>
      </c>
      <c r="B35" s="6" t="s">
        <v>129</v>
      </c>
      <c r="C35" s="6" t="s">
        <v>134</v>
      </c>
      <c r="D35" s="6"/>
      <c r="E35" s="6"/>
      <c r="F35" s="6"/>
      <c r="G35" s="6"/>
      <c r="H35" s="6"/>
      <c r="I35" s="6"/>
      <c r="J35" s="6"/>
      <c r="K35" s="6" t="s">
        <v>84</v>
      </c>
      <c r="L35" s="6" t="s">
        <v>85</v>
      </c>
      <c r="M35" s="6"/>
      <c r="N35" s="6"/>
      <c r="O35" s="6"/>
      <c r="P35" s="6"/>
      <c r="Q35" s="11"/>
      <c r="R35" s="12">
        <f>
              Ifs(
                (Q35 = 'Points-Table'!$A$4), 'Points-Table'!$C$4,
                (Q35 = 'Points-Table'!$A$5), 'Points-Table'!$C$5,
                (Q35 = 'Points-Table'!$A$6), 'Points-Table'!$C$6,
                (Q35 = 'Points-Table'!$A$7), 'Points-Table'!$C$7,
                (Q35 = 'Points-Table'!$A$8), 'Points-Table'!$C$8,
                (Q35 = 'Points-Table'!$A$9), 'Points-Table'!$C$9,
                (Q35 = 'Points-Table'!$A$10), 'Points-Table'!$C$10,
                (Q35 = 'Points-Table'!$A$11), 'Points-Table'!$C$11,
                (Q35 = 'Points-Table'!$A$12), 'Points-Table'!$C$12,
                (Q35 = 'Points-Table'!$A$13), 'Points-Table'!$C$13,
                true, 0
              )
            </f>
      </c>
      <c r="S35" s="11"/>
      <c r="T35" s="12">
        <f>
              Ifs(
                (S35 = 'Points-Table'!$A$4), 'Points-Table'!$C$4,
                (S35 = 'Points-Table'!$A$5), 'Points-Table'!$C$5,
                (S35 = 'Points-Table'!$A$6), 'Points-Table'!$C$6,
                (S35 = 'Points-Table'!$A$7), 'Points-Table'!$C$7,
                (S35 = 'Points-Table'!$A$8), 'Points-Table'!$C$8,
                (S35 = 'Points-Table'!$A$9), 'Points-Table'!$C$9,
                (S35 = 'Points-Table'!$A$10), 'Points-Table'!$C$10,
                (S35 = 'Points-Table'!$A$11), 'Points-Table'!$C$11,
                (S35 = 'Points-Table'!$A$12), 'Points-Table'!$C$12,
                (S35 = 'Points-Table'!$A$13), 'Points-Table'!$C$13,
                true, 0
              )
            </f>
      </c>
      <c r="U35" s="11">
        <v>3</v>
      </c>
      <c r="V35" s="12">
        <f>
              Ifs(
                (U35 = 'Points-Table'!$A$4), 'Points-Table'!$C$4,
                (U35 = 'Points-Table'!$A$5), 'Points-Table'!$C$5,
                (U35 = 'Points-Table'!$A$6), 'Points-Table'!$C$6,
                (U35 = 'Points-Table'!$A$7), 'Points-Table'!$C$7,
                (U35 = 'Points-Table'!$A$8), 'Points-Table'!$C$8,
                (U35 = 'Points-Table'!$A$9), 'Points-Table'!$C$9,
                (U35 = 'Points-Table'!$A$10), 'Points-Table'!$C$10,
                (U35 = 'Points-Table'!$A$11), 'Points-Table'!$C$11,
                (U35 = 'Points-Table'!$A$12), 'Points-Table'!$C$12,
                (U35 = 'Points-Table'!$A$13), 'Points-Table'!$C$13,
                true, 0
              )
            </f>
      </c>
      <c r="W35" s="11">
        <v>0</v>
      </c>
      <c r="X35" s="12">
        <f>
              Ifs(
                (W35 = 'Points-Table'!$A$4), 'Points-Table'!$C$4,
                (W35 = 'Points-Table'!$A$5), 'Points-Table'!$C$5,
                (W35 = 'Points-Table'!$A$6), 'Points-Table'!$C$6,
                (W35 = 'Points-Table'!$A$7), 'Points-Table'!$C$7,
                (W35 = 'Points-Table'!$A$8), 'Points-Table'!$C$8,
                (W35 = 'Points-Table'!$A$9), 'Points-Table'!$C$9,
                (W35 = 'Points-Table'!$A$10), 'Points-Table'!$C$10,
                (W35 = 'Points-Table'!$A$11), 'Points-Table'!$C$11,
                (W35 = 'Points-Table'!$A$12), 'Points-Table'!$C$12,
                (W35 = 'Points-Table'!$A$13), 'Points-Table'!$C$13,
                true, 0
              )
            </f>
      </c>
      <c r="Y35" s="11">
        <v>0</v>
      </c>
      <c r="Z35" s="12">
        <f>
              Ifs(
                (Y35 = 'Points-Table'!$A$4), 'Points-Table'!$C$4,
                (Y35 = 'Points-Table'!$A$5), 'Points-Table'!$C$5,
                (Y35 = 'Points-Table'!$A$6), 'Points-Table'!$C$6,
                (Y35 = 'Points-Table'!$A$7), 'Points-Table'!$C$7,
                (Y35 = 'Points-Table'!$A$8), 'Points-Table'!$C$8,
                (Y35 = 'Points-Table'!$A$9), 'Points-Table'!$C$9,
                (Y35 = 'Points-Table'!$A$10), 'Points-Table'!$C$10,
                (Y35 = 'Points-Table'!$A$11), 'Points-Table'!$C$11,
                (Y35 = 'Points-Table'!$A$12), 'Points-Table'!$C$12,
                (Y35 = 'Points-Table'!$A$13), 'Points-Table'!$C$13,
                true, 0
              )
            </f>
      </c>
      <c r="AA35" s="6">
        <f>SUM(V35,X35,Z35)</f>
      </c>
      <c r="AB35" s="6">
        <f>
      Ifs( 
        ISBETWEEN(AA35, 0, 'Points-Table'!C$20, TRUE, False), 'Points-Table'!A$20,
        ISBETWEEN(AA35, 'Points-Table'!C$20, 'Points-Table'!C$21, TRUE, False), 'Points-Table'!A$21,
        ISBETWEEN(AA35, 'Points-Table'!C$22, 10000, TRUE, TRUE), 'Points-Table'!A$22,
        true, 
        0)
      </f>
      </c>
      <c r="AC35" s="6" t="s">
        <v>56</v>
      </c>
      <c r="AD35" s="6" t="s">
        <v>56</v>
      </c>
      <c r="AE35" s="6" t="s">
        <v>56</v>
      </c>
    </row>
    <row r="36" spans="1:31" s="6" customFormat="1" x14ac:dyDescent="0.25">
      <c r="A36" s="6" t="s">
        <v>103</v>
      </c>
      <c r="B36" s="6" t="s">
        <v>129</v>
      </c>
      <c r="C36" s="6" t="s">
        <v>135</v>
      </c>
      <c r="D36" s="6"/>
      <c r="E36" s="6"/>
      <c r="F36" s="6"/>
      <c r="G36" s="6"/>
      <c r="H36" s="6"/>
      <c r="I36" s="6"/>
      <c r="J36" s="6"/>
      <c r="K36" s="6" t="s">
        <v>84</v>
      </c>
      <c r="L36" s="6" t="s">
        <v>85</v>
      </c>
      <c r="M36" s="6"/>
      <c r="N36" s="6"/>
      <c r="O36" s="6"/>
      <c r="P36" s="6"/>
      <c r="Q36" s="11"/>
      <c r="R36" s="12">
        <f>
              Ifs(
                (Q36 = 'Points-Table'!$A$4), 'Points-Table'!$C$4,
                (Q36 = 'Points-Table'!$A$5), 'Points-Table'!$C$5,
                (Q36 = 'Points-Table'!$A$6), 'Points-Table'!$C$6,
                (Q36 = 'Points-Table'!$A$7), 'Points-Table'!$C$7,
                (Q36 = 'Points-Table'!$A$8), 'Points-Table'!$C$8,
                (Q36 = 'Points-Table'!$A$9), 'Points-Table'!$C$9,
                (Q36 = 'Points-Table'!$A$10), 'Points-Table'!$C$10,
                (Q36 = 'Points-Table'!$A$11), 'Points-Table'!$C$11,
                (Q36 = 'Points-Table'!$A$12), 'Points-Table'!$C$12,
                (Q36 = 'Points-Table'!$A$13), 'Points-Table'!$C$13,
                true, 0
              )
            </f>
      </c>
      <c r="S36" s="11"/>
      <c r="T36" s="12">
        <f>
              Ifs(
                (S36 = 'Points-Table'!$A$4), 'Points-Table'!$C$4,
                (S36 = 'Points-Table'!$A$5), 'Points-Table'!$C$5,
                (S36 = 'Points-Table'!$A$6), 'Points-Table'!$C$6,
                (S36 = 'Points-Table'!$A$7), 'Points-Table'!$C$7,
                (S36 = 'Points-Table'!$A$8), 'Points-Table'!$C$8,
                (S36 = 'Points-Table'!$A$9), 'Points-Table'!$C$9,
                (S36 = 'Points-Table'!$A$10), 'Points-Table'!$C$10,
                (S36 = 'Points-Table'!$A$11), 'Points-Table'!$C$11,
                (S36 = 'Points-Table'!$A$12), 'Points-Table'!$C$12,
                (S36 = 'Points-Table'!$A$13), 'Points-Table'!$C$13,
                true, 0
              )
            </f>
      </c>
      <c r="U36" s="11">
        <v>3</v>
      </c>
      <c r="V36" s="12">
        <f>
              Ifs(
                (U36 = 'Points-Table'!$A$4), 'Points-Table'!$C$4,
                (U36 = 'Points-Table'!$A$5), 'Points-Table'!$C$5,
                (U36 = 'Points-Table'!$A$6), 'Points-Table'!$C$6,
                (U36 = 'Points-Table'!$A$7), 'Points-Table'!$C$7,
                (U36 = 'Points-Table'!$A$8), 'Points-Table'!$C$8,
                (U36 = 'Points-Table'!$A$9), 'Points-Table'!$C$9,
                (U36 = 'Points-Table'!$A$10), 'Points-Table'!$C$10,
                (U36 = 'Points-Table'!$A$11), 'Points-Table'!$C$11,
                (U36 = 'Points-Table'!$A$12), 'Points-Table'!$C$12,
                (U36 = 'Points-Table'!$A$13), 'Points-Table'!$C$13,
                true, 0
              )
            </f>
      </c>
      <c r="W36" s="11">
        <v>0</v>
      </c>
      <c r="X36" s="12">
        <f>
              Ifs(
                (W36 = 'Points-Table'!$A$4), 'Points-Table'!$C$4,
                (W36 = 'Points-Table'!$A$5), 'Points-Table'!$C$5,
                (W36 = 'Points-Table'!$A$6), 'Points-Table'!$C$6,
                (W36 = 'Points-Table'!$A$7), 'Points-Table'!$C$7,
                (W36 = 'Points-Table'!$A$8), 'Points-Table'!$C$8,
                (W36 = 'Points-Table'!$A$9), 'Points-Table'!$C$9,
                (W36 = 'Points-Table'!$A$10), 'Points-Table'!$C$10,
                (W36 = 'Points-Table'!$A$11), 'Points-Table'!$C$11,
                (W36 = 'Points-Table'!$A$12), 'Points-Table'!$C$12,
                (W36 = 'Points-Table'!$A$13), 'Points-Table'!$C$13,
                true, 0
              )
            </f>
      </c>
      <c r="Y36" s="11">
        <v>3</v>
      </c>
      <c r="Z36" s="12">
        <f>
              Ifs(
                (Y36 = 'Points-Table'!$A$4), 'Points-Table'!$C$4,
                (Y36 = 'Points-Table'!$A$5), 'Points-Table'!$C$5,
                (Y36 = 'Points-Table'!$A$6), 'Points-Table'!$C$6,
                (Y36 = 'Points-Table'!$A$7), 'Points-Table'!$C$7,
                (Y36 = 'Points-Table'!$A$8), 'Points-Table'!$C$8,
                (Y36 = 'Points-Table'!$A$9), 'Points-Table'!$C$9,
                (Y36 = 'Points-Table'!$A$10), 'Points-Table'!$C$10,
                (Y36 = 'Points-Table'!$A$11), 'Points-Table'!$C$11,
                (Y36 = 'Points-Table'!$A$12), 'Points-Table'!$C$12,
                (Y36 = 'Points-Table'!$A$13), 'Points-Table'!$C$13,
                true, 0
              )
            </f>
      </c>
      <c r="AA36" s="6">
        <f>SUM(V36,X36,Z36)</f>
      </c>
      <c r="AB36" s="6">
        <f>
      Ifs( 
        ISBETWEEN(AA36, 0, 'Points-Table'!C$20, TRUE, False), 'Points-Table'!A$20,
        ISBETWEEN(AA36, 'Points-Table'!C$20, 'Points-Table'!C$21, TRUE, False), 'Points-Table'!A$21,
        ISBETWEEN(AA36, 'Points-Table'!C$22, 10000, TRUE, TRUE), 'Points-Table'!A$22,
        true, 
        0)
      </f>
      </c>
      <c r="AC36" s="6" t="s">
        <v>56</v>
      </c>
      <c r="AD36" s="6" t="s">
        <v>56</v>
      </c>
      <c r="AE36" s="6" t="s">
        <v>56</v>
      </c>
    </row>
    <row r="37" spans="1:31" s="6" customFormat="1" x14ac:dyDescent="0.25">
      <c r="A37" s="6" t="s">
        <v>103</v>
      </c>
      <c r="B37" s="6" t="s">
        <v>129</v>
      </c>
      <c r="C37" s="6" t="s">
        <v>136</v>
      </c>
      <c r="D37" s="6"/>
      <c r="E37" s="6"/>
      <c r="F37" s="6"/>
      <c r="G37" s="6"/>
      <c r="H37" s="6"/>
      <c r="I37" s="6"/>
      <c r="J37" s="6"/>
      <c r="K37" s="6" t="s">
        <v>84</v>
      </c>
      <c r="L37" s="6" t="s">
        <v>85</v>
      </c>
      <c r="M37" s="6"/>
      <c r="N37" s="6"/>
      <c r="O37" s="6"/>
      <c r="P37" s="6"/>
      <c r="Q37" s="11"/>
      <c r="R37" s="12">
        <f>
              Ifs(
                (Q37 = 'Points-Table'!$A$4), 'Points-Table'!$C$4,
                (Q37 = 'Points-Table'!$A$5), 'Points-Table'!$C$5,
                (Q37 = 'Points-Table'!$A$6), 'Points-Table'!$C$6,
                (Q37 = 'Points-Table'!$A$7), 'Points-Table'!$C$7,
                (Q37 = 'Points-Table'!$A$8), 'Points-Table'!$C$8,
                (Q37 = 'Points-Table'!$A$9), 'Points-Table'!$C$9,
                (Q37 = 'Points-Table'!$A$10), 'Points-Table'!$C$10,
                (Q37 = 'Points-Table'!$A$11), 'Points-Table'!$C$11,
                (Q37 = 'Points-Table'!$A$12), 'Points-Table'!$C$12,
                (Q37 = 'Points-Table'!$A$13), 'Points-Table'!$C$13,
                true, 0
              )
            </f>
      </c>
      <c r="S37" s="11"/>
      <c r="T37" s="12">
        <f>
              Ifs(
                (S37 = 'Points-Table'!$A$4), 'Points-Table'!$C$4,
                (S37 = 'Points-Table'!$A$5), 'Points-Table'!$C$5,
                (S37 = 'Points-Table'!$A$6), 'Points-Table'!$C$6,
                (S37 = 'Points-Table'!$A$7), 'Points-Table'!$C$7,
                (S37 = 'Points-Table'!$A$8), 'Points-Table'!$C$8,
                (S37 = 'Points-Table'!$A$9), 'Points-Table'!$C$9,
                (S37 = 'Points-Table'!$A$10), 'Points-Table'!$C$10,
                (S37 = 'Points-Table'!$A$11), 'Points-Table'!$C$11,
                (S37 = 'Points-Table'!$A$12), 'Points-Table'!$C$12,
                (S37 = 'Points-Table'!$A$13), 'Points-Table'!$C$13,
                true, 0
              )
            </f>
      </c>
      <c r="U37" s="11">
        <v>2</v>
      </c>
      <c r="V37" s="12">
        <f>
              Ifs(
                (U37 = 'Points-Table'!$A$4), 'Points-Table'!$C$4,
                (U37 = 'Points-Table'!$A$5), 'Points-Table'!$C$5,
                (U37 = 'Points-Table'!$A$6), 'Points-Table'!$C$6,
                (U37 = 'Points-Table'!$A$7), 'Points-Table'!$C$7,
                (U37 = 'Points-Table'!$A$8), 'Points-Table'!$C$8,
                (U37 = 'Points-Table'!$A$9), 'Points-Table'!$C$9,
                (U37 = 'Points-Table'!$A$10), 'Points-Table'!$C$10,
                (U37 = 'Points-Table'!$A$11), 'Points-Table'!$C$11,
                (U37 = 'Points-Table'!$A$12), 'Points-Table'!$C$12,
                (U37 = 'Points-Table'!$A$13), 'Points-Table'!$C$13,
                true, 0
              )
            </f>
      </c>
      <c r="W37" s="11">
        <v>0</v>
      </c>
      <c r="X37" s="12">
        <f>
              Ifs(
                (W37 = 'Points-Table'!$A$4), 'Points-Table'!$C$4,
                (W37 = 'Points-Table'!$A$5), 'Points-Table'!$C$5,
                (W37 = 'Points-Table'!$A$6), 'Points-Table'!$C$6,
                (W37 = 'Points-Table'!$A$7), 'Points-Table'!$C$7,
                (W37 = 'Points-Table'!$A$8), 'Points-Table'!$C$8,
                (W37 = 'Points-Table'!$A$9), 'Points-Table'!$C$9,
                (W37 = 'Points-Table'!$A$10), 'Points-Table'!$C$10,
                (W37 = 'Points-Table'!$A$11), 'Points-Table'!$C$11,
                (W37 = 'Points-Table'!$A$12), 'Points-Table'!$C$12,
                (W37 = 'Points-Table'!$A$13), 'Points-Table'!$C$13,
                true, 0
              )
            </f>
      </c>
      <c r="Y37" s="11">
        <v>0</v>
      </c>
      <c r="Z37" s="12">
        <f>
              Ifs(
                (Y37 = 'Points-Table'!$A$4), 'Points-Table'!$C$4,
                (Y37 = 'Points-Table'!$A$5), 'Points-Table'!$C$5,
                (Y37 = 'Points-Table'!$A$6), 'Points-Table'!$C$6,
                (Y37 = 'Points-Table'!$A$7), 'Points-Table'!$C$7,
                (Y37 = 'Points-Table'!$A$8), 'Points-Table'!$C$8,
                (Y37 = 'Points-Table'!$A$9), 'Points-Table'!$C$9,
                (Y37 = 'Points-Table'!$A$10), 'Points-Table'!$C$10,
                (Y37 = 'Points-Table'!$A$11), 'Points-Table'!$C$11,
                (Y37 = 'Points-Table'!$A$12), 'Points-Table'!$C$12,
                (Y37 = 'Points-Table'!$A$13), 'Points-Table'!$C$13,
                true, 0
              )
            </f>
      </c>
      <c r="AA37" s="6">
        <f>SUM(V37,X37,Z37)</f>
      </c>
      <c r="AB37" s="6">
        <f>
      Ifs( 
        ISBETWEEN(AA37, 0, 'Points-Table'!C$20, TRUE, False), 'Points-Table'!A$20,
        ISBETWEEN(AA37, 'Points-Table'!C$20, 'Points-Table'!C$21, TRUE, False), 'Points-Table'!A$21,
        ISBETWEEN(AA37, 'Points-Table'!C$22, 10000, TRUE, TRUE), 'Points-Table'!A$22,
        true, 
        0)
      </f>
      </c>
      <c r="AC37" s="6" t="s">
        <v>56</v>
      </c>
      <c r="AD37" s="6" t="s">
        <v>56</v>
      </c>
      <c r="AE37" s="6" t="s">
        <v>56</v>
      </c>
    </row>
    <row r="38" spans="1:31" s="6" customFormat="1" x14ac:dyDescent="0.25">
      <c r="A38" s="6" t="s">
        <v>103</v>
      </c>
      <c r="B38" s="6" t="s">
        <v>137</v>
      </c>
      <c r="D38" s="6"/>
      <c r="E38" s="6"/>
      <c r="F38" s="6"/>
      <c r="G38" s="6"/>
      <c r="H38" s="6"/>
      <c r="I38" s="6"/>
      <c r="J38" s="6"/>
      <c r="K38" s="6" t="s">
        <v>84</v>
      </c>
      <c r="L38" s="6" t="s">
        <v>85</v>
      </c>
      <c r="M38" s="6"/>
      <c r="N38" s="6"/>
      <c r="O38" s="6"/>
      <c r="P38" s="6"/>
      <c r="Q38" s="11"/>
      <c r="R38" s="12">
        <f>
              Ifs(
                (Q38 = 'Points-Table'!$A$4), 'Points-Table'!$C$4,
                (Q38 = 'Points-Table'!$A$5), 'Points-Table'!$C$5,
                (Q38 = 'Points-Table'!$A$6), 'Points-Table'!$C$6,
                (Q38 = 'Points-Table'!$A$7), 'Points-Table'!$C$7,
                (Q38 = 'Points-Table'!$A$8), 'Points-Table'!$C$8,
                (Q38 = 'Points-Table'!$A$9), 'Points-Table'!$C$9,
                (Q38 = 'Points-Table'!$A$10), 'Points-Table'!$C$10,
                (Q38 = 'Points-Table'!$A$11), 'Points-Table'!$C$11,
                (Q38 = 'Points-Table'!$A$12), 'Points-Table'!$C$12,
                (Q38 = 'Points-Table'!$A$13), 'Points-Table'!$C$13,
                true, 0
              )
            </f>
      </c>
      <c r="S38" s="11"/>
      <c r="T38" s="12">
        <f>
              Ifs(
                (S38 = 'Points-Table'!$A$4), 'Points-Table'!$C$4,
                (S38 = 'Points-Table'!$A$5), 'Points-Table'!$C$5,
                (S38 = 'Points-Table'!$A$6), 'Points-Table'!$C$6,
                (S38 = 'Points-Table'!$A$7), 'Points-Table'!$C$7,
                (S38 = 'Points-Table'!$A$8), 'Points-Table'!$C$8,
                (S38 = 'Points-Table'!$A$9), 'Points-Table'!$C$9,
                (S38 = 'Points-Table'!$A$10), 'Points-Table'!$C$10,
                (S38 = 'Points-Table'!$A$11), 'Points-Table'!$C$11,
                (S38 = 'Points-Table'!$A$12), 'Points-Table'!$C$12,
                (S38 = 'Points-Table'!$A$13), 'Points-Table'!$C$13,
                true, 0
              )
            </f>
      </c>
      <c r="U38" s="11">
        <v>5</v>
      </c>
      <c r="V38" s="12">
        <f>
              Ifs(
                (U38 = 'Points-Table'!$A$4), 'Points-Table'!$C$4,
                (U38 = 'Points-Table'!$A$5), 'Points-Table'!$C$5,
                (U38 = 'Points-Table'!$A$6), 'Points-Table'!$C$6,
                (U38 = 'Points-Table'!$A$7), 'Points-Table'!$C$7,
                (U38 = 'Points-Table'!$A$8), 'Points-Table'!$C$8,
                (U38 = 'Points-Table'!$A$9), 'Points-Table'!$C$9,
                (U38 = 'Points-Table'!$A$10), 'Points-Table'!$C$10,
                (U38 = 'Points-Table'!$A$11), 'Points-Table'!$C$11,
                (U38 = 'Points-Table'!$A$12), 'Points-Table'!$C$12,
                (U38 = 'Points-Table'!$A$13), 'Points-Table'!$C$13,
                true, 0
              )
            </f>
      </c>
      <c r="W38" s="11">
        <v>13</v>
      </c>
      <c r="X38" s="12">
        <f>
              Ifs(
                (W38 = 'Points-Table'!$A$4), 'Points-Table'!$C$4,
                (W38 = 'Points-Table'!$A$5), 'Points-Table'!$C$5,
                (W38 = 'Points-Table'!$A$6), 'Points-Table'!$C$6,
                (W38 = 'Points-Table'!$A$7), 'Points-Table'!$C$7,
                (W38 = 'Points-Table'!$A$8), 'Points-Table'!$C$8,
                (W38 = 'Points-Table'!$A$9), 'Points-Table'!$C$9,
                (W38 = 'Points-Table'!$A$10), 'Points-Table'!$C$10,
                (W38 = 'Points-Table'!$A$11), 'Points-Table'!$C$11,
                (W38 = 'Points-Table'!$A$12), 'Points-Table'!$C$12,
                (W38 = 'Points-Table'!$A$13), 'Points-Table'!$C$13,
                true, 0
              )
            </f>
      </c>
      <c r="Y38" s="11">
        <v>34</v>
      </c>
      <c r="Z38" s="12">
        <f>
              Ifs(
                (Y38 = 'Points-Table'!$A$4), 'Points-Table'!$C$4,
                (Y38 = 'Points-Table'!$A$5), 'Points-Table'!$C$5,
                (Y38 = 'Points-Table'!$A$6), 'Points-Table'!$C$6,
                (Y38 = 'Points-Table'!$A$7), 'Points-Table'!$C$7,
                (Y38 = 'Points-Table'!$A$8), 'Points-Table'!$C$8,
                (Y38 = 'Points-Table'!$A$9), 'Points-Table'!$C$9,
                (Y38 = 'Points-Table'!$A$10), 'Points-Table'!$C$10,
                (Y38 = 'Points-Table'!$A$11), 'Points-Table'!$C$11,
                (Y38 = 'Points-Table'!$A$12), 'Points-Table'!$C$12,
                (Y38 = 'Points-Table'!$A$13), 'Points-Table'!$C$13,
                true, 0
              )
            </f>
      </c>
      <c r="AA38" s="6">
        <f>SUM(V38,X38,Z38)</f>
      </c>
      <c r="AB38" s="6">
        <f>
      Ifs( 
        ISBETWEEN(AA38, 0, 'Points-Table'!C$20, TRUE, False), 'Points-Table'!A$20,
        ISBETWEEN(AA38, 'Points-Table'!C$20, 'Points-Table'!C$21, TRUE, False), 'Points-Table'!A$21,
        ISBETWEEN(AA38, 'Points-Table'!C$22, 10000, TRUE, TRUE), 'Points-Table'!A$22,
        true, 
        0)
      </f>
      </c>
      <c r="AC38" s="6" t="s">
        <v>56</v>
      </c>
      <c r="AD38" s="6" t="s">
        <v>56</v>
      </c>
      <c r="AE38" s="6" t="s">
        <v>56</v>
      </c>
    </row>
    <row r="39" spans="1:31" s="6" customFormat="1" x14ac:dyDescent="0.25">
      <c r="A39" s="6" t="s">
        <v>103</v>
      </c>
      <c r="B39" s="6" t="s">
        <v>138</v>
      </c>
      <c r="D39" s="6"/>
      <c r="E39" s="6"/>
      <c r="F39" s="6" t="s">
        <v>139</v>
      </c>
      <c r="G39" s="6"/>
      <c r="H39" s="6"/>
      <c r="I39" s="6"/>
      <c r="J39" s="6"/>
      <c r="K39" s="6" t="s">
        <v>84</v>
      </c>
      <c r="L39" s="6" t="s">
        <v>85</v>
      </c>
      <c r="M39" s="6"/>
      <c r="N39" s="6"/>
      <c r="O39" s="6"/>
      <c r="P39" s="6"/>
      <c r="Q39" s="11">
        <v>1</v>
      </c>
      <c r="R39" s="12">
        <f>
              Ifs(
                (Q39 = 'Points-Table'!$A$4), 'Points-Table'!$C$4,
                (Q39 = 'Points-Table'!$A$5), 'Points-Table'!$C$5,
                (Q39 = 'Points-Table'!$A$6), 'Points-Table'!$C$6,
                (Q39 = 'Points-Table'!$A$7), 'Points-Table'!$C$7,
                (Q39 = 'Points-Table'!$A$8), 'Points-Table'!$C$8,
                (Q39 = 'Points-Table'!$A$9), 'Points-Table'!$C$9,
                (Q39 = 'Points-Table'!$A$10), 'Points-Table'!$C$10,
                (Q39 = 'Points-Table'!$A$11), 'Points-Table'!$C$11,
                (Q39 = 'Points-Table'!$A$12), 'Points-Table'!$C$12,
                (Q39 = 'Points-Table'!$A$13), 'Points-Table'!$C$13,
                true, 0
              )
            </f>
      </c>
      <c r="S39" s="11">
        <v>1</v>
      </c>
      <c r="T39" s="12">
        <f>
              Ifs(
                (S39 = 'Points-Table'!$A$4), 'Points-Table'!$C$4,
                (S39 = 'Points-Table'!$A$5), 'Points-Table'!$C$5,
                (S39 = 'Points-Table'!$A$6), 'Points-Table'!$C$6,
                (S39 = 'Points-Table'!$A$7), 'Points-Table'!$C$7,
                (S39 = 'Points-Table'!$A$8), 'Points-Table'!$C$8,
                (S39 = 'Points-Table'!$A$9), 'Points-Table'!$C$9,
                (S39 = 'Points-Table'!$A$10), 'Points-Table'!$C$10,
                (S39 = 'Points-Table'!$A$11), 'Points-Table'!$C$11,
                (S39 = 'Points-Table'!$A$12), 'Points-Table'!$C$12,
                (S39 = 'Points-Table'!$A$13), 'Points-Table'!$C$13,
                true, 0
              )
            </f>
      </c>
      <c r="U39" s="11">
        <v>3</v>
      </c>
      <c r="V39" s="12">
        <f>
              Ifs(
                (U39 = 'Points-Table'!$A$4), 'Points-Table'!$C$4,
                (U39 = 'Points-Table'!$A$5), 'Points-Table'!$C$5,
                (U39 = 'Points-Table'!$A$6), 'Points-Table'!$C$6,
                (U39 = 'Points-Table'!$A$7), 'Points-Table'!$C$7,
                (U39 = 'Points-Table'!$A$8), 'Points-Table'!$C$8,
                (U39 = 'Points-Table'!$A$9), 'Points-Table'!$C$9,
                (U39 = 'Points-Table'!$A$10), 'Points-Table'!$C$10,
                (U39 = 'Points-Table'!$A$11), 'Points-Table'!$C$11,
                (U39 = 'Points-Table'!$A$12), 'Points-Table'!$C$12,
                (U39 = 'Points-Table'!$A$13), 'Points-Table'!$C$13,
                true, 0
              )
            </f>
      </c>
      <c r="W39" s="11">
        <v>2</v>
      </c>
      <c r="X39" s="12">
        <f>
              Ifs(
                (W39 = 'Points-Table'!$A$4), 'Points-Table'!$C$4,
                (W39 = 'Points-Table'!$A$5), 'Points-Table'!$C$5,
                (W39 = 'Points-Table'!$A$6), 'Points-Table'!$C$6,
                (W39 = 'Points-Table'!$A$7), 'Points-Table'!$C$7,
                (W39 = 'Points-Table'!$A$8), 'Points-Table'!$C$8,
                (W39 = 'Points-Table'!$A$9), 'Points-Table'!$C$9,
                (W39 = 'Points-Table'!$A$10), 'Points-Table'!$C$10,
                (W39 = 'Points-Table'!$A$11), 'Points-Table'!$C$11,
                (W39 = 'Points-Table'!$A$12), 'Points-Table'!$C$12,
                (W39 = 'Points-Table'!$A$13), 'Points-Table'!$C$13,
                true, 0
              )
            </f>
      </c>
      <c r="Y39" s="11">
        <v>13</v>
      </c>
      <c r="Z39" s="12">
        <f>
              Ifs(
                (Y39 = 'Points-Table'!$A$4), 'Points-Table'!$C$4,
                (Y39 = 'Points-Table'!$A$5), 'Points-Table'!$C$5,
                (Y39 = 'Points-Table'!$A$6), 'Points-Table'!$C$6,
                (Y39 = 'Points-Table'!$A$7), 'Points-Table'!$C$7,
                (Y39 = 'Points-Table'!$A$8), 'Points-Table'!$C$8,
                (Y39 = 'Points-Table'!$A$9), 'Points-Table'!$C$9,
                (Y39 = 'Points-Table'!$A$10), 'Points-Table'!$C$10,
                (Y39 = 'Points-Table'!$A$11), 'Points-Table'!$C$11,
                (Y39 = 'Points-Table'!$A$12), 'Points-Table'!$C$12,
                (Y39 = 'Points-Table'!$A$13), 'Points-Table'!$C$13,
                true, 0
              )
            </f>
      </c>
      <c r="AA39" s="6">
        <f>SUM(V39,X39,Z39)</f>
      </c>
      <c r="AB39" s="6">
        <f>
      Ifs( 
        ISBETWEEN(AA39, 0, 'Points-Table'!C$20, TRUE, False), 'Points-Table'!A$20,
        ISBETWEEN(AA39, 'Points-Table'!C$20, 'Points-Table'!C$21, TRUE, False), 'Points-Table'!A$21,
        ISBETWEEN(AA39, 'Points-Table'!C$22, 10000, TRUE, TRUE), 'Points-Table'!A$22,
        true, 
        0)
      </f>
      </c>
      <c r="AC39" s="6" t="s">
        <v>56</v>
      </c>
      <c r="AD39" s="6" t="s">
        <v>56</v>
      </c>
      <c r="AE39" s="6" t="s">
        <v>56</v>
      </c>
    </row>
    <row r="40" spans="1:31" s="6" customFormat="1" x14ac:dyDescent="0.25">
      <c r="A40" s="6" t="s">
        <v>103</v>
      </c>
      <c r="B40" s="6" t="s">
        <v>140</v>
      </c>
      <c r="D40" s="6" t="s">
        <v>141</v>
      </c>
      <c r="E40" s="6"/>
      <c r="F40" s="6"/>
      <c r="G40" s="6"/>
      <c r="H40" s="6"/>
      <c r="I40" s="6"/>
      <c r="J40" s="6"/>
      <c r="K40" s="6" t="s">
        <v>84</v>
      </c>
      <c r="L40" s="6" t="s">
        <v>85</v>
      </c>
      <c r="M40" s="6"/>
      <c r="N40" s="6"/>
      <c r="O40" s="6"/>
      <c r="P40" s="6"/>
      <c r="Q40" s="11"/>
      <c r="R40" s="12">
        <f>
              Ifs(
                (Q40 = 'Points-Table'!$A$4), 'Points-Table'!$C$4,
                (Q40 = 'Points-Table'!$A$5), 'Points-Table'!$C$5,
                (Q40 = 'Points-Table'!$A$6), 'Points-Table'!$C$6,
                (Q40 = 'Points-Table'!$A$7), 'Points-Table'!$C$7,
                (Q40 = 'Points-Table'!$A$8), 'Points-Table'!$C$8,
                (Q40 = 'Points-Table'!$A$9), 'Points-Table'!$C$9,
                (Q40 = 'Points-Table'!$A$10), 'Points-Table'!$C$10,
                (Q40 = 'Points-Table'!$A$11), 'Points-Table'!$C$11,
                (Q40 = 'Points-Table'!$A$12), 'Points-Table'!$C$12,
                (Q40 = 'Points-Table'!$A$13), 'Points-Table'!$C$13,
                true, 0
              )
            </f>
      </c>
      <c r="S40" s="11"/>
      <c r="T40" s="12">
        <f>
              Ifs(
                (S40 = 'Points-Table'!$A$4), 'Points-Table'!$C$4,
                (S40 = 'Points-Table'!$A$5), 'Points-Table'!$C$5,
                (S40 = 'Points-Table'!$A$6), 'Points-Table'!$C$6,
                (S40 = 'Points-Table'!$A$7), 'Points-Table'!$C$7,
                (S40 = 'Points-Table'!$A$8), 'Points-Table'!$C$8,
                (S40 = 'Points-Table'!$A$9), 'Points-Table'!$C$9,
                (S40 = 'Points-Table'!$A$10), 'Points-Table'!$C$10,
                (S40 = 'Points-Table'!$A$11), 'Points-Table'!$C$11,
                (S40 = 'Points-Table'!$A$12), 'Points-Table'!$C$12,
                (S40 = 'Points-Table'!$A$13), 'Points-Table'!$C$13,
                true, 0
              )
            </f>
      </c>
      <c r="U40" s="11">
        <v>5</v>
      </c>
      <c r="V40" s="12">
        <f>
              Ifs(
                (U40 = 'Points-Table'!$A$4), 'Points-Table'!$C$4,
                (U40 = 'Points-Table'!$A$5), 'Points-Table'!$C$5,
                (U40 = 'Points-Table'!$A$6), 'Points-Table'!$C$6,
                (U40 = 'Points-Table'!$A$7), 'Points-Table'!$C$7,
                (U40 = 'Points-Table'!$A$8), 'Points-Table'!$C$8,
                (U40 = 'Points-Table'!$A$9), 'Points-Table'!$C$9,
                (U40 = 'Points-Table'!$A$10), 'Points-Table'!$C$10,
                (U40 = 'Points-Table'!$A$11), 'Points-Table'!$C$11,
                (U40 = 'Points-Table'!$A$12), 'Points-Table'!$C$12,
                (U40 = 'Points-Table'!$A$13), 'Points-Table'!$C$13,
                true, 0
              )
            </f>
      </c>
      <c r="W40" s="11">
        <v>0</v>
      </c>
      <c r="X40" s="12">
        <f>
              Ifs(
                (W40 = 'Points-Table'!$A$4), 'Points-Table'!$C$4,
                (W40 = 'Points-Table'!$A$5), 'Points-Table'!$C$5,
                (W40 = 'Points-Table'!$A$6), 'Points-Table'!$C$6,
                (W40 = 'Points-Table'!$A$7), 'Points-Table'!$C$7,
                (W40 = 'Points-Table'!$A$8), 'Points-Table'!$C$8,
                (W40 = 'Points-Table'!$A$9), 'Points-Table'!$C$9,
                (W40 = 'Points-Table'!$A$10), 'Points-Table'!$C$10,
                (W40 = 'Points-Table'!$A$11), 'Points-Table'!$C$11,
                (W40 = 'Points-Table'!$A$12), 'Points-Table'!$C$12,
                (W40 = 'Points-Table'!$A$13), 'Points-Table'!$C$13,
                true, 0
              )
            </f>
      </c>
      <c r="Y40" s="11">
        <v>13</v>
      </c>
      <c r="Z40" s="12">
        <f>
              Ifs(
                (Y40 = 'Points-Table'!$A$4), 'Points-Table'!$C$4,
                (Y40 = 'Points-Table'!$A$5), 'Points-Table'!$C$5,
                (Y40 = 'Points-Table'!$A$6), 'Points-Table'!$C$6,
                (Y40 = 'Points-Table'!$A$7), 'Points-Table'!$C$7,
                (Y40 = 'Points-Table'!$A$8), 'Points-Table'!$C$8,
                (Y40 = 'Points-Table'!$A$9), 'Points-Table'!$C$9,
                (Y40 = 'Points-Table'!$A$10), 'Points-Table'!$C$10,
                (Y40 = 'Points-Table'!$A$11), 'Points-Table'!$C$11,
                (Y40 = 'Points-Table'!$A$12), 'Points-Table'!$C$12,
                (Y40 = 'Points-Table'!$A$13), 'Points-Table'!$C$13,
                true, 0
              )
            </f>
      </c>
      <c r="AA40" s="6">
        <f>SUM(V40,X40,Z40)</f>
      </c>
      <c r="AB40" s="6">
        <f>
      Ifs( 
        ISBETWEEN(AA40, 0, 'Points-Table'!C$20, TRUE, False), 'Points-Table'!A$20,
        ISBETWEEN(AA40, 'Points-Table'!C$20, 'Points-Table'!C$21, TRUE, False), 'Points-Table'!A$21,
        ISBETWEEN(AA40, 'Points-Table'!C$22, 10000, TRUE, TRUE), 'Points-Table'!A$22,
        true, 
        0)
      </f>
      </c>
      <c r="AC40" s="6" t="s">
        <v>56</v>
      </c>
      <c r="AD40" s="6" t="s">
        <v>56</v>
      </c>
      <c r="AE40" s="6" t="s">
        <v>56</v>
      </c>
    </row>
    <row r="41" spans="1:31" s="6" customFormat="1" x14ac:dyDescent="0.25">
      <c r="A41" s="6" t="s">
        <v>142</v>
      </c>
      <c r="B41" s="6" t="s">
        <v>143</v>
      </c>
      <c r="D41" s="6" t="s">
        <v>144</v>
      </c>
      <c r="E41" s="6"/>
      <c r="F41" s="6"/>
      <c r="G41" s="6"/>
      <c r="H41" s="6"/>
      <c r="I41" s="6"/>
      <c r="J41" s="6"/>
      <c r="K41" s="6" t="s">
        <v>84</v>
      </c>
      <c r="L41" s="6" t="s">
        <v>85</v>
      </c>
      <c r="M41" s="6"/>
      <c r="N41" s="6"/>
      <c r="O41" s="6"/>
      <c r="P41" s="6"/>
      <c r="Q41" s="11">
        <v>5</v>
      </c>
      <c r="R41" s="12">
        <f>
              Ifs(
                (Q41 = 'Points-Table'!$A$4), 'Points-Table'!$C$4,
                (Q41 = 'Points-Table'!$A$5), 'Points-Table'!$C$5,
                (Q41 = 'Points-Table'!$A$6), 'Points-Table'!$C$6,
                (Q41 = 'Points-Table'!$A$7), 'Points-Table'!$C$7,
                (Q41 = 'Points-Table'!$A$8), 'Points-Table'!$C$8,
                (Q41 = 'Points-Table'!$A$9), 'Points-Table'!$C$9,
                (Q41 = 'Points-Table'!$A$10), 'Points-Table'!$C$10,
                (Q41 = 'Points-Table'!$A$11), 'Points-Table'!$C$11,
                (Q41 = 'Points-Table'!$A$12), 'Points-Table'!$C$12,
                (Q41 = 'Points-Table'!$A$13), 'Points-Table'!$C$13,
                true, 0
              )
            </f>
      </c>
      <c r="S41" s="11">
        <v>5</v>
      </c>
      <c r="T41" s="12">
        <f>
              Ifs(
                (S41 = 'Points-Table'!$A$4), 'Points-Table'!$C$4,
                (S41 = 'Points-Table'!$A$5), 'Points-Table'!$C$5,
                (S41 = 'Points-Table'!$A$6), 'Points-Table'!$C$6,
                (S41 = 'Points-Table'!$A$7), 'Points-Table'!$C$7,
                (S41 = 'Points-Table'!$A$8), 'Points-Table'!$C$8,
                (S41 = 'Points-Table'!$A$9), 'Points-Table'!$C$9,
                (S41 = 'Points-Table'!$A$10), 'Points-Table'!$C$10,
                (S41 = 'Points-Table'!$A$11), 'Points-Table'!$C$11,
                (S41 = 'Points-Table'!$A$12), 'Points-Table'!$C$12,
                (S41 = 'Points-Table'!$A$13), 'Points-Table'!$C$13,
                true, 0
              )
            </f>
      </c>
      <c r="U41" s="11">
        <v>8</v>
      </c>
      <c r="V41" s="12">
        <f>
              Ifs(
                (U41 = 'Points-Table'!$A$4), 'Points-Table'!$C$4,
                (U41 = 'Points-Table'!$A$5), 'Points-Table'!$C$5,
                (U41 = 'Points-Table'!$A$6), 'Points-Table'!$C$6,
                (U41 = 'Points-Table'!$A$7), 'Points-Table'!$C$7,
                (U41 = 'Points-Table'!$A$8), 'Points-Table'!$C$8,
                (U41 = 'Points-Table'!$A$9), 'Points-Table'!$C$9,
                (U41 = 'Points-Table'!$A$10), 'Points-Table'!$C$10,
                (U41 = 'Points-Table'!$A$11), 'Points-Table'!$C$11,
                (U41 = 'Points-Table'!$A$12), 'Points-Table'!$C$12,
                (U41 = 'Points-Table'!$A$13), 'Points-Table'!$C$13,
                true, 0
              )
            </f>
      </c>
      <c r="W41" s="11">
        <v>5</v>
      </c>
      <c r="X41" s="12">
        <f>
              Ifs(
                (W41 = 'Points-Table'!$A$4), 'Points-Table'!$C$4,
                (W41 = 'Points-Table'!$A$5), 'Points-Table'!$C$5,
                (W41 = 'Points-Table'!$A$6), 'Points-Table'!$C$6,
                (W41 = 'Points-Table'!$A$7), 'Points-Table'!$C$7,
                (W41 = 'Points-Table'!$A$8), 'Points-Table'!$C$8,
                (W41 = 'Points-Table'!$A$9), 'Points-Table'!$C$9,
                (W41 = 'Points-Table'!$A$10), 'Points-Table'!$C$10,
                (W41 = 'Points-Table'!$A$11), 'Points-Table'!$C$11,
                (W41 = 'Points-Table'!$A$12), 'Points-Table'!$C$12,
                (W41 = 'Points-Table'!$A$13), 'Points-Table'!$C$13,
                true, 0
              )
            </f>
      </c>
      <c r="Y41" s="11">
        <v>5</v>
      </c>
      <c r="Z41" s="12">
        <f>
              Ifs(
                (Y41 = 'Points-Table'!$A$4), 'Points-Table'!$C$4,
                (Y41 = 'Points-Table'!$A$5), 'Points-Table'!$C$5,
                (Y41 = 'Points-Table'!$A$6), 'Points-Table'!$C$6,
                (Y41 = 'Points-Table'!$A$7), 'Points-Table'!$C$7,
                (Y41 = 'Points-Table'!$A$8), 'Points-Table'!$C$8,
                (Y41 = 'Points-Table'!$A$9), 'Points-Table'!$C$9,
                (Y41 = 'Points-Table'!$A$10), 'Points-Table'!$C$10,
                (Y41 = 'Points-Table'!$A$11), 'Points-Table'!$C$11,
                (Y41 = 'Points-Table'!$A$12), 'Points-Table'!$C$12,
                (Y41 = 'Points-Table'!$A$13), 'Points-Table'!$C$13,
                true, 0
              )
            </f>
      </c>
      <c r="AA41" s="6">
        <f>SUM(V41,X41,Z41)</f>
      </c>
      <c r="AB41" s="6">
        <f>
      Ifs( 
        ISBETWEEN(AA41, 0, 'Points-Table'!C$20, TRUE, False), 'Points-Table'!A$20,
        ISBETWEEN(AA41, 'Points-Table'!C$20, 'Points-Table'!C$21, TRUE, False), 'Points-Table'!A$21,
        ISBETWEEN(AA41, 'Points-Table'!C$22, 10000, TRUE, TRUE), 'Points-Table'!A$22,
        true, 
        0)
      </f>
      </c>
      <c r="AC41" s="6" t="s">
        <v>56</v>
      </c>
      <c r="AD41" s="6" t="s">
        <v>56</v>
      </c>
      <c r="AE41" s="6" t="s">
        <v>56</v>
      </c>
    </row>
    <row r="42" spans="1:31" s="6" customFormat="1" x14ac:dyDescent="0.25">
      <c r="A42" s="6" t="s">
        <v>142</v>
      </c>
      <c r="B42" s="6" t="s">
        <v>145</v>
      </c>
      <c r="D42" s="6"/>
      <c r="E42" s="6"/>
      <c r="F42" s="6"/>
      <c r="G42" s="6"/>
      <c r="H42" s="6"/>
      <c r="I42" s="6"/>
      <c r="J42" s="6"/>
      <c r="K42" s="6" t="s">
        <v>84</v>
      </c>
      <c r="L42" s="6" t="s">
        <v>85</v>
      </c>
      <c r="M42" s="6"/>
      <c r="N42" s="6"/>
      <c r="O42" s="6"/>
      <c r="P42" s="6"/>
      <c r="Q42" s="11">
        <v>2</v>
      </c>
      <c r="R42" s="12">
        <f>
              Ifs(
                (Q42 = 'Points-Table'!$A$4), 'Points-Table'!$C$4,
                (Q42 = 'Points-Table'!$A$5), 'Points-Table'!$C$5,
                (Q42 = 'Points-Table'!$A$6), 'Points-Table'!$C$6,
                (Q42 = 'Points-Table'!$A$7), 'Points-Table'!$C$7,
                (Q42 = 'Points-Table'!$A$8), 'Points-Table'!$C$8,
                (Q42 = 'Points-Table'!$A$9), 'Points-Table'!$C$9,
                (Q42 = 'Points-Table'!$A$10), 'Points-Table'!$C$10,
                (Q42 = 'Points-Table'!$A$11), 'Points-Table'!$C$11,
                (Q42 = 'Points-Table'!$A$12), 'Points-Table'!$C$12,
                (Q42 = 'Points-Table'!$A$13), 'Points-Table'!$C$13,
                true, 0
              )
            </f>
      </c>
      <c r="S42" s="11">
        <v>2</v>
      </c>
      <c r="T42" s="12">
        <f>
              Ifs(
                (S42 = 'Points-Table'!$A$4), 'Points-Table'!$C$4,
                (S42 = 'Points-Table'!$A$5), 'Points-Table'!$C$5,
                (S42 = 'Points-Table'!$A$6), 'Points-Table'!$C$6,
                (S42 = 'Points-Table'!$A$7), 'Points-Table'!$C$7,
                (S42 = 'Points-Table'!$A$8), 'Points-Table'!$C$8,
                (S42 = 'Points-Table'!$A$9), 'Points-Table'!$C$9,
                (S42 = 'Points-Table'!$A$10), 'Points-Table'!$C$10,
                (S42 = 'Points-Table'!$A$11), 'Points-Table'!$C$11,
                (S42 = 'Points-Table'!$A$12), 'Points-Table'!$C$12,
                (S42 = 'Points-Table'!$A$13), 'Points-Table'!$C$13,
                true, 0
              )
            </f>
      </c>
      <c r="U42" s="11">
        <v>5</v>
      </c>
      <c r="V42" s="12">
        <f>
              Ifs(
                (U42 = 'Points-Table'!$A$4), 'Points-Table'!$C$4,
                (U42 = 'Points-Table'!$A$5), 'Points-Table'!$C$5,
                (U42 = 'Points-Table'!$A$6), 'Points-Table'!$C$6,
                (U42 = 'Points-Table'!$A$7), 'Points-Table'!$C$7,
                (U42 = 'Points-Table'!$A$8), 'Points-Table'!$C$8,
                (U42 = 'Points-Table'!$A$9), 'Points-Table'!$C$9,
                (U42 = 'Points-Table'!$A$10), 'Points-Table'!$C$10,
                (U42 = 'Points-Table'!$A$11), 'Points-Table'!$C$11,
                (U42 = 'Points-Table'!$A$12), 'Points-Table'!$C$12,
                (U42 = 'Points-Table'!$A$13), 'Points-Table'!$C$13,
                true, 0
              )
            </f>
      </c>
      <c r="W42" s="11">
        <v>3</v>
      </c>
      <c r="X42" s="12">
        <f>
              Ifs(
                (W42 = 'Points-Table'!$A$4), 'Points-Table'!$C$4,
                (W42 = 'Points-Table'!$A$5), 'Points-Table'!$C$5,
                (W42 = 'Points-Table'!$A$6), 'Points-Table'!$C$6,
                (W42 = 'Points-Table'!$A$7), 'Points-Table'!$C$7,
                (W42 = 'Points-Table'!$A$8), 'Points-Table'!$C$8,
                (W42 = 'Points-Table'!$A$9), 'Points-Table'!$C$9,
                (W42 = 'Points-Table'!$A$10), 'Points-Table'!$C$10,
                (W42 = 'Points-Table'!$A$11), 'Points-Table'!$C$11,
                (W42 = 'Points-Table'!$A$12), 'Points-Table'!$C$12,
                (W42 = 'Points-Table'!$A$13), 'Points-Table'!$C$13,
                true, 0
              )
            </f>
      </c>
      <c r="Y42" s="11">
        <v>5</v>
      </c>
      <c r="Z42" s="12">
        <f>
              Ifs(
                (Y42 = 'Points-Table'!$A$4), 'Points-Table'!$C$4,
                (Y42 = 'Points-Table'!$A$5), 'Points-Table'!$C$5,
                (Y42 = 'Points-Table'!$A$6), 'Points-Table'!$C$6,
                (Y42 = 'Points-Table'!$A$7), 'Points-Table'!$C$7,
                (Y42 = 'Points-Table'!$A$8), 'Points-Table'!$C$8,
                (Y42 = 'Points-Table'!$A$9), 'Points-Table'!$C$9,
                (Y42 = 'Points-Table'!$A$10), 'Points-Table'!$C$10,
                (Y42 = 'Points-Table'!$A$11), 'Points-Table'!$C$11,
                (Y42 = 'Points-Table'!$A$12), 'Points-Table'!$C$12,
                (Y42 = 'Points-Table'!$A$13), 'Points-Table'!$C$13,
                true, 0
              )
            </f>
      </c>
      <c r="AA42" s="6">
        <f>SUM(V42,X42,Z42)</f>
      </c>
      <c r="AB42" s="6">
        <f>
      Ifs( 
        ISBETWEEN(AA42, 0, 'Points-Table'!C$20, TRUE, False), 'Points-Table'!A$20,
        ISBETWEEN(AA42, 'Points-Table'!C$20, 'Points-Table'!C$21, TRUE, False), 'Points-Table'!A$21,
        ISBETWEEN(AA42, 'Points-Table'!C$22, 10000, TRUE, TRUE), 'Points-Table'!A$22,
        true, 
        0)
      </f>
      </c>
      <c r="AC42" s="6" t="s">
        <v>56</v>
      </c>
      <c r="AD42" s="6" t="s">
        <v>56</v>
      </c>
      <c r="AE42" s="6" t="s">
        <v>56</v>
      </c>
    </row>
    <row r="43" spans="1:31" s="6" customFormat="1" x14ac:dyDescent="0.25">
      <c r="A43" s="6" t="s">
        <v>142</v>
      </c>
      <c r="B43" s="6" t="s">
        <v>146</v>
      </c>
      <c r="D43" s="6" t="s">
        <v>147</v>
      </c>
      <c r="E43" s="6"/>
      <c r="F43" s="6"/>
      <c r="G43" s="6"/>
      <c r="H43" s="6"/>
      <c r="I43" s="6"/>
      <c r="J43" s="6"/>
      <c r="K43" s="6" t="s">
        <v>84</v>
      </c>
      <c r="L43" s="6" t="s">
        <v>85</v>
      </c>
      <c r="M43" s="6"/>
      <c r="N43" s="6"/>
      <c r="O43" s="6"/>
      <c r="P43" s="6"/>
      <c r="Q43" s="11">
        <v>2</v>
      </c>
      <c r="R43" s="12">
        <f>
              Ifs(
                (Q43 = 'Points-Table'!$A$4), 'Points-Table'!$C$4,
                (Q43 = 'Points-Table'!$A$5), 'Points-Table'!$C$5,
                (Q43 = 'Points-Table'!$A$6), 'Points-Table'!$C$6,
                (Q43 = 'Points-Table'!$A$7), 'Points-Table'!$C$7,
                (Q43 = 'Points-Table'!$A$8), 'Points-Table'!$C$8,
                (Q43 = 'Points-Table'!$A$9), 'Points-Table'!$C$9,
                (Q43 = 'Points-Table'!$A$10), 'Points-Table'!$C$10,
                (Q43 = 'Points-Table'!$A$11), 'Points-Table'!$C$11,
                (Q43 = 'Points-Table'!$A$12), 'Points-Table'!$C$12,
                (Q43 = 'Points-Table'!$A$13), 'Points-Table'!$C$13,
                true, 0
              )
            </f>
      </c>
      <c r="S43" s="11">
        <v>2</v>
      </c>
      <c r="T43" s="12">
        <f>
              Ifs(
                (S43 = 'Points-Table'!$A$4), 'Points-Table'!$C$4,
                (S43 = 'Points-Table'!$A$5), 'Points-Table'!$C$5,
                (S43 = 'Points-Table'!$A$6), 'Points-Table'!$C$6,
                (S43 = 'Points-Table'!$A$7), 'Points-Table'!$C$7,
                (S43 = 'Points-Table'!$A$8), 'Points-Table'!$C$8,
                (S43 = 'Points-Table'!$A$9), 'Points-Table'!$C$9,
                (S43 = 'Points-Table'!$A$10), 'Points-Table'!$C$10,
                (S43 = 'Points-Table'!$A$11), 'Points-Table'!$C$11,
                (S43 = 'Points-Table'!$A$12), 'Points-Table'!$C$12,
                (S43 = 'Points-Table'!$A$13), 'Points-Table'!$C$13,
                true, 0
              )
            </f>
      </c>
      <c r="U43" s="11">
        <v>5</v>
      </c>
      <c r="V43" s="12">
        <f>
              Ifs(
                (U43 = 'Points-Table'!$A$4), 'Points-Table'!$C$4,
                (U43 = 'Points-Table'!$A$5), 'Points-Table'!$C$5,
                (U43 = 'Points-Table'!$A$6), 'Points-Table'!$C$6,
                (U43 = 'Points-Table'!$A$7), 'Points-Table'!$C$7,
                (U43 = 'Points-Table'!$A$8), 'Points-Table'!$C$8,
                (U43 = 'Points-Table'!$A$9), 'Points-Table'!$C$9,
                (U43 = 'Points-Table'!$A$10), 'Points-Table'!$C$10,
                (U43 = 'Points-Table'!$A$11), 'Points-Table'!$C$11,
                (U43 = 'Points-Table'!$A$12), 'Points-Table'!$C$12,
                (U43 = 'Points-Table'!$A$13), 'Points-Table'!$C$13,
                true, 0
              )
            </f>
      </c>
      <c r="W43" s="11">
        <v>3</v>
      </c>
      <c r="X43" s="12">
        <f>
              Ifs(
                (W43 = 'Points-Table'!$A$4), 'Points-Table'!$C$4,
                (W43 = 'Points-Table'!$A$5), 'Points-Table'!$C$5,
                (W43 = 'Points-Table'!$A$6), 'Points-Table'!$C$6,
                (W43 = 'Points-Table'!$A$7), 'Points-Table'!$C$7,
                (W43 = 'Points-Table'!$A$8), 'Points-Table'!$C$8,
                (W43 = 'Points-Table'!$A$9), 'Points-Table'!$C$9,
                (W43 = 'Points-Table'!$A$10), 'Points-Table'!$C$10,
                (W43 = 'Points-Table'!$A$11), 'Points-Table'!$C$11,
                (W43 = 'Points-Table'!$A$12), 'Points-Table'!$C$12,
                (W43 = 'Points-Table'!$A$13), 'Points-Table'!$C$13,
                true, 0
              )
            </f>
      </c>
      <c r="Y43" s="11">
        <v>5</v>
      </c>
      <c r="Z43" s="12">
        <f>
              Ifs(
                (Y43 = 'Points-Table'!$A$4), 'Points-Table'!$C$4,
                (Y43 = 'Points-Table'!$A$5), 'Points-Table'!$C$5,
                (Y43 = 'Points-Table'!$A$6), 'Points-Table'!$C$6,
                (Y43 = 'Points-Table'!$A$7), 'Points-Table'!$C$7,
                (Y43 = 'Points-Table'!$A$8), 'Points-Table'!$C$8,
                (Y43 = 'Points-Table'!$A$9), 'Points-Table'!$C$9,
                (Y43 = 'Points-Table'!$A$10), 'Points-Table'!$C$10,
                (Y43 = 'Points-Table'!$A$11), 'Points-Table'!$C$11,
                (Y43 = 'Points-Table'!$A$12), 'Points-Table'!$C$12,
                (Y43 = 'Points-Table'!$A$13), 'Points-Table'!$C$13,
                true, 0
              )
            </f>
      </c>
      <c r="AA43" s="6">
        <f>SUM(V43,X43,Z43)</f>
      </c>
      <c r="AB43" s="6">
        <f>
      Ifs( 
        ISBETWEEN(AA43, 0, 'Points-Table'!C$20, TRUE, False), 'Points-Table'!A$20,
        ISBETWEEN(AA43, 'Points-Table'!C$20, 'Points-Table'!C$21, TRUE, False), 'Points-Table'!A$21,
        ISBETWEEN(AA43, 'Points-Table'!C$22, 10000, TRUE, TRUE), 'Points-Table'!A$22,
        true, 
        0)
      </f>
      </c>
      <c r="AC43" s="6" t="s">
        <v>56</v>
      </c>
      <c r="AD43" s="6" t="s">
        <v>56</v>
      </c>
      <c r="AE43" s="6" t="s">
        <v>56</v>
      </c>
    </row>
    <row r="44" spans="1:31" s="6" customFormat="1" x14ac:dyDescent="0.25">
      <c r="A44" s="6" t="s">
        <v>142</v>
      </c>
      <c r="B44" s="6" t="s">
        <v>148</v>
      </c>
      <c r="D44" s="6" t="s">
        <v>147</v>
      </c>
      <c r="E44" s="6"/>
      <c r="F44" s="6"/>
      <c r="G44" s="6"/>
      <c r="H44" s="6"/>
      <c r="I44" s="6"/>
      <c r="J44" s="6"/>
      <c r="K44" s="6" t="s">
        <v>84</v>
      </c>
      <c r="L44" s="6" t="s">
        <v>85</v>
      </c>
      <c r="M44" s="6"/>
      <c r="N44" s="6"/>
      <c r="O44" s="6"/>
      <c r="P44" s="6"/>
      <c r="Q44" s="11">
        <v>1</v>
      </c>
      <c r="R44" s="12">
        <f>
              Ifs(
                (Q44 = 'Points-Table'!$A$4), 'Points-Table'!$C$4,
                (Q44 = 'Points-Table'!$A$5), 'Points-Table'!$C$5,
                (Q44 = 'Points-Table'!$A$6), 'Points-Table'!$C$6,
                (Q44 = 'Points-Table'!$A$7), 'Points-Table'!$C$7,
                (Q44 = 'Points-Table'!$A$8), 'Points-Table'!$C$8,
                (Q44 = 'Points-Table'!$A$9), 'Points-Table'!$C$9,
                (Q44 = 'Points-Table'!$A$10), 'Points-Table'!$C$10,
                (Q44 = 'Points-Table'!$A$11), 'Points-Table'!$C$11,
                (Q44 = 'Points-Table'!$A$12), 'Points-Table'!$C$12,
                (Q44 = 'Points-Table'!$A$13), 'Points-Table'!$C$13,
                true, 0
              )
            </f>
      </c>
      <c r="S44" s="11">
        <v>1</v>
      </c>
      <c r="T44" s="12">
        <f>
              Ifs(
                (S44 = 'Points-Table'!$A$4), 'Points-Table'!$C$4,
                (S44 = 'Points-Table'!$A$5), 'Points-Table'!$C$5,
                (S44 = 'Points-Table'!$A$6), 'Points-Table'!$C$6,
                (S44 = 'Points-Table'!$A$7), 'Points-Table'!$C$7,
                (S44 = 'Points-Table'!$A$8), 'Points-Table'!$C$8,
                (S44 = 'Points-Table'!$A$9), 'Points-Table'!$C$9,
                (S44 = 'Points-Table'!$A$10), 'Points-Table'!$C$10,
                (S44 = 'Points-Table'!$A$11), 'Points-Table'!$C$11,
                (S44 = 'Points-Table'!$A$12), 'Points-Table'!$C$12,
                (S44 = 'Points-Table'!$A$13), 'Points-Table'!$C$13,
                true, 0
              )
            </f>
      </c>
      <c r="U44" s="11">
        <v>5</v>
      </c>
      <c r="V44" s="12">
        <f>
              Ifs(
                (U44 = 'Points-Table'!$A$4), 'Points-Table'!$C$4,
                (U44 = 'Points-Table'!$A$5), 'Points-Table'!$C$5,
                (U44 = 'Points-Table'!$A$6), 'Points-Table'!$C$6,
                (U44 = 'Points-Table'!$A$7), 'Points-Table'!$C$7,
                (U44 = 'Points-Table'!$A$8), 'Points-Table'!$C$8,
                (U44 = 'Points-Table'!$A$9), 'Points-Table'!$C$9,
                (U44 = 'Points-Table'!$A$10), 'Points-Table'!$C$10,
                (U44 = 'Points-Table'!$A$11), 'Points-Table'!$C$11,
                (U44 = 'Points-Table'!$A$12), 'Points-Table'!$C$12,
                (U44 = 'Points-Table'!$A$13), 'Points-Table'!$C$13,
                true, 0
              )
            </f>
      </c>
      <c r="W44" s="11">
        <v>3</v>
      </c>
      <c r="X44" s="12">
        <f>
              Ifs(
                (W44 = 'Points-Table'!$A$4), 'Points-Table'!$C$4,
                (W44 = 'Points-Table'!$A$5), 'Points-Table'!$C$5,
                (W44 = 'Points-Table'!$A$6), 'Points-Table'!$C$6,
                (W44 = 'Points-Table'!$A$7), 'Points-Table'!$C$7,
                (W44 = 'Points-Table'!$A$8), 'Points-Table'!$C$8,
                (W44 = 'Points-Table'!$A$9), 'Points-Table'!$C$9,
                (W44 = 'Points-Table'!$A$10), 'Points-Table'!$C$10,
                (W44 = 'Points-Table'!$A$11), 'Points-Table'!$C$11,
                (W44 = 'Points-Table'!$A$12), 'Points-Table'!$C$12,
                (W44 = 'Points-Table'!$A$13), 'Points-Table'!$C$13,
                true, 0
              )
            </f>
      </c>
      <c r="Y44" s="11">
        <v>5</v>
      </c>
      <c r="Z44" s="12">
        <f>
              Ifs(
                (Y44 = 'Points-Table'!$A$4), 'Points-Table'!$C$4,
                (Y44 = 'Points-Table'!$A$5), 'Points-Table'!$C$5,
                (Y44 = 'Points-Table'!$A$6), 'Points-Table'!$C$6,
                (Y44 = 'Points-Table'!$A$7), 'Points-Table'!$C$7,
                (Y44 = 'Points-Table'!$A$8), 'Points-Table'!$C$8,
                (Y44 = 'Points-Table'!$A$9), 'Points-Table'!$C$9,
                (Y44 = 'Points-Table'!$A$10), 'Points-Table'!$C$10,
                (Y44 = 'Points-Table'!$A$11), 'Points-Table'!$C$11,
                (Y44 = 'Points-Table'!$A$12), 'Points-Table'!$C$12,
                (Y44 = 'Points-Table'!$A$13), 'Points-Table'!$C$13,
                true, 0
              )
            </f>
      </c>
      <c r="AA44" s="6">
        <f>SUM(V44,X44,Z44)</f>
      </c>
      <c r="AB44" s="6">
        <f>
      Ifs( 
        ISBETWEEN(AA44, 0, 'Points-Table'!C$20, TRUE, False), 'Points-Table'!A$20,
        ISBETWEEN(AA44, 'Points-Table'!C$20, 'Points-Table'!C$21, TRUE, False), 'Points-Table'!A$21,
        ISBETWEEN(AA44, 'Points-Table'!C$22, 10000, TRUE, TRUE), 'Points-Table'!A$22,
        true, 
        0)
      </f>
      </c>
      <c r="AC44" s="6" t="s">
        <v>56</v>
      </c>
      <c r="AD44" s="6" t="s">
        <v>56</v>
      </c>
      <c r="AE44" s="6" t="s">
        <v>56</v>
      </c>
    </row>
    <row r="45" spans="1:31" s="6" customFormat="1" x14ac:dyDescent="0.25">
      <c r="A45" s="6" t="s">
        <v>142</v>
      </c>
      <c r="B45" s="6" t="s">
        <v>149</v>
      </c>
      <c r="D45" s="6" t="s">
        <v>147</v>
      </c>
      <c r="E45" s="6"/>
      <c r="F45" s="6"/>
      <c r="G45" s="6"/>
      <c r="H45" s="6"/>
      <c r="I45" s="6"/>
      <c r="J45" s="6"/>
      <c r="K45" s="6" t="s">
        <v>84</v>
      </c>
      <c r="L45" s="6" t="s">
        <v>85</v>
      </c>
      <c r="M45" s="6"/>
      <c r="N45" s="6"/>
      <c r="O45" s="6"/>
      <c r="P45" s="6"/>
      <c r="Q45" s="11">
        <v>1</v>
      </c>
      <c r="R45" s="12">
        <f>
              Ifs(
                (Q45 = 'Points-Table'!$A$4), 'Points-Table'!$C$4,
                (Q45 = 'Points-Table'!$A$5), 'Points-Table'!$C$5,
                (Q45 = 'Points-Table'!$A$6), 'Points-Table'!$C$6,
                (Q45 = 'Points-Table'!$A$7), 'Points-Table'!$C$7,
                (Q45 = 'Points-Table'!$A$8), 'Points-Table'!$C$8,
                (Q45 = 'Points-Table'!$A$9), 'Points-Table'!$C$9,
                (Q45 = 'Points-Table'!$A$10), 'Points-Table'!$C$10,
                (Q45 = 'Points-Table'!$A$11), 'Points-Table'!$C$11,
                (Q45 = 'Points-Table'!$A$12), 'Points-Table'!$C$12,
                (Q45 = 'Points-Table'!$A$13), 'Points-Table'!$C$13,
                true, 0
              )
            </f>
      </c>
      <c r="S45" s="11">
        <v>1</v>
      </c>
      <c r="T45" s="12">
        <f>
              Ifs(
                (S45 = 'Points-Table'!$A$4), 'Points-Table'!$C$4,
                (S45 = 'Points-Table'!$A$5), 'Points-Table'!$C$5,
                (S45 = 'Points-Table'!$A$6), 'Points-Table'!$C$6,
                (S45 = 'Points-Table'!$A$7), 'Points-Table'!$C$7,
                (S45 = 'Points-Table'!$A$8), 'Points-Table'!$C$8,
                (S45 = 'Points-Table'!$A$9), 'Points-Table'!$C$9,
                (S45 = 'Points-Table'!$A$10), 'Points-Table'!$C$10,
                (S45 = 'Points-Table'!$A$11), 'Points-Table'!$C$11,
                (S45 = 'Points-Table'!$A$12), 'Points-Table'!$C$12,
                (S45 = 'Points-Table'!$A$13), 'Points-Table'!$C$13,
                true, 0
              )
            </f>
      </c>
      <c r="U45" s="11">
        <v>3</v>
      </c>
      <c r="V45" s="12">
        <f>
              Ifs(
                (U45 = 'Points-Table'!$A$4), 'Points-Table'!$C$4,
                (U45 = 'Points-Table'!$A$5), 'Points-Table'!$C$5,
                (U45 = 'Points-Table'!$A$6), 'Points-Table'!$C$6,
                (U45 = 'Points-Table'!$A$7), 'Points-Table'!$C$7,
                (U45 = 'Points-Table'!$A$8), 'Points-Table'!$C$8,
                (U45 = 'Points-Table'!$A$9), 'Points-Table'!$C$9,
                (U45 = 'Points-Table'!$A$10), 'Points-Table'!$C$10,
                (U45 = 'Points-Table'!$A$11), 'Points-Table'!$C$11,
                (U45 = 'Points-Table'!$A$12), 'Points-Table'!$C$12,
                (U45 = 'Points-Table'!$A$13), 'Points-Table'!$C$13,
                true, 0
              )
            </f>
      </c>
      <c r="W45" s="11">
        <v>3</v>
      </c>
      <c r="X45" s="12">
        <f>
              Ifs(
                (W45 = 'Points-Table'!$A$4), 'Points-Table'!$C$4,
                (W45 = 'Points-Table'!$A$5), 'Points-Table'!$C$5,
                (W45 = 'Points-Table'!$A$6), 'Points-Table'!$C$6,
                (W45 = 'Points-Table'!$A$7), 'Points-Table'!$C$7,
                (W45 = 'Points-Table'!$A$8), 'Points-Table'!$C$8,
                (W45 = 'Points-Table'!$A$9), 'Points-Table'!$C$9,
                (W45 = 'Points-Table'!$A$10), 'Points-Table'!$C$10,
                (W45 = 'Points-Table'!$A$11), 'Points-Table'!$C$11,
                (W45 = 'Points-Table'!$A$12), 'Points-Table'!$C$12,
                (W45 = 'Points-Table'!$A$13), 'Points-Table'!$C$13,
                true, 0
              )
            </f>
      </c>
      <c r="Y45" s="11">
        <v>5</v>
      </c>
      <c r="Z45" s="12">
        <f>
              Ifs(
                (Y45 = 'Points-Table'!$A$4), 'Points-Table'!$C$4,
                (Y45 = 'Points-Table'!$A$5), 'Points-Table'!$C$5,
                (Y45 = 'Points-Table'!$A$6), 'Points-Table'!$C$6,
                (Y45 = 'Points-Table'!$A$7), 'Points-Table'!$C$7,
                (Y45 = 'Points-Table'!$A$8), 'Points-Table'!$C$8,
                (Y45 = 'Points-Table'!$A$9), 'Points-Table'!$C$9,
                (Y45 = 'Points-Table'!$A$10), 'Points-Table'!$C$10,
                (Y45 = 'Points-Table'!$A$11), 'Points-Table'!$C$11,
                (Y45 = 'Points-Table'!$A$12), 'Points-Table'!$C$12,
                (Y45 = 'Points-Table'!$A$13), 'Points-Table'!$C$13,
                true, 0
              )
            </f>
      </c>
      <c r="AA45" s="6">
        <f>SUM(V45,X45,Z45)</f>
      </c>
      <c r="AB45" s="6">
        <f>
      Ifs( 
        ISBETWEEN(AA45, 0, 'Points-Table'!C$20, TRUE, False), 'Points-Table'!A$20,
        ISBETWEEN(AA45, 'Points-Table'!C$20, 'Points-Table'!C$21, TRUE, False), 'Points-Table'!A$21,
        ISBETWEEN(AA45, 'Points-Table'!C$22, 10000, TRUE, TRUE), 'Points-Table'!A$22,
        true, 
        0)
      </f>
      </c>
      <c r="AC45" s="6" t="s">
        <v>56</v>
      </c>
      <c r="AD45" s="6" t="s">
        <v>56</v>
      </c>
      <c r="AE45" s="6" t="s">
        <v>56</v>
      </c>
    </row>
    <row r="46" spans="1:31" s="6" customFormat="1" x14ac:dyDescent="0.25">
      <c r="A46" s="6" t="s">
        <v>142</v>
      </c>
      <c r="B46" s="6" t="s">
        <v>150</v>
      </c>
      <c r="D46" s="6"/>
      <c r="E46" s="6"/>
      <c r="F46" s="6"/>
      <c r="G46" s="6"/>
      <c r="H46" s="6"/>
      <c r="I46" s="6"/>
      <c r="J46" s="6"/>
      <c r="K46" s="6" t="s">
        <v>84</v>
      </c>
      <c r="L46" s="6" t="s">
        <v>85</v>
      </c>
      <c r="M46" s="6"/>
      <c r="N46" s="6"/>
      <c r="O46" s="6"/>
      <c r="P46" s="6"/>
      <c r="Q46" s="11">
        <v>1</v>
      </c>
      <c r="R46" s="12">
        <f>
              Ifs(
                (Q46 = 'Points-Table'!$A$4), 'Points-Table'!$C$4,
                (Q46 = 'Points-Table'!$A$5), 'Points-Table'!$C$5,
                (Q46 = 'Points-Table'!$A$6), 'Points-Table'!$C$6,
                (Q46 = 'Points-Table'!$A$7), 'Points-Table'!$C$7,
                (Q46 = 'Points-Table'!$A$8), 'Points-Table'!$C$8,
                (Q46 = 'Points-Table'!$A$9), 'Points-Table'!$C$9,
                (Q46 = 'Points-Table'!$A$10), 'Points-Table'!$C$10,
                (Q46 = 'Points-Table'!$A$11), 'Points-Table'!$C$11,
                (Q46 = 'Points-Table'!$A$12), 'Points-Table'!$C$12,
                (Q46 = 'Points-Table'!$A$13), 'Points-Table'!$C$13,
                true, 0
              )
            </f>
      </c>
      <c r="S46" s="11">
        <v>1</v>
      </c>
      <c r="T46" s="12">
        <f>
              Ifs(
                (S46 = 'Points-Table'!$A$4), 'Points-Table'!$C$4,
                (S46 = 'Points-Table'!$A$5), 'Points-Table'!$C$5,
                (S46 = 'Points-Table'!$A$6), 'Points-Table'!$C$6,
                (S46 = 'Points-Table'!$A$7), 'Points-Table'!$C$7,
                (S46 = 'Points-Table'!$A$8), 'Points-Table'!$C$8,
                (S46 = 'Points-Table'!$A$9), 'Points-Table'!$C$9,
                (S46 = 'Points-Table'!$A$10), 'Points-Table'!$C$10,
                (S46 = 'Points-Table'!$A$11), 'Points-Table'!$C$11,
                (S46 = 'Points-Table'!$A$12), 'Points-Table'!$C$12,
                (S46 = 'Points-Table'!$A$13), 'Points-Table'!$C$13,
                true, 0
              )
            </f>
      </c>
      <c r="U46" s="11">
        <v>5</v>
      </c>
      <c r="V46" s="12">
        <f>
              Ifs(
                (U46 = 'Points-Table'!$A$4), 'Points-Table'!$C$4,
                (U46 = 'Points-Table'!$A$5), 'Points-Table'!$C$5,
                (U46 = 'Points-Table'!$A$6), 'Points-Table'!$C$6,
                (U46 = 'Points-Table'!$A$7), 'Points-Table'!$C$7,
                (U46 = 'Points-Table'!$A$8), 'Points-Table'!$C$8,
                (U46 = 'Points-Table'!$A$9), 'Points-Table'!$C$9,
                (U46 = 'Points-Table'!$A$10), 'Points-Table'!$C$10,
                (U46 = 'Points-Table'!$A$11), 'Points-Table'!$C$11,
                (U46 = 'Points-Table'!$A$12), 'Points-Table'!$C$12,
                (U46 = 'Points-Table'!$A$13), 'Points-Table'!$C$13,
                true, 0
              )
            </f>
      </c>
      <c r="W46" s="11">
        <v>2</v>
      </c>
      <c r="X46" s="12">
        <f>
              Ifs(
                (W46 = 'Points-Table'!$A$4), 'Points-Table'!$C$4,
                (W46 = 'Points-Table'!$A$5), 'Points-Table'!$C$5,
                (W46 = 'Points-Table'!$A$6), 'Points-Table'!$C$6,
                (W46 = 'Points-Table'!$A$7), 'Points-Table'!$C$7,
                (W46 = 'Points-Table'!$A$8), 'Points-Table'!$C$8,
                (W46 = 'Points-Table'!$A$9), 'Points-Table'!$C$9,
                (W46 = 'Points-Table'!$A$10), 'Points-Table'!$C$10,
                (W46 = 'Points-Table'!$A$11), 'Points-Table'!$C$11,
                (W46 = 'Points-Table'!$A$12), 'Points-Table'!$C$12,
                (W46 = 'Points-Table'!$A$13), 'Points-Table'!$C$13,
                true, 0
              )
            </f>
      </c>
      <c r="Y46" s="11">
        <v>3</v>
      </c>
      <c r="Z46" s="12">
        <f>
              Ifs(
                (Y46 = 'Points-Table'!$A$4), 'Points-Table'!$C$4,
                (Y46 = 'Points-Table'!$A$5), 'Points-Table'!$C$5,
                (Y46 = 'Points-Table'!$A$6), 'Points-Table'!$C$6,
                (Y46 = 'Points-Table'!$A$7), 'Points-Table'!$C$7,
                (Y46 = 'Points-Table'!$A$8), 'Points-Table'!$C$8,
                (Y46 = 'Points-Table'!$A$9), 'Points-Table'!$C$9,
                (Y46 = 'Points-Table'!$A$10), 'Points-Table'!$C$10,
                (Y46 = 'Points-Table'!$A$11), 'Points-Table'!$C$11,
                (Y46 = 'Points-Table'!$A$12), 'Points-Table'!$C$12,
                (Y46 = 'Points-Table'!$A$13), 'Points-Table'!$C$13,
                true, 0
              )
            </f>
      </c>
      <c r="AA46" s="6">
        <f>SUM(V46,X46,Z46)</f>
      </c>
      <c r="AB46" s="6">
        <f>
      Ifs( 
        ISBETWEEN(AA46, 0, 'Points-Table'!C$20, TRUE, False), 'Points-Table'!A$20,
        ISBETWEEN(AA46, 'Points-Table'!C$20, 'Points-Table'!C$21, TRUE, False), 'Points-Table'!A$21,
        ISBETWEEN(AA46, 'Points-Table'!C$22, 10000, TRUE, TRUE), 'Points-Table'!A$22,
        true, 
        0)
      </f>
      </c>
      <c r="AC46" s="6" t="s">
        <v>56</v>
      </c>
      <c r="AD46" s="6" t="s">
        <v>56</v>
      </c>
      <c r="AE46" s="6" t="s">
        <v>56</v>
      </c>
    </row>
    <row r="47" spans="1:31" s="6" customFormat="1" x14ac:dyDescent="0.25">
      <c r="A47" s="6" t="s">
        <v>142</v>
      </c>
      <c r="B47" s="6" t="s">
        <v>151</v>
      </c>
      <c r="D47" s="6"/>
      <c r="E47" s="6"/>
      <c r="F47" s="6"/>
      <c r="G47" s="6"/>
      <c r="H47" s="6"/>
      <c r="I47" s="6"/>
      <c r="J47" s="6"/>
      <c r="K47" s="6" t="s">
        <v>84</v>
      </c>
      <c r="L47" s="6" t="s">
        <v>85</v>
      </c>
      <c r="M47" s="6"/>
      <c r="N47" s="6"/>
      <c r="O47" s="6"/>
      <c r="P47" s="6"/>
      <c r="Q47" s="11"/>
      <c r="R47" s="12">
        <f>
              Ifs(
                (Q47 = 'Points-Table'!$A$4), 'Points-Table'!$C$4,
                (Q47 = 'Points-Table'!$A$5), 'Points-Table'!$C$5,
                (Q47 = 'Points-Table'!$A$6), 'Points-Table'!$C$6,
                (Q47 = 'Points-Table'!$A$7), 'Points-Table'!$C$7,
                (Q47 = 'Points-Table'!$A$8), 'Points-Table'!$C$8,
                (Q47 = 'Points-Table'!$A$9), 'Points-Table'!$C$9,
                (Q47 = 'Points-Table'!$A$10), 'Points-Table'!$C$10,
                (Q47 = 'Points-Table'!$A$11), 'Points-Table'!$C$11,
                (Q47 = 'Points-Table'!$A$12), 'Points-Table'!$C$12,
                (Q47 = 'Points-Table'!$A$13), 'Points-Table'!$C$13,
                true, 0
              )
            </f>
      </c>
      <c r="S47" s="11"/>
      <c r="T47" s="12">
        <f>
              Ifs(
                (S47 = 'Points-Table'!$A$4), 'Points-Table'!$C$4,
                (S47 = 'Points-Table'!$A$5), 'Points-Table'!$C$5,
                (S47 = 'Points-Table'!$A$6), 'Points-Table'!$C$6,
                (S47 = 'Points-Table'!$A$7), 'Points-Table'!$C$7,
                (S47 = 'Points-Table'!$A$8), 'Points-Table'!$C$8,
                (S47 = 'Points-Table'!$A$9), 'Points-Table'!$C$9,
                (S47 = 'Points-Table'!$A$10), 'Points-Table'!$C$10,
                (S47 = 'Points-Table'!$A$11), 'Points-Table'!$C$11,
                (S47 = 'Points-Table'!$A$12), 'Points-Table'!$C$12,
                (S47 = 'Points-Table'!$A$13), 'Points-Table'!$C$13,
                true, 0
              )
            </f>
      </c>
      <c r="U47" s="11">
        <v>5</v>
      </c>
      <c r="V47" s="12">
        <f>
              Ifs(
                (U47 = 'Points-Table'!$A$4), 'Points-Table'!$C$4,
                (U47 = 'Points-Table'!$A$5), 'Points-Table'!$C$5,
                (U47 = 'Points-Table'!$A$6), 'Points-Table'!$C$6,
                (U47 = 'Points-Table'!$A$7), 'Points-Table'!$C$7,
                (U47 = 'Points-Table'!$A$8), 'Points-Table'!$C$8,
                (U47 = 'Points-Table'!$A$9), 'Points-Table'!$C$9,
                (U47 = 'Points-Table'!$A$10), 'Points-Table'!$C$10,
                (U47 = 'Points-Table'!$A$11), 'Points-Table'!$C$11,
                (U47 = 'Points-Table'!$A$12), 'Points-Table'!$C$12,
                (U47 = 'Points-Table'!$A$13), 'Points-Table'!$C$13,
                true, 0
              )
            </f>
      </c>
      <c r="W47" s="11">
        <v>13</v>
      </c>
      <c r="X47" s="12">
        <f>
              Ifs(
                (W47 = 'Points-Table'!$A$4), 'Points-Table'!$C$4,
                (W47 = 'Points-Table'!$A$5), 'Points-Table'!$C$5,
                (W47 = 'Points-Table'!$A$6), 'Points-Table'!$C$6,
                (W47 = 'Points-Table'!$A$7), 'Points-Table'!$C$7,
                (W47 = 'Points-Table'!$A$8), 'Points-Table'!$C$8,
                (W47 = 'Points-Table'!$A$9), 'Points-Table'!$C$9,
                (W47 = 'Points-Table'!$A$10), 'Points-Table'!$C$10,
                (W47 = 'Points-Table'!$A$11), 'Points-Table'!$C$11,
                (W47 = 'Points-Table'!$A$12), 'Points-Table'!$C$12,
                (W47 = 'Points-Table'!$A$13), 'Points-Table'!$C$13,
                true, 0
              )
            </f>
      </c>
      <c r="Y47" s="11">
        <v>8</v>
      </c>
      <c r="Z47" s="12">
        <f>
              Ifs(
                (Y47 = 'Points-Table'!$A$4), 'Points-Table'!$C$4,
                (Y47 = 'Points-Table'!$A$5), 'Points-Table'!$C$5,
                (Y47 = 'Points-Table'!$A$6), 'Points-Table'!$C$6,
                (Y47 = 'Points-Table'!$A$7), 'Points-Table'!$C$7,
                (Y47 = 'Points-Table'!$A$8), 'Points-Table'!$C$8,
                (Y47 = 'Points-Table'!$A$9), 'Points-Table'!$C$9,
                (Y47 = 'Points-Table'!$A$10), 'Points-Table'!$C$10,
                (Y47 = 'Points-Table'!$A$11), 'Points-Table'!$C$11,
                (Y47 = 'Points-Table'!$A$12), 'Points-Table'!$C$12,
                (Y47 = 'Points-Table'!$A$13), 'Points-Table'!$C$13,
                true, 0
              )
            </f>
      </c>
      <c r="AA47" s="6">
        <f>SUM(V47,X47,Z47)</f>
      </c>
      <c r="AB47" s="6">
        <f>
      Ifs( 
        ISBETWEEN(AA47, 0, 'Points-Table'!C$20, TRUE, False), 'Points-Table'!A$20,
        ISBETWEEN(AA47, 'Points-Table'!C$20, 'Points-Table'!C$21, TRUE, False), 'Points-Table'!A$21,
        ISBETWEEN(AA47, 'Points-Table'!C$22, 10000, TRUE, TRUE), 'Points-Table'!A$22,
        true, 
        0)
      </f>
      </c>
      <c r="AC47" s="6" t="s">
        <v>56</v>
      </c>
      <c r="AD47" s="6" t="s">
        <v>56</v>
      </c>
      <c r="AE47" s="6" t="s">
        <v>56</v>
      </c>
    </row>
    <row r="48" spans="1:31" s="6" customFormat="1" x14ac:dyDescent="0.25">
      <c r="A48" s="6" t="s">
        <v>142</v>
      </c>
      <c r="B48" s="6" t="s">
        <v>152</v>
      </c>
      <c r="D48" s="6"/>
      <c r="E48" s="6"/>
      <c r="F48" s="6"/>
      <c r="G48" s="6"/>
      <c r="H48" s="6"/>
      <c r="I48" s="6"/>
      <c r="J48" s="6"/>
      <c r="K48" s="6" t="s">
        <v>84</v>
      </c>
      <c r="L48" s="6" t="s">
        <v>85</v>
      </c>
      <c r="M48" s="6"/>
      <c r="N48" s="6"/>
      <c r="O48" s="6"/>
      <c r="P48" s="6"/>
      <c r="Q48" s="11"/>
      <c r="R48" s="12">
        <f>
              Ifs(
                (Q48 = 'Points-Table'!$A$4), 'Points-Table'!$C$4,
                (Q48 = 'Points-Table'!$A$5), 'Points-Table'!$C$5,
                (Q48 = 'Points-Table'!$A$6), 'Points-Table'!$C$6,
                (Q48 = 'Points-Table'!$A$7), 'Points-Table'!$C$7,
                (Q48 = 'Points-Table'!$A$8), 'Points-Table'!$C$8,
                (Q48 = 'Points-Table'!$A$9), 'Points-Table'!$C$9,
                (Q48 = 'Points-Table'!$A$10), 'Points-Table'!$C$10,
                (Q48 = 'Points-Table'!$A$11), 'Points-Table'!$C$11,
                (Q48 = 'Points-Table'!$A$12), 'Points-Table'!$C$12,
                (Q48 = 'Points-Table'!$A$13), 'Points-Table'!$C$13,
                true, 0
              )
            </f>
      </c>
      <c r="S48" s="11"/>
      <c r="T48" s="12">
        <f>
              Ifs(
                (S48 = 'Points-Table'!$A$4), 'Points-Table'!$C$4,
                (S48 = 'Points-Table'!$A$5), 'Points-Table'!$C$5,
                (S48 = 'Points-Table'!$A$6), 'Points-Table'!$C$6,
                (S48 = 'Points-Table'!$A$7), 'Points-Table'!$C$7,
                (S48 = 'Points-Table'!$A$8), 'Points-Table'!$C$8,
                (S48 = 'Points-Table'!$A$9), 'Points-Table'!$C$9,
                (S48 = 'Points-Table'!$A$10), 'Points-Table'!$C$10,
                (S48 = 'Points-Table'!$A$11), 'Points-Table'!$C$11,
                (S48 = 'Points-Table'!$A$12), 'Points-Table'!$C$12,
                (S48 = 'Points-Table'!$A$13), 'Points-Table'!$C$13,
                true, 0
              )
            </f>
      </c>
      <c r="U48" s="11">
        <v>5</v>
      </c>
      <c r="V48" s="12">
        <f>
              Ifs(
                (U48 = 'Points-Table'!$A$4), 'Points-Table'!$C$4,
                (U48 = 'Points-Table'!$A$5), 'Points-Table'!$C$5,
                (U48 = 'Points-Table'!$A$6), 'Points-Table'!$C$6,
                (U48 = 'Points-Table'!$A$7), 'Points-Table'!$C$7,
                (U48 = 'Points-Table'!$A$8), 'Points-Table'!$C$8,
                (U48 = 'Points-Table'!$A$9), 'Points-Table'!$C$9,
                (U48 = 'Points-Table'!$A$10), 'Points-Table'!$C$10,
                (U48 = 'Points-Table'!$A$11), 'Points-Table'!$C$11,
                (U48 = 'Points-Table'!$A$12), 'Points-Table'!$C$12,
                (U48 = 'Points-Table'!$A$13), 'Points-Table'!$C$13,
                true, 0
              )
            </f>
      </c>
      <c r="W48" s="11">
        <v>0</v>
      </c>
      <c r="X48" s="12">
        <f>
              Ifs(
                (W48 = 'Points-Table'!$A$4), 'Points-Table'!$C$4,
                (W48 = 'Points-Table'!$A$5), 'Points-Table'!$C$5,
                (W48 = 'Points-Table'!$A$6), 'Points-Table'!$C$6,
                (W48 = 'Points-Table'!$A$7), 'Points-Table'!$C$7,
                (W48 = 'Points-Table'!$A$8), 'Points-Table'!$C$8,
                (W48 = 'Points-Table'!$A$9), 'Points-Table'!$C$9,
                (W48 = 'Points-Table'!$A$10), 'Points-Table'!$C$10,
                (W48 = 'Points-Table'!$A$11), 'Points-Table'!$C$11,
                (W48 = 'Points-Table'!$A$12), 'Points-Table'!$C$12,
                (W48 = 'Points-Table'!$A$13), 'Points-Table'!$C$13,
                true, 0
              )
            </f>
      </c>
      <c r="Y48" s="11">
        <v>5</v>
      </c>
      <c r="Z48" s="12">
        <f>
              Ifs(
                (Y48 = 'Points-Table'!$A$4), 'Points-Table'!$C$4,
                (Y48 = 'Points-Table'!$A$5), 'Points-Table'!$C$5,
                (Y48 = 'Points-Table'!$A$6), 'Points-Table'!$C$6,
                (Y48 = 'Points-Table'!$A$7), 'Points-Table'!$C$7,
                (Y48 = 'Points-Table'!$A$8), 'Points-Table'!$C$8,
                (Y48 = 'Points-Table'!$A$9), 'Points-Table'!$C$9,
                (Y48 = 'Points-Table'!$A$10), 'Points-Table'!$C$10,
                (Y48 = 'Points-Table'!$A$11), 'Points-Table'!$C$11,
                (Y48 = 'Points-Table'!$A$12), 'Points-Table'!$C$12,
                (Y48 = 'Points-Table'!$A$13), 'Points-Table'!$C$13,
                true, 0
              )
            </f>
      </c>
      <c r="AA48" s="6">
        <f>SUM(V48,X48,Z48)</f>
      </c>
      <c r="AB48" s="6">
        <f>
      Ifs( 
        ISBETWEEN(AA48, 0, 'Points-Table'!C$20, TRUE, False), 'Points-Table'!A$20,
        ISBETWEEN(AA48, 'Points-Table'!C$20, 'Points-Table'!C$21, TRUE, False), 'Points-Table'!A$21,
        ISBETWEEN(AA48, 'Points-Table'!C$22, 10000, TRUE, TRUE), 'Points-Table'!A$22,
        true, 
        0)
      </f>
      </c>
      <c r="AC48" s="6" t="s">
        <v>56</v>
      </c>
      <c r="AD48" s="6" t="s">
        <v>56</v>
      </c>
      <c r="AE48" s="6" t="s">
        <v>56</v>
      </c>
    </row>
    <row r="49" spans="1:31" s="6" customFormat="1" x14ac:dyDescent="0.25">
      <c r="A49" s="6" t="s">
        <v>142</v>
      </c>
      <c r="B49" s="6" t="s">
        <v>153</v>
      </c>
      <c r="D49" s="6" t="s">
        <v>154</v>
      </c>
      <c r="E49" s="6"/>
      <c r="F49" s="6" t="s">
        <v>155</v>
      </c>
      <c r="G49" s="6"/>
      <c r="H49" s="6"/>
      <c r="I49" s="6"/>
      <c r="J49" s="6"/>
      <c r="K49" s="6" t="s">
        <v>84</v>
      </c>
      <c r="L49" s="6" t="s">
        <v>85</v>
      </c>
      <c r="M49" s="6"/>
      <c r="N49" s="6"/>
      <c r="O49" s="6"/>
      <c r="P49" s="6"/>
      <c r="Q49" s="11"/>
      <c r="R49" s="12">
        <f>
              Ifs(
                (Q49 = 'Points-Table'!$A$4), 'Points-Table'!$C$4,
                (Q49 = 'Points-Table'!$A$5), 'Points-Table'!$C$5,
                (Q49 = 'Points-Table'!$A$6), 'Points-Table'!$C$6,
                (Q49 = 'Points-Table'!$A$7), 'Points-Table'!$C$7,
                (Q49 = 'Points-Table'!$A$8), 'Points-Table'!$C$8,
                (Q49 = 'Points-Table'!$A$9), 'Points-Table'!$C$9,
                (Q49 = 'Points-Table'!$A$10), 'Points-Table'!$C$10,
                (Q49 = 'Points-Table'!$A$11), 'Points-Table'!$C$11,
                (Q49 = 'Points-Table'!$A$12), 'Points-Table'!$C$12,
                (Q49 = 'Points-Table'!$A$13), 'Points-Table'!$C$13,
                true, 0
              )
            </f>
      </c>
      <c r="S49" s="11"/>
      <c r="T49" s="12">
        <f>
              Ifs(
                (S49 = 'Points-Table'!$A$4), 'Points-Table'!$C$4,
                (S49 = 'Points-Table'!$A$5), 'Points-Table'!$C$5,
                (S49 = 'Points-Table'!$A$6), 'Points-Table'!$C$6,
                (S49 = 'Points-Table'!$A$7), 'Points-Table'!$C$7,
                (S49 = 'Points-Table'!$A$8), 'Points-Table'!$C$8,
                (S49 = 'Points-Table'!$A$9), 'Points-Table'!$C$9,
                (S49 = 'Points-Table'!$A$10), 'Points-Table'!$C$10,
                (S49 = 'Points-Table'!$A$11), 'Points-Table'!$C$11,
                (S49 = 'Points-Table'!$A$12), 'Points-Table'!$C$12,
                (S49 = 'Points-Table'!$A$13), 'Points-Table'!$C$13,
                true, 0
              )
            </f>
      </c>
      <c r="U49" s="11">
        <v>2</v>
      </c>
      <c r="V49" s="12">
        <f>
              Ifs(
                (U49 = 'Points-Table'!$A$4), 'Points-Table'!$C$4,
                (U49 = 'Points-Table'!$A$5), 'Points-Table'!$C$5,
                (U49 = 'Points-Table'!$A$6), 'Points-Table'!$C$6,
                (U49 = 'Points-Table'!$A$7), 'Points-Table'!$C$7,
                (U49 = 'Points-Table'!$A$8), 'Points-Table'!$C$8,
                (U49 = 'Points-Table'!$A$9), 'Points-Table'!$C$9,
                (U49 = 'Points-Table'!$A$10), 'Points-Table'!$C$10,
                (U49 = 'Points-Table'!$A$11), 'Points-Table'!$C$11,
                (U49 = 'Points-Table'!$A$12), 'Points-Table'!$C$12,
                (U49 = 'Points-Table'!$A$13), 'Points-Table'!$C$13,
                true, 0
              )
            </f>
      </c>
      <c r="W49" s="11">
        <v>2</v>
      </c>
      <c r="X49" s="12">
        <f>
              Ifs(
                (W49 = 'Points-Table'!$A$4), 'Points-Table'!$C$4,
                (W49 = 'Points-Table'!$A$5), 'Points-Table'!$C$5,
                (W49 = 'Points-Table'!$A$6), 'Points-Table'!$C$6,
                (W49 = 'Points-Table'!$A$7), 'Points-Table'!$C$7,
                (W49 = 'Points-Table'!$A$8), 'Points-Table'!$C$8,
                (W49 = 'Points-Table'!$A$9), 'Points-Table'!$C$9,
                (W49 = 'Points-Table'!$A$10), 'Points-Table'!$C$10,
                (W49 = 'Points-Table'!$A$11), 'Points-Table'!$C$11,
                (W49 = 'Points-Table'!$A$12), 'Points-Table'!$C$12,
                (W49 = 'Points-Table'!$A$13), 'Points-Table'!$C$13,
                true, 0
              )
            </f>
      </c>
      <c r="Y49" s="11">
        <v>8</v>
      </c>
      <c r="Z49" s="12">
        <f>
              Ifs(
                (Y49 = 'Points-Table'!$A$4), 'Points-Table'!$C$4,
                (Y49 = 'Points-Table'!$A$5), 'Points-Table'!$C$5,
                (Y49 = 'Points-Table'!$A$6), 'Points-Table'!$C$6,
                (Y49 = 'Points-Table'!$A$7), 'Points-Table'!$C$7,
                (Y49 = 'Points-Table'!$A$8), 'Points-Table'!$C$8,
                (Y49 = 'Points-Table'!$A$9), 'Points-Table'!$C$9,
                (Y49 = 'Points-Table'!$A$10), 'Points-Table'!$C$10,
                (Y49 = 'Points-Table'!$A$11), 'Points-Table'!$C$11,
                (Y49 = 'Points-Table'!$A$12), 'Points-Table'!$C$12,
                (Y49 = 'Points-Table'!$A$13), 'Points-Table'!$C$13,
                true, 0
              )
            </f>
      </c>
      <c r="AA49" s="6">
        <f>SUM(V49,X49,Z49)</f>
      </c>
      <c r="AB49" s="6">
        <f>
      Ifs( 
        ISBETWEEN(AA49, 0, 'Points-Table'!C$20, TRUE, False), 'Points-Table'!A$20,
        ISBETWEEN(AA49, 'Points-Table'!C$20, 'Points-Table'!C$21, TRUE, False), 'Points-Table'!A$21,
        ISBETWEEN(AA49, 'Points-Table'!C$22, 10000, TRUE, TRUE), 'Points-Table'!A$22,
        true, 
        0)
      </f>
      </c>
      <c r="AC49" s="6" t="s">
        <v>56</v>
      </c>
      <c r="AD49" s="6" t="s">
        <v>56</v>
      </c>
      <c r="AE49" s="6" t="s">
        <v>56</v>
      </c>
    </row>
    <row r="50" spans="1:31" s="13" customFormat="1" x14ac:dyDescent="0.25">
      <c r="A50" s="13" t="s">
        <v>142</v>
      </c>
      <c r="B50" s="13" t="s">
        <v>156</v>
      </c>
      <c r="D50" s="13"/>
      <c r="E50" s="13"/>
      <c r="F50" s="13"/>
      <c r="G50" s="13"/>
      <c r="H50" s="13"/>
      <c r="I50" s="13"/>
      <c r="J50" s="13"/>
      <c r="K50" s="13" t="s">
        <v>84</v>
      </c>
      <c r="L50" s="13" t="s">
        <v>85</v>
      </c>
      <c r="M50" s="13"/>
      <c r="N50" s="13"/>
      <c r="O50" s="13"/>
      <c r="P50" s="13"/>
      <c r="Q50" s="13"/>
      <c r="R50" s="13">
        <f>
              Ifs(
                (Q50 = 'Points-Table'!$A$4), 'Points-Table'!$C$4,
                (Q50 = 'Points-Table'!$A$5), 'Points-Table'!$C$5,
                (Q50 = 'Points-Table'!$A$6), 'Points-Table'!$C$6,
                (Q50 = 'Points-Table'!$A$7), 'Points-Table'!$C$7,
                (Q50 = 'Points-Table'!$A$8), 'Points-Table'!$C$8,
                (Q50 = 'Points-Table'!$A$9), 'Points-Table'!$C$9,
                (Q50 = 'Points-Table'!$A$10), 'Points-Table'!$C$10,
                (Q50 = 'Points-Table'!$A$11), 'Points-Table'!$C$11,
                (Q50 = 'Points-Table'!$A$12), 'Points-Table'!$C$12,
                (Q50 = 'Points-Table'!$A$13), 'Points-Table'!$C$13,
                true, 0
              )
            </f>
      </c>
      <c r="S50" s="13"/>
      <c r="T50" s="13">
        <f>
              Ifs(
                (S50 = 'Points-Table'!$A$4), 'Points-Table'!$C$4,
                (S50 = 'Points-Table'!$A$5), 'Points-Table'!$C$5,
                (S50 = 'Points-Table'!$A$6), 'Points-Table'!$C$6,
                (S50 = 'Points-Table'!$A$7), 'Points-Table'!$C$7,
                (S50 = 'Points-Table'!$A$8), 'Points-Table'!$C$8,
                (S50 = 'Points-Table'!$A$9), 'Points-Table'!$C$9,
                (S50 = 'Points-Table'!$A$10), 'Points-Table'!$C$10,
                (S50 = 'Points-Table'!$A$11), 'Points-Table'!$C$11,
                (S50 = 'Points-Table'!$A$12), 'Points-Table'!$C$12,
                (S50 = 'Points-Table'!$A$13), 'Points-Table'!$C$13,
                true, 0
              )
            </f>
      </c>
      <c r="U50" s="13">
        <v>5</v>
      </c>
      <c r="V50" s="13">
        <f>
              Ifs(
                (U50 = 'Points-Table'!$A$4), 'Points-Table'!$C$4,
                (U50 = 'Points-Table'!$A$5), 'Points-Table'!$C$5,
                (U50 = 'Points-Table'!$A$6), 'Points-Table'!$C$6,
                (U50 = 'Points-Table'!$A$7), 'Points-Table'!$C$7,
                (U50 = 'Points-Table'!$A$8), 'Points-Table'!$C$8,
                (U50 = 'Points-Table'!$A$9), 'Points-Table'!$C$9,
                (U50 = 'Points-Table'!$A$10), 'Points-Table'!$C$10,
                (U50 = 'Points-Table'!$A$11), 'Points-Table'!$C$11,
                (U50 = 'Points-Table'!$A$12), 'Points-Table'!$C$12,
                (U50 = 'Points-Table'!$A$13), 'Points-Table'!$C$13,
                true, 0
              )
            </f>
      </c>
      <c r="W50" s="13">
        <v>3</v>
      </c>
      <c r="X50" s="13">
        <f>
              Ifs(
                (W50 = 'Points-Table'!$A$4), 'Points-Table'!$C$4,
                (W50 = 'Points-Table'!$A$5), 'Points-Table'!$C$5,
                (W50 = 'Points-Table'!$A$6), 'Points-Table'!$C$6,
                (W50 = 'Points-Table'!$A$7), 'Points-Table'!$C$7,
                (W50 = 'Points-Table'!$A$8), 'Points-Table'!$C$8,
                (W50 = 'Points-Table'!$A$9), 'Points-Table'!$C$9,
                (W50 = 'Points-Table'!$A$10), 'Points-Table'!$C$10,
                (W50 = 'Points-Table'!$A$11), 'Points-Table'!$C$11,
                (W50 = 'Points-Table'!$A$12), 'Points-Table'!$C$12,
                (W50 = 'Points-Table'!$A$13), 'Points-Table'!$C$13,
                true, 0
              )
            </f>
      </c>
      <c r="Y50" s="13">
        <v>5</v>
      </c>
      <c r="Z50" s="13">
        <f>
              Ifs(
                (Y50 = 'Points-Table'!$A$4), 'Points-Table'!$C$4,
                (Y50 = 'Points-Table'!$A$5), 'Points-Table'!$C$5,
                (Y50 = 'Points-Table'!$A$6), 'Points-Table'!$C$6,
                (Y50 = 'Points-Table'!$A$7), 'Points-Table'!$C$7,
                (Y50 = 'Points-Table'!$A$8), 'Points-Table'!$C$8,
                (Y50 = 'Points-Table'!$A$9), 'Points-Table'!$C$9,
                (Y50 = 'Points-Table'!$A$10), 'Points-Table'!$C$10,
                (Y50 = 'Points-Table'!$A$11), 'Points-Table'!$C$11,
                (Y50 = 'Points-Table'!$A$12), 'Points-Table'!$C$12,
                (Y50 = 'Points-Table'!$A$13), 'Points-Table'!$C$13,
                true, 0
              )
            </f>
      </c>
      <c r="AA50" s="13">
        <f>SUM(V50,X50,Z50)</f>
      </c>
      <c r="AB50" s="13">
        <f>
      Ifs( 
        ISBETWEEN(AA50, 0, 'Points-Table'!C$20, TRUE, False), 'Points-Table'!A$20,
        ISBETWEEN(AA50, 'Points-Table'!C$20, 'Points-Table'!C$21, TRUE, False), 'Points-Table'!A$21,
        ISBETWEEN(AA50, 'Points-Table'!C$22, 10000, TRUE, TRUE), 'Points-Table'!A$22,
        true, 
        0)
      </f>
      </c>
      <c r="AC50" s="13" t="s">
        <v>56</v>
      </c>
      <c r="AD50" s="13" t="s">
        <v>56</v>
      </c>
      <c r="AE50" s="13" t="s">
        <v>56</v>
      </c>
    </row>
    <row r="51" spans="1:31" s="13" customFormat="1" x14ac:dyDescent="0.25">
      <c r="A51" s="13" t="s">
        <v>157</v>
      </c>
      <c r="B51" s="13" t="s">
        <v>158</v>
      </c>
      <c r="D51" s="13" t="s">
        <v>159</v>
      </c>
      <c r="E51" s="13"/>
      <c r="F51" s="13"/>
      <c r="G51" s="13"/>
      <c r="H51" s="13"/>
      <c r="I51" s="13"/>
      <c r="J51" s="13"/>
      <c r="K51" s="13" t="s">
        <v>84</v>
      </c>
      <c r="L51" s="13" t="s">
        <v>85</v>
      </c>
      <c r="M51" s="13"/>
      <c r="N51" s="13"/>
      <c r="O51" s="13"/>
      <c r="P51" s="13"/>
      <c r="Q51" s="13">
        <v>1</v>
      </c>
      <c r="R51" s="13">
        <f>
              Ifs(
                (Q51 = 'Points-Table'!$A$4), 'Points-Table'!$C$4,
                (Q51 = 'Points-Table'!$A$5), 'Points-Table'!$C$5,
                (Q51 = 'Points-Table'!$A$6), 'Points-Table'!$C$6,
                (Q51 = 'Points-Table'!$A$7), 'Points-Table'!$C$7,
                (Q51 = 'Points-Table'!$A$8), 'Points-Table'!$C$8,
                (Q51 = 'Points-Table'!$A$9), 'Points-Table'!$C$9,
                (Q51 = 'Points-Table'!$A$10), 'Points-Table'!$C$10,
                (Q51 = 'Points-Table'!$A$11), 'Points-Table'!$C$11,
                (Q51 = 'Points-Table'!$A$12), 'Points-Table'!$C$12,
                (Q51 = 'Points-Table'!$A$13), 'Points-Table'!$C$13,
                true, 0
              )
            </f>
      </c>
      <c r="S51" s="13">
        <v>3</v>
      </c>
      <c r="T51" s="13">
        <f>
              Ifs(
                (S51 = 'Points-Table'!$A$4), 'Points-Table'!$C$4,
                (S51 = 'Points-Table'!$A$5), 'Points-Table'!$C$5,
                (S51 = 'Points-Table'!$A$6), 'Points-Table'!$C$6,
                (S51 = 'Points-Table'!$A$7), 'Points-Table'!$C$7,
                (S51 = 'Points-Table'!$A$8), 'Points-Table'!$C$8,
                (S51 = 'Points-Table'!$A$9), 'Points-Table'!$C$9,
                (S51 = 'Points-Table'!$A$10), 'Points-Table'!$C$10,
                (S51 = 'Points-Table'!$A$11), 'Points-Table'!$C$11,
                (S51 = 'Points-Table'!$A$12), 'Points-Table'!$C$12,
                (S51 = 'Points-Table'!$A$13), 'Points-Table'!$C$13,
                true, 0
              )
            </f>
      </c>
      <c r="U51" s="13">
        <v>2</v>
      </c>
      <c r="V51" s="13">
        <f>
              Ifs(
                (U51 = 'Points-Table'!$A$4), 'Points-Table'!$C$4,
                (U51 = 'Points-Table'!$A$5), 'Points-Table'!$C$5,
                (U51 = 'Points-Table'!$A$6), 'Points-Table'!$C$6,
                (U51 = 'Points-Table'!$A$7), 'Points-Table'!$C$7,
                (U51 = 'Points-Table'!$A$8), 'Points-Table'!$C$8,
                (U51 = 'Points-Table'!$A$9), 'Points-Table'!$C$9,
                (U51 = 'Points-Table'!$A$10), 'Points-Table'!$C$10,
                (U51 = 'Points-Table'!$A$11), 'Points-Table'!$C$11,
                (U51 = 'Points-Table'!$A$12), 'Points-Table'!$C$12,
                (U51 = 'Points-Table'!$A$13), 'Points-Table'!$C$13,
                true, 0
              )
            </f>
      </c>
      <c r="W51" s="13">
        <v>2</v>
      </c>
      <c r="X51" s="13">
        <f>
              Ifs(
                (W51 = 'Points-Table'!$A$4), 'Points-Table'!$C$4,
                (W51 = 'Points-Table'!$A$5), 'Points-Table'!$C$5,
                (W51 = 'Points-Table'!$A$6), 'Points-Table'!$C$6,
                (W51 = 'Points-Table'!$A$7), 'Points-Table'!$C$7,
                (W51 = 'Points-Table'!$A$8), 'Points-Table'!$C$8,
                (W51 = 'Points-Table'!$A$9), 'Points-Table'!$C$9,
                (W51 = 'Points-Table'!$A$10), 'Points-Table'!$C$10,
                (W51 = 'Points-Table'!$A$11), 'Points-Table'!$C$11,
                (W51 = 'Points-Table'!$A$12), 'Points-Table'!$C$12,
                (W51 = 'Points-Table'!$A$13), 'Points-Table'!$C$13,
                true, 0
              )
            </f>
      </c>
      <c r="Y51" s="13">
        <v>13</v>
      </c>
      <c r="Z51" s="13">
        <f>
              Ifs(
                (Y51 = 'Points-Table'!$A$4), 'Points-Table'!$C$4,
                (Y51 = 'Points-Table'!$A$5), 'Points-Table'!$C$5,
                (Y51 = 'Points-Table'!$A$6), 'Points-Table'!$C$6,
                (Y51 = 'Points-Table'!$A$7), 'Points-Table'!$C$7,
                (Y51 = 'Points-Table'!$A$8), 'Points-Table'!$C$8,
                (Y51 = 'Points-Table'!$A$9), 'Points-Table'!$C$9,
                (Y51 = 'Points-Table'!$A$10), 'Points-Table'!$C$10,
                (Y51 = 'Points-Table'!$A$11), 'Points-Table'!$C$11,
                (Y51 = 'Points-Table'!$A$12), 'Points-Table'!$C$12,
                (Y51 = 'Points-Table'!$A$13), 'Points-Table'!$C$13,
                true, 0
              )
            </f>
      </c>
      <c r="AA51" s="13">
        <f>SUM(V51,X51,Z51)</f>
      </c>
      <c r="AB51" s="13">
        <f>
      Ifs( 
        ISBETWEEN(AA51, 0, 'Points-Table'!C$20, TRUE, False), 'Points-Table'!A$20,
        ISBETWEEN(AA51, 'Points-Table'!C$20, 'Points-Table'!C$21, TRUE, False), 'Points-Table'!A$21,
        ISBETWEEN(AA51, 'Points-Table'!C$22, 10000, TRUE, TRUE), 'Points-Table'!A$22,
        true, 
        0)
      </f>
      </c>
      <c r="AC51" s="13" t="s">
        <v>56</v>
      </c>
      <c r="AD51" s="13" t="s">
        <v>56</v>
      </c>
      <c r="AE51" s="13" t="s">
        <v>56</v>
      </c>
    </row>
    <row r="52" spans="1:31" s="13" customFormat="1" x14ac:dyDescent="0.25">
      <c r="A52" s="13" t="s">
        <v>157</v>
      </c>
      <c r="B52" s="13" t="s">
        <v>160</v>
      </c>
      <c r="D52" s="13" t="s">
        <v>161</v>
      </c>
      <c r="E52" s="13"/>
      <c r="F52" s="13"/>
      <c r="G52" s="13"/>
      <c r="H52" s="13"/>
      <c r="I52" s="13"/>
      <c r="J52" s="13"/>
      <c r="K52" s="13" t="s">
        <v>84</v>
      </c>
      <c r="L52" s="13" t="s">
        <v>85</v>
      </c>
      <c r="M52" s="13"/>
      <c r="N52" s="13"/>
      <c r="O52" s="13"/>
      <c r="P52" s="13"/>
      <c r="Q52" s="13">
        <v>1</v>
      </c>
      <c r="R52" s="13">
        <f>
              Ifs(
                (Q52 = 'Points-Table'!$A$4), 'Points-Table'!$C$4,
                (Q52 = 'Points-Table'!$A$5), 'Points-Table'!$C$5,
                (Q52 = 'Points-Table'!$A$6), 'Points-Table'!$C$6,
                (Q52 = 'Points-Table'!$A$7), 'Points-Table'!$C$7,
                (Q52 = 'Points-Table'!$A$8), 'Points-Table'!$C$8,
                (Q52 = 'Points-Table'!$A$9), 'Points-Table'!$C$9,
                (Q52 = 'Points-Table'!$A$10), 'Points-Table'!$C$10,
                (Q52 = 'Points-Table'!$A$11), 'Points-Table'!$C$11,
                (Q52 = 'Points-Table'!$A$12), 'Points-Table'!$C$12,
                (Q52 = 'Points-Table'!$A$13), 'Points-Table'!$C$13,
                true, 0
              )
            </f>
      </c>
      <c r="S52" s="13">
        <v>3</v>
      </c>
      <c r="T52" s="13">
        <f>
              Ifs(
                (S52 = 'Points-Table'!$A$4), 'Points-Table'!$C$4,
                (S52 = 'Points-Table'!$A$5), 'Points-Table'!$C$5,
                (S52 = 'Points-Table'!$A$6), 'Points-Table'!$C$6,
                (S52 = 'Points-Table'!$A$7), 'Points-Table'!$C$7,
                (S52 = 'Points-Table'!$A$8), 'Points-Table'!$C$8,
                (S52 = 'Points-Table'!$A$9), 'Points-Table'!$C$9,
                (S52 = 'Points-Table'!$A$10), 'Points-Table'!$C$10,
                (S52 = 'Points-Table'!$A$11), 'Points-Table'!$C$11,
                (S52 = 'Points-Table'!$A$12), 'Points-Table'!$C$12,
                (S52 = 'Points-Table'!$A$13), 'Points-Table'!$C$13,
                true, 0
              )
            </f>
      </c>
      <c r="U52" s="13">
        <v>3</v>
      </c>
      <c r="V52" s="13">
        <f>
              Ifs(
                (U52 = 'Points-Table'!$A$4), 'Points-Table'!$C$4,
                (U52 = 'Points-Table'!$A$5), 'Points-Table'!$C$5,
                (U52 = 'Points-Table'!$A$6), 'Points-Table'!$C$6,
                (U52 = 'Points-Table'!$A$7), 'Points-Table'!$C$7,
                (U52 = 'Points-Table'!$A$8), 'Points-Table'!$C$8,
                (U52 = 'Points-Table'!$A$9), 'Points-Table'!$C$9,
                (U52 = 'Points-Table'!$A$10), 'Points-Table'!$C$10,
                (U52 = 'Points-Table'!$A$11), 'Points-Table'!$C$11,
                (U52 = 'Points-Table'!$A$12), 'Points-Table'!$C$12,
                (U52 = 'Points-Table'!$A$13), 'Points-Table'!$C$13,
                true, 0
              )
            </f>
      </c>
      <c r="W52" s="13">
        <v>1</v>
      </c>
      <c r="X52" s="13">
        <f>
              Ifs(
                (W52 = 'Points-Table'!$A$4), 'Points-Table'!$C$4,
                (W52 = 'Points-Table'!$A$5), 'Points-Table'!$C$5,
                (W52 = 'Points-Table'!$A$6), 'Points-Table'!$C$6,
                (W52 = 'Points-Table'!$A$7), 'Points-Table'!$C$7,
                (W52 = 'Points-Table'!$A$8), 'Points-Table'!$C$8,
                (W52 = 'Points-Table'!$A$9), 'Points-Table'!$C$9,
                (W52 = 'Points-Table'!$A$10), 'Points-Table'!$C$10,
                (W52 = 'Points-Table'!$A$11), 'Points-Table'!$C$11,
                (W52 = 'Points-Table'!$A$12), 'Points-Table'!$C$12,
                (W52 = 'Points-Table'!$A$13), 'Points-Table'!$C$13,
                true, 0
              )
            </f>
      </c>
      <c r="Y52" s="13">
        <v>8</v>
      </c>
      <c r="Z52" s="13">
        <f>
              Ifs(
                (Y52 = 'Points-Table'!$A$4), 'Points-Table'!$C$4,
                (Y52 = 'Points-Table'!$A$5), 'Points-Table'!$C$5,
                (Y52 = 'Points-Table'!$A$6), 'Points-Table'!$C$6,
                (Y52 = 'Points-Table'!$A$7), 'Points-Table'!$C$7,
                (Y52 = 'Points-Table'!$A$8), 'Points-Table'!$C$8,
                (Y52 = 'Points-Table'!$A$9), 'Points-Table'!$C$9,
                (Y52 = 'Points-Table'!$A$10), 'Points-Table'!$C$10,
                (Y52 = 'Points-Table'!$A$11), 'Points-Table'!$C$11,
                (Y52 = 'Points-Table'!$A$12), 'Points-Table'!$C$12,
                (Y52 = 'Points-Table'!$A$13), 'Points-Table'!$C$13,
                true, 0
              )
            </f>
      </c>
      <c r="AA52" s="13">
        <f>SUM(V52,X52,Z52)</f>
      </c>
      <c r="AB52" s="13">
        <f>
      Ifs( 
        ISBETWEEN(AA52, 0, 'Points-Table'!C$20, TRUE, False), 'Points-Table'!A$20,
        ISBETWEEN(AA52, 'Points-Table'!C$20, 'Points-Table'!C$21, TRUE, False), 'Points-Table'!A$21,
        ISBETWEEN(AA52, 'Points-Table'!C$22, 10000, TRUE, TRUE), 'Points-Table'!A$22,
        true, 
        0)
      </f>
      </c>
      <c r="AC52" s="13" t="s">
        <v>56</v>
      </c>
      <c r="AD52" s="13" t="s">
        <v>56</v>
      </c>
      <c r="AE52" s="13" t="s">
        <v>56</v>
      </c>
    </row>
    <row r="53" spans="1:31" s="6" customFormat="1" x14ac:dyDescent="0.25">
      <c r="A53" s="6" t="s">
        <v>162</v>
      </c>
      <c r="D53" s="6" t="s">
        <v>163</v>
      </c>
      <c r="E53" s="6"/>
      <c r="F53" s="6"/>
      <c r="G53" s="6"/>
      <c r="H53" s="6"/>
      <c r="I53" s="6"/>
      <c r="J53" s="6"/>
      <c r="K53" s="6" t="s">
        <v>84</v>
      </c>
      <c r="L53" s="6" t="s">
        <v>85</v>
      </c>
      <c r="M53" s="6"/>
      <c r="N53" s="6"/>
      <c r="O53" s="6"/>
      <c r="P53" s="6"/>
      <c r="Q53" s="11">
        <v>2</v>
      </c>
      <c r="R53" s="12">
        <f>
              Ifs(
                (Q53 = 'Points-Table'!$A$4), 'Points-Table'!$C$4,
                (Q53 = 'Points-Table'!$A$5), 'Points-Table'!$C$5,
                (Q53 = 'Points-Table'!$A$6), 'Points-Table'!$C$6,
                (Q53 = 'Points-Table'!$A$7), 'Points-Table'!$C$7,
                (Q53 = 'Points-Table'!$A$8), 'Points-Table'!$C$8,
                (Q53 = 'Points-Table'!$A$9), 'Points-Table'!$C$9,
                (Q53 = 'Points-Table'!$A$10), 'Points-Table'!$C$10,
                (Q53 = 'Points-Table'!$A$11), 'Points-Table'!$C$11,
                (Q53 = 'Points-Table'!$A$12), 'Points-Table'!$C$12,
                (Q53 = 'Points-Table'!$A$13), 'Points-Table'!$C$13,
                true, 0
              )
            </f>
      </c>
      <c r="S53" s="11">
        <v>2</v>
      </c>
      <c r="T53" s="12">
        <f>
              Ifs(
                (S53 = 'Points-Table'!$A$4), 'Points-Table'!$C$4,
                (S53 = 'Points-Table'!$A$5), 'Points-Table'!$C$5,
                (S53 = 'Points-Table'!$A$6), 'Points-Table'!$C$6,
                (S53 = 'Points-Table'!$A$7), 'Points-Table'!$C$7,
                (S53 = 'Points-Table'!$A$8), 'Points-Table'!$C$8,
                (S53 = 'Points-Table'!$A$9), 'Points-Table'!$C$9,
                (S53 = 'Points-Table'!$A$10), 'Points-Table'!$C$10,
                (S53 = 'Points-Table'!$A$11), 'Points-Table'!$C$11,
                (S53 = 'Points-Table'!$A$12), 'Points-Table'!$C$12,
                (S53 = 'Points-Table'!$A$13), 'Points-Table'!$C$13,
                true, 0
              )
            </f>
      </c>
      <c r="U53" s="11">
        <v>3</v>
      </c>
      <c r="V53" s="12">
        <f>
              Ifs(
                (U53 = 'Points-Table'!$A$4), 'Points-Table'!$C$4,
                (U53 = 'Points-Table'!$A$5), 'Points-Table'!$C$5,
                (U53 = 'Points-Table'!$A$6), 'Points-Table'!$C$6,
                (U53 = 'Points-Table'!$A$7), 'Points-Table'!$C$7,
                (U53 = 'Points-Table'!$A$8), 'Points-Table'!$C$8,
                (U53 = 'Points-Table'!$A$9), 'Points-Table'!$C$9,
                (U53 = 'Points-Table'!$A$10), 'Points-Table'!$C$10,
                (U53 = 'Points-Table'!$A$11), 'Points-Table'!$C$11,
                (U53 = 'Points-Table'!$A$12), 'Points-Table'!$C$12,
                (U53 = 'Points-Table'!$A$13), 'Points-Table'!$C$13,
                true, 0
              )
            </f>
      </c>
      <c r="W53" s="11">
        <v>2</v>
      </c>
      <c r="X53" s="12">
        <f>
              Ifs(
                (W53 = 'Points-Table'!$A$4), 'Points-Table'!$C$4,
                (W53 = 'Points-Table'!$A$5), 'Points-Table'!$C$5,
                (W53 = 'Points-Table'!$A$6), 'Points-Table'!$C$6,
                (W53 = 'Points-Table'!$A$7), 'Points-Table'!$C$7,
                (W53 = 'Points-Table'!$A$8), 'Points-Table'!$C$8,
                (W53 = 'Points-Table'!$A$9), 'Points-Table'!$C$9,
                (W53 = 'Points-Table'!$A$10), 'Points-Table'!$C$10,
                (W53 = 'Points-Table'!$A$11), 'Points-Table'!$C$11,
                (W53 = 'Points-Table'!$A$12), 'Points-Table'!$C$12,
                (W53 = 'Points-Table'!$A$13), 'Points-Table'!$C$13,
                true, 0
              )
            </f>
      </c>
      <c r="Y53" s="11">
        <v>3</v>
      </c>
      <c r="Z53" s="12">
        <f>
              Ifs(
                (Y53 = 'Points-Table'!$A$4), 'Points-Table'!$C$4,
                (Y53 = 'Points-Table'!$A$5), 'Points-Table'!$C$5,
                (Y53 = 'Points-Table'!$A$6), 'Points-Table'!$C$6,
                (Y53 = 'Points-Table'!$A$7), 'Points-Table'!$C$7,
                (Y53 = 'Points-Table'!$A$8), 'Points-Table'!$C$8,
                (Y53 = 'Points-Table'!$A$9), 'Points-Table'!$C$9,
                (Y53 = 'Points-Table'!$A$10), 'Points-Table'!$C$10,
                (Y53 = 'Points-Table'!$A$11), 'Points-Table'!$C$11,
                (Y53 = 'Points-Table'!$A$12), 'Points-Table'!$C$12,
                (Y53 = 'Points-Table'!$A$13), 'Points-Table'!$C$13,
                true, 0
              )
            </f>
      </c>
      <c r="AA53" s="6">
        <f>SUM(V53,X53,Z53)</f>
      </c>
      <c r="AB53" s="6">
        <f>
      Ifs( 
        ISBETWEEN(AA53, 0, 'Points-Table'!C$20, TRUE, False), 'Points-Table'!A$20,
        ISBETWEEN(AA53, 'Points-Table'!C$20, 'Points-Table'!C$21, TRUE, False), 'Points-Table'!A$21,
        ISBETWEEN(AA53, 'Points-Table'!C$22, 10000, TRUE, TRUE), 'Points-Table'!A$22,
        true, 
        0)
      </f>
      </c>
      <c r="AC53" s="6" t="s">
        <v>56</v>
      </c>
      <c r="AD53" s="6" t="s">
        <v>56</v>
      </c>
      <c r="AE53" s="6" t="s">
        <v>56</v>
      </c>
    </row>
    <row r="54" spans="1:31" s="6" customFormat="1" x14ac:dyDescent="0.25">
      <c r="A54" s="6" t="s">
        <v>164</v>
      </c>
      <c r="D54" s="6" t="s">
        <v>165</v>
      </c>
      <c r="E54" s="6"/>
      <c r="F54" s="6" t="s">
        <v>166</v>
      </c>
      <c r="G54" s="6"/>
      <c r="H54" s="6"/>
      <c r="I54" s="6"/>
      <c r="J54" s="6"/>
      <c r="K54" s="6" t="s">
        <v>84</v>
      </c>
      <c r="L54" s="6" t="s">
        <v>85</v>
      </c>
      <c r="M54" s="6"/>
      <c r="N54" s="6"/>
      <c r="O54" s="6"/>
      <c r="P54" s="6"/>
      <c r="Q54" s="11">
        <v>3</v>
      </c>
      <c r="R54" s="12">
        <f>
              Ifs(
                (Q54 = 'Points-Table'!$A$4), 'Points-Table'!$C$4,
                (Q54 = 'Points-Table'!$A$5), 'Points-Table'!$C$5,
                (Q54 = 'Points-Table'!$A$6), 'Points-Table'!$C$6,
                (Q54 = 'Points-Table'!$A$7), 'Points-Table'!$C$7,
                (Q54 = 'Points-Table'!$A$8), 'Points-Table'!$C$8,
                (Q54 = 'Points-Table'!$A$9), 'Points-Table'!$C$9,
                (Q54 = 'Points-Table'!$A$10), 'Points-Table'!$C$10,
                (Q54 = 'Points-Table'!$A$11), 'Points-Table'!$C$11,
                (Q54 = 'Points-Table'!$A$12), 'Points-Table'!$C$12,
                (Q54 = 'Points-Table'!$A$13), 'Points-Table'!$C$13,
                true, 0
              )
            </f>
      </c>
      <c r="S54" s="11">
        <v>3</v>
      </c>
      <c r="T54" s="12">
        <f>
              Ifs(
                (S54 = 'Points-Table'!$A$4), 'Points-Table'!$C$4,
                (S54 = 'Points-Table'!$A$5), 'Points-Table'!$C$5,
                (S54 = 'Points-Table'!$A$6), 'Points-Table'!$C$6,
                (S54 = 'Points-Table'!$A$7), 'Points-Table'!$C$7,
                (S54 = 'Points-Table'!$A$8), 'Points-Table'!$C$8,
                (S54 = 'Points-Table'!$A$9), 'Points-Table'!$C$9,
                (S54 = 'Points-Table'!$A$10), 'Points-Table'!$C$10,
                (S54 = 'Points-Table'!$A$11), 'Points-Table'!$C$11,
                (S54 = 'Points-Table'!$A$12), 'Points-Table'!$C$12,
                (S54 = 'Points-Table'!$A$13), 'Points-Table'!$C$13,
                true, 0
              )
            </f>
      </c>
      <c r="U54" s="11">
        <v>8</v>
      </c>
      <c r="V54" s="12">
        <f>
              Ifs(
                (U54 = 'Points-Table'!$A$4), 'Points-Table'!$C$4,
                (U54 = 'Points-Table'!$A$5), 'Points-Table'!$C$5,
                (U54 = 'Points-Table'!$A$6), 'Points-Table'!$C$6,
                (U54 = 'Points-Table'!$A$7), 'Points-Table'!$C$7,
                (U54 = 'Points-Table'!$A$8), 'Points-Table'!$C$8,
                (U54 = 'Points-Table'!$A$9), 'Points-Table'!$C$9,
                (U54 = 'Points-Table'!$A$10), 'Points-Table'!$C$10,
                (U54 = 'Points-Table'!$A$11), 'Points-Table'!$C$11,
                (U54 = 'Points-Table'!$A$12), 'Points-Table'!$C$12,
                (U54 = 'Points-Table'!$A$13), 'Points-Table'!$C$13,
                true, 0
              )
            </f>
      </c>
      <c r="W54" s="11">
        <v>5</v>
      </c>
      <c r="X54" s="12">
        <f>
              Ifs(
                (W54 = 'Points-Table'!$A$4), 'Points-Table'!$C$4,
                (W54 = 'Points-Table'!$A$5), 'Points-Table'!$C$5,
                (W54 = 'Points-Table'!$A$6), 'Points-Table'!$C$6,
                (W54 = 'Points-Table'!$A$7), 'Points-Table'!$C$7,
                (W54 = 'Points-Table'!$A$8), 'Points-Table'!$C$8,
                (W54 = 'Points-Table'!$A$9), 'Points-Table'!$C$9,
                (W54 = 'Points-Table'!$A$10), 'Points-Table'!$C$10,
                (W54 = 'Points-Table'!$A$11), 'Points-Table'!$C$11,
                (W54 = 'Points-Table'!$A$12), 'Points-Table'!$C$12,
                (W54 = 'Points-Table'!$A$13), 'Points-Table'!$C$13,
                true, 0
              )
            </f>
      </c>
      <c r="Y54" s="11">
        <v>8</v>
      </c>
      <c r="Z54" s="12">
        <f>
              Ifs(
                (Y54 = 'Points-Table'!$A$4), 'Points-Table'!$C$4,
                (Y54 = 'Points-Table'!$A$5), 'Points-Table'!$C$5,
                (Y54 = 'Points-Table'!$A$6), 'Points-Table'!$C$6,
                (Y54 = 'Points-Table'!$A$7), 'Points-Table'!$C$7,
                (Y54 = 'Points-Table'!$A$8), 'Points-Table'!$C$8,
                (Y54 = 'Points-Table'!$A$9), 'Points-Table'!$C$9,
                (Y54 = 'Points-Table'!$A$10), 'Points-Table'!$C$10,
                (Y54 = 'Points-Table'!$A$11), 'Points-Table'!$C$11,
                (Y54 = 'Points-Table'!$A$12), 'Points-Table'!$C$12,
                (Y54 = 'Points-Table'!$A$13), 'Points-Table'!$C$13,
                true, 0
              )
            </f>
      </c>
      <c r="AA54" s="6">
        <f>SUM(V54,X54,Z54)</f>
      </c>
      <c r="AB54" s="6">
        <f>
      Ifs( 
        ISBETWEEN(AA54, 0, 'Points-Table'!C$20, TRUE, False), 'Points-Table'!A$20,
        ISBETWEEN(AA54, 'Points-Table'!C$20, 'Points-Table'!C$21, TRUE, False), 'Points-Table'!A$21,
        ISBETWEEN(AA54, 'Points-Table'!C$22, 10000, TRUE, TRUE), 'Points-Table'!A$22,
        true, 
        0)
      </f>
      </c>
      <c r="AC54" s="6" t="s">
        <v>56</v>
      </c>
      <c r="AD54" s="6" t="s">
        <v>56</v>
      </c>
      <c r="AE54" s="6" t="s">
        <v>56</v>
      </c>
    </row>
    <row r="55" spans="1:31" s="6" customFormat="1" x14ac:dyDescent="0.25">
      <c r="A55" s="6" t="s">
        <v>167</v>
      </c>
      <c r="D55" s="6"/>
      <c r="E55" s="6"/>
      <c r="F55" s="6"/>
      <c r="G55" s="6"/>
      <c r="H55" s="6"/>
      <c r="I55" s="6"/>
      <c r="J55" s="6"/>
      <c r="K55" s="6" t="s">
        <v>84</v>
      </c>
      <c r="L55" s="6" t="s">
        <v>85</v>
      </c>
      <c r="M55" s="6"/>
      <c r="N55" s="6"/>
      <c r="O55" s="6"/>
      <c r="P55" s="6"/>
      <c r="Q55" s="11"/>
      <c r="R55" s="12">
        <f>
              Ifs(
                (Q55 = 'Points-Table'!$A$4), 'Points-Table'!$C$4,
                (Q55 = 'Points-Table'!$A$5), 'Points-Table'!$C$5,
                (Q55 = 'Points-Table'!$A$6), 'Points-Table'!$C$6,
                (Q55 = 'Points-Table'!$A$7), 'Points-Table'!$C$7,
                (Q55 = 'Points-Table'!$A$8), 'Points-Table'!$C$8,
                (Q55 = 'Points-Table'!$A$9), 'Points-Table'!$C$9,
                (Q55 = 'Points-Table'!$A$10), 'Points-Table'!$C$10,
                (Q55 = 'Points-Table'!$A$11), 'Points-Table'!$C$11,
                (Q55 = 'Points-Table'!$A$12), 'Points-Table'!$C$12,
                (Q55 = 'Points-Table'!$A$13), 'Points-Table'!$C$13,
                true, 0
              )
            </f>
      </c>
      <c r="S55" s="11"/>
      <c r="T55" s="12">
        <f>
              Ifs(
                (S55 = 'Points-Table'!$A$4), 'Points-Table'!$C$4,
                (S55 = 'Points-Table'!$A$5), 'Points-Table'!$C$5,
                (S55 = 'Points-Table'!$A$6), 'Points-Table'!$C$6,
                (S55 = 'Points-Table'!$A$7), 'Points-Table'!$C$7,
                (S55 = 'Points-Table'!$A$8), 'Points-Table'!$C$8,
                (S55 = 'Points-Table'!$A$9), 'Points-Table'!$C$9,
                (S55 = 'Points-Table'!$A$10), 'Points-Table'!$C$10,
                (S55 = 'Points-Table'!$A$11), 'Points-Table'!$C$11,
                (S55 = 'Points-Table'!$A$12), 'Points-Table'!$C$12,
                (S55 = 'Points-Table'!$A$13), 'Points-Table'!$C$13,
                true, 0
              )
            </f>
      </c>
      <c r="U55" s="11">
        <v>1</v>
      </c>
      <c r="V55" s="12">
        <f>
              Ifs(
                (U55 = 'Points-Table'!$A$4), 'Points-Table'!$C$4,
                (U55 = 'Points-Table'!$A$5), 'Points-Table'!$C$5,
                (U55 = 'Points-Table'!$A$6), 'Points-Table'!$C$6,
                (U55 = 'Points-Table'!$A$7), 'Points-Table'!$C$7,
                (U55 = 'Points-Table'!$A$8), 'Points-Table'!$C$8,
                (U55 = 'Points-Table'!$A$9), 'Points-Table'!$C$9,
                (U55 = 'Points-Table'!$A$10), 'Points-Table'!$C$10,
                (U55 = 'Points-Table'!$A$11), 'Points-Table'!$C$11,
                (U55 = 'Points-Table'!$A$12), 'Points-Table'!$C$12,
                (U55 = 'Points-Table'!$A$13), 'Points-Table'!$C$13,
                true, 0
              )
            </f>
      </c>
      <c r="W55" s="11">
        <v>1</v>
      </c>
      <c r="X55" s="12">
        <f>
              Ifs(
                (W55 = 'Points-Table'!$A$4), 'Points-Table'!$C$4,
                (W55 = 'Points-Table'!$A$5), 'Points-Table'!$C$5,
                (W55 = 'Points-Table'!$A$6), 'Points-Table'!$C$6,
                (W55 = 'Points-Table'!$A$7), 'Points-Table'!$C$7,
                (W55 = 'Points-Table'!$A$8), 'Points-Table'!$C$8,
                (W55 = 'Points-Table'!$A$9), 'Points-Table'!$C$9,
                (W55 = 'Points-Table'!$A$10), 'Points-Table'!$C$10,
                (W55 = 'Points-Table'!$A$11), 'Points-Table'!$C$11,
                (W55 = 'Points-Table'!$A$12), 'Points-Table'!$C$12,
                (W55 = 'Points-Table'!$A$13), 'Points-Table'!$C$13,
                true, 0
              )
            </f>
      </c>
      <c r="Y55" s="11">
        <v>0</v>
      </c>
      <c r="Z55" s="12">
        <f>
              Ifs(
                (Y55 = 'Points-Table'!$A$4), 'Points-Table'!$C$4,
                (Y55 = 'Points-Table'!$A$5), 'Points-Table'!$C$5,
                (Y55 = 'Points-Table'!$A$6), 'Points-Table'!$C$6,
                (Y55 = 'Points-Table'!$A$7), 'Points-Table'!$C$7,
                (Y55 = 'Points-Table'!$A$8), 'Points-Table'!$C$8,
                (Y55 = 'Points-Table'!$A$9), 'Points-Table'!$C$9,
                (Y55 = 'Points-Table'!$A$10), 'Points-Table'!$C$10,
                (Y55 = 'Points-Table'!$A$11), 'Points-Table'!$C$11,
                (Y55 = 'Points-Table'!$A$12), 'Points-Table'!$C$12,
                (Y55 = 'Points-Table'!$A$13), 'Points-Table'!$C$13,
                true, 0
              )
            </f>
      </c>
      <c r="AA55" s="6">
        <f>SUM(V55,X55,Z55)</f>
      </c>
      <c r="AB55" s="6">
        <f>
      Ifs( 
        ISBETWEEN(AA55, 0, 'Points-Table'!C$20, TRUE, False), 'Points-Table'!A$20,
        ISBETWEEN(AA55, 'Points-Table'!C$20, 'Points-Table'!C$21, TRUE, False), 'Points-Table'!A$21,
        ISBETWEEN(AA55, 'Points-Table'!C$22, 10000, TRUE, TRUE), 'Points-Table'!A$22,
        true, 
        0)
      </f>
      </c>
      <c r="AC55" s="6" t="s">
        <v>56</v>
      </c>
      <c r="AD55" s="6" t="s">
        <v>56</v>
      </c>
      <c r="AE55" s="6" t="s">
        <v>56</v>
      </c>
    </row>
    <row r="56" spans="1:31" s="6" customFormat="1" x14ac:dyDescent="0.25">
      <c r="A56" s="6" t="s">
        <v>168</v>
      </c>
      <c r="D56" s="6"/>
      <c r="E56" s="6"/>
      <c r="F56" s="6" t="s">
        <v>169</v>
      </c>
      <c r="G56" s="6"/>
      <c r="H56" s="6"/>
      <c r="I56" s="6"/>
      <c r="J56" s="6"/>
      <c r="K56" s="6" t="s">
        <v>84</v>
      </c>
      <c r="L56" s="6" t="s">
        <v>85</v>
      </c>
      <c r="M56" s="6"/>
      <c r="N56" s="6"/>
      <c r="O56" s="6"/>
      <c r="P56" s="6"/>
      <c r="Q56" s="11">
        <v>0</v>
      </c>
      <c r="R56" s="12">
        <f>
              Ifs(
                (Q56 = 'Points-Table'!$A$4), 'Points-Table'!$C$4,
                (Q56 = 'Points-Table'!$A$5), 'Points-Table'!$C$5,
                (Q56 = 'Points-Table'!$A$6), 'Points-Table'!$C$6,
                (Q56 = 'Points-Table'!$A$7), 'Points-Table'!$C$7,
                (Q56 = 'Points-Table'!$A$8), 'Points-Table'!$C$8,
                (Q56 = 'Points-Table'!$A$9), 'Points-Table'!$C$9,
                (Q56 = 'Points-Table'!$A$10), 'Points-Table'!$C$10,
                (Q56 = 'Points-Table'!$A$11), 'Points-Table'!$C$11,
                (Q56 = 'Points-Table'!$A$12), 'Points-Table'!$C$12,
                (Q56 = 'Points-Table'!$A$13), 'Points-Table'!$C$13,
                true, 0
              )
            </f>
      </c>
      <c r="S56" s="11">
        <v>0</v>
      </c>
      <c r="T56" s="12">
        <f>
              Ifs(
                (S56 = 'Points-Table'!$A$4), 'Points-Table'!$C$4,
                (S56 = 'Points-Table'!$A$5), 'Points-Table'!$C$5,
                (S56 = 'Points-Table'!$A$6), 'Points-Table'!$C$6,
                (S56 = 'Points-Table'!$A$7), 'Points-Table'!$C$7,
                (S56 = 'Points-Table'!$A$8), 'Points-Table'!$C$8,
                (S56 = 'Points-Table'!$A$9), 'Points-Table'!$C$9,
                (S56 = 'Points-Table'!$A$10), 'Points-Table'!$C$10,
                (S56 = 'Points-Table'!$A$11), 'Points-Table'!$C$11,
                (S56 = 'Points-Table'!$A$12), 'Points-Table'!$C$12,
                (S56 = 'Points-Table'!$A$13), 'Points-Table'!$C$13,
                true, 0
              )
            </f>
      </c>
      <c r="U56" s="11">
        <v>0</v>
      </c>
      <c r="V56" s="12">
        <f>
              Ifs(
                (U56 = 'Points-Table'!$A$4), 'Points-Table'!$C$4,
                (U56 = 'Points-Table'!$A$5), 'Points-Table'!$C$5,
                (U56 = 'Points-Table'!$A$6), 'Points-Table'!$C$6,
                (U56 = 'Points-Table'!$A$7), 'Points-Table'!$C$7,
                (U56 = 'Points-Table'!$A$8), 'Points-Table'!$C$8,
                (U56 = 'Points-Table'!$A$9), 'Points-Table'!$C$9,
                (U56 = 'Points-Table'!$A$10), 'Points-Table'!$C$10,
                (U56 = 'Points-Table'!$A$11), 'Points-Table'!$C$11,
                (U56 = 'Points-Table'!$A$12), 'Points-Table'!$C$12,
                (U56 = 'Points-Table'!$A$13), 'Points-Table'!$C$13,
                true, 0
              )
            </f>
      </c>
      <c r="W56" s="11">
        <v>34</v>
      </c>
      <c r="X56" s="12">
        <f>
              Ifs(
                (W56 = 'Points-Table'!$A$4), 'Points-Table'!$C$4,
                (W56 = 'Points-Table'!$A$5), 'Points-Table'!$C$5,
                (W56 = 'Points-Table'!$A$6), 'Points-Table'!$C$6,
                (W56 = 'Points-Table'!$A$7), 'Points-Table'!$C$7,
                (W56 = 'Points-Table'!$A$8), 'Points-Table'!$C$8,
                (W56 = 'Points-Table'!$A$9), 'Points-Table'!$C$9,
                (W56 = 'Points-Table'!$A$10), 'Points-Table'!$C$10,
                (W56 = 'Points-Table'!$A$11), 'Points-Table'!$C$11,
                (W56 = 'Points-Table'!$A$12), 'Points-Table'!$C$12,
                (W56 = 'Points-Table'!$A$13), 'Points-Table'!$C$13,
                true, 0
              )
            </f>
      </c>
      <c r="Y56" s="11">
        <v>0</v>
      </c>
      <c r="Z56" s="12">
        <f>
              Ifs(
                (Y56 = 'Points-Table'!$A$4), 'Points-Table'!$C$4,
                (Y56 = 'Points-Table'!$A$5), 'Points-Table'!$C$5,
                (Y56 = 'Points-Table'!$A$6), 'Points-Table'!$C$6,
                (Y56 = 'Points-Table'!$A$7), 'Points-Table'!$C$7,
                (Y56 = 'Points-Table'!$A$8), 'Points-Table'!$C$8,
                (Y56 = 'Points-Table'!$A$9), 'Points-Table'!$C$9,
                (Y56 = 'Points-Table'!$A$10), 'Points-Table'!$C$10,
                (Y56 = 'Points-Table'!$A$11), 'Points-Table'!$C$11,
                (Y56 = 'Points-Table'!$A$12), 'Points-Table'!$C$12,
                (Y56 = 'Points-Table'!$A$13), 'Points-Table'!$C$13,
                true, 0
              )
            </f>
      </c>
      <c r="AA56" s="6">
        <f>SUM(V56,X56,Z56)</f>
      </c>
      <c r="AB56" s="6">
        <f>
      Ifs( 
        ISBETWEEN(AA56, 0, 'Points-Table'!C$20, TRUE, False), 'Points-Table'!A$20,
        ISBETWEEN(AA56, 'Points-Table'!C$20, 'Points-Table'!C$21, TRUE, False), 'Points-Table'!A$21,
        ISBETWEEN(AA56, 'Points-Table'!C$22, 10000, TRUE, TRUE), 'Points-Table'!A$22,
        true, 
        0)
      </f>
      </c>
      <c r="AC56" s="6" t="s">
        <v>56</v>
      </c>
      <c r="AD56" s="6" t="s">
        <v>56</v>
      </c>
      <c r="AE56" s="6" t="s">
        <v>56</v>
      </c>
    </row>
    <row r="57" spans="1:31" s="6" customFormat="1" x14ac:dyDescent="0.25">
      <c r="A57" s="6" t="s">
        <v>170</v>
      </c>
      <c r="D57" s="6"/>
      <c r="E57" s="6"/>
      <c r="F57" s="6"/>
      <c r="G57" s="6"/>
      <c r="H57" s="6"/>
      <c r="I57" s="6"/>
      <c r="J57" s="6"/>
      <c r="K57" s="6" t="s">
        <v>84</v>
      </c>
      <c r="L57" s="6" t="s">
        <v>85</v>
      </c>
      <c r="M57" s="6"/>
      <c r="N57" s="6"/>
      <c r="O57" s="6"/>
      <c r="P57" s="6"/>
      <c r="Q57" s="11">
        <v>13</v>
      </c>
      <c r="R57" s="12">
        <f>
              Ifs(
                (Q57 = 'Points-Table'!$A$4), 'Points-Table'!$C$4,
                (Q57 = 'Points-Table'!$A$5), 'Points-Table'!$C$5,
                (Q57 = 'Points-Table'!$A$6), 'Points-Table'!$C$6,
                (Q57 = 'Points-Table'!$A$7), 'Points-Table'!$C$7,
                (Q57 = 'Points-Table'!$A$8), 'Points-Table'!$C$8,
                (Q57 = 'Points-Table'!$A$9), 'Points-Table'!$C$9,
                (Q57 = 'Points-Table'!$A$10), 'Points-Table'!$C$10,
                (Q57 = 'Points-Table'!$A$11), 'Points-Table'!$C$11,
                (Q57 = 'Points-Table'!$A$12), 'Points-Table'!$C$12,
                (Q57 = 'Points-Table'!$A$13), 'Points-Table'!$C$13,
                true, 0
              )
            </f>
      </c>
      <c r="S57" s="11">
        <v>34</v>
      </c>
      <c r="T57" s="12">
        <f>
              Ifs(
                (S57 = 'Points-Table'!$A$4), 'Points-Table'!$C$4,
                (S57 = 'Points-Table'!$A$5), 'Points-Table'!$C$5,
                (S57 = 'Points-Table'!$A$6), 'Points-Table'!$C$6,
                (S57 = 'Points-Table'!$A$7), 'Points-Table'!$C$7,
                (S57 = 'Points-Table'!$A$8), 'Points-Table'!$C$8,
                (S57 = 'Points-Table'!$A$9), 'Points-Table'!$C$9,
                (S57 = 'Points-Table'!$A$10), 'Points-Table'!$C$10,
                (S57 = 'Points-Table'!$A$11), 'Points-Table'!$C$11,
                (S57 = 'Points-Table'!$A$12), 'Points-Table'!$C$12,
                (S57 = 'Points-Table'!$A$13), 'Points-Table'!$C$13,
                true, 0
              )
            </f>
      </c>
      <c r="U57" s="11">
        <v>21</v>
      </c>
      <c r="V57" s="12">
        <f>
              Ifs(
                (U57 = 'Points-Table'!$A$4), 'Points-Table'!$C$4,
                (U57 = 'Points-Table'!$A$5), 'Points-Table'!$C$5,
                (U57 = 'Points-Table'!$A$6), 'Points-Table'!$C$6,
                (U57 = 'Points-Table'!$A$7), 'Points-Table'!$C$7,
                (U57 = 'Points-Table'!$A$8), 'Points-Table'!$C$8,
                (U57 = 'Points-Table'!$A$9), 'Points-Table'!$C$9,
                (U57 = 'Points-Table'!$A$10), 'Points-Table'!$C$10,
                (U57 = 'Points-Table'!$A$11), 'Points-Table'!$C$11,
                (U57 = 'Points-Table'!$A$12), 'Points-Table'!$C$12,
                (U57 = 'Points-Table'!$A$13), 'Points-Table'!$C$13,
                true, 0
              )
            </f>
      </c>
      <c r="W57" s="11">
        <v>0</v>
      </c>
      <c r="X57" s="12">
        <f>
              Ifs(
                (W57 = 'Points-Table'!$A$4), 'Points-Table'!$C$4,
                (W57 = 'Points-Table'!$A$5), 'Points-Table'!$C$5,
                (W57 = 'Points-Table'!$A$6), 'Points-Table'!$C$6,
                (W57 = 'Points-Table'!$A$7), 'Points-Table'!$C$7,
                (W57 = 'Points-Table'!$A$8), 'Points-Table'!$C$8,
                (W57 = 'Points-Table'!$A$9), 'Points-Table'!$C$9,
                (W57 = 'Points-Table'!$A$10), 'Points-Table'!$C$10,
                (W57 = 'Points-Table'!$A$11), 'Points-Table'!$C$11,
                (W57 = 'Points-Table'!$A$12), 'Points-Table'!$C$12,
                (W57 = 'Points-Table'!$A$13), 'Points-Table'!$C$13,
                true, 0
              )
            </f>
      </c>
      <c r="Y57" s="11">
        <v>0</v>
      </c>
      <c r="Z57" s="12">
        <f>
              Ifs(
                (Y57 = 'Points-Table'!$A$4), 'Points-Table'!$C$4,
                (Y57 = 'Points-Table'!$A$5), 'Points-Table'!$C$5,
                (Y57 = 'Points-Table'!$A$6), 'Points-Table'!$C$6,
                (Y57 = 'Points-Table'!$A$7), 'Points-Table'!$C$7,
                (Y57 = 'Points-Table'!$A$8), 'Points-Table'!$C$8,
                (Y57 = 'Points-Table'!$A$9), 'Points-Table'!$C$9,
                (Y57 = 'Points-Table'!$A$10), 'Points-Table'!$C$10,
                (Y57 = 'Points-Table'!$A$11), 'Points-Table'!$C$11,
                (Y57 = 'Points-Table'!$A$12), 'Points-Table'!$C$12,
                (Y57 = 'Points-Table'!$A$13), 'Points-Table'!$C$13,
                true, 0
              )
            </f>
      </c>
      <c r="AA57" s="6">
        <f>SUM(V57,X57,Z57)</f>
      </c>
      <c r="AB57" s="6">
        <f>
      Ifs( 
        ISBETWEEN(AA57, 0, 'Points-Table'!C$20, TRUE, False), 'Points-Table'!A$20,
        ISBETWEEN(AA57, 'Points-Table'!C$20, 'Points-Table'!C$21, TRUE, False), 'Points-Table'!A$21,
        ISBETWEEN(AA57, 'Points-Table'!C$22, 10000, TRUE, TRUE), 'Points-Table'!A$22,
        true, 
        0)
      </f>
      </c>
      <c r="AC57" s="6" t="s">
        <v>56</v>
      </c>
      <c r="AD57" s="6" t="s">
        <v>56</v>
      </c>
      <c r="AE57" s="6" t="s">
        <v>56</v>
      </c>
    </row>
    <row r="58" spans="1:31" s="6" customFormat="1" x14ac:dyDescent="0.25">
      <c r="A58" s="6" t="s">
        <v>171</v>
      </c>
      <c r="D58" s="6"/>
      <c r="E58" s="6"/>
      <c r="F58" s="6"/>
      <c r="G58" s="6"/>
      <c r="H58" s="6"/>
      <c r="I58" s="6"/>
      <c r="J58" s="6"/>
      <c r="K58" s="6" t="s">
        <v>84</v>
      </c>
      <c r="L58" s="6" t="s">
        <v>85</v>
      </c>
      <c r="M58" s="6"/>
      <c r="N58" s="6"/>
      <c r="O58" s="6"/>
      <c r="P58" s="6"/>
      <c r="Q58" s="11">
        <v>5</v>
      </c>
      <c r="R58" s="12">
        <f>
              Ifs(
                (Q58 = 'Points-Table'!$A$4), 'Points-Table'!$C$4,
                (Q58 = 'Points-Table'!$A$5), 'Points-Table'!$C$5,
                (Q58 = 'Points-Table'!$A$6), 'Points-Table'!$C$6,
                (Q58 = 'Points-Table'!$A$7), 'Points-Table'!$C$7,
                (Q58 = 'Points-Table'!$A$8), 'Points-Table'!$C$8,
                (Q58 = 'Points-Table'!$A$9), 'Points-Table'!$C$9,
                (Q58 = 'Points-Table'!$A$10), 'Points-Table'!$C$10,
                (Q58 = 'Points-Table'!$A$11), 'Points-Table'!$C$11,
                (Q58 = 'Points-Table'!$A$12), 'Points-Table'!$C$12,
                (Q58 = 'Points-Table'!$A$13), 'Points-Table'!$C$13,
                true, 0
              )
            </f>
      </c>
      <c r="S58" s="11">
        <v>55</v>
      </c>
      <c r="T58" s="12">
        <f>
              Ifs(
                (S58 = 'Points-Table'!$A$4), 'Points-Table'!$C$4,
                (S58 = 'Points-Table'!$A$5), 'Points-Table'!$C$5,
                (S58 = 'Points-Table'!$A$6), 'Points-Table'!$C$6,
                (S58 = 'Points-Table'!$A$7), 'Points-Table'!$C$7,
                (S58 = 'Points-Table'!$A$8), 'Points-Table'!$C$8,
                (S58 = 'Points-Table'!$A$9), 'Points-Table'!$C$9,
                (S58 = 'Points-Table'!$A$10), 'Points-Table'!$C$10,
                (S58 = 'Points-Table'!$A$11), 'Points-Table'!$C$11,
                (S58 = 'Points-Table'!$A$12), 'Points-Table'!$C$12,
                (S58 = 'Points-Table'!$A$13), 'Points-Table'!$C$13,
                true, 0
              )
            </f>
      </c>
      <c r="U58" s="11">
        <v>21</v>
      </c>
      <c r="V58" s="12">
        <f>
              Ifs(
                (U58 = 'Points-Table'!$A$4), 'Points-Table'!$C$4,
                (U58 = 'Points-Table'!$A$5), 'Points-Table'!$C$5,
                (U58 = 'Points-Table'!$A$6), 'Points-Table'!$C$6,
                (U58 = 'Points-Table'!$A$7), 'Points-Table'!$C$7,
                (U58 = 'Points-Table'!$A$8), 'Points-Table'!$C$8,
                (U58 = 'Points-Table'!$A$9), 'Points-Table'!$C$9,
                (U58 = 'Points-Table'!$A$10), 'Points-Table'!$C$10,
                (U58 = 'Points-Table'!$A$11), 'Points-Table'!$C$11,
                (U58 = 'Points-Table'!$A$12), 'Points-Table'!$C$12,
                (U58 = 'Points-Table'!$A$13), 'Points-Table'!$C$13,
                true, 0
              )
            </f>
      </c>
      <c r="W58" s="11">
        <v>0</v>
      </c>
      <c r="X58" s="12">
        <f>
              Ifs(
                (W58 = 'Points-Table'!$A$4), 'Points-Table'!$C$4,
                (W58 = 'Points-Table'!$A$5), 'Points-Table'!$C$5,
                (W58 = 'Points-Table'!$A$6), 'Points-Table'!$C$6,
                (W58 = 'Points-Table'!$A$7), 'Points-Table'!$C$7,
                (W58 = 'Points-Table'!$A$8), 'Points-Table'!$C$8,
                (W58 = 'Points-Table'!$A$9), 'Points-Table'!$C$9,
                (W58 = 'Points-Table'!$A$10), 'Points-Table'!$C$10,
                (W58 = 'Points-Table'!$A$11), 'Points-Table'!$C$11,
                (W58 = 'Points-Table'!$A$12), 'Points-Table'!$C$12,
                (W58 = 'Points-Table'!$A$13), 'Points-Table'!$C$13,
                true, 0
              )
            </f>
      </c>
      <c r="Y58" s="11">
        <v>0</v>
      </c>
      <c r="Z58" s="12">
        <f>
              Ifs(
                (Y58 = 'Points-Table'!$A$4), 'Points-Table'!$C$4,
                (Y58 = 'Points-Table'!$A$5), 'Points-Table'!$C$5,
                (Y58 = 'Points-Table'!$A$6), 'Points-Table'!$C$6,
                (Y58 = 'Points-Table'!$A$7), 'Points-Table'!$C$7,
                (Y58 = 'Points-Table'!$A$8), 'Points-Table'!$C$8,
                (Y58 = 'Points-Table'!$A$9), 'Points-Table'!$C$9,
                (Y58 = 'Points-Table'!$A$10), 'Points-Table'!$C$10,
                (Y58 = 'Points-Table'!$A$11), 'Points-Table'!$C$11,
                (Y58 = 'Points-Table'!$A$12), 'Points-Table'!$C$12,
                (Y58 = 'Points-Table'!$A$13), 'Points-Table'!$C$13,
                true, 0
              )
            </f>
      </c>
      <c r="AA58" s="6">
        <f>SUM(V58,X58,Z58)</f>
      </c>
      <c r="AB58" s="6">
        <f>
      Ifs( 
        ISBETWEEN(AA58, 0, 'Points-Table'!C$20, TRUE, False), 'Points-Table'!A$20,
        ISBETWEEN(AA58, 'Points-Table'!C$20, 'Points-Table'!C$21, TRUE, False), 'Points-Table'!A$21,
        ISBETWEEN(AA58, 'Points-Table'!C$22, 10000, TRUE, TRUE), 'Points-Table'!A$22,
        true, 
        0)
      </f>
      </c>
      <c r="AC58" s="6" t="s">
        <v>56</v>
      </c>
      <c r="AD58" s="6" t="s">
        <v>56</v>
      </c>
      <c r="AE58" s="6" t="s">
        <v>56</v>
      </c>
    </row>
    <row r="59" spans="1:31" s="13" customFormat="1" x14ac:dyDescent="0.25">
      <c r="A59" s="13" t="s">
        <v>172</v>
      </c>
      <c r="D59" s="13"/>
      <c r="E59" s="13"/>
      <c r="F59" s="13"/>
      <c r="G59" s="13"/>
      <c r="H59" s="13"/>
      <c r="I59" s="13"/>
      <c r="J59" s="13"/>
      <c r="K59" s="13" t="s">
        <v>84</v>
      </c>
      <c r="L59" s="13" t="s">
        <v>85</v>
      </c>
      <c r="M59" s="13"/>
      <c r="N59" s="13"/>
      <c r="O59" s="13"/>
      <c r="P59" s="13"/>
      <c r="Q59" s="13"/>
      <c r="R59" s="13">
        <f>
              Ifs(
                (Q59 = 'Points-Table'!$A$4), 'Points-Table'!$C$4,
                (Q59 = 'Points-Table'!$A$5), 'Points-Table'!$C$5,
                (Q59 = 'Points-Table'!$A$6), 'Points-Table'!$C$6,
                (Q59 = 'Points-Table'!$A$7), 'Points-Table'!$C$7,
                (Q59 = 'Points-Table'!$A$8), 'Points-Table'!$C$8,
                (Q59 = 'Points-Table'!$A$9), 'Points-Table'!$C$9,
                (Q59 = 'Points-Table'!$A$10), 'Points-Table'!$C$10,
                (Q59 = 'Points-Table'!$A$11), 'Points-Table'!$C$11,
                (Q59 = 'Points-Table'!$A$12), 'Points-Table'!$C$12,
                (Q59 = 'Points-Table'!$A$13), 'Points-Table'!$C$13,
                true, 0
              )
            </f>
      </c>
      <c r="S59" s="13"/>
      <c r="T59" s="13">
        <f>
              Ifs(
                (S59 = 'Points-Table'!$A$4), 'Points-Table'!$C$4,
                (S59 = 'Points-Table'!$A$5), 'Points-Table'!$C$5,
                (S59 = 'Points-Table'!$A$6), 'Points-Table'!$C$6,
                (S59 = 'Points-Table'!$A$7), 'Points-Table'!$C$7,
                (S59 = 'Points-Table'!$A$8), 'Points-Table'!$C$8,
                (S59 = 'Points-Table'!$A$9), 'Points-Table'!$C$9,
                (S59 = 'Points-Table'!$A$10), 'Points-Table'!$C$10,
                (S59 = 'Points-Table'!$A$11), 'Points-Table'!$C$11,
                (S59 = 'Points-Table'!$A$12), 'Points-Table'!$C$12,
                (S59 = 'Points-Table'!$A$13), 'Points-Table'!$C$13,
                true, 0
              )
            </f>
      </c>
      <c r="U59" s="13"/>
      <c r="V59" s="13">
        <f>
              Ifs(
                (U59 = 'Points-Table'!$A$4), 'Points-Table'!$C$4,
                (U59 = 'Points-Table'!$A$5), 'Points-Table'!$C$5,
                (U59 = 'Points-Table'!$A$6), 'Points-Table'!$C$6,
                (U59 = 'Points-Table'!$A$7), 'Points-Table'!$C$7,
                (U59 = 'Points-Table'!$A$8), 'Points-Table'!$C$8,
                (U59 = 'Points-Table'!$A$9), 'Points-Table'!$C$9,
                (U59 = 'Points-Table'!$A$10), 'Points-Table'!$C$10,
                (U59 = 'Points-Table'!$A$11), 'Points-Table'!$C$11,
                (U59 = 'Points-Table'!$A$12), 'Points-Table'!$C$12,
                (U59 = 'Points-Table'!$A$13), 'Points-Table'!$C$13,
                true, 0
              )
            </f>
      </c>
      <c r="W59" s="13"/>
      <c r="X59" s="13">
        <f>
              Ifs(
                (W59 = 'Points-Table'!$A$4), 'Points-Table'!$C$4,
                (W59 = 'Points-Table'!$A$5), 'Points-Table'!$C$5,
                (W59 = 'Points-Table'!$A$6), 'Points-Table'!$C$6,
                (W59 = 'Points-Table'!$A$7), 'Points-Table'!$C$7,
                (W59 = 'Points-Table'!$A$8), 'Points-Table'!$C$8,
                (W59 = 'Points-Table'!$A$9), 'Points-Table'!$C$9,
                (W59 = 'Points-Table'!$A$10), 'Points-Table'!$C$10,
                (W59 = 'Points-Table'!$A$11), 'Points-Table'!$C$11,
                (W59 = 'Points-Table'!$A$12), 'Points-Table'!$C$12,
                (W59 = 'Points-Table'!$A$13), 'Points-Table'!$C$13,
                true, 0
              )
            </f>
      </c>
      <c r="Y59" s="13"/>
      <c r="Z59" s="13">
        <f>
              Ifs(
                (Y59 = 'Points-Table'!$A$4), 'Points-Table'!$C$4,
                (Y59 = 'Points-Table'!$A$5), 'Points-Table'!$C$5,
                (Y59 = 'Points-Table'!$A$6), 'Points-Table'!$C$6,
                (Y59 = 'Points-Table'!$A$7), 'Points-Table'!$C$7,
                (Y59 = 'Points-Table'!$A$8), 'Points-Table'!$C$8,
                (Y59 = 'Points-Table'!$A$9), 'Points-Table'!$C$9,
                (Y59 = 'Points-Table'!$A$10), 'Points-Table'!$C$10,
                (Y59 = 'Points-Table'!$A$11), 'Points-Table'!$C$11,
                (Y59 = 'Points-Table'!$A$12), 'Points-Table'!$C$12,
                (Y59 = 'Points-Table'!$A$13), 'Points-Table'!$C$13,
                true, 0
              )
            </f>
      </c>
      <c r="AA59" s="13">
        <f>SUM(V59,X59,Z59)</f>
      </c>
      <c r="AB59" s="13">
        <f>
      Ifs( 
        ISBETWEEN(AA59, 0, 'Points-Table'!C$20, TRUE, False), 'Points-Table'!A$20,
        ISBETWEEN(AA59, 'Points-Table'!C$20, 'Points-Table'!C$21, TRUE, False), 'Points-Table'!A$21,
        ISBETWEEN(AA59, 'Points-Table'!C$22, 10000, TRUE, TRUE), 'Points-Table'!A$22,
        true, 
        0)
      </f>
      </c>
      <c r="AC59" s="13" t="s">
        <v>56</v>
      </c>
      <c r="AD59" s="13" t="s">
        <v>56</v>
      </c>
      <c r="AE59" s="13" t="s">
        <v>56</v>
      </c>
    </row>
    <row r="60" spans="1:31" s="13" customFormat="1" x14ac:dyDescent="0.25">
      <c r="A60" s="13" t="s">
        <v>173</v>
      </c>
      <c r="B60" s="13" t="s">
        <v>174</v>
      </c>
      <c r="D60" s="13"/>
      <c r="E60" s="13"/>
      <c r="F60" s="13"/>
      <c r="G60" s="13"/>
      <c r="H60" s="13"/>
      <c r="I60" s="13"/>
      <c r="J60" s="13"/>
      <c r="K60" s="13" t="s">
        <v>84</v>
      </c>
      <c r="L60" s="13" t="s">
        <v>85</v>
      </c>
      <c r="M60" s="13"/>
      <c r="N60" s="13"/>
      <c r="O60" s="13"/>
      <c r="P60" s="13"/>
      <c r="Q60" s="13">
        <v>21</v>
      </c>
      <c r="R60" s="13">
        <f>
              Ifs(
                (Q60 = 'Points-Table'!$A$4), 'Points-Table'!$C$4,
                (Q60 = 'Points-Table'!$A$5), 'Points-Table'!$C$5,
                (Q60 = 'Points-Table'!$A$6), 'Points-Table'!$C$6,
                (Q60 = 'Points-Table'!$A$7), 'Points-Table'!$C$7,
                (Q60 = 'Points-Table'!$A$8), 'Points-Table'!$C$8,
                (Q60 = 'Points-Table'!$A$9), 'Points-Table'!$C$9,
                (Q60 = 'Points-Table'!$A$10), 'Points-Table'!$C$10,
                (Q60 = 'Points-Table'!$A$11), 'Points-Table'!$C$11,
                (Q60 = 'Points-Table'!$A$12), 'Points-Table'!$C$12,
                (Q60 = 'Points-Table'!$A$13), 'Points-Table'!$C$13,
                true, 0
              )
            </f>
      </c>
      <c r="S60" s="13"/>
      <c r="T60" s="13">
        <f>
              Ifs(
                (S60 = 'Points-Table'!$A$4), 'Points-Table'!$C$4,
                (S60 = 'Points-Table'!$A$5), 'Points-Table'!$C$5,
                (S60 = 'Points-Table'!$A$6), 'Points-Table'!$C$6,
                (S60 = 'Points-Table'!$A$7), 'Points-Table'!$C$7,
                (S60 = 'Points-Table'!$A$8), 'Points-Table'!$C$8,
                (S60 = 'Points-Table'!$A$9), 'Points-Table'!$C$9,
                (S60 = 'Points-Table'!$A$10), 'Points-Table'!$C$10,
                (S60 = 'Points-Table'!$A$11), 'Points-Table'!$C$11,
                (S60 = 'Points-Table'!$A$12), 'Points-Table'!$C$12,
                (S60 = 'Points-Table'!$A$13), 'Points-Table'!$C$13,
                true, 0
              )
            </f>
      </c>
      <c r="U60" s="13">
        <v>0</v>
      </c>
      <c r="V60" s="13">
        <f>
              Ifs(
                (U60 = 'Points-Table'!$A$4), 'Points-Table'!$C$4,
                (U60 = 'Points-Table'!$A$5), 'Points-Table'!$C$5,
                (U60 = 'Points-Table'!$A$6), 'Points-Table'!$C$6,
                (U60 = 'Points-Table'!$A$7), 'Points-Table'!$C$7,
                (U60 = 'Points-Table'!$A$8), 'Points-Table'!$C$8,
                (U60 = 'Points-Table'!$A$9), 'Points-Table'!$C$9,
                (U60 = 'Points-Table'!$A$10), 'Points-Table'!$C$10,
                (U60 = 'Points-Table'!$A$11), 'Points-Table'!$C$11,
                (U60 = 'Points-Table'!$A$12), 'Points-Table'!$C$12,
                (U60 = 'Points-Table'!$A$13), 'Points-Table'!$C$13,
                true, 0
              )
            </f>
      </c>
      <c r="W60" s="13">
        <v>0</v>
      </c>
      <c r="X60" s="13">
        <f>
              Ifs(
                (W60 = 'Points-Table'!$A$4), 'Points-Table'!$C$4,
                (W60 = 'Points-Table'!$A$5), 'Points-Table'!$C$5,
                (W60 = 'Points-Table'!$A$6), 'Points-Table'!$C$6,
                (W60 = 'Points-Table'!$A$7), 'Points-Table'!$C$7,
                (W60 = 'Points-Table'!$A$8), 'Points-Table'!$C$8,
                (W60 = 'Points-Table'!$A$9), 'Points-Table'!$C$9,
                (W60 = 'Points-Table'!$A$10), 'Points-Table'!$C$10,
                (W60 = 'Points-Table'!$A$11), 'Points-Table'!$C$11,
                (W60 = 'Points-Table'!$A$12), 'Points-Table'!$C$12,
                (W60 = 'Points-Table'!$A$13), 'Points-Table'!$C$13,
                true, 0
              )
            </f>
      </c>
      <c r="Y60" s="13">
        <v>0</v>
      </c>
      <c r="Z60" s="13">
        <f>
              Ifs(
                (Y60 = 'Points-Table'!$A$4), 'Points-Table'!$C$4,
                (Y60 = 'Points-Table'!$A$5), 'Points-Table'!$C$5,
                (Y60 = 'Points-Table'!$A$6), 'Points-Table'!$C$6,
                (Y60 = 'Points-Table'!$A$7), 'Points-Table'!$C$7,
                (Y60 = 'Points-Table'!$A$8), 'Points-Table'!$C$8,
                (Y60 = 'Points-Table'!$A$9), 'Points-Table'!$C$9,
                (Y60 = 'Points-Table'!$A$10), 'Points-Table'!$C$10,
                (Y60 = 'Points-Table'!$A$11), 'Points-Table'!$C$11,
                (Y60 = 'Points-Table'!$A$12), 'Points-Table'!$C$12,
                (Y60 = 'Points-Table'!$A$13), 'Points-Table'!$C$13,
                true, 0
              )
            </f>
      </c>
      <c r="AA60" s="13">
        <f>SUM(V60,X60,Z60)</f>
      </c>
      <c r="AB60" s="13">
        <f>
      Ifs( 
        ISBETWEEN(AA60, 0, 'Points-Table'!C$20, TRUE, False), 'Points-Table'!A$20,
        ISBETWEEN(AA60, 'Points-Table'!C$20, 'Points-Table'!C$21, TRUE, False), 'Points-Table'!A$21,
        ISBETWEEN(AA60, 'Points-Table'!C$22, 10000, TRUE, TRUE), 'Points-Table'!A$22,
        true, 
        0)
      </f>
      </c>
      <c r="AC60" s="13" t="s">
        <v>56</v>
      </c>
      <c r="AD60" s="13" t="s">
        <v>56</v>
      </c>
      <c r="AE60" s="13" t="s">
        <v>56</v>
      </c>
    </row>
    <row r="61" spans="1:31" s="13" customFormat="1" x14ac:dyDescent="0.25">
      <c r="A61" s="13" t="s">
        <v>173</v>
      </c>
      <c r="B61" s="13" t="s">
        <v>175</v>
      </c>
      <c r="D61" s="13"/>
      <c r="E61" s="13"/>
      <c r="F61" s="13"/>
      <c r="G61" s="13"/>
      <c r="H61" s="13"/>
      <c r="I61" s="13"/>
      <c r="J61" s="13"/>
      <c r="K61" s="13" t="s">
        <v>84</v>
      </c>
      <c r="L61" s="13" t="s">
        <v>85</v>
      </c>
      <c r="M61" s="13"/>
      <c r="N61" s="13"/>
      <c r="O61" s="13"/>
      <c r="P61" s="13"/>
      <c r="Q61" s="13">
        <v>21</v>
      </c>
      <c r="R61" s="13">
        <f>
              Ifs(
                (Q61 = 'Points-Table'!$A$4), 'Points-Table'!$C$4,
                (Q61 = 'Points-Table'!$A$5), 'Points-Table'!$C$5,
                (Q61 = 'Points-Table'!$A$6), 'Points-Table'!$C$6,
                (Q61 = 'Points-Table'!$A$7), 'Points-Table'!$C$7,
                (Q61 = 'Points-Table'!$A$8), 'Points-Table'!$C$8,
                (Q61 = 'Points-Table'!$A$9), 'Points-Table'!$C$9,
                (Q61 = 'Points-Table'!$A$10), 'Points-Table'!$C$10,
                (Q61 = 'Points-Table'!$A$11), 'Points-Table'!$C$11,
                (Q61 = 'Points-Table'!$A$12), 'Points-Table'!$C$12,
                (Q61 = 'Points-Table'!$A$13), 'Points-Table'!$C$13,
                true, 0
              )
            </f>
      </c>
      <c r="S61" s="13"/>
      <c r="T61" s="13">
        <f>
              Ifs(
                (S61 = 'Points-Table'!$A$4), 'Points-Table'!$C$4,
                (S61 = 'Points-Table'!$A$5), 'Points-Table'!$C$5,
                (S61 = 'Points-Table'!$A$6), 'Points-Table'!$C$6,
                (S61 = 'Points-Table'!$A$7), 'Points-Table'!$C$7,
                (S61 = 'Points-Table'!$A$8), 'Points-Table'!$C$8,
                (S61 = 'Points-Table'!$A$9), 'Points-Table'!$C$9,
                (S61 = 'Points-Table'!$A$10), 'Points-Table'!$C$10,
                (S61 = 'Points-Table'!$A$11), 'Points-Table'!$C$11,
                (S61 = 'Points-Table'!$A$12), 'Points-Table'!$C$12,
                (S61 = 'Points-Table'!$A$13), 'Points-Table'!$C$13,
                true, 0
              )
            </f>
      </c>
      <c r="U61" s="13">
        <v>0</v>
      </c>
      <c r="V61" s="13">
        <f>
              Ifs(
                (U61 = 'Points-Table'!$A$4), 'Points-Table'!$C$4,
                (U61 = 'Points-Table'!$A$5), 'Points-Table'!$C$5,
                (U61 = 'Points-Table'!$A$6), 'Points-Table'!$C$6,
                (U61 = 'Points-Table'!$A$7), 'Points-Table'!$C$7,
                (U61 = 'Points-Table'!$A$8), 'Points-Table'!$C$8,
                (U61 = 'Points-Table'!$A$9), 'Points-Table'!$C$9,
                (U61 = 'Points-Table'!$A$10), 'Points-Table'!$C$10,
                (U61 = 'Points-Table'!$A$11), 'Points-Table'!$C$11,
                (U61 = 'Points-Table'!$A$12), 'Points-Table'!$C$12,
                (U61 = 'Points-Table'!$A$13), 'Points-Table'!$C$13,
                true, 0
              )
            </f>
      </c>
      <c r="W61" s="13">
        <v>0</v>
      </c>
      <c r="X61" s="13">
        <f>
              Ifs(
                (W61 = 'Points-Table'!$A$4), 'Points-Table'!$C$4,
                (W61 = 'Points-Table'!$A$5), 'Points-Table'!$C$5,
                (W61 = 'Points-Table'!$A$6), 'Points-Table'!$C$6,
                (W61 = 'Points-Table'!$A$7), 'Points-Table'!$C$7,
                (W61 = 'Points-Table'!$A$8), 'Points-Table'!$C$8,
                (W61 = 'Points-Table'!$A$9), 'Points-Table'!$C$9,
                (W61 = 'Points-Table'!$A$10), 'Points-Table'!$C$10,
                (W61 = 'Points-Table'!$A$11), 'Points-Table'!$C$11,
                (W61 = 'Points-Table'!$A$12), 'Points-Table'!$C$12,
                (W61 = 'Points-Table'!$A$13), 'Points-Table'!$C$13,
                true, 0
              )
            </f>
      </c>
      <c r="Y61" s="13">
        <v>0</v>
      </c>
      <c r="Z61" s="13">
        <f>
              Ifs(
                (Y61 = 'Points-Table'!$A$4), 'Points-Table'!$C$4,
                (Y61 = 'Points-Table'!$A$5), 'Points-Table'!$C$5,
                (Y61 = 'Points-Table'!$A$6), 'Points-Table'!$C$6,
                (Y61 = 'Points-Table'!$A$7), 'Points-Table'!$C$7,
                (Y61 = 'Points-Table'!$A$8), 'Points-Table'!$C$8,
                (Y61 = 'Points-Table'!$A$9), 'Points-Table'!$C$9,
                (Y61 = 'Points-Table'!$A$10), 'Points-Table'!$C$10,
                (Y61 = 'Points-Table'!$A$11), 'Points-Table'!$C$11,
                (Y61 = 'Points-Table'!$A$12), 'Points-Table'!$C$12,
                (Y61 = 'Points-Table'!$A$13), 'Points-Table'!$C$13,
                true, 0
              )
            </f>
      </c>
      <c r="AA61" s="13">
        <f>SUM(V61,X61,Z61)</f>
      </c>
      <c r="AB61" s="13">
        <f>
      Ifs( 
        ISBETWEEN(AA61, 0, 'Points-Table'!C$20, TRUE, False), 'Points-Table'!A$20,
        ISBETWEEN(AA61, 'Points-Table'!C$20, 'Points-Table'!C$21, TRUE, False), 'Points-Table'!A$21,
        ISBETWEEN(AA61, 'Points-Table'!C$22, 10000, TRUE, TRUE), 'Points-Table'!A$22,
        true, 
        0)
      </f>
      </c>
      <c r="AC61" s="13" t="s">
        <v>56</v>
      </c>
      <c r="AD61" s="13" t="s">
        <v>56</v>
      </c>
      <c r="AE61" s="13" t="s">
        <v>56</v>
      </c>
    </row>
    <row r="62" spans="1:31" s="13" customFormat="1" x14ac:dyDescent="0.25">
      <c r="A62" s="13" t="s">
        <v>173</v>
      </c>
      <c r="B62" s="13" t="s">
        <v>176</v>
      </c>
      <c r="D62" s="13"/>
      <c r="E62" s="13"/>
      <c r="F62" s="13"/>
      <c r="G62" s="13"/>
      <c r="H62" s="13"/>
      <c r="I62" s="13"/>
      <c r="J62" s="13"/>
      <c r="K62" s="13" t="s">
        <v>84</v>
      </c>
      <c r="L62" s="13" t="s">
        <v>85</v>
      </c>
      <c r="M62" s="13"/>
      <c r="N62" s="13"/>
      <c r="O62" s="13"/>
      <c r="P62" s="13"/>
      <c r="Q62" s="13">
        <v>13</v>
      </c>
      <c r="R62" s="13">
        <f>
              Ifs(
                (Q62 = 'Points-Table'!$A$4), 'Points-Table'!$C$4,
                (Q62 = 'Points-Table'!$A$5), 'Points-Table'!$C$5,
                (Q62 = 'Points-Table'!$A$6), 'Points-Table'!$C$6,
                (Q62 = 'Points-Table'!$A$7), 'Points-Table'!$C$7,
                (Q62 = 'Points-Table'!$A$8), 'Points-Table'!$C$8,
                (Q62 = 'Points-Table'!$A$9), 'Points-Table'!$C$9,
                (Q62 = 'Points-Table'!$A$10), 'Points-Table'!$C$10,
                (Q62 = 'Points-Table'!$A$11), 'Points-Table'!$C$11,
                (Q62 = 'Points-Table'!$A$12), 'Points-Table'!$C$12,
                (Q62 = 'Points-Table'!$A$13), 'Points-Table'!$C$13,
                true, 0
              )
            </f>
      </c>
      <c r="S62" s="13"/>
      <c r="T62" s="13">
        <f>
              Ifs(
                (S62 = 'Points-Table'!$A$4), 'Points-Table'!$C$4,
                (S62 = 'Points-Table'!$A$5), 'Points-Table'!$C$5,
                (S62 = 'Points-Table'!$A$6), 'Points-Table'!$C$6,
                (S62 = 'Points-Table'!$A$7), 'Points-Table'!$C$7,
                (S62 = 'Points-Table'!$A$8), 'Points-Table'!$C$8,
                (S62 = 'Points-Table'!$A$9), 'Points-Table'!$C$9,
                (S62 = 'Points-Table'!$A$10), 'Points-Table'!$C$10,
                (S62 = 'Points-Table'!$A$11), 'Points-Table'!$C$11,
                (S62 = 'Points-Table'!$A$12), 'Points-Table'!$C$12,
                (S62 = 'Points-Table'!$A$13), 'Points-Table'!$C$13,
                true, 0
              )
            </f>
      </c>
      <c r="U62" s="13">
        <v>0</v>
      </c>
      <c r="V62" s="13">
        <f>
              Ifs(
                (U62 = 'Points-Table'!$A$4), 'Points-Table'!$C$4,
                (U62 = 'Points-Table'!$A$5), 'Points-Table'!$C$5,
                (U62 = 'Points-Table'!$A$6), 'Points-Table'!$C$6,
                (U62 = 'Points-Table'!$A$7), 'Points-Table'!$C$7,
                (U62 = 'Points-Table'!$A$8), 'Points-Table'!$C$8,
                (U62 = 'Points-Table'!$A$9), 'Points-Table'!$C$9,
                (U62 = 'Points-Table'!$A$10), 'Points-Table'!$C$10,
                (U62 = 'Points-Table'!$A$11), 'Points-Table'!$C$11,
                (U62 = 'Points-Table'!$A$12), 'Points-Table'!$C$12,
                (U62 = 'Points-Table'!$A$13), 'Points-Table'!$C$13,
                true, 0
              )
            </f>
      </c>
      <c r="W62" s="13">
        <v>0</v>
      </c>
      <c r="X62" s="13">
        <f>
              Ifs(
                (W62 = 'Points-Table'!$A$4), 'Points-Table'!$C$4,
                (W62 = 'Points-Table'!$A$5), 'Points-Table'!$C$5,
                (W62 = 'Points-Table'!$A$6), 'Points-Table'!$C$6,
                (W62 = 'Points-Table'!$A$7), 'Points-Table'!$C$7,
                (W62 = 'Points-Table'!$A$8), 'Points-Table'!$C$8,
                (W62 = 'Points-Table'!$A$9), 'Points-Table'!$C$9,
                (W62 = 'Points-Table'!$A$10), 'Points-Table'!$C$10,
                (W62 = 'Points-Table'!$A$11), 'Points-Table'!$C$11,
                (W62 = 'Points-Table'!$A$12), 'Points-Table'!$C$12,
                (W62 = 'Points-Table'!$A$13), 'Points-Table'!$C$13,
                true, 0
              )
            </f>
      </c>
      <c r="Y62" s="13">
        <v>0</v>
      </c>
      <c r="Z62" s="13">
        <f>
              Ifs(
                (Y62 = 'Points-Table'!$A$4), 'Points-Table'!$C$4,
                (Y62 = 'Points-Table'!$A$5), 'Points-Table'!$C$5,
                (Y62 = 'Points-Table'!$A$6), 'Points-Table'!$C$6,
                (Y62 = 'Points-Table'!$A$7), 'Points-Table'!$C$7,
                (Y62 = 'Points-Table'!$A$8), 'Points-Table'!$C$8,
                (Y62 = 'Points-Table'!$A$9), 'Points-Table'!$C$9,
                (Y62 = 'Points-Table'!$A$10), 'Points-Table'!$C$10,
                (Y62 = 'Points-Table'!$A$11), 'Points-Table'!$C$11,
                (Y62 = 'Points-Table'!$A$12), 'Points-Table'!$C$12,
                (Y62 = 'Points-Table'!$A$13), 'Points-Table'!$C$13,
                true, 0
              )
            </f>
      </c>
      <c r="AA62" s="13">
        <f>SUM(V62,X62,Z62)</f>
      </c>
      <c r="AB62" s="13">
        <f>
      Ifs( 
        ISBETWEEN(AA62, 0, 'Points-Table'!C$20, TRUE, False), 'Points-Table'!A$20,
        ISBETWEEN(AA62, 'Points-Table'!C$20, 'Points-Table'!C$21, TRUE, False), 'Points-Table'!A$21,
        ISBETWEEN(AA62, 'Points-Table'!C$22, 10000, TRUE, TRUE), 'Points-Table'!A$22,
        true, 
        0)
      </f>
      </c>
      <c r="AC62" s="13" t="s">
        <v>56</v>
      </c>
      <c r="AD62" s="13" t="s">
        <v>56</v>
      </c>
      <c r="AE62" s="13" t="s">
        <v>56</v>
      </c>
    </row>
    <row r="63" spans="1:31" s="13" customFormat="1" x14ac:dyDescent="0.25">
      <c r="A63" s="13" t="s">
        <v>173</v>
      </c>
      <c r="B63" s="13" t="s">
        <v>177</v>
      </c>
      <c r="D63" s="13"/>
      <c r="E63" s="13"/>
      <c r="F63" s="13"/>
      <c r="G63" s="13"/>
      <c r="H63" s="13"/>
      <c r="I63" s="13"/>
      <c r="J63" s="13"/>
      <c r="K63" s="13" t="s">
        <v>84</v>
      </c>
      <c r="L63" s="13" t="s">
        <v>85</v>
      </c>
      <c r="M63" s="13"/>
      <c r="N63" s="13"/>
      <c r="O63" s="13"/>
      <c r="P63" s="13"/>
      <c r="Q63" s="13">
        <v>13</v>
      </c>
      <c r="R63" s="13">
        <f>
              Ifs(
                (Q63 = 'Points-Table'!$A$4), 'Points-Table'!$C$4,
                (Q63 = 'Points-Table'!$A$5), 'Points-Table'!$C$5,
                (Q63 = 'Points-Table'!$A$6), 'Points-Table'!$C$6,
                (Q63 = 'Points-Table'!$A$7), 'Points-Table'!$C$7,
                (Q63 = 'Points-Table'!$A$8), 'Points-Table'!$C$8,
                (Q63 = 'Points-Table'!$A$9), 'Points-Table'!$C$9,
                (Q63 = 'Points-Table'!$A$10), 'Points-Table'!$C$10,
                (Q63 = 'Points-Table'!$A$11), 'Points-Table'!$C$11,
                (Q63 = 'Points-Table'!$A$12), 'Points-Table'!$C$12,
                (Q63 = 'Points-Table'!$A$13), 'Points-Table'!$C$13,
                true, 0
              )
            </f>
      </c>
      <c r="S63" s="13"/>
      <c r="T63" s="13">
        <f>
              Ifs(
                (S63 = 'Points-Table'!$A$4), 'Points-Table'!$C$4,
                (S63 = 'Points-Table'!$A$5), 'Points-Table'!$C$5,
                (S63 = 'Points-Table'!$A$6), 'Points-Table'!$C$6,
                (S63 = 'Points-Table'!$A$7), 'Points-Table'!$C$7,
                (S63 = 'Points-Table'!$A$8), 'Points-Table'!$C$8,
                (S63 = 'Points-Table'!$A$9), 'Points-Table'!$C$9,
                (S63 = 'Points-Table'!$A$10), 'Points-Table'!$C$10,
                (S63 = 'Points-Table'!$A$11), 'Points-Table'!$C$11,
                (S63 = 'Points-Table'!$A$12), 'Points-Table'!$C$12,
                (S63 = 'Points-Table'!$A$13), 'Points-Table'!$C$13,
                true, 0
              )
            </f>
      </c>
      <c r="U63" s="13">
        <v>0</v>
      </c>
      <c r="V63" s="13">
        <f>
              Ifs(
                (U63 = 'Points-Table'!$A$4), 'Points-Table'!$C$4,
                (U63 = 'Points-Table'!$A$5), 'Points-Table'!$C$5,
                (U63 = 'Points-Table'!$A$6), 'Points-Table'!$C$6,
                (U63 = 'Points-Table'!$A$7), 'Points-Table'!$C$7,
                (U63 = 'Points-Table'!$A$8), 'Points-Table'!$C$8,
                (U63 = 'Points-Table'!$A$9), 'Points-Table'!$C$9,
                (U63 = 'Points-Table'!$A$10), 'Points-Table'!$C$10,
                (U63 = 'Points-Table'!$A$11), 'Points-Table'!$C$11,
                (U63 = 'Points-Table'!$A$12), 'Points-Table'!$C$12,
                (U63 = 'Points-Table'!$A$13), 'Points-Table'!$C$13,
                true, 0
              )
            </f>
      </c>
      <c r="W63" s="13">
        <v>0</v>
      </c>
      <c r="X63" s="13">
        <f>
              Ifs(
                (W63 = 'Points-Table'!$A$4), 'Points-Table'!$C$4,
                (W63 = 'Points-Table'!$A$5), 'Points-Table'!$C$5,
                (W63 = 'Points-Table'!$A$6), 'Points-Table'!$C$6,
                (W63 = 'Points-Table'!$A$7), 'Points-Table'!$C$7,
                (W63 = 'Points-Table'!$A$8), 'Points-Table'!$C$8,
                (W63 = 'Points-Table'!$A$9), 'Points-Table'!$C$9,
                (W63 = 'Points-Table'!$A$10), 'Points-Table'!$C$10,
                (W63 = 'Points-Table'!$A$11), 'Points-Table'!$C$11,
                (W63 = 'Points-Table'!$A$12), 'Points-Table'!$C$12,
                (W63 = 'Points-Table'!$A$13), 'Points-Table'!$C$13,
                true, 0
              )
            </f>
      </c>
      <c r="Y63" s="13">
        <v>0</v>
      </c>
      <c r="Z63" s="13">
        <f>
              Ifs(
                (Y63 = 'Points-Table'!$A$4), 'Points-Table'!$C$4,
                (Y63 = 'Points-Table'!$A$5), 'Points-Table'!$C$5,
                (Y63 = 'Points-Table'!$A$6), 'Points-Table'!$C$6,
                (Y63 = 'Points-Table'!$A$7), 'Points-Table'!$C$7,
                (Y63 = 'Points-Table'!$A$8), 'Points-Table'!$C$8,
                (Y63 = 'Points-Table'!$A$9), 'Points-Table'!$C$9,
                (Y63 = 'Points-Table'!$A$10), 'Points-Table'!$C$10,
                (Y63 = 'Points-Table'!$A$11), 'Points-Table'!$C$11,
                (Y63 = 'Points-Table'!$A$12), 'Points-Table'!$C$12,
                (Y63 = 'Points-Table'!$A$13), 'Points-Table'!$C$13,
                true, 0
              )
            </f>
      </c>
      <c r="AA63" s="13">
        <f>SUM(V63,X63,Z63)</f>
      </c>
      <c r="AB63" s="13">
        <f>
      Ifs( 
        ISBETWEEN(AA63, 0, 'Points-Table'!C$20, TRUE, False), 'Points-Table'!A$20,
        ISBETWEEN(AA63, 'Points-Table'!C$20, 'Points-Table'!C$21, TRUE, False), 'Points-Table'!A$21,
        ISBETWEEN(AA63, 'Points-Table'!C$22, 10000, TRUE, TRUE), 'Points-Table'!A$22,
        true, 
        0)
      </f>
      </c>
      <c r="AC63" s="13" t="s">
        <v>56</v>
      </c>
      <c r="AD63" s="13" t="s">
        <v>56</v>
      </c>
      <c r="AE63" s="13" t="s">
        <v>56</v>
      </c>
    </row>
    <row r="64" spans="1:31" s="13" customFormat="1" x14ac:dyDescent="0.25">
      <c r="A64" s="13" t="s">
        <v>178</v>
      </c>
      <c r="D64" s="13"/>
      <c r="E64" s="13"/>
      <c r="F64" s="13"/>
      <c r="G64" s="13"/>
      <c r="H64" s="13"/>
      <c r="I64" s="13"/>
      <c r="J64" s="13"/>
      <c r="K64" s="13" t="s">
        <v>84</v>
      </c>
      <c r="L64" s="13" t="s">
        <v>85</v>
      </c>
      <c r="M64" s="13"/>
      <c r="N64" s="13"/>
      <c r="O64" s="13"/>
      <c r="P64" s="13"/>
      <c r="Q64" s="13"/>
      <c r="R64" s="13">
        <f>
              Ifs(
                (Q64 = 'Points-Table'!$A$4), 'Points-Table'!$C$4,
                (Q64 = 'Points-Table'!$A$5), 'Points-Table'!$C$5,
                (Q64 = 'Points-Table'!$A$6), 'Points-Table'!$C$6,
                (Q64 = 'Points-Table'!$A$7), 'Points-Table'!$C$7,
                (Q64 = 'Points-Table'!$A$8), 'Points-Table'!$C$8,
                (Q64 = 'Points-Table'!$A$9), 'Points-Table'!$C$9,
                (Q64 = 'Points-Table'!$A$10), 'Points-Table'!$C$10,
                (Q64 = 'Points-Table'!$A$11), 'Points-Table'!$C$11,
                (Q64 = 'Points-Table'!$A$12), 'Points-Table'!$C$12,
                (Q64 = 'Points-Table'!$A$13), 'Points-Table'!$C$13,
                true, 0
              )
            </f>
      </c>
      <c r="S64" s="13">
        <v>13</v>
      </c>
      <c r="T64" s="13">
        <f>
              Ifs(
                (S64 = 'Points-Table'!$A$4), 'Points-Table'!$C$4,
                (S64 = 'Points-Table'!$A$5), 'Points-Table'!$C$5,
                (S64 = 'Points-Table'!$A$6), 'Points-Table'!$C$6,
                (S64 = 'Points-Table'!$A$7), 'Points-Table'!$C$7,
                (S64 = 'Points-Table'!$A$8), 'Points-Table'!$C$8,
                (S64 = 'Points-Table'!$A$9), 'Points-Table'!$C$9,
                (S64 = 'Points-Table'!$A$10), 'Points-Table'!$C$10,
                (S64 = 'Points-Table'!$A$11), 'Points-Table'!$C$11,
                (S64 = 'Points-Table'!$A$12), 'Points-Table'!$C$12,
                (S64 = 'Points-Table'!$A$13), 'Points-Table'!$C$13,
                true, 0
              )
            </f>
      </c>
      <c r="U64" s="13">
        <v>0</v>
      </c>
      <c r="V64" s="13">
        <f>
              Ifs(
                (U64 = 'Points-Table'!$A$4), 'Points-Table'!$C$4,
                (U64 = 'Points-Table'!$A$5), 'Points-Table'!$C$5,
                (U64 = 'Points-Table'!$A$6), 'Points-Table'!$C$6,
                (U64 = 'Points-Table'!$A$7), 'Points-Table'!$C$7,
                (U64 = 'Points-Table'!$A$8), 'Points-Table'!$C$8,
                (U64 = 'Points-Table'!$A$9), 'Points-Table'!$C$9,
                (U64 = 'Points-Table'!$A$10), 'Points-Table'!$C$10,
                (U64 = 'Points-Table'!$A$11), 'Points-Table'!$C$11,
                (U64 = 'Points-Table'!$A$12), 'Points-Table'!$C$12,
                (U64 = 'Points-Table'!$A$13), 'Points-Table'!$C$13,
                true, 0
              )
            </f>
      </c>
      <c r="W64" s="13">
        <v>0</v>
      </c>
      <c r="X64" s="13">
        <f>
              Ifs(
                (W64 = 'Points-Table'!$A$4), 'Points-Table'!$C$4,
                (W64 = 'Points-Table'!$A$5), 'Points-Table'!$C$5,
                (W64 = 'Points-Table'!$A$6), 'Points-Table'!$C$6,
                (W64 = 'Points-Table'!$A$7), 'Points-Table'!$C$7,
                (W64 = 'Points-Table'!$A$8), 'Points-Table'!$C$8,
                (W64 = 'Points-Table'!$A$9), 'Points-Table'!$C$9,
                (W64 = 'Points-Table'!$A$10), 'Points-Table'!$C$10,
                (W64 = 'Points-Table'!$A$11), 'Points-Table'!$C$11,
                (W64 = 'Points-Table'!$A$12), 'Points-Table'!$C$12,
                (W64 = 'Points-Table'!$A$13), 'Points-Table'!$C$13,
                true, 0
              )
            </f>
      </c>
      <c r="Y64" s="13">
        <v>0</v>
      </c>
      <c r="Z64" s="13">
        <f>
              Ifs(
                (Y64 = 'Points-Table'!$A$4), 'Points-Table'!$C$4,
                (Y64 = 'Points-Table'!$A$5), 'Points-Table'!$C$5,
                (Y64 = 'Points-Table'!$A$6), 'Points-Table'!$C$6,
                (Y64 = 'Points-Table'!$A$7), 'Points-Table'!$C$7,
                (Y64 = 'Points-Table'!$A$8), 'Points-Table'!$C$8,
                (Y64 = 'Points-Table'!$A$9), 'Points-Table'!$C$9,
                (Y64 = 'Points-Table'!$A$10), 'Points-Table'!$C$10,
                (Y64 = 'Points-Table'!$A$11), 'Points-Table'!$C$11,
                (Y64 = 'Points-Table'!$A$12), 'Points-Table'!$C$12,
                (Y64 = 'Points-Table'!$A$13), 'Points-Table'!$C$13,
                true, 0
              )
            </f>
      </c>
      <c r="AA64" s="13">
        <f>SUM(V64,X64,Z64)</f>
      </c>
      <c r="AB64" s="13">
        <f>
      Ifs( 
        ISBETWEEN(AA64, 0, 'Points-Table'!C$20, TRUE, False), 'Points-Table'!A$20,
        ISBETWEEN(AA64, 'Points-Table'!C$20, 'Points-Table'!C$21, TRUE, False), 'Points-Table'!A$21,
        ISBETWEEN(AA64, 'Points-Table'!C$22, 10000, TRUE, TRUE), 'Points-Table'!A$22,
        true, 
        0)
      </f>
      </c>
      <c r="AC64" s="13" t="s">
        <v>56</v>
      </c>
      <c r="AD64" s="13" t="s">
        <v>56</v>
      </c>
      <c r="AE64" s="13" t="s">
        <v>56</v>
      </c>
    </row>
    <row r="65" spans="1:31" s="13" customFormat="1" x14ac:dyDescent="0.25">
      <c r="A65" s="13" t="s">
        <v>179</v>
      </c>
      <c r="D65" s="13"/>
      <c r="E65" s="13"/>
      <c r="F65" s="13"/>
      <c r="G65" s="13"/>
      <c r="H65" s="13"/>
      <c r="I65" s="13"/>
      <c r="J65" s="13"/>
      <c r="K65" s="13" t="s">
        <v>84</v>
      </c>
      <c r="L65" s="13" t="s">
        <v>85</v>
      </c>
      <c r="M65" s="13"/>
      <c r="N65" s="13"/>
      <c r="O65" s="13"/>
      <c r="P65" s="13"/>
      <c r="Q65" s="13"/>
      <c r="R65" s="13">
        <f>
              Ifs(
                (Q65 = 'Points-Table'!$A$4), 'Points-Table'!$C$4,
                (Q65 = 'Points-Table'!$A$5), 'Points-Table'!$C$5,
                (Q65 = 'Points-Table'!$A$6), 'Points-Table'!$C$6,
                (Q65 = 'Points-Table'!$A$7), 'Points-Table'!$C$7,
                (Q65 = 'Points-Table'!$A$8), 'Points-Table'!$C$8,
                (Q65 = 'Points-Table'!$A$9), 'Points-Table'!$C$9,
                (Q65 = 'Points-Table'!$A$10), 'Points-Table'!$C$10,
                (Q65 = 'Points-Table'!$A$11), 'Points-Table'!$C$11,
                (Q65 = 'Points-Table'!$A$12), 'Points-Table'!$C$12,
                (Q65 = 'Points-Table'!$A$13), 'Points-Table'!$C$13,
                true, 0
              )
            </f>
      </c>
      <c r="S65" s="13">
        <v>34</v>
      </c>
      <c r="T65" s="13">
        <f>
              Ifs(
                (S65 = 'Points-Table'!$A$4), 'Points-Table'!$C$4,
                (S65 = 'Points-Table'!$A$5), 'Points-Table'!$C$5,
                (S65 = 'Points-Table'!$A$6), 'Points-Table'!$C$6,
                (S65 = 'Points-Table'!$A$7), 'Points-Table'!$C$7,
                (S65 = 'Points-Table'!$A$8), 'Points-Table'!$C$8,
                (S65 = 'Points-Table'!$A$9), 'Points-Table'!$C$9,
                (S65 = 'Points-Table'!$A$10), 'Points-Table'!$C$10,
                (S65 = 'Points-Table'!$A$11), 'Points-Table'!$C$11,
                (S65 = 'Points-Table'!$A$12), 'Points-Table'!$C$12,
                (S65 = 'Points-Table'!$A$13), 'Points-Table'!$C$13,
                true, 0
              )
            </f>
      </c>
      <c r="U65" s="13">
        <v>0</v>
      </c>
      <c r="V65" s="13">
        <f>
              Ifs(
                (U65 = 'Points-Table'!$A$4), 'Points-Table'!$C$4,
                (U65 = 'Points-Table'!$A$5), 'Points-Table'!$C$5,
                (U65 = 'Points-Table'!$A$6), 'Points-Table'!$C$6,
                (U65 = 'Points-Table'!$A$7), 'Points-Table'!$C$7,
                (U65 = 'Points-Table'!$A$8), 'Points-Table'!$C$8,
                (U65 = 'Points-Table'!$A$9), 'Points-Table'!$C$9,
                (U65 = 'Points-Table'!$A$10), 'Points-Table'!$C$10,
                (U65 = 'Points-Table'!$A$11), 'Points-Table'!$C$11,
                (U65 = 'Points-Table'!$A$12), 'Points-Table'!$C$12,
                (U65 = 'Points-Table'!$A$13), 'Points-Table'!$C$13,
                true, 0
              )
            </f>
      </c>
      <c r="W65" s="13">
        <v>0</v>
      </c>
      <c r="X65" s="13">
        <f>
              Ifs(
                (W65 = 'Points-Table'!$A$4), 'Points-Table'!$C$4,
                (W65 = 'Points-Table'!$A$5), 'Points-Table'!$C$5,
                (W65 = 'Points-Table'!$A$6), 'Points-Table'!$C$6,
                (W65 = 'Points-Table'!$A$7), 'Points-Table'!$C$7,
                (W65 = 'Points-Table'!$A$8), 'Points-Table'!$C$8,
                (W65 = 'Points-Table'!$A$9), 'Points-Table'!$C$9,
                (W65 = 'Points-Table'!$A$10), 'Points-Table'!$C$10,
                (W65 = 'Points-Table'!$A$11), 'Points-Table'!$C$11,
                (W65 = 'Points-Table'!$A$12), 'Points-Table'!$C$12,
                (W65 = 'Points-Table'!$A$13), 'Points-Table'!$C$13,
                true, 0
              )
            </f>
      </c>
      <c r="Y65" s="13">
        <v>0</v>
      </c>
      <c r="Z65" s="13">
        <f>
              Ifs(
                (Y65 = 'Points-Table'!$A$4), 'Points-Table'!$C$4,
                (Y65 = 'Points-Table'!$A$5), 'Points-Table'!$C$5,
                (Y65 = 'Points-Table'!$A$6), 'Points-Table'!$C$6,
                (Y65 = 'Points-Table'!$A$7), 'Points-Table'!$C$7,
                (Y65 = 'Points-Table'!$A$8), 'Points-Table'!$C$8,
                (Y65 = 'Points-Table'!$A$9), 'Points-Table'!$C$9,
                (Y65 = 'Points-Table'!$A$10), 'Points-Table'!$C$10,
                (Y65 = 'Points-Table'!$A$11), 'Points-Table'!$C$11,
                (Y65 = 'Points-Table'!$A$12), 'Points-Table'!$C$12,
                (Y65 = 'Points-Table'!$A$13), 'Points-Table'!$C$13,
                true, 0
              )
            </f>
      </c>
      <c r="AA65" s="13">
        <f>SUM(V65,X65,Z65)</f>
      </c>
      <c r="AB65" s="13">
        <f>
      Ifs( 
        ISBETWEEN(AA65, 0, 'Points-Table'!C$20, TRUE, False), 'Points-Table'!A$20,
        ISBETWEEN(AA65, 'Points-Table'!C$20, 'Points-Table'!C$21, TRUE, False), 'Points-Table'!A$21,
        ISBETWEEN(AA65, 'Points-Table'!C$22, 10000, TRUE, TRUE), 'Points-Table'!A$22,
        true, 
        0)
      </f>
      </c>
      <c r="AC65" s="13" t="s">
        <v>56</v>
      </c>
      <c r="AD65" s="13" t="s">
        <v>56</v>
      </c>
      <c r="AE65" s="13" t="s">
        <v>56</v>
      </c>
    </row>
    <row r="66" spans="1:26" x14ac:dyDescent="0.25">
      <c r="Q66" s="14"/>
      <c r="R66" s="15"/>
      <c r="S66" s="14"/>
      <c r="T66" s="15"/>
      <c r="U66" s="14"/>
      <c r="V66" s="15"/>
      <c r="W66" s="14"/>
      <c r="X66" s="15"/>
      <c r="Y66" s="14"/>
      <c r="Z66" s="15"/>
    </row>
    <row r="67" spans="1:26" x14ac:dyDescent="0.25">
      <c r="Q67" s="14"/>
      <c r="R67" s="15"/>
      <c r="S67" s="14"/>
      <c r="T67" s="15"/>
      <c r="U67" s="14"/>
      <c r="V67" s="15"/>
      <c r="W67" s="14"/>
      <c r="X67" s="15"/>
      <c r="Y67" s="14"/>
      <c r="Z67" s="15"/>
    </row>
    <row r="68" spans="1:26" x14ac:dyDescent="0.25">
      <c r="Q68" s="14"/>
      <c r="R68" s="15"/>
      <c r="S68" s="14"/>
      <c r="T68" s="15"/>
      <c r="U68" s="14"/>
      <c r="V68" s="15"/>
      <c r="W68" s="14"/>
      <c r="X68" s="15"/>
      <c r="Y68" s="14"/>
      <c r="Z68" s="15"/>
    </row>
    <row r="69" spans="1:26" x14ac:dyDescent="0.25">
      <c r="Q69" s="14"/>
      <c r="R69" s="15"/>
      <c r="S69" s="14"/>
      <c r="T69" s="15"/>
      <c r="U69" s="14"/>
      <c r="V69" s="15"/>
      <c r="W69" s="14"/>
      <c r="X69" s="15"/>
      <c r="Y69" s="14"/>
      <c r="Z69" s="15"/>
    </row>
    <row r="70" spans="1:26" x14ac:dyDescent="0.25">
      <c r="Q70" s="14"/>
      <c r="R70" s="15"/>
      <c r="S70" s="14"/>
      <c r="T70" s="15"/>
      <c r="U70" s="14"/>
      <c r="V70" s="15"/>
      <c r="W70" s="14"/>
      <c r="X70" s="15"/>
      <c r="Y70" s="14"/>
      <c r="Z70" s="15"/>
    </row>
    <row r="71" spans="1:26" x14ac:dyDescent="0.25">
      <c r="Q71" s="14"/>
      <c r="R71" s="15"/>
      <c r="S71" s="14"/>
      <c r="T71" s="15"/>
      <c r="U71" s="14"/>
      <c r="V71" s="15"/>
      <c r="W71" s="14"/>
      <c r="X71" s="15"/>
      <c r="Y71" s="14"/>
      <c r="Z71" s="15"/>
    </row>
    <row r="72" spans="1:26" x14ac:dyDescent="0.25">
      <c r="Q72" s="14"/>
      <c r="R72" s="15"/>
      <c r="S72" s="14"/>
      <c r="T72" s="15"/>
      <c r="U72" s="14"/>
      <c r="V72" s="15"/>
      <c r="W72" s="14"/>
      <c r="X72" s="15"/>
      <c r="Y72" s="14"/>
      <c r="Z72" s="15"/>
    </row>
    <row r="73" spans="1:26" x14ac:dyDescent="0.25">
      <c r="Q73" s="14"/>
      <c r="R73" s="15"/>
      <c r="S73" s="14"/>
      <c r="T73" s="15"/>
      <c r="U73" s="14"/>
      <c r="V73" s="15"/>
      <c r="W73" s="14"/>
      <c r="X73" s="15"/>
      <c r="Y73" s="14"/>
      <c r="Z73" s="15"/>
    </row>
    <row r="74" spans="1:26" x14ac:dyDescent="0.25">
      <c r="Q74" s="14"/>
      <c r="R74" s="15"/>
      <c r="S74" s="14"/>
      <c r="T74" s="15"/>
      <c r="U74" s="14"/>
      <c r="V74" s="15"/>
      <c r="W74" s="14"/>
      <c r="X74" s="15"/>
      <c r="Y74" s="14"/>
      <c r="Z74" s="15"/>
    </row>
    <row r="75" spans="1:26" x14ac:dyDescent="0.25">
      <c r="Q75" s="14"/>
      <c r="R75" s="15"/>
      <c r="S75" s="14"/>
      <c r="T75" s="15"/>
      <c r="U75" s="14"/>
      <c r="V75" s="15"/>
      <c r="W75" s="14"/>
      <c r="X75" s="15"/>
      <c r="Y75" s="14"/>
      <c r="Z75" s="15"/>
    </row>
    <row r="76" spans="1:26" x14ac:dyDescent="0.25">
      <c r="Q76" s="14"/>
      <c r="R76" s="15"/>
      <c r="S76" s="14"/>
      <c r="T76" s="15"/>
      <c r="U76" s="14"/>
      <c r="V76" s="15"/>
      <c r="W76" s="14"/>
      <c r="X76" s="15"/>
      <c r="Y76" s="14"/>
      <c r="Z76" s="15"/>
    </row>
    <row r="77" spans="1:26" x14ac:dyDescent="0.25">
      <c r="Q77" s="14"/>
      <c r="R77" s="15"/>
      <c r="S77" s="14"/>
      <c r="T77" s="15"/>
      <c r="U77" s="14"/>
      <c r="V77" s="15"/>
      <c r="W77" s="14"/>
      <c r="X77" s="15"/>
      <c r="Y77" s="14"/>
      <c r="Z77" s="15"/>
    </row>
    <row r="78" spans="1:26" x14ac:dyDescent="0.25">
      <c r="Q78" s="14"/>
      <c r="R78" s="15"/>
      <c r="S78" s="14"/>
      <c r="T78" s="15"/>
      <c r="U78" s="14"/>
      <c r="V78" s="15"/>
      <c r="W78" s="14"/>
      <c r="X78" s="15"/>
      <c r="Y78" s="14"/>
      <c r="Z78" s="15"/>
    </row>
    <row r="79" spans="1:26" x14ac:dyDescent="0.25">
      <c r="Q79" s="14"/>
      <c r="R79" s="15"/>
      <c r="S79" s="14"/>
      <c r="T79" s="15"/>
      <c r="U79" s="14"/>
      <c r="V79" s="15"/>
      <c r="W79" s="14"/>
      <c r="X79" s="15"/>
      <c r="Y79" s="14"/>
      <c r="Z79" s="15"/>
    </row>
    <row r="80" spans="1:26" x14ac:dyDescent="0.25">
      <c r="Q80" s="14"/>
      <c r="R80" s="15"/>
      <c r="S80" s="14"/>
      <c r="T80" s="15"/>
      <c r="U80" s="14"/>
      <c r="V80" s="15"/>
      <c r="W80" s="14"/>
      <c r="X80" s="15"/>
      <c r="Y80" s="14"/>
      <c r="Z80" s="15"/>
    </row>
    <row r="81" spans="1:26" x14ac:dyDescent="0.25">
      <c r="Q81" s="14"/>
      <c r="R81" s="15"/>
      <c r="S81" s="14"/>
      <c r="T81" s="15"/>
      <c r="U81" s="14"/>
      <c r="V81" s="15"/>
      <c r="W81" s="14"/>
      <c r="X81" s="15"/>
      <c r="Y81" s="14"/>
      <c r="Z81" s="15"/>
    </row>
    <row r="82" spans="1:26" x14ac:dyDescent="0.25">
      <c r="Q82" s="14"/>
      <c r="R82" s="15"/>
      <c r="S82" s="14"/>
      <c r="T82" s="15"/>
      <c r="U82" s="14"/>
      <c r="V82" s="15"/>
      <c r="W82" s="14"/>
      <c r="X82" s="15"/>
      <c r="Y82" s="14"/>
      <c r="Z82" s="15"/>
    </row>
    <row r="83" spans="1:26" x14ac:dyDescent="0.25">
      <c r="Q83" s="14"/>
      <c r="R83" s="15"/>
      <c r="S83" s="14"/>
      <c r="T83" s="15"/>
      <c r="U83" s="14"/>
      <c r="V83" s="15"/>
      <c r="W83" s="14"/>
      <c r="X83" s="15"/>
      <c r="Y83" s="14"/>
      <c r="Z83" s="15"/>
    </row>
    <row r="84" spans="1:26" x14ac:dyDescent="0.25">
      <c r="Q84" s="14"/>
      <c r="R84" s="15"/>
      <c r="S84" s="14"/>
      <c r="T84" s="15"/>
      <c r="U84" s="14"/>
      <c r="V84" s="15"/>
      <c r="W84" s="14"/>
      <c r="X84" s="15"/>
      <c r="Y84" s="14"/>
      <c r="Z84" s="15"/>
    </row>
    <row r="85" spans="1:26" x14ac:dyDescent="0.25">
      <c r="Q85" s="14"/>
      <c r="R85" s="15"/>
      <c r="S85" s="14"/>
      <c r="T85" s="15"/>
      <c r="U85" s="14"/>
      <c r="V85" s="15"/>
      <c r="W85" s="14"/>
      <c r="X85" s="15"/>
      <c r="Y85" s="14"/>
      <c r="Z85" s="15"/>
    </row>
    <row r="86" spans="1:26" x14ac:dyDescent="0.25">
      <c r="Q86" s="14"/>
      <c r="R86" s="15"/>
      <c r="S86" s="14"/>
      <c r="T86" s="15"/>
      <c r="U86" s="14"/>
      <c r="V86" s="15"/>
      <c r="W86" s="14"/>
      <c r="X86" s="15"/>
      <c r="Y86" s="14"/>
      <c r="Z86" s="15"/>
    </row>
    <row r="87" spans="1:26" x14ac:dyDescent="0.25">
      <c r="Q87" s="14"/>
      <c r="R87" s="15"/>
      <c r="S87" s="14"/>
      <c r="T87" s="15"/>
      <c r="U87" s="14"/>
      <c r="V87" s="15"/>
      <c r="W87" s="14"/>
      <c r="X87" s="15"/>
      <c r="Y87" s="14"/>
      <c r="Z87" s="15"/>
    </row>
    <row r="88" spans="1:26" x14ac:dyDescent="0.25">
      <c r="Q88" s="14"/>
      <c r="R88" s="15"/>
      <c r="S88" s="14"/>
      <c r="T88" s="15"/>
      <c r="U88" s="14"/>
      <c r="V88" s="15"/>
      <c r="W88" s="14"/>
      <c r="X88" s="15"/>
      <c r="Y88" s="14"/>
      <c r="Z88" s="15"/>
    </row>
    <row r="89" spans="1:26" x14ac:dyDescent="0.25">
      <c r="Q89" s="14"/>
      <c r="R89" s="15"/>
      <c r="S89" s="14"/>
      <c r="T89" s="15"/>
      <c r="U89" s="14"/>
      <c r="V89" s="15"/>
      <c r="W89" s="14"/>
      <c r="X89" s="15"/>
      <c r="Y89" s="14"/>
      <c r="Z89" s="15"/>
    </row>
    <row r="90" spans="1:26" x14ac:dyDescent="0.25">
      <c r="Q90" s="14"/>
      <c r="R90" s="15"/>
      <c r="S90" s="14"/>
      <c r="T90" s="15"/>
      <c r="U90" s="14"/>
      <c r="V90" s="15"/>
      <c r="W90" s="14"/>
      <c r="X90" s="15"/>
      <c r="Y90" s="14"/>
      <c r="Z90" s="15"/>
    </row>
    <row r="91" spans="1:26" x14ac:dyDescent="0.25">
      <c r="Q91" s="14"/>
      <c r="R91" s="15"/>
      <c r="S91" s="14"/>
      <c r="T91" s="15"/>
      <c r="U91" s="14"/>
      <c r="V91" s="15"/>
      <c r="W91" s="14"/>
      <c r="X91" s="15"/>
      <c r="Y91" s="14"/>
      <c r="Z91" s="15"/>
    </row>
    <row r="92" spans="1:26" x14ac:dyDescent="0.25">
      <c r="Q92" s="14"/>
      <c r="R92" s="15"/>
      <c r="S92" s="14"/>
      <c r="T92" s="15"/>
      <c r="U92" s="14"/>
      <c r="V92" s="15"/>
      <c r="W92" s="14"/>
      <c r="X92" s="15"/>
      <c r="Y92" s="14"/>
      <c r="Z92" s="15"/>
    </row>
    <row r="93" spans="1:26" x14ac:dyDescent="0.25">
      <c r="Q93" s="14"/>
      <c r="R93" s="15"/>
      <c r="S93" s="14"/>
      <c r="T93" s="15"/>
      <c r="U93" s="14"/>
      <c r="V93" s="15"/>
      <c r="W93" s="14"/>
      <c r="X93" s="15"/>
      <c r="Y93" s="14"/>
      <c r="Z93" s="15"/>
    </row>
    <row r="94" spans="1:26" x14ac:dyDescent="0.25">
      <c r="Q94" s="14"/>
      <c r="R94" s="15"/>
      <c r="S94" s="14"/>
      <c r="T94" s="15"/>
      <c r="U94" s="14"/>
      <c r="V94" s="15"/>
      <c r="W94" s="14"/>
      <c r="X94" s="15"/>
      <c r="Y94" s="14"/>
      <c r="Z94" s="15"/>
    </row>
    <row r="95" spans="1:26" x14ac:dyDescent="0.25">
      <c r="Q95" s="14"/>
      <c r="R95" s="15"/>
      <c r="S95" s="14"/>
      <c r="T95" s="15"/>
      <c r="U95" s="14"/>
      <c r="V95" s="15"/>
      <c r="W95" s="14"/>
      <c r="X95" s="15"/>
      <c r="Y95" s="14"/>
      <c r="Z95" s="15"/>
    </row>
    <row r="96" spans="1:26" x14ac:dyDescent="0.25">
      <c r="Q96" s="14"/>
      <c r="R96" s="15"/>
      <c r="S96" s="14"/>
      <c r="T96" s="15"/>
      <c r="U96" s="14"/>
      <c r="V96" s="15"/>
      <c r="W96" s="14"/>
      <c r="X96" s="15"/>
      <c r="Y96" s="14"/>
      <c r="Z96" s="15"/>
    </row>
    <row r="97" spans="1:26" x14ac:dyDescent="0.25">
      <c r="Q97" s="14"/>
      <c r="R97" s="15"/>
      <c r="S97" s="14"/>
      <c r="T97" s="15"/>
      <c r="U97" s="14"/>
      <c r="V97" s="15"/>
      <c r="W97" s="14"/>
      <c r="X97" s="15"/>
      <c r="Y97" s="14"/>
      <c r="Z97" s="15"/>
    </row>
    <row r="98" spans="1:26" x14ac:dyDescent="0.25">
      <c r="Q98" s="14"/>
      <c r="R98" s="15"/>
      <c r="S98" s="14"/>
      <c r="T98" s="15"/>
      <c r="U98" s="14"/>
      <c r="V98" s="15"/>
      <c r="W98" s="14"/>
      <c r="X98" s="15"/>
      <c r="Y98" s="14"/>
      <c r="Z98" s="15"/>
    </row>
    <row r="99" spans="1:26" x14ac:dyDescent="0.25">
      <c r="Q99" s="14"/>
      <c r="R99" s="15"/>
      <c r="S99" s="14"/>
      <c r="T99" s="15"/>
      <c r="U99" s="14"/>
      <c r="V99" s="15"/>
      <c r="W99" s="14"/>
      <c r="X99" s="15"/>
      <c r="Y99" s="14"/>
      <c r="Z99" s="15"/>
    </row>
    <row r="100" spans="1:26" x14ac:dyDescent="0.25">
      <c r="Q100" s="14"/>
      <c r="R100" s="15"/>
      <c r="S100" s="14"/>
      <c r="T100" s="15"/>
      <c r="U100" s="14"/>
      <c r="V100" s="15"/>
      <c r="W100" s="14"/>
      <c r="X100" s="15"/>
      <c r="Y100" s="14"/>
      <c r="Z100" s="15"/>
    </row>
    <row r="101" spans="1:26" x14ac:dyDescent="0.25">
      <c r="Q101" s="14"/>
      <c r="R101" s="15"/>
      <c r="S101" s="14"/>
      <c r="T101" s="15"/>
      <c r="U101" s="14"/>
      <c r="V101" s="15"/>
      <c r="W101" s="14"/>
      <c r="X101" s="15"/>
      <c r="Y101" s="14"/>
      <c r="Z101" s="15"/>
    </row>
    <row r="102" spans="1:26" x14ac:dyDescent="0.25">
      <c r="Q102" s="14"/>
      <c r="R102" s="15"/>
      <c r="S102" s="14"/>
      <c r="T102" s="15"/>
      <c r="U102" s="14"/>
      <c r="V102" s="15"/>
      <c r="W102" s="14"/>
      <c r="X102" s="15"/>
      <c r="Y102" s="14"/>
      <c r="Z102" s="15"/>
    </row>
    <row r="103" spans="1:26" x14ac:dyDescent="0.25">
      <c r="Q103" s="14"/>
      <c r="R103" s="15"/>
      <c r="S103" s="14"/>
      <c r="T103" s="15"/>
      <c r="U103" s="14"/>
      <c r="V103" s="15"/>
      <c r="W103" s="14"/>
      <c r="X103" s="15"/>
      <c r="Y103" s="14"/>
      <c r="Z103" s="15"/>
    </row>
    <row r="104" spans="1:26" x14ac:dyDescent="0.25">
      <c r="Q104" s="14"/>
      <c r="R104" s="15"/>
      <c r="S104" s="14"/>
      <c r="T104" s="15"/>
      <c r="U104" s="14"/>
      <c r="V104" s="15"/>
      <c r="W104" s="14"/>
      <c r="X104" s="15"/>
      <c r="Y104" s="14"/>
      <c r="Z104" s="15"/>
    </row>
    <row r="105" spans="1:26" x14ac:dyDescent="0.25">
      <c r="Q105" s="14"/>
      <c r="R105" s="15"/>
      <c r="S105" s="14"/>
      <c r="T105" s="15"/>
      <c r="U105" s="14"/>
      <c r="V105" s="15"/>
      <c r="W105" s="14"/>
      <c r="X105" s="15"/>
      <c r="Y105" s="14"/>
      <c r="Z105" s="15"/>
    </row>
    <row r="106" spans="1:26" x14ac:dyDescent="0.25">
      <c r="Q106" s="14"/>
      <c r="R106" s="15"/>
      <c r="S106" s="14"/>
      <c r="T106" s="15"/>
      <c r="U106" s="14"/>
      <c r="V106" s="15"/>
      <c r="W106" s="14"/>
      <c r="X106" s="15"/>
      <c r="Y106" s="14"/>
      <c r="Z106" s="15"/>
    </row>
    <row r="107" spans="1:26" x14ac:dyDescent="0.25">
      <c r="Q107" s="14"/>
      <c r="R107" s="15"/>
      <c r="S107" s="14"/>
      <c r="T107" s="15"/>
      <c r="U107" s="14"/>
      <c r="V107" s="15"/>
      <c r="W107" s="14"/>
      <c r="X107" s="15"/>
      <c r="Y107" s="14"/>
      <c r="Z107" s="15"/>
    </row>
    <row r="108" spans="1:26" x14ac:dyDescent="0.25">
      <c r="Q108" s="14"/>
      <c r="R108" s="15"/>
      <c r="S108" s="14"/>
      <c r="T108" s="15"/>
      <c r="U108" s="14"/>
      <c r="V108" s="15"/>
      <c r="W108" s="14"/>
      <c r="X108" s="15"/>
      <c r="Y108" s="14"/>
      <c r="Z108" s="15"/>
    </row>
    <row r="109" spans="1:26" x14ac:dyDescent="0.25">
      <c r="Q109" s="14"/>
      <c r="R109" s="15"/>
      <c r="S109" s="14"/>
      <c r="T109" s="15"/>
      <c r="U109" s="14"/>
      <c r="V109" s="15"/>
      <c r="W109" s="14"/>
      <c r="X109" s="15"/>
      <c r="Y109" s="14"/>
      <c r="Z109" s="15"/>
    </row>
    <row r="110" spans="1:26" x14ac:dyDescent="0.25">
      <c r="Q110" s="14"/>
      <c r="R110" s="15"/>
      <c r="S110" s="14"/>
      <c r="T110" s="15"/>
      <c r="U110" s="14"/>
      <c r="V110" s="15"/>
      <c r="W110" s="14"/>
      <c r="X110" s="15"/>
      <c r="Y110" s="14"/>
      <c r="Z110" s="15"/>
    </row>
    <row r="111" spans="1:26" x14ac:dyDescent="0.25">
      <c r="Q111" s="14"/>
      <c r="R111" s="15"/>
      <c r="S111" s="14"/>
      <c r="T111" s="15"/>
      <c r="U111" s="14"/>
      <c r="V111" s="15"/>
      <c r="W111" s="14"/>
      <c r="X111" s="15"/>
      <c r="Y111" s="14"/>
      <c r="Z111" s="15"/>
    </row>
    <row r="112" spans="1:26" x14ac:dyDescent="0.25">
      <c r="Q112" s="14"/>
      <c r="R112" s="15"/>
      <c r="S112" s="14"/>
      <c r="T112" s="15"/>
      <c r="U112" s="14"/>
      <c r="V112" s="15"/>
      <c r="W112" s="14"/>
      <c r="X112" s="15"/>
      <c r="Y112" s="14"/>
      <c r="Z112" s="15"/>
    </row>
    <row r="113" spans="1:26" x14ac:dyDescent="0.25">
      <c r="Q113" s="14"/>
      <c r="R113" s="15"/>
      <c r="S113" s="14"/>
      <c r="T113" s="15"/>
      <c r="U113" s="14"/>
      <c r="V113" s="15"/>
      <c r="W113" s="14"/>
      <c r="X113" s="15"/>
      <c r="Y113" s="14"/>
      <c r="Z113" s="15"/>
    </row>
    <row r="114" spans="1:26" x14ac:dyDescent="0.25">
      <c r="Q114" s="14"/>
      <c r="R114" s="15"/>
      <c r="S114" s="14"/>
      <c r="T114" s="15"/>
      <c r="U114" s="14"/>
      <c r="V114" s="15"/>
      <c r="W114" s="14"/>
      <c r="X114" s="15"/>
      <c r="Y114" s="14"/>
      <c r="Z114" s="15"/>
    </row>
    <row r="115" spans="1:26" x14ac:dyDescent="0.25">
      <c r="Q115" s="14"/>
      <c r="R115" s="15"/>
      <c r="S115" s="14"/>
      <c r="T115" s="15"/>
      <c r="U115" s="14"/>
      <c r="V115" s="15"/>
      <c r="W115" s="14"/>
      <c r="X115" s="15"/>
      <c r="Y115" s="14"/>
      <c r="Z115" s="15"/>
    </row>
    <row r="116" spans="1:26" x14ac:dyDescent="0.25">
      <c r="Q116" s="14"/>
      <c r="R116" s="15"/>
      <c r="S116" s="14"/>
      <c r="T116" s="15"/>
      <c r="U116" s="14"/>
      <c r="V116" s="15"/>
      <c r="W116" s="14"/>
      <c r="X116" s="15"/>
      <c r="Y116" s="14"/>
      <c r="Z116" s="15"/>
    </row>
    <row r="117" spans="1:26" x14ac:dyDescent="0.25">
      <c r="Q117" s="14"/>
      <c r="R117" s="15"/>
      <c r="S117" s="14"/>
      <c r="T117" s="15"/>
      <c r="U117" s="14"/>
      <c r="V117" s="15"/>
      <c r="W117" s="14"/>
      <c r="X117" s="15"/>
      <c r="Y117" s="14"/>
      <c r="Z117" s="15"/>
    </row>
    <row r="118" spans="1:26" x14ac:dyDescent="0.25">
      <c r="Q118" s="14"/>
      <c r="R118" s="15"/>
      <c r="S118" s="14"/>
      <c r="T118" s="15"/>
      <c r="U118" s="14"/>
      <c r="V118" s="15"/>
      <c r="W118" s="14"/>
      <c r="X118" s="15"/>
      <c r="Y118" s="14"/>
      <c r="Z118" s="15"/>
    </row>
    <row r="119" spans="1:26" x14ac:dyDescent="0.25">
      <c r="Q119" s="14"/>
      <c r="R119" s="15"/>
      <c r="S119" s="14"/>
      <c r="T119" s="15"/>
      <c r="U119" s="14"/>
      <c r="V119" s="15"/>
      <c r="W119" s="14"/>
      <c r="X119" s="15"/>
      <c r="Y119" s="14"/>
      <c r="Z119" s="15"/>
    </row>
    <row r="120" spans="1:26" x14ac:dyDescent="0.25">
      <c r="Q120" s="14"/>
      <c r="R120" s="15"/>
      <c r="S120" s="14"/>
      <c r="T120" s="15"/>
      <c r="U120" s="14"/>
      <c r="V120" s="15"/>
      <c r="W120" s="14"/>
      <c r="X120" s="15"/>
      <c r="Y120" s="14"/>
      <c r="Z120" s="15"/>
    </row>
    <row r="121" spans="1:26" x14ac:dyDescent="0.25">
      <c r="Q121" s="14"/>
      <c r="R121" s="15"/>
      <c r="S121" s="14"/>
      <c r="T121" s="15"/>
      <c r="U121" s="14"/>
      <c r="V121" s="15"/>
      <c r="W121" s="14"/>
      <c r="X121" s="15"/>
      <c r="Y121" s="14"/>
      <c r="Z121" s="15"/>
    </row>
    <row r="122" spans="1:26" x14ac:dyDescent="0.25">
      <c r="Q122" s="14"/>
      <c r="R122" s="15"/>
      <c r="S122" s="14"/>
      <c r="T122" s="15"/>
      <c r="U122" s="14"/>
      <c r="V122" s="15"/>
      <c r="W122" s="14"/>
      <c r="X122" s="15"/>
      <c r="Y122" s="14"/>
      <c r="Z122" s="15"/>
    </row>
    <row r="123" spans="1:26" x14ac:dyDescent="0.25">
      <c r="Q123" s="14"/>
      <c r="R123" s="15"/>
      <c r="S123" s="14"/>
      <c r="T123" s="15"/>
      <c r="U123" s="14"/>
      <c r="V123" s="15"/>
      <c r="W123" s="14"/>
      <c r="X123" s="15"/>
      <c r="Y123" s="14"/>
      <c r="Z123" s="15"/>
    </row>
    <row r="124" spans="1:26" x14ac:dyDescent="0.25">
      <c r="Q124" s="14"/>
      <c r="R124" s="15"/>
      <c r="S124" s="14"/>
      <c r="T124" s="15"/>
      <c r="U124" s="14"/>
      <c r="V124" s="15"/>
      <c r="W124" s="14"/>
      <c r="X124" s="15"/>
      <c r="Y124" s="14"/>
      <c r="Z124" s="15"/>
    </row>
    <row r="125" spans="1:26" x14ac:dyDescent="0.25">
      <c r="Q125" s="14"/>
      <c r="R125" s="15"/>
      <c r="S125" s="14"/>
      <c r="T125" s="15"/>
      <c r="U125" s="14"/>
      <c r="V125" s="15"/>
      <c r="W125" s="14"/>
      <c r="X125" s="15"/>
      <c r="Y125" s="14"/>
      <c r="Z125" s="15"/>
    </row>
    <row r="126" spans="1:26" x14ac:dyDescent="0.25">
      <c r="Q126" s="14"/>
      <c r="R126" s="15"/>
      <c r="S126" s="14"/>
      <c r="T126" s="15"/>
      <c r="U126" s="14"/>
      <c r="V126" s="15"/>
      <c r="W126" s="14"/>
      <c r="X126" s="15"/>
      <c r="Y126" s="14"/>
      <c r="Z126" s="15"/>
    </row>
    <row r="127" spans="1:26" x14ac:dyDescent="0.25">
      <c r="Q127" s="14"/>
      <c r="R127" s="15"/>
      <c r="S127" s="14"/>
      <c r="T127" s="15"/>
      <c r="U127" s="14"/>
      <c r="V127" s="15"/>
      <c r="W127" s="14"/>
      <c r="X127" s="15"/>
      <c r="Y127" s="14"/>
      <c r="Z127" s="15"/>
    </row>
    <row r="128" spans="1:26" x14ac:dyDescent="0.25">
      <c r="Q128" s="14"/>
      <c r="R128" s="15"/>
      <c r="S128" s="14"/>
      <c r="T128" s="15"/>
      <c r="U128" s="14"/>
      <c r="V128" s="15"/>
      <c r="W128" s="14"/>
      <c r="X128" s="15"/>
      <c r="Y128" s="14"/>
      <c r="Z128" s="15"/>
    </row>
    <row r="129" spans="1:26" x14ac:dyDescent="0.25">
      <c r="Q129" s="14"/>
      <c r="R129" s="15"/>
      <c r="S129" s="14"/>
      <c r="T129" s="15"/>
      <c r="U129" s="14"/>
      <c r="V129" s="15"/>
      <c r="W129" s="14"/>
      <c r="X129" s="15"/>
      <c r="Y129" s="14"/>
      <c r="Z129" s="15"/>
    </row>
    <row r="130" spans="1:26" x14ac:dyDescent="0.25">
      <c r="Q130" s="14"/>
      <c r="R130" s="15"/>
      <c r="S130" s="14"/>
      <c r="T130" s="15"/>
      <c r="U130" s="14"/>
      <c r="V130" s="15"/>
      <c r="W130" s="14"/>
      <c r="X130" s="15"/>
      <c r="Y130" s="14"/>
      <c r="Z130" s="15"/>
    </row>
    <row r="131" spans="1:26" x14ac:dyDescent="0.25">
      <c r="Q131" s="14"/>
      <c r="R131" s="15"/>
      <c r="S131" s="14"/>
      <c r="T131" s="15"/>
      <c r="U131" s="14"/>
      <c r="V131" s="15"/>
      <c r="W131" s="14"/>
      <c r="X131" s="15"/>
      <c r="Y131" s="14"/>
      <c r="Z131" s="15"/>
    </row>
    <row r="132" spans="1:26" x14ac:dyDescent="0.25">
      <c r="Q132" s="14"/>
      <c r="R132" s="15"/>
      <c r="S132" s="14"/>
      <c r="T132" s="15"/>
      <c r="U132" s="14"/>
      <c r="V132" s="15"/>
      <c r="W132" s="14"/>
      <c r="X132" s="15"/>
      <c r="Y132" s="14"/>
      <c r="Z132" s="15"/>
    </row>
    <row r="133" spans="1:26" x14ac:dyDescent="0.25">
      <c r="Q133" s="14"/>
      <c r="R133" s="15"/>
      <c r="S133" s="14"/>
      <c r="T133" s="15"/>
      <c r="U133" s="14"/>
      <c r="V133" s="15"/>
      <c r="W133" s="14"/>
      <c r="X133" s="15"/>
      <c r="Y133" s="14"/>
      <c r="Z133" s="15"/>
    </row>
    <row r="134" spans="1:26" x14ac:dyDescent="0.25">
      <c r="Q134" s="14"/>
      <c r="R134" s="15"/>
      <c r="S134" s="14"/>
      <c r="T134" s="15"/>
      <c r="U134" s="14"/>
      <c r="V134" s="15"/>
      <c r="W134" s="14"/>
      <c r="X134" s="15"/>
      <c r="Y134" s="14"/>
      <c r="Z134" s="15"/>
    </row>
    <row r="135" spans="1:26" x14ac:dyDescent="0.25">
      <c r="Q135" s="14"/>
      <c r="R135" s="15"/>
      <c r="S135" s="14"/>
      <c r="T135" s="15"/>
      <c r="U135" s="14"/>
      <c r="V135" s="15"/>
      <c r="W135" s="14"/>
      <c r="X135" s="15"/>
      <c r="Y135" s="14"/>
      <c r="Z135" s="15"/>
    </row>
    <row r="136" spans="1:26" x14ac:dyDescent="0.25">
      <c r="Q136" s="14"/>
      <c r="R136" s="15"/>
      <c r="S136" s="14"/>
      <c r="T136" s="15"/>
      <c r="U136" s="14"/>
      <c r="V136" s="15"/>
      <c r="W136" s="14"/>
      <c r="X136" s="15"/>
      <c r="Y136" s="14"/>
      <c r="Z136" s="15"/>
    </row>
    <row r="137" spans="1:26" x14ac:dyDescent="0.25">
      <c r="Q137" s="14"/>
      <c r="R137" s="15"/>
      <c r="S137" s="14"/>
      <c r="T137" s="15"/>
      <c r="U137" s="14"/>
      <c r="V137" s="15"/>
      <c r="W137" s="14"/>
      <c r="X137" s="15"/>
      <c r="Y137" s="14"/>
      <c r="Z137" s="15"/>
    </row>
    <row r="138" spans="1:26" x14ac:dyDescent="0.25">
      <c r="Q138" s="14"/>
      <c r="R138" s="15"/>
      <c r="S138" s="14"/>
      <c r="T138" s="15"/>
      <c r="U138" s="14"/>
      <c r="V138" s="15"/>
      <c r="W138" s="14"/>
      <c r="X138" s="15"/>
      <c r="Y138" s="14"/>
      <c r="Z138" s="15"/>
    </row>
    <row r="139" spans="1:26" x14ac:dyDescent="0.25">
      <c r="Q139" s="14"/>
      <c r="R139" s="15"/>
      <c r="S139" s="14"/>
      <c r="T139" s="15"/>
      <c r="U139" s="14"/>
      <c r="V139" s="15"/>
      <c r="W139" s="14"/>
      <c r="X139" s="15"/>
      <c r="Y139" s="14"/>
      <c r="Z139" s="15"/>
    </row>
    <row r="140" spans="1:26" x14ac:dyDescent="0.25">
      <c r="Q140" s="14"/>
      <c r="R140" s="15"/>
      <c r="S140" s="14"/>
      <c r="T140" s="15"/>
      <c r="U140" s="14"/>
      <c r="V140" s="15"/>
      <c r="W140" s="14"/>
      <c r="X140" s="15"/>
      <c r="Y140" s="14"/>
      <c r="Z140" s="15"/>
    </row>
    <row r="141" spans="1:26" x14ac:dyDescent="0.25">
      <c r="Q141" s="14"/>
      <c r="R141" s="15"/>
      <c r="S141" s="14"/>
      <c r="T141" s="15"/>
      <c r="U141" s="14"/>
      <c r="V141" s="15"/>
      <c r="W141" s="14"/>
      <c r="X141" s="15"/>
      <c r="Y141" s="14"/>
      <c r="Z141" s="15"/>
    </row>
    <row r="142" spans="1:26" x14ac:dyDescent="0.25">
      <c r="Q142" s="14"/>
      <c r="R142" s="15"/>
      <c r="S142" s="14"/>
      <c r="T142" s="15"/>
      <c r="U142" s="14"/>
      <c r="V142" s="15"/>
      <c r="W142" s="14"/>
      <c r="X142" s="15"/>
      <c r="Y142" s="14"/>
      <c r="Z142" s="15"/>
    </row>
    <row r="143" spans="1:26" x14ac:dyDescent="0.25">
      <c r="Q143" s="14"/>
      <c r="R143" s="15"/>
      <c r="S143" s="14"/>
      <c r="T143" s="15"/>
      <c r="U143" s="14"/>
      <c r="V143" s="15"/>
      <c r="W143" s="14"/>
      <c r="X143" s="15"/>
      <c r="Y143" s="14"/>
      <c r="Z143" s="15"/>
    </row>
    <row r="144" spans="1:26" x14ac:dyDescent="0.25">
      <c r="Q144" s="14"/>
      <c r="R144" s="15"/>
      <c r="S144" s="14"/>
      <c r="T144" s="15"/>
      <c r="U144" s="14"/>
      <c r="V144" s="15"/>
      <c r="W144" s="14"/>
      <c r="X144" s="15"/>
      <c r="Y144" s="14"/>
      <c r="Z144" s="15"/>
    </row>
    <row r="145" spans="1:26" x14ac:dyDescent="0.25">
      <c r="Q145" s="14"/>
      <c r="R145" s="15"/>
      <c r="S145" s="14"/>
      <c r="T145" s="15"/>
      <c r="U145" s="14"/>
      <c r="V145" s="15"/>
      <c r="W145" s="14"/>
      <c r="X145" s="15"/>
      <c r="Y145" s="14"/>
      <c r="Z145" s="15"/>
    </row>
    <row r="146" spans="1:26" x14ac:dyDescent="0.25">
      <c r="Q146" s="14"/>
      <c r="R146" s="15"/>
      <c r="S146" s="14"/>
      <c r="T146" s="15"/>
      <c r="U146" s="14"/>
      <c r="V146" s="15"/>
      <c r="W146" s="14"/>
      <c r="X146" s="15"/>
      <c r="Y146" s="14"/>
      <c r="Z146" s="15"/>
    </row>
    <row r="147" spans="1:26" x14ac:dyDescent="0.25">
      <c r="Q147" s="14"/>
      <c r="R147" s="15"/>
      <c r="S147" s="14"/>
      <c r="T147" s="15"/>
      <c r="U147" s="14"/>
      <c r="V147" s="15"/>
      <c r="W147" s="14"/>
      <c r="X147" s="15"/>
      <c r="Y147" s="14"/>
      <c r="Z147" s="15"/>
    </row>
    <row r="148" spans="1:26" x14ac:dyDescent="0.25">
      <c r="Q148" s="14"/>
      <c r="R148" s="15"/>
      <c r="S148" s="14"/>
      <c r="T148" s="15"/>
      <c r="U148" s="14"/>
      <c r="V148" s="15"/>
      <c r="W148" s="14"/>
      <c r="X148" s="15"/>
      <c r="Y148" s="14"/>
      <c r="Z148" s="15"/>
    </row>
    <row r="149" spans="1:26" x14ac:dyDescent="0.25">
      <c r="Q149" s="14"/>
      <c r="R149" s="15"/>
      <c r="S149" s="14"/>
      <c r="T149" s="15"/>
      <c r="U149" s="14"/>
      <c r="V149" s="15"/>
      <c r="W149" s="14"/>
      <c r="X149" s="15"/>
      <c r="Y149" s="14"/>
      <c r="Z149" s="15"/>
    </row>
    <row r="150" spans="1:26" x14ac:dyDescent="0.25">
      <c r="Q150" s="14"/>
      <c r="R150" s="15"/>
      <c r="S150" s="14"/>
      <c r="T150" s="15"/>
      <c r="U150" s="14"/>
      <c r="V150" s="15"/>
      <c r="W150" s="14"/>
      <c r="X150" s="15"/>
      <c r="Y150" s="14"/>
      <c r="Z150" s="15"/>
    </row>
    <row r="151" spans="1:26" x14ac:dyDescent="0.25">
      <c r="Q151" s="14"/>
      <c r="R151" s="15"/>
      <c r="S151" s="14"/>
      <c r="T151" s="15"/>
      <c r="U151" s="14"/>
      <c r="V151" s="15"/>
      <c r="W151" s="14"/>
      <c r="X151" s="15"/>
      <c r="Y151" s="14"/>
      <c r="Z151" s="15"/>
    </row>
    <row r="152" spans="1:26" x14ac:dyDescent="0.25">
      <c r="Q152" s="14"/>
      <c r="R152" s="15"/>
      <c r="S152" s="14"/>
      <c r="T152" s="15"/>
      <c r="U152" s="14"/>
      <c r="V152" s="15"/>
      <c r="W152" s="14"/>
      <c r="X152" s="15"/>
      <c r="Y152" s="14"/>
      <c r="Z152" s="15"/>
    </row>
    <row r="153" spans="1:26" x14ac:dyDescent="0.25">
      <c r="Q153" s="14"/>
      <c r="R153" s="15"/>
      <c r="S153" s="14"/>
      <c r="T153" s="15"/>
      <c r="U153" s="14"/>
      <c r="V153" s="15"/>
      <c r="W153" s="14"/>
      <c r="X153" s="15"/>
      <c r="Y153" s="14"/>
      <c r="Z153" s="15"/>
    </row>
    <row r="154" spans="1:26" x14ac:dyDescent="0.25">
      <c r="Q154" s="14"/>
      <c r="R154" s="15"/>
      <c r="S154" s="14"/>
      <c r="T154" s="15"/>
      <c r="U154" s="14"/>
      <c r="V154" s="15"/>
      <c r="W154" s="14"/>
      <c r="X154" s="15"/>
      <c r="Y154" s="14"/>
      <c r="Z154" s="15"/>
    </row>
    <row r="155" spans="1:26" x14ac:dyDescent="0.25">
      <c r="Q155" s="14"/>
      <c r="R155" s="15"/>
      <c r="S155" s="14"/>
      <c r="T155" s="15"/>
      <c r="U155" s="14"/>
      <c r="V155" s="15"/>
      <c r="W155" s="14"/>
      <c r="X155" s="15"/>
      <c r="Y155" s="14"/>
      <c r="Z155" s="15"/>
    </row>
    <row r="156" spans="1:26" x14ac:dyDescent="0.25">
      <c r="Q156" s="14"/>
      <c r="R156" s="15"/>
      <c r="S156" s="14"/>
      <c r="T156" s="15"/>
      <c r="U156" s="14"/>
      <c r="V156" s="15"/>
      <c r="W156" s="14"/>
      <c r="X156" s="15"/>
      <c r="Y156" s="14"/>
      <c r="Z156" s="15"/>
    </row>
    <row r="157" spans="1:26" x14ac:dyDescent="0.25">
      <c r="Q157" s="14"/>
      <c r="R157" s="15"/>
      <c r="S157" s="14"/>
      <c r="T157" s="15"/>
      <c r="U157" s="14"/>
      <c r="V157" s="15"/>
      <c r="W157" s="14"/>
      <c r="X157" s="15"/>
      <c r="Y157" s="14"/>
      <c r="Z157" s="15"/>
    </row>
    <row r="158" spans="1:26" x14ac:dyDescent="0.25">
      <c r="Q158" s="14"/>
      <c r="R158" s="15"/>
      <c r="S158" s="14"/>
      <c r="T158" s="15"/>
      <c r="U158" s="14"/>
      <c r="V158" s="15"/>
      <c r="W158" s="14"/>
      <c r="X158" s="15"/>
      <c r="Y158" s="14"/>
      <c r="Z158" s="15"/>
    </row>
    <row r="159" spans="1:26" x14ac:dyDescent="0.25">
      <c r="Q159" s="14"/>
      <c r="R159" s="15"/>
      <c r="S159" s="14"/>
      <c r="T159" s="15"/>
      <c r="U159" s="14"/>
      <c r="V159" s="15"/>
      <c r="W159" s="14"/>
      <c r="X159" s="15"/>
      <c r="Y159" s="14"/>
      <c r="Z159" s="15"/>
    </row>
    <row r="160" spans="1:26" x14ac:dyDescent="0.25">
      <c r="Q160" s="14"/>
      <c r="R160" s="15"/>
      <c r="S160" s="14"/>
      <c r="T160" s="15"/>
      <c r="U160" s="14"/>
      <c r="V160" s="15"/>
      <c r="W160" s="14"/>
      <c r="X160" s="15"/>
      <c r="Y160" s="14"/>
      <c r="Z160" s="15"/>
    </row>
    <row r="161" spans="1:26" x14ac:dyDescent="0.25">
      <c r="Q161" s="14"/>
      <c r="R161" s="15"/>
      <c r="S161" s="14"/>
      <c r="T161" s="15"/>
      <c r="U161" s="14"/>
      <c r="V161" s="15"/>
      <c r="W161" s="14"/>
      <c r="X161" s="15"/>
      <c r="Y161" s="14"/>
      <c r="Z161" s="15"/>
    </row>
    <row r="162" spans="1:26" x14ac:dyDescent="0.25">
      <c r="Q162" s="14"/>
      <c r="R162" s="15"/>
      <c r="S162" s="14"/>
      <c r="T162" s="15"/>
      <c r="U162" s="14"/>
      <c r="V162" s="15"/>
      <c r="W162" s="14"/>
      <c r="X162" s="15"/>
      <c r="Y162" s="14"/>
      <c r="Z162" s="15"/>
    </row>
    <row r="163" spans="1:26" x14ac:dyDescent="0.25">
      <c r="Q163" s="14"/>
      <c r="R163" s="15"/>
      <c r="S163" s="14"/>
      <c r="T163" s="15"/>
      <c r="U163" s="14"/>
      <c r="V163" s="15"/>
      <c r="W163" s="14"/>
      <c r="X163" s="15"/>
      <c r="Y163" s="14"/>
      <c r="Z163" s="15"/>
    </row>
    <row r="164" spans="1:26" x14ac:dyDescent="0.25">
      <c r="Q164" s="14"/>
      <c r="R164" s="15"/>
      <c r="S164" s="14"/>
      <c r="T164" s="15"/>
      <c r="U164" s="14"/>
      <c r="V164" s="15"/>
      <c r="W164" s="14"/>
      <c r="X164" s="15"/>
      <c r="Y164" s="14"/>
      <c r="Z164" s="15"/>
    </row>
    <row r="165" spans="1:26" x14ac:dyDescent="0.25">
      <c r="Q165" s="14"/>
      <c r="R165" s="15"/>
      <c r="S165" s="14"/>
      <c r="T165" s="15"/>
      <c r="U165" s="14"/>
      <c r="V165" s="15"/>
      <c r="W165" s="14"/>
      <c r="X165" s="15"/>
      <c r="Y165" s="14"/>
      <c r="Z165" s="15"/>
    </row>
    <row r="166" spans="1:26" x14ac:dyDescent="0.25">
      <c r="Q166" s="14"/>
      <c r="R166" s="15"/>
      <c r="S166" s="14"/>
      <c r="T166" s="15"/>
      <c r="U166" s="14"/>
      <c r="V166" s="15"/>
      <c r="W166" s="14"/>
      <c r="X166" s="15"/>
      <c r="Y166" s="14"/>
      <c r="Z166" s="15"/>
    </row>
    <row r="167" spans="1:26" x14ac:dyDescent="0.25">
      <c r="Q167" s="14"/>
      <c r="R167" s="15"/>
      <c r="S167" s="14"/>
      <c r="T167" s="15"/>
      <c r="U167" s="14"/>
      <c r="V167" s="15"/>
      <c r="W167" s="14"/>
      <c r="X167" s="15"/>
      <c r="Y167" s="14"/>
      <c r="Z167" s="15"/>
    </row>
    <row r="168" spans="1:26" x14ac:dyDescent="0.25">
      <c r="Q168" s="14"/>
      <c r="R168" s="15"/>
      <c r="S168" s="14"/>
      <c r="T168" s="15"/>
      <c r="U168" s="14"/>
      <c r="V168" s="15"/>
      <c r="W168" s="14"/>
      <c r="X168" s="15"/>
      <c r="Y168" s="14"/>
      <c r="Z168" s="15"/>
    </row>
    <row r="169" spans="1:26" x14ac:dyDescent="0.25">
      <c r="Q169" s="14"/>
      <c r="R169" s="15"/>
      <c r="S169" s="14"/>
      <c r="T169" s="15"/>
      <c r="U169" s="14"/>
      <c r="V169" s="15"/>
      <c r="W169" s="14"/>
      <c r="X169" s="15"/>
      <c r="Y169" s="14"/>
      <c r="Z169" s="15"/>
    </row>
    <row r="170" spans="1:26" x14ac:dyDescent="0.25">
      <c r="Q170" s="14"/>
      <c r="R170" s="15"/>
      <c r="S170" s="14"/>
      <c r="T170" s="15"/>
      <c r="U170" s="14"/>
      <c r="V170" s="15"/>
      <c r="W170" s="14"/>
      <c r="X170" s="15"/>
      <c r="Y170" s="14"/>
      <c r="Z170" s="15"/>
    </row>
    <row r="171" spans="1:26" x14ac:dyDescent="0.25">
      <c r="Q171" s="14"/>
      <c r="R171" s="15"/>
      <c r="S171" s="14"/>
      <c r="T171" s="15"/>
      <c r="U171" s="14"/>
      <c r="V171" s="15"/>
      <c r="W171" s="14"/>
      <c r="X171" s="15"/>
      <c r="Y171" s="14"/>
      <c r="Z171" s="15"/>
    </row>
    <row r="172" spans="1:26" x14ac:dyDescent="0.25">
      <c r="Q172" s="14"/>
      <c r="R172" s="15"/>
      <c r="S172" s="14"/>
      <c r="T172" s="15"/>
      <c r="U172" s="14"/>
      <c r="V172" s="15"/>
      <c r="W172" s="14"/>
      <c r="X172" s="15"/>
      <c r="Y172" s="14"/>
      <c r="Z172" s="15"/>
    </row>
    <row r="173" spans="1:26" x14ac:dyDescent="0.25">
      <c r="Q173" s="14"/>
      <c r="R173" s="15"/>
      <c r="S173" s="14"/>
      <c r="T173" s="15"/>
      <c r="U173" s="14"/>
      <c r="V173" s="15"/>
      <c r="W173" s="14"/>
      <c r="X173" s="15"/>
      <c r="Y173" s="14"/>
      <c r="Z173" s="15"/>
    </row>
    <row r="174" spans="1:26" x14ac:dyDescent="0.25">
      <c r="Q174" s="14"/>
      <c r="R174" s="15"/>
      <c r="S174" s="14"/>
      <c r="T174" s="15"/>
      <c r="U174" s="14"/>
      <c r="V174" s="15"/>
      <c r="W174" s="14"/>
      <c r="X174" s="15"/>
      <c r="Y174" s="14"/>
      <c r="Z174" s="15"/>
    </row>
    <row r="175" spans="1:26" x14ac:dyDescent="0.25">
      <c r="Q175" s="14"/>
      <c r="R175" s="15"/>
      <c r="S175" s="14"/>
      <c r="T175" s="15"/>
      <c r="U175" s="14"/>
      <c r="V175" s="15"/>
      <c r="W175" s="14"/>
      <c r="X175" s="15"/>
      <c r="Y175" s="14"/>
      <c r="Z175" s="15"/>
    </row>
    <row r="176" spans="1:26" x14ac:dyDescent="0.25">
      <c r="Q176" s="14"/>
      <c r="R176" s="15"/>
      <c r="S176" s="14"/>
      <c r="T176" s="15"/>
      <c r="U176" s="14"/>
      <c r="V176" s="15"/>
      <c r="W176" s="14"/>
      <c r="X176" s="15"/>
      <c r="Y176" s="14"/>
      <c r="Z176" s="15"/>
    </row>
    <row r="177" spans="1:26" x14ac:dyDescent="0.25">
      <c r="Q177" s="14"/>
      <c r="R177" s="15"/>
      <c r="S177" s="14"/>
      <c r="T177" s="15"/>
      <c r="U177" s="14"/>
      <c r="V177" s="15"/>
      <c r="W177" s="14"/>
      <c r="X177" s="15"/>
      <c r="Y177" s="14"/>
      <c r="Z177" s="15"/>
    </row>
    <row r="178" spans="1:26" x14ac:dyDescent="0.25">
      <c r="Q178" s="14"/>
      <c r="R178" s="15"/>
      <c r="S178" s="14"/>
      <c r="T178" s="15"/>
      <c r="U178" s="14"/>
      <c r="V178" s="15"/>
      <c r="W178" s="14"/>
      <c r="X178" s="15"/>
      <c r="Y178" s="14"/>
      <c r="Z178" s="15"/>
    </row>
    <row r="179" spans="1:26" x14ac:dyDescent="0.25">
      <c r="Q179" s="14"/>
      <c r="R179" s="15"/>
      <c r="S179" s="14"/>
      <c r="T179" s="15"/>
      <c r="U179" s="14"/>
      <c r="V179" s="15"/>
      <c r="W179" s="14"/>
      <c r="X179" s="15"/>
      <c r="Y179" s="14"/>
      <c r="Z179" s="15"/>
    </row>
    <row r="180" spans="1:26" x14ac:dyDescent="0.25">
      <c r="Q180" s="14"/>
      <c r="R180" s="15"/>
      <c r="S180" s="14"/>
      <c r="T180" s="15"/>
      <c r="U180" s="14"/>
      <c r="V180" s="15"/>
      <c r="W180" s="14"/>
      <c r="X180" s="15"/>
      <c r="Y180" s="14"/>
      <c r="Z180" s="15"/>
    </row>
    <row r="181" spans="1:26" x14ac:dyDescent="0.25">
      <c r="Q181" s="14"/>
      <c r="R181" s="15"/>
      <c r="S181" s="14"/>
      <c r="T181" s="15"/>
      <c r="U181" s="14"/>
      <c r="V181" s="15"/>
      <c r="W181" s="14"/>
      <c r="X181" s="15"/>
      <c r="Y181" s="14"/>
      <c r="Z181" s="15"/>
    </row>
    <row r="182" spans="1:26" x14ac:dyDescent="0.25">
      <c r="Q182" s="14"/>
      <c r="R182" s="15"/>
      <c r="S182" s="14"/>
      <c r="T182" s="15"/>
      <c r="U182" s="14"/>
      <c r="V182" s="15"/>
      <c r="W182" s="14"/>
      <c r="X182" s="15"/>
      <c r="Y182" s="14"/>
      <c r="Z182" s="15"/>
    </row>
    <row r="183" spans="1:26" x14ac:dyDescent="0.25">
      <c r="Q183" s="14"/>
      <c r="R183" s="15"/>
      <c r="S183" s="14"/>
      <c r="T183" s="15"/>
      <c r="U183" s="14"/>
      <c r="V183" s="15"/>
      <c r="W183" s="14"/>
      <c r="X183" s="15"/>
      <c r="Y183" s="14"/>
      <c r="Z183" s="15"/>
    </row>
    <row r="184" spans="1:26" x14ac:dyDescent="0.25">
      <c r="Q184" s="14"/>
      <c r="R184" s="15"/>
      <c r="S184" s="14"/>
      <c r="T184" s="15"/>
      <c r="U184" s="14"/>
      <c r="V184" s="15"/>
      <c r="W184" s="14"/>
      <c r="X184" s="15"/>
      <c r="Y184" s="14"/>
      <c r="Z184" s="15"/>
    </row>
    <row r="185" spans="1:26" x14ac:dyDescent="0.25">
      <c r="Q185" s="14"/>
      <c r="R185" s="15"/>
      <c r="S185" s="14"/>
      <c r="T185" s="15"/>
      <c r="U185" s="14"/>
      <c r="V185" s="15"/>
      <c r="W185" s="14"/>
      <c r="X185" s="15"/>
      <c r="Y185" s="14"/>
      <c r="Z185" s="15"/>
    </row>
    <row r="186" spans="1:26" x14ac:dyDescent="0.25">
      <c r="Q186" s="14"/>
      <c r="R186" s="15"/>
      <c r="S186" s="14"/>
      <c r="T186" s="15"/>
      <c r="U186" s="14"/>
      <c r="V186" s="15"/>
      <c r="W186" s="14"/>
      <c r="X186" s="15"/>
      <c r="Y186" s="14"/>
      <c r="Z186" s="15"/>
    </row>
    <row r="187" spans="1:26" x14ac:dyDescent="0.25">
      <c r="Q187" s="14"/>
      <c r="R187" s="15"/>
      <c r="S187" s="14"/>
      <c r="T187" s="15"/>
      <c r="U187" s="14"/>
      <c r="V187" s="15"/>
      <c r="W187" s="14"/>
      <c r="X187" s="15"/>
      <c r="Y187" s="14"/>
      <c r="Z187" s="15"/>
    </row>
    <row r="188" spans="1:26" x14ac:dyDescent="0.25">
      <c r="Q188" s="14"/>
      <c r="R188" s="15"/>
      <c r="S188" s="14"/>
      <c r="T188" s="15"/>
      <c r="U188" s="14"/>
      <c r="V188" s="15"/>
      <c r="W188" s="14"/>
      <c r="X188" s="15"/>
      <c r="Y188" s="14"/>
      <c r="Z188" s="15"/>
    </row>
    <row r="189" spans="1:26" x14ac:dyDescent="0.25">
      <c r="Q189" s="14"/>
      <c r="R189" s="15"/>
      <c r="S189" s="14"/>
      <c r="T189" s="15"/>
      <c r="U189" s="14"/>
      <c r="V189" s="15"/>
      <c r="W189" s="14"/>
      <c r="X189" s="15"/>
      <c r="Y189" s="14"/>
      <c r="Z189" s="15"/>
    </row>
    <row r="190" spans="1:26" x14ac:dyDescent="0.25">
      <c r="Q190" s="14"/>
      <c r="R190" s="15"/>
      <c r="S190" s="14"/>
      <c r="T190" s="15"/>
      <c r="U190" s="14"/>
      <c r="V190" s="15"/>
      <c r="W190" s="14"/>
      <c r="X190" s="15"/>
      <c r="Y190" s="14"/>
      <c r="Z190" s="15"/>
    </row>
    <row r="191" spans="1:26" x14ac:dyDescent="0.25">
      <c r="Q191" s="14"/>
      <c r="R191" s="15"/>
      <c r="S191" s="14"/>
      <c r="T191" s="15"/>
      <c r="U191" s="14"/>
      <c r="V191" s="15"/>
      <c r="W191" s="14"/>
      <c r="X191" s="15"/>
      <c r="Y191" s="14"/>
      <c r="Z191" s="15"/>
    </row>
    <row r="192" spans="1:26" x14ac:dyDescent="0.25">
      <c r="Q192" s="14"/>
      <c r="R192" s="15"/>
      <c r="S192" s="14"/>
      <c r="T192" s="15"/>
      <c r="U192" s="14"/>
      <c r="V192" s="15"/>
      <c r="W192" s="14"/>
      <c r="X192" s="15"/>
      <c r="Y192" s="14"/>
      <c r="Z192" s="15"/>
    </row>
    <row r="193" spans="1:26" x14ac:dyDescent="0.25">
      <c r="Q193" s="14"/>
      <c r="R193" s="15"/>
      <c r="S193" s="14"/>
      <c r="T193" s="15"/>
      <c r="U193" s="14"/>
      <c r="V193" s="15"/>
      <c r="W193" s="14"/>
      <c r="X193" s="15"/>
      <c r="Y193" s="14"/>
      <c r="Z193" s="15"/>
    </row>
    <row r="194" spans="1:26" x14ac:dyDescent="0.25">
      <c r="Q194" s="14"/>
      <c r="R194" s="15"/>
      <c r="S194" s="14"/>
      <c r="T194" s="15"/>
      <c r="U194" s="14"/>
      <c r="V194" s="15"/>
      <c r="W194" s="14"/>
      <c r="X194" s="15"/>
      <c r="Y194" s="14"/>
      <c r="Z194" s="15"/>
    </row>
    <row r="195" spans="1:26" x14ac:dyDescent="0.25">
      <c r="Q195" s="14"/>
      <c r="R195" s="15"/>
      <c r="S195" s="14"/>
      <c r="T195" s="15"/>
      <c r="U195" s="14"/>
      <c r="V195" s="15"/>
      <c r="W195" s="14"/>
      <c r="X195" s="15"/>
      <c r="Y195" s="14"/>
      <c r="Z195" s="15"/>
    </row>
    <row r="196" spans="1:26" x14ac:dyDescent="0.25">
      <c r="Q196" s="14"/>
      <c r="R196" s="15"/>
      <c r="S196" s="14"/>
      <c r="T196" s="15"/>
      <c r="U196" s="14"/>
      <c r="V196" s="15"/>
      <c r="W196" s="14"/>
      <c r="X196" s="15"/>
      <c r="Y196" s="14"/>
      <c r="Z196" s="15"/>
    </row>
    <row r="197" spans="1:26" x14ac:dyDescent="0.25">
      <c r="Q197" s="14"/>
      <c r="R197" s="15"/>
      <c r="S197" s="14"/>
      <c r="T197" s="15"/>
      <c r="U197" s="14"/>
      <c r="V197" s="15"/>
      <c r="W197" s="14"/>
      <c r="X197" s="15"/>
      <c r="Y197" s="14"/>
      <c r="Z197" s="15"/>
    </row>
    <row r="198" spans="1:26" x14ac:dyDescent="0.25">
      <c r="Q198" s="14"/>
      <c r="R198" s="15"/>
      <c r="S198" s="14"/>
      <c r="T198" s="15"/>
      <c r="U198" s="14"/>
      <c r="V198" s="15"/>
      <c r="W198" s="14"/>
      <c r="X198" s="15"/>
      <c r="Y198" s="14"/>
      <c r="Z198" s="15"/>
    </row>
    <row r="199" spans="1:26" x14ac:dyDescent="0.25">
      <c r="Q199" s="14"/>
      <c r="R199" s="15"/>
      <c r="S199" s="14"/>
      <c r="T199" s="15"/>
      <c r="U199" s="14"/>
      <c r="V199" s="15"/>
      <c r="W199" s="14"/>
      <c r="X199" s="15"/>
      <c r="Y199" s="14"/>
      <c r="Z199" s="15"/>
    </row>
    <row r="200" spans="1:26" x14ac:dyDescent="0.25">
      <c r="Q200" s="14"/>
      <c r="R200" s="15"/>
      <c r="S200" s="14"/>
      <c r="T200" s="15"/>
      <c r="U200" s="14"/>
      <c r="V200" s="15"/>
      <c r="W200" s="14"/>
      <c r="X200" s="15"/>
      <c r="Y200" s="14"/>
      <c r="Z200" s="15"/>
    </row>
    <row r="201" spans="1:26" x14ac:dyDescent="0.25">
      <c r="Q201" s="14"/>
      <c r="R201" s="15"/>
      <c r="S201" s="14"/>
      <c r="T201" s="15"/>
      <c r="U201" s="14"/>
      <c r="V201" s="15"/>
      <c r="W201" s="14"/>
      <c r="X201" s="15"/>
      <c r="Y201" s="14"/>
      <c r="Z201" s="15"/>
    </row>
    <row r="202" spans="1:26" x14ac:dyDescent="0.25">
      <c r="Q202" s="14"/>
      <c r="R202" s="15"/>
      <c r="S202" s="14"/>
      <c r="T202" s="15"/>
      <c r="U202" s="14"/>
      <c r="V202" s="15"/>
      <c r="W202" s="14"/>
      <c r="X202" s="15"/>
      <c r="Y202" s="14"/>
      <c r="Z202" s="15"/>
    </row>
    <row r="203" spans="1:26" x14ac:dyDescent="0.25">
      <c r="Q203" s="14"/>
      <c r="R203" s="15"/>
      <c r="S203" s="14"/>
      <c r="T203" s="15"/>
      <c r="U203" s="14"/>
      <c r="V203" s="15"/>
      <c r="W203" s="14"/>
      <c r="X203" s="15"/>
      <c r="Y203" s="14"/>
      <c r="Z203" s="15"/>
    </row>
    <row r="204" spans="1:26" x14ac:dyDescent="0.25">
      <c r="Q204" s="14"/>
      <c r="R204" s="15"/>
      <c r="S204" s="14"/>
      <c r="T204" s="15"/>
      <c r="U204" s="14"/>
      <c r="V204" s="15"/>
      <c r="W204" s="14"/>
      <c r="X204" s="15"/>
      <c r="Y204" s="14"/>
      <c r="Z204" s="15"/>
    </row>
    <row r="205" spans="1:26" x14ac:dyDescent="0.25">
      <c r="Q205" s="14"/>
      <c r="R205" s="15"/>
      <c r="S205" s="14"/>
      <c r="T205" s="15"/>
      <c r="U205" s="14"/>
      <c r="V205" s="15"/>
      <c r="W205" s="14"/>
      <c r="X205" s="15"/>
      <c r="Y205" s="14"/>
      <c r="Z205" s="15"/>
    </row>
    <row r="206" spans="1:26" x14ac:dyDescent="0.25">
      <c r="Q206" s="14"/>
      <c r="R206" s="15"/>
      <c r="S206" s="14"/>
      <c r="T206" s="15"/>
      <c r="U206" s="14"/>
      <c r="V206" s="15"/>
      <c r="W206" s="14"/>
      <c r="X206" s="15"/>
      <c r="Y206" s="14"/>
      <c r="Z206" s="15"/>
    </row>
    <row r="207" spans="1:26" x14ac:dyDescent="0.25">
      <c r="Q207" s="14"/>
      <c r="R207" s="15"/>
      <c r="S207" s="14"/>
      <c r="T207" s="15"/>
      <c r="U207" s="14"/>
      <c r="V207" s="15"/>
      <c r="W207" s="14"/>
      <c r="X207" s="15"/>
      <c r="Y207" s="14"/>
      <c r="Z207" s="15"/>
    </row>
    <row r="208" spans="1:26" x14ac:dyDescent="0.25">
      <c r="Q208" s="14"/>
      <c r="R208" s="15"/>
      <c r="S208" s="14"/>
      <c r="T208" s="15"/>
      <c r="U208" s="14"/>
      <c r="V208" s="15"/>
      <c r="W208" s="14"/>
      <c r="X208" s="15"/>
      <c r="Y208" s="14"/>
      <c r="Z208" s="15"/>
    </row>
    <row r="209" spans="1:26" x14ac:dyDescent="0.25">
      <c r="Q209" s="14"/>
      <c r="R209" s="15"/>
      <c r="S209" s="14"/>
      <c r="T209" s="15"/>
      <c r="U209" s="14"/>
      <c r="V209" s="15"/>
      <c r="W209" s="14"/>
      <c r="X209" s="15"/>
      <c r="Y209" s="14"/>
      <c r="Z209" s="15"/>
    </row>
    <row r="210" spans="1:26" x14ac:dyDescent="0.25">
      <c r="Q210" s="14"/>
      <c r="R210" s="15"/>
      <c r="S210" s="14"/>
      <c r="T210" s="15"/>
      <c r="U210" s="14"/>
      <c r="V210" s="15"/>
      <c r="W210" s="14"/>
      <c r="X210" s="15"/>
      <c r="Y210" s="14"/>
      <c r="Z210" s="15"/>
    </row>
    <row r="211" spans="1:26" x14ac:dyDescent="0.25">
      <c r="Q211" s="14"/>
      <c r="R211" s="15"/>
      <c r="S211" s="14"/>
      <c r="T211" s="15"/>
      <c r="U211" s="14"/>
      <c r="V211" s="15"/>
      <c r="W211" s="14"/>
      <c r="X211" s="15"/>
      <c r="Y211" s="14"/>
      <c r="Z211" s="15"/>
    </row>
    <row r="212" spans="1:26" x14ac:dyDescent="0.25">
      <c r="Q212" s="14"/>
      <c r="R212" s="15"/>
      <c r="S212" s="14"/>
      <c r="T212" s="15"/>
      <c r="U212" s="14"/>
      <c r="V212" s="15"/>
      <c r="W212" s="14"/>
      <c r="X212" s="15"/>
      <c r="Y212" s="14"/>
      <c r="Z212" s="15"/>
    </row>
    <row r="213" spans="1:26" x14ac:dyDescent="0.25">
      <c r="Q213" s="14"/>
      <c r="R213" s="15"/>
      <c r="S213" s="14"/>
      <c r="T213" s="15"/>
      <c r="U213" s="14"/>
      <c r="V213" s="15"/>
      <c r="W213" s="14"/>
      <c r="X213" s="15"/>
      <c r="Y213" s="14"/>
      <c r="Z213" s="15"/>
    </row>
    <row r="214" spans="1:26" x14ac:dyDescent="0.25">
      <c r="Q214" s="14"/>
      <c r="R214" s="15"/>
      <c r="S214" s="14"/>
      <c r="T214" s="15"/>
      <c r="U214" s="14"/>
      <c r="V214" s="15"/>
      <c r="W214" s="14"/>
      <c r="X214" s="15"/>
      <c r="Y214" s="14"/>
      <c r="Z214" s="15"/>
    </row>
    <row r="215" spans="1:26" x14ac:dyDescent="0.25">
      <c r="Q215" s="14"/>
      <c r="R215" s="15"/>
      <c r="S215" s="14"/>
      <c r="T215" s="15"/>
      <c r="U215" s="14"/>
      <c r="V215" s="15"/>
      <c r="W215" s="14"/>
      <c r="X215" s="15"/>
      <c r="Y215" s="14"/>
      <c r="Z215" s="15"/>
    </row>
    <row r="216" spans="1:26" x14ac:dyDescent="0.25">
      <c r="Q216" s="14"/>
      <c r="R216" s="15"/>
      <c r="S216" s="14"/>
      <c r="T216" s="15"/>
      <c r="U216" s="14"/>
      <c r="V216" s="15"/>
      <c r="W216" s="14"/>
      <c r="X216" s="15"/>
      <c r="Y216" s="14"/>
      <c r="Z216" s="15"/>
    </row>
    <row r="217" spans="1:26" x14ac:dyDescent="0.25">
      <c r="Q217" s="14"/>
      <c r="R217" s="15"/>
      <c r="S217" s="14"/>
      <c r="T217" s="15"/>
      <c r="U217" s="14"/>
      <c r="V217" s="15"/>
      <c r="W217" s="14"/>
      <c r="X217" s="15"/>
      <c r="Y217" s="14"/>
      <c r="Z217" s="15"/>
    </row>
    <row r="218" spans="1:26" x14ac:dyDescent="0.25">
      <c r="Q218" s="14"/>
      <c r="R218" s="15"/>
      <c r="S218" s="14"/>
      <c r="T218" s="15"/>
      <c r="U218" s="14"/>
      <c r="V218" s="15"/>
      <c r="W218" s="14"/>
      <c r="X218" s="15"/>
      <c r="Y218" s="14"/>
      <c r="Z218" s="15"/>
    </row>
    <row r="219" spans="1:26" x14ac:dyDescent="0.25">
      <c r="Q219" s="14"/>
      <c r="R219" s="15"/>
      <c r="S219" s="14"/>
      <c r="T219" s="15"/>
      <c r="U219" s="14"/>
      <c r="V219" s="15"/>
      <c r="W219" s="14"/>
      <c r="X219" s="15"/>
      <c r="Y219" s="14"/>
      <c r="Z219" s="15"/>
    </row>
    <row r="220" spans="1:26" x14ac:dyDescent="0.25">
      <c r="Q220" s="14"/>
      <c r="R220" s="15"/>
      <c r="S220" s="14"/>
      <c r="T220" s="15"/>
      <c r="U220" s="14"/>
      <c r="V220" s="15"/>
      <c r="W220" s="14"/>
      <c r="X220" s="15"/>
      <c r="Y220" s="14"/>
      <c r="Z220" s="15"/>
    </row>
    <row r="221" spans="1:26" x14ac:dyDescent="0.25">
      <c r="Q221" s="14"/>
      <c r="R221" s="15"/>
      <c r="S221" s="14"/>
      <c r="T221" s="15"/>
      <c r="U221" s="14"/>
      <c r="V221" s="15"/>
      <c r="W221" s="14"/>
      <c r="X221" s="15"/>
      <c r="Y221" s="14"/>
      <c r="Z221" s="15"/>
    </row>
    <row r="222" spans="1:26" x14ac:dyDescent="0.25">
      <c r="Q222" s="14"/>
      <c r="R222" s="15"/>
      <c r="S222" s="14"/>
      <c r="T222" s="15"/>
      <c r="U222" s="14"/>
      <c r="V222" s="15"/>
      <c r="W222" s="14"/>
      <c r="X222" s="15"/>
      <c r="Y222" s="14"/>
      <c r="Z222" s="15"/>
    </row>
    <row r="223" spans="1:26" x14ac:dyDescent="0.25">
      <c r="Q223" s="14"/>
      <c r="R223" s="15"/>
      <c r="S223" s="14"/>
      <c r="T223" s="15"/>
      <c r="U223" s="14"/>
      <c r="V223" s="15"/>
      <c r="W223" s="14"/>
      <c r="X223" s="15"/>
      <c r="Y223" s="14"/>
      <c r="Z223" s="15"/>
    </row>
    <row r="224" spans="1:26" x14ac:dyDescent="0.25">
      <c r="Q224" s="14"/>
      <c r="R224" s="15"/>
      <c r="S224" s="14"/>
      <c r="T224" s="15"/>
      <c r="U224" s="14"/>
      <c r="V224" s="15"/>
      <c r="W224" s="14"/>
      <c r="X224" s="15"/>
      <c r="Y224" s="14"/>
      <c r="Z224" s="15"/>
    </row>
    <row r="225" spans="1:26" x14ac:dyDescent="0.25">
      <c r="Q225" s="14"/>
      <c r="R225" s="15"/>
      <c r="S225" s="14"/>
      <c r="T225" s="15"/>
      <c r="U225" s="14"/>
      <c r="V225" s="15"/>
      <c r="W225" s="14"/>
      <c r="X225" s="15"/>
      <c r="Y225" s="14"/>
      <c r="Z225" s="15"/>
    </row>
    <row r="226" spans="1:26" x14ac:dyDescent="0.25">
      <c r="Q226" s="14"/>
      <c r="R226" s="15"/>
      <c r="S226" s="14"/>
      <c r="T226" s="15"/>
      <c r="U226" s="14"/>
      <c r="V226" s="15"/>
      <c r="W226" s="14"/>
      <c r="X226" s="15"/>
      <c r="Y226" s="14"/>
      <c r="Z226" s="15"/>
    </row>
    <row r="227" spans="1:26" x14ac:dyDescent="0.25">
      <c r="Q227" s="14"/>
      <c r="R227" s="15"/>
      <c r="S227" s="14"/>
      <c r="T227" s="15"/>
      <c r="U227" s="14"/>
      <c r="V227" s="15"/>
      <c r="W227" s="14"/>
      <c r="X227" s="15"/>
      <c r="Y227" s="14"/>
      <c r="Z227" s="15"/>
    </row>
    <row r="228" spans="1:26" x14ac:dyDescent="0.25">
      <c r="Q228" s="14"/>
      <c r="R228" s="15"/>
      <c r="S228" s="14"/>
      <c r="T228" s="15"/>
      <c r="U228" s="14"/>
      <c r="V228" s="15"/>
      <c r="W228" s="14"/>
      <c r="X228" s="15"/>
      <c r="Y228" s="14"/>
      <c r="Z228" s="15"/>
    </row>
    <row r="229" spans="1:26" x14ac:dyDescent="0.25">
      <c r="Q229" s="14"/>
      <c r="R229" s="15"/>
      <c r="S229" s="14"/>
      <c r="T229" s="15"/>
      <c r="U229" s="14"/>
      <c r="V229" s="15"/>
      <c r="W229" s="14"/>
      <c r="X229" s="15"/>
      <c r="Y229" s="14"/>
      <c r="Z229" s="15"/>
    </row>
    <row r="230" spans="1:26" x14ac:dyDescent="0.25">
      <c r="Q230" s="14"/>
      <c r="R230" s="15"/>
      <c r="S230" s="14"/>
      <c r="T230" s="15"/>
      <c r="U230" s="14"/>
      <c r="V230" s="15"/>
      <c r="W230" s="14"/>
      <c r="X230" s="15"/>
      <c r="Y230" s="14"/>
      <c r="Z230" s="15"/>
    </row>
    <row r="231" spans="1:26" x14ac:dyDescent="0.25">
      <c r="Q231" s="14"/>
      <c r="R231" s="15"/>
      <c r="S231" s="14"/>
      <c r="T231" s="15"/>
      <c r="U231" s="14"/>
      <c r="V231" s="15"/>
      <c r="W231" s="14"/>
      <c r="X231" s="15"/>
      <c r="Y231" s="14"/>
      <c r="Z231" s="15"/>
    </row>
    <row r="232" spans="1:26" x14ac:dyDescent="0.25">
      <c r="Q232" s="14"/>
      <c r="R232" s="15"/>
      <c r="S232" s="14"/>
      <c r="T232" s="15"/>
      <c r="U232" s="14"/>
      <c r="V232" s="15"/>
      <c r="W232" s="14"/>
      <c r="X232" s="15"/>
      <c r="Y232" s="14"/>
      <c r="Z232" s="15"/>
    </row>
    <row r="233" spans="1:26" x14ac:dyDescent="0.25">
      <c r="Q233" s="14"/>
      <c r="R233" s="15"/>
      <c r="S233" s="14"/>
      <c r="T233" s="15"/>
      <c r="U233" s="14"/>
      <c r="V233" s="15"/>
      <c r="W233" s="14"/>
      <c r="X233" s="15"/>
      <c r="Y233" s="14"/>
      <c r="Z233" s="15"/>
    </row>
    <row r="234" spans="1:26" x14ac:dyDescent="0.25">
      <c r="Q234" s="14"/>
      <c r="R234" s="15"/>
      <c r="S234" s="14"/>
      <c r="T234" s="15"/>
      <c r="U234" s="14"/>
      <c r="V234" s="15"/>
      <c r="W234" s="14"/>
      <c r="X234" s="15"/>
      <c r="Y234" s="14"/>
      <c r="Z234" s="15"/>
    </row>
    <row r="235" spans="1:26" x14ac:dyDescent="0.25">
      <c r="Q235" s="14"/>
      <c r="R235" s="15"/>
      <c r="S235" s="14"/>
      <c r="T235" s="15"/>
      <c r="U235" s="14"/>
      <c r="V235" s="15"/>
      <c r="W235" s="14"/>
      <c r="X235" s="15"/>
      <c r="Y235" s="14"/>
      <c r="Z235" s="15"/>
    </row>
    <row r="236" spans="1:26" x14ac:dyDescent="0.25">
      <c r="Q236" s="14"/>
      <c r="R236" s="15"/>
      <c r="S236" s="14"/>
      <c r="T236" s="15"/>
      <c r="U236" s="14"/>
      <c r="V236" s="15"/>
      <c r="W236" s="14"/>
      <c r="X236" s="15"/>
      <c r="Y236" s="14"/>
      <c r="Z236" s="15"/>
    </row>
    <row r="237" spans="1:26" x14ac:dyDescent="0.25">
      <c r="Q237" s="14"/>
      <c r="R237" s="15"/>
      <c r="S237" s="14"/>
      <c r="T237" s="15"/>
      <c r="U237" s="14"/>
      <c r="V237" s="15"/>
      <c r="W237" s="14"/>
      <c r="X237" s="15"/>
      <c r="Y237" s="14"/>
      <c r="Z237" s="15"/>
    </row>
    <row r="238" spans="1:26" x14ac:dyDescent="0.25">
      <c r="Q238" s="14"/>
      <c r="R238" s="15"/>
      <c r="S238" s="14"/>
      <c r="T238" s="15"/>
      <c r="U238" s="14"/>
      <c r="V238" s="15"/>
      <c r="W238" s="14"/>
      <c r="X238" s="15"/>
      <c r="Y238" s="14"/>
      <c r="Z238" s="15"/>
    </row>
    <row r="239" spans="1:26" x14ac:dyDescent="0.25">
      <c r="Q239" s="14"/>
      <c r="R239" s="15"/>
      <c r="S239" s="14"/>
      <c r="T239" s="15"/>
      <c r="U239" s="14"/>
      <c r="V239" s="15"/>
      <c r="W239" s="14"/>
      <c r="X239" s="15"/>
      <c r="Y239" s="14"/>
      <c r="Z239" s="15"/>
    </row>
    <row r="240" spans="1:26" x14ac:dyDescent="0.25">
      <c r="Q240" s="14"/>
      <c r="R240" s="15"/>
      <c r="S240" s="14"/>
      <c r="T240" s="15"/>
      <c r="U240" s="14"/>
      <c r="V240" s="15"/>
      <c r="W240" s="14"/>
      <c r="X240" s="15"/>
      <c r="Y240" s="14"/>
      <c r="Z240" s="15"/>
    </row>
    <row r="241" spans="1:26" x14ac:dyDescent="0.25">
      <c r="Q241" s="14"/>
      <c r="R241" s="15"/>
      <c r="S241" s="14"/>
      <c r="T241" s="15"/>
      <c r="U241" s="14"/>
      <c r="V241" s="15"/>
      <c r="W241" s="14"/>
      <c r="X241" s="15"/>
      <c r="Y241" s="14"/>
      <c r="Z241" s="15"/>
    </row>
    <row r="242" spans="1:26" x14ac:dyDescent="0.25">
      <c r="Q242" s="14"/>
      <c r="R242" s="15"/>
      <c r="S242" s="14"/>
      <c r="T242" s="15"/>
      <c r="U242" s="14"/>
      <c r="V242" s="15"/>
      <c r="W242" s="14"/>
      <c r="X242" s="15"/>
      <c r="Y242" s="14"/>
      <c r="Z242" s="15"/>
    </row>
    <row r="243" spans="1:26" x14ac:dyDescent="0.25">
      <c r="Q243" s="14"/>
      <c r="R243" s="15"/>
      <c r="S243" s="14"/>
      <c r="T243" s="15"/>
      <c r="U243" s="14"/>
      <c r="V243" s="15"/>
      <c r="W243" s="14"/>
      <c r="X243" s="15"/>
      <c r="Y243" s="14"/>
      <c r="Z243" s="15"/>
    </row>
    <row r="244" spans="1:26" x14ac:dyDescent="0.25">
      <c r="Q244" s="14"/>
      <c r="R244" s="15"/>
      <c r="S244" s="14"/>
      <c r="T244" s="15"/>
      <c r="U244" s="14"/>
      <c r="V244" s="15"/>
      <c r="W244" s="14"/>
      <c r="X244" s="15"/>
      <c r="Y244" s="14"/>
      <c r="Z244" s="15"/>
    </row>
    <row r="245" spans="1:26" x14ac:dyDescent="0.25">
      <c r="Q245" s="14"/>
      <c r="R245" s="15"/>
      <c r="S245" s="14"/>
      <c r="T245" s="15"/>
      <c r="U245" s="14"/>
      <c r="V245" s="15"/>
      <c r="W245" s="14"/>
      <c r="X245" s="15"/>
      <c r="Y245" s="14"/>
      <c r="Z245" s="15"/>
    </row>
    <row r="246" spans="1:26" x14ac:dyDescent="0.25">
      <c r="Q246" s="14"/>
      <c r="R246" s="15"/>
      <c r="S246" s="14"/>
      <c r="T246" s="15"/>
      <c r="U246" s="14"/>
      <c r="V246" s="15"/>
      <c r="W246" s="14"/>
      <c r="X246" s="15"/>
      <c r="Y246" s="14"/>
      <c r="Z246" s="15"/>
    </row>
    <row r="247" spans="1:26" x14ac:dyDescent="0.25">
      <c r="Q247" s="14"/>
      <c r="R247" s="15"/>
      <c r="S247" s="14"/>
      <c r="T247" s="15"/>
      <c r="U247" s="14"/>
      <c r="V247" s="15"/>
      <c r="W247" s="14"/>
      <c r="X247" s="15"/>
      <c r="Y247" s="14"/>
      <c r="Z247" s="15"/>
    </row>
    <row r="248" spans="1:26" x14ac:dyDescent="0.25">
      <c r="Q248" s="14"/>
      <c r="R248" s="15"/>
      <c r="S248" s="14"/>
      <c r="T248" s="15"/>
      <c r="U248" s="14"/>
      <c r="V248" s="15"/>
      <c r="W248" s="14"/>
      <c r="X248" s="15"/>
      <c r="Y248" s="14"/>
      <c r="Z248" s="15"/>
    </row>
    <row r="249" spans="1:26" x14ac:dyDescent="0.25">
      <c r="Q249" s="14"/>
      <c r="R249" s="15"/>
      <c r="S249" s="14"/>
      <c r="T249" s="15"/>
      <c r="U249" s="14"/>
      <c r="V249" s="15"/>
      <c r="W249" s="14"/>
      <c r="X249" s="15"/>
      <c r="Y249" s="14"/>
      <c r="Z249" s="15"/>
    </row>
    <row r="250" spans="1:26" x14ac:dyDescent="0.25">
      <c r="Q250" s="14"/>
      <c r="R250" s="15"/>
      <c r="S250" s="14"/>
      <c r="T250" s="15"/>
      <c r="U250" s="14"/>
      <c r="V250" s="15"/>
      <c r="W250" s="14"/>
      <c r="X250" s="15"/>
      <c r="Y250" s="14"/>
      <c r="Z250" s="15"/>
    </row>
    <row r="251" spans="1:26" x14ac:dyDescent="0.25">
      <c r="Q251" s="14"/>
      <c r="R251" s="15"/>
      <c r="S251" s="14"/>
      <c r="T251" s="15"/>
      <c r="U251" s="14"/>
      <c r="V251" s="15"/>
      <c r="W251" s="14"/>
      <c r="X251" s="15"/>
      <c r="Y251" s="14"/>
      <c r="Z251" s="15"/>
    </row>
    <row r="252" spans="1:26" x14ac:dyDescent="0.25">
      <c r="Q252" s="14"/>
      <c r="R252" s="15"/>
      <c r="S252" s="14"/>
      <c r="T252" s="15"/>
      <c r="U252" s="14"/>
      <c r="V252" s="15"/>
      <c r="W252" s="14"/>
      <c r="X252" s="15"/>
      <c r="Y252" s="14"/>
      <c r="Z252" s="15"/>
    </row>
    <row r="253" spans="1:26" x14ac:dyDescent="0.25">
      <c r="Q253" s="14"/>
      <c r="R253" s="15"/>
      <c r="S253" s="14"/>
      <c r="T253" s="15"/>
      <c r="U253" s="14"/>
      <c r="V253" s="15"/>
      <c r="W253" s="14"/>
      <c r="X253" s="15"/>
      <c r="Y253" s="14"/>
      <c r="Z253" s="15"/>
    </row>
    <row r="254" spans="1:26" x14ac:dyDescent="0.25">
      <c r="Q254" s="14"/>
      <c r="R254" s="15"/>
      <c r="S254" s="14"/>
      <c r="T254" s="15"/>
      <c r="U254" s="14"/>
      <c r="V254" s="15"/>
      <c r="W254" s="14"/>
      <c r="X254" s="15"/>
      <c r="Y254" s="14"/>
      <c r="Z254" s="15"/>
    </row>
    <row r="255" spans="1:26" x14ac:dyDescent="0.25">
      <c r="Q255" s="14"/>
      <c r="R255" s="15"/>
      <c r="S255" s="14"/>
      <c r="T255" s="15"/>
      <c r="U255" s="14"/>
      <c r="V255" s="15"/>
      <c r="W255" s="14"/>
      <c r="X255" s="15"/>
      <c r="Y255" s="14"/>
      <c r="Z255" s="15"/>
    </row>
    <row r="256" spans="1:26" x14ac:dyDescent="0.25">
      <c r="Q256" s="14"/>
      <c r="R256" s="15"/>
      <c r="S256" s="14"/>
      <c r="T256" s="15"/>
      <c r="U256" s="14"/>
      <c r="V256" s="15"/>
      <c r="W256" s="14"/>
      <c r="X256" s="15"/>
      <c r="Y256" s="14"/>
      <c r="Z256" s="15"/>
    </row>
    <row r="257" spans="1:26" x14ac:dyDescent="0.25">
      <c r="Q257" s="14"/>
      <c r="R257" s="15"/>
      <c r="S257" s="14"/>
      <c r="T257" s="15"/>
      <c r="U257" s="14"/>
      <c r="V257" s="15"/>
      <c r="W257" s="14"/>
      <c r="X257" s="15"/>
      <c r="Y257" s="14"/>
      <c r="Z257" s="15"/>
    </row>
    <row r="258" spans="1:26" x14ac:dyDescent="0.25">
      <c r="Q258" s="14"/>
      <c r="R258" s="15"/>
      <c r="S258" s="14"/>
      <c r="T258" s="15"/>
      <c r="U258" s="14"/>
      <c r="V258" s="15"/>
      <c r="W258" s="14"/>
      <c r="X258" s="15"/>
      <c r="Y258" s="14"/>
      <c r="Z258" s="15"/>
    </row>
    <row r="259" spans="1:26" x14ac:dyDescent="0.25">
      <c r="Q259" s="14"/>
      <c r="R259" s="15"/>
      <c r="S259" s="14"/>
      <c r="T259" s="15"/>
      <c r="U259" s="14"/>
      <c r="V259" s="15"/>
      <c r="W259" s="14"/>
      <c r="X259" s="15"/>
      <c r="Y259" s="14"/>
      <c r="Z259" s="15"/>
    </row>
    <row r="260" spans="1:26" x14ac:dyDescent="0.25">
      <c r="Q260" s="14"/>
      <c r="R260" s="15"/>
      <c r="S260" s="14"/>
      <c r="T260" s="15"/>
      <c r="U260" s="14"/>
      <c r="V260" s="15"/>
      <c r="W260" s="14"/>
      <c r="X260" s="15"/>
      <c r="Y260" s="14"/>
      <c r="Z260" s="15"/>
    </row>
    <row r="261" spans="1:26" x14ac:dyDescent="0.25">
      <c r="Q261" s="14"/>
      <c r="R261" s="15"/>
      <c r="S261" s="14"/>
      <c r="T261" s="15"/>
      <c r="U261" s="14"/>
      <c r="V261" s="15"/>
      <c r="W261" s="14"/>
      <c r="X261" s="15"/>
      <c r="Y261" s="14"/>
      <c r="Z261" s="15"/>
    </row>
    <row r="262" spans="1:26" x14ac:dyDescent="0.25">
      <c r="Q262" s="14"/>
      <c r="R262" s="15"/>
      <c r="S262" s="14"/>
      <c r="T262" s="15"/>
      <c r="U262" s="14"/>
      <c r="V262" s="15"/>
      <c r="W262" s="14"/>
      <c r="X262" s="15"/>
      <c r="Y262" s="14"/>
      <c r="Z262" s="15"/>
    </row>
    <row r="263" spans="1:26" x14ac:dyDescent="0.25">
      <c r="Q263" s="14"/>
      <c r="R263" s="15"/>
      <c r="S263" s="14"/>
      <c r="T263" s="15"/>
      <c r="U263" s="14"/>
      <c r="V263" s="15"/>
      <c r="W263" s="14"/>
      <c r="X263" s="15"/>
      <c r="Y263" s="14"/>
      <c r="Z263" s="15"/>
    </row>
    <row r="264" spans="1:26" x14ac:dyDescent="0.25">
      <c r="Q264" s="14"/>
      <c r="R264" s="15"/>
      <c r="S264" s="14"/>
      <c r="T264" s="15"/>
      <c r="U264" s="14"/>
      <c r="V264" s="15"/>
      <c r="W264" s="14"/>
      <c r="X264" s="15"/>
      <c r="Y264" s="14"/>
      <c r="Z264" s="15"/>
    </row>
    <row r="265" spans="1:26" x14ac:dyDescent="0.25">
      <c r="Q265" s="14"/>
      <c r="R265" s="15"/>
      <c r="S265" s="14"/>
      <c r="T265" s="15"/>
      <c r="U265" s="14"/>
      <c r="V265" s="15"/>
      <c r="W265" s="14"/>
      <c r="X265" s="15"/>
      <c r="Y265" s="14"/>
      <c r="Z265" s="15"/>
    </row>
    <row r="266" spans="1:26" x14ac:dyDescent="0.25">
      <c r="Q266" s="14"/>
      <c r="R266" s="15"/>
      <c r="S266" s="14"/>
      <c r="T266" s="15"/>
      <c r="U266" s="14"/>
      <c r="V266" s="15"/>
      <c r="W266" s="14"/>
      <c r="X266" s="15"/>
      <c r="Y266" s="14"/>
      <c r="Z266" s="15"/>
    </row>
    <row r="267" spans="1:26" x14ac:dyDescent="0.25">
      <c r="Q267" s="14"/>
      <c r="R267" s="15"/>
      <c r="S267" s="14"/>
      <c r="T267" s="15"/>
      <c r="U267" s="14"/>
      <c r="V267" s="15"/>
      <c r="W267" s="14"/>
      <c r="X267" s="15"/>
      <c r="Y267" s="14"/>
      <c r="Z267" s="15"/>
    </row>
    <row r="268" spans="1:26" x14ac:dyDescent="0.25">
      <c r="Q268" s="14"/>
      <c r="R268" s="15"/>
      <c r="S268" s="14"/>
      <c r="T268" s="15"/>
      <c r="U268" s="14"/>
      <c r="V268" s="15"/>
      <c r="W268" s="14"/>
      <c r="X268" s="15"/>
      <c r="Y268" s="14"/>
      <c r="Z268" s="15"/>
    </row>
    <row r="269" spans="1:26" x14ac:dyDescent="0.25">
      <c r="Q269" s="14"/>
      <c r="R269" s="15"/>
      <c r="S269" s="14"/>
      <c r="T269" s="15"/>
      <c r="U269" s="14"/>
      <c r="V269" s="15"/>
      <c r="W269" s="14"/>
      <c r="X269" s="15"/>
      <c r="Y269" s="14"/>
      <c r="Z269" s="15"/>
    </row>
    <row r="270" spans="1:26" x14ac:dyDescent="0.25">
      <c r="Q270" s="14"/>
      <c r="R270" s="15"/>
      <c r="S270" s="14"/>
      <c r="T270" s="15"/>
      <c r="U270" s="14"/>
      <c r="V270" s="15"/>
      <c r="W270" s="14"/>
      <c r="X270" s="15"/>
      <c r="Y270" s="14"/>
      <c r="Z270" s="15"/>
    </row>
    <row r="271" spans="1:26" x14ac:dyDescent="0.25">
      <c r="Q271" s="14"/>
      <c r="R271" s="15"/>
      <c r="S271" s="14"/>
      <c r="T271" s="15"/>
      <c r="U271" s="14"/>
      <c r="V271" s="15"/>
      <c r="W271" s="14"/>
      <c r="X271" s="15"/>
      <c r="Y271" s="14"/>
      <c r="Z271" s="15"/>
    </row>
    <row r="272" spans="1:26" x14ac:dyDescent="0.25">
      <c r="Q272" s="14"/>
      <c r="R272" s="15"/>
      <c r="S272" s="14"/>
      <c r="T272" s="15"/>
      <c r="U272" s="14"/>
      <c r="V272" s="15"/>
      <c r="W272" s="14"/>
      <c r="X272" s="15"/>
      <c r="Y272" s="14"/>
      <c r="Z272" s="15"/>
    </row>
    <row r="273" spans="1:26" x14ac:dyDescent="0.25">
      <c r="Q273" s="14"/>
      <c r="R273" s="15"/>
      <c r="S273" s="14"/>
      <c r="T273" s="15"/>
      <c r="U273" s="14"/>
      <c r="V273" s="15"/>
      <c r="W273" s="14"/>
      <c r="X273" s="15"/>
      <c r="Y273" s="14"/>
      <c r="Z273" s="15"/>
    </row>
    <row r="274" spans="1:26" x14ac:dyDescent="0.25">
      <c r="Q274" s="14"/>
      <c r="R274" s="15"/>
      <c r="S274" s="14"/>
      <c r="T274" s="15"/>
      <c r="U274" s="14"/>
      <c r="V274" s="15"/>
      <c r="W274" s="14"/>
      <c r="X274" s="15"/>
      <c r="Y274" s="14"/>
      <c r="Z274" s="15"/>
    </row>
    <row r="275" spans="1:26" x14ac:dyDescent="0.25">
      <c r="Q275" s="14"/>
      <c r="R275" s="15"/>
      <c r="S275" s="14"/>
      <c r="T275" s="15"/>
      <c r="U275" s="14"/>
      <c r="V275" s="15"/>
      <c r="W275" s="14"/>
      <c r="X275" s="15"/>
      <c r="Y275" s="14"/>
      <c r="Z275" s="15"/>
    </row>
    <row r="276" spans="1:26" x14ac:dyDescent="0.25">
      <c r="Q276" s="14"/>
      <c r="R276" s="15"/>
      <c r="S276" s="14"/>
      <c r="T276" s="15"/>
      <c r="U276" s="14"/>
      <c r="V276" s="15"/>
      <c r="W276" s="14"/>
      <c r="X276" s="15"/>
      <c r="Y276" s="14"/>
      <c r="Z276" s="15"/>
    </row>
    <row r="277" spans="1:26" x14ac:dyDescent="0.25">
      <c r="Q277" s="14"/>
      <c r="R277" s="15"/>
      <c r="S277" s="14"/>
      <c r="T277" s="15"/>
      <c r="U277" s="14"/>
      <c r="V277" s="15"/>
      <c r="W277" s="14"/>
      <c r="X277" s="15"/>
      <c r="Y277" s="14"/>
      <c r="Z277" s="15"/>
    </row>
    <row r="278" spans="1:26" x14ac:dyDescent="0.25">
      <c r="Q278" s="14"/>
      <c r="R278" s="15"/>
      <c r="S278" s="14"/>
      <c r="T278" s="15"/>
      <c r="U278" s="14"/>
      <c r="V278" s="15"/>
      <c r="W278" s="14"/>
      <c r="X278" s="15"/>
      <c r="Y278" s="14"/>
      <c r="Z278" s="15"/>
    </row>
    <row r="279" spans="1:26" x14ac:dyDescent="0.25">
      <c r="Q279" s="14"/>
      <c r="R279" s="15"/>
      <c r="S279" s="14"/>
      <c r="T279" s="15"/>
      <c r="U279" s="14"/>
      <c r="V279" s="15"/>
      <c r="W279" s="14"/>
      <c r="X279" s="15"/>
      <c r="Y279" s="14"/>
      <c r="Z279" s="15"/>
    </row>
    <row r="280" spans="1:26" x14ac:dyDescent="0.25">
      <c r="Q280" s="14"/>
      <c r="R280" s="15"/>
      <c r="S280" s="14"/>
      <c r="T280" s="15"/>
      <c r="U280" s="14"/>
      <c r="V280" s="15"/>
      <c r="W280" s="14"/>
      <c r="X280" s="15"/>
      <c r="Y280" s="14"/>
      <c r="Z280" s="15"/>
    </row>
    <row r="281" spans="1:26" x14ac:dyDescent="0.25">
      <c r="Q281" s="14"/>
      <c r="R281" s="15"/>
      <c r="S281" s="14"/>
      <c r="T281" s="15"/>
      <c r="U281" s="14"/>
      <c r="V281" s="15"/>
      <c r="W281" s="14"/>
      <c r="X281" s="15"/>
      <c r="Y281" s="14"/>
      <c r="Z281" s="15"/>
    </row>
    <row r="282" spans="1:26" x14ac:dyDescent="0.25">
      <c r="Q282" s="14"/>
      <c r="R282" s="15"/>
      <c r="S282" s="14"/>
      <c r="T282" s="15"/>
      <c r="U282" s="14"/>
      <c r="V282" s="15"/>
      <c r="W282" s="14"/>
      <c r="X282" s="15"/>
      <c r="Y282" s="14"/>
      <c r="Z282" s="15"/>
    </row>
    <row r="283" spans="1:26" x14ac:dyDescent="0.25">
      <c r="Q283" s="14"/>
      <c r="R283" s="15"/>
      <c r="S283" s="14"/>
      <c r="T283" s="15"/>
      <c r="U283" s="14"/>
      <c r="V283" s="15"/>
      <c r="W283" s="14"/>
      <c r="X283" s="15"/>
      <c r="Y283" s="14"/>
      <c r="Z283" s="15"/>
    </row>
    <row r="284" spans="1:26" x14ac:dyDescent="0.25">
      <c r="Q284" s="14"/>
      <c r="R284" s="15"/>
      <c r="S284" s="14"/>
      <c r="T284" s="15"/>
      <c r="U284" s="14"/>
      <c r="V284" s="15"/>
      <c r="W284" s="14"/>
      <c r="X284" s="15"/>
      <c r="Y284" s="14"/>
      <c r="Z284" s="15"/>
    </row>
    <row r="285" spans="1:26" x14ac:dyDescent="0.25">
      <c r="Q285" s="14"/>
      <c r="R285" s="15"/>
      <c r="S285" s="14"/>
      <c r="T285" s="15"/>
      <c r="U285" s="14"/>
      <c r="V285" s="15"/>
      <c r="W285" s="14"/>
      <c r="X285" s="15"/>
      <c r="Y285" s="14"/>
      <c r="Z285" s="15"/>
    </row>
    <row r="286" spans="1:26" x14ac:dyDescent="0.25">
      <c r="Q286" s="14"/>
      <c r="R286" s="15"/>
      <c r="S286" s="14"/>
      <c r="T286" s="15"/>
      <c r="U286" s="14"/>
      <c r="V286" s="15"/>
      <c r="W286" s="14"/>
      <c r="X286" s="15"/>
      <c r="Y286" s="14"/>
      <c r="Z286" s="15"/>
    </row>
    <row r="287" spans="1:26" x14ac:dyDescent="0.25">
      <c r="Q287" s="14"/>
      <c r="R287" s="15"/>
      <c r="S287" s="14"/>
      <c r="T287" s="15"/>
      <c r="U287" s="14"/>
      <c r="V287" s="15"/>
      <c r="W287" s="14"/>
      <c r="X287" s="15"/>
      <c r="Y287" s="14"/>
      <c r="Z287" s="15"/>
    </row>
    <row r="288" spans="1:26" x14ac:dyDescent="0.25">
      <c r="Q288" s="14"/>
      <c r="R288" s="15"/>
      <c r="S288" s="14"/>
      <c r="T288" s="15"/>
      <c r="U288" s="14"/>
      <c r="V288" s="15"/>
      <c r="W288" s="14"/>
      <c r="X288" s="15"/>
      <c r="Y288" s="14"/>
      <c r="Z288" s="15"/>
    </row>
    <row r="289" spans="1:26" x14ac:dyDescent="0.25">
      <c r="Q289" s="14"/>
      <c r="R289" s="15"/>
      <c r="S289" s="14"/>
      <c r="T289" s="15"/>
      <c r="U289" s="14"/>
      <c r="V289" s="15"/>
      <c r="W289" s="14"/>
      <c r="X289" s="15"/>
      <c r="Y289" s="14"/>
      <c r="Z289" s="15"/>
    </row>
    <row r="290" spans="1:26" x14ac:dyDescent="0.25">
      <c r="Q290" s="14"/>
      <c r="R290" s="15"/>
      <c r="S290" s="14"/>
      <c r="T290" s="15"/>
      <c r="U290" s="14"/>
      <c r="V290" s="15"/>
      <c r="W290" s="14"/>
      <c r="X290" s="15"/>
      <c r="Y290" s="14"/>
      <c r="Z290" s="15"/>
    </row>
    <row r="291" spans="1:26" x14ac:dyDescent="0.25">
      <c r="Q291" s="14"/>
      <c r="R291" s="15"/>
      <c r="S291" s="14"/>
      <c r="T291" s="15"/>
      <c r="U291" s="14"/>
      <c r="V291" s="15"/>
      <c r="W291" s="14"/>
      <c r="X291" s="15"/>
      <c r="Y291" s="14"/>
      <c r="Z291" s="15"/>
    </row>
    <row r="292" spans="1:26" x14ac:dyDescent="0.25">
      <c r="Q292" s="14"/>
      <c r="R292" s="15"/>
      <c r="S292" s="14"/>
      <c r="T292" s="15"/>
      <c r="U292" s="14"/>
      <c r="V292" s="15"/>
      <c r="W292" s="14"/>
      <c r="X292" s="15"/>
      <c r="Y292" s="14"/>
      <c r="Z292" s="15"/>
    </row>
    <row r="293" spans="1:26" x14ac:dyDescent="0.25">
      <c r="Q293" s="14"/>
      <c r="R293" s="15"/>
      <c r="S293" s="14"/>
      <c r="T293" s="15"/>
      <c r="U293" s="14"/>
      <c r="V293" s="15"/>
      <c r="W293" s="14"/>
      <c r="X293" s="15"/>
      <c r="Y293" s="14"/>
      <c r="Z293" s="15"/>
    </row>
    <row r="294" spans="1:26" x14ac:dyDescent="0.25">
      <c r="Q294" s="14"/>
      <c r="R294" s="15"/>
      <c r="S294" s="14"/>
      <c r="T294" s="15"/>
      <c r="U294" s="14"/>
      <c r="V294" s="15"/>
      <c r="W294" s="14"/>
      <c r="X294" s="15"/>
      <c r="Y294" s="14"/>
      <c r="Z294" s="15"/>
    </row>
    <row r="295" spans="1:26" x14ac:dyDescent="0.25">
      <c r="Q295" s="14"/>
      <c r="R295" s="15"/>
      <c r="S295" s="14"/>
      <c r="T295" s="15"/>
      <c r="U295" s="14"/>
      <c r="V295" s="15"/>
      <c r="W295" s="14"/>
      <c r="X295" s="15"/>
      <c r="Y295" s="14"/>
      <c r="Z295" s="15"/>
    </row>
    <row r="296" spans="1:26" x14ac:dyDescent="0.25">
      <c r="Q296" s="14"/>
      <c r="R296" s="15"/>
      <c r="S296" s="14"/>
      <c r="T296" s="15"/>
      <c r="U296" s="14"/>
      <c r="V296" s="15"/>
      <c r="W296" s="14"/>
      <c r="X296" s="15"/>
      <c r="Y296" s="14"/>
      <c r="Z296" s="15"/>
    </row>
    <row r="297" spans="1:26" x14ac:dyDescent="0.25">
      <c r="Q297" s="14"/>
      <c r="R297" s="15"/>
      <c r="S297" s="14"/>
      <c r="T297" s="15"/>
      <c r="U297" s="14"/>
      <c r="V297" s="15"/>
      <c r="W297" s="14"/>
      <c r="X297" s="15"/>
      <c r="Y297" s="14"/>
      <c r="Z297" s="15"/>
    </row>
    <row r="298" spans="1:26" x14ac:dyDescent="0.25">
      <c r="Q298" s="14"/>
      <c r="R298" s="15"/>
      <c r="S298" s="14"/>
      <c r="T298" s="15"/>
      <c r="U298" s="14"/>
      <c r="V298" s="15"/>
      <c r="W298" s="14"/>
      <c r="X298" s="15"/>
      <c r="Y298" s="14"/>
      <c r="Z298" s="15"/>
    </row>
    <row r="299" spans="1:26" x14ac:dyDescent="0.25">
      <c r="Q299" s="14"/>
      <c r="R299" s="15"/>
      <c r="S299" s="14"/>
      <c r="T299" s="15"/>
      <c r="U299" s="14"/>
      <c r="V299" s="15"/>
      <c r="W299" s="14"/>
      <c r="X299" s="15"/>
      <c r="Y299" s="14"/>
      <c r="Z299" s="15"/>
    </row>
    <row r="300" spans="1:26" x14ac:dyDescent="0.25">
      <c r="Q300" s="14"/>
      <c r="R300" s="15"/>
      <c r="S300" s="14"/>
      <c r="T300" s="15"/>
      <c r="U300" s="14"/>
      <c r="V300" s="15"/>
      <c r="W300" s="14"/>
      <c r="X300" s="15"/>
      <c r="Y300" s="14"/>
      <c r="Z300" s="15"/>
    </row>
    <row r="301" spans="1:26" x14ac:dyDescent="0.25">
      <c r="Q301" s="14"/>
      <c r="R301" s="15"/>
      <c r="S301" s="14"/>
      <c r="T301" s="15"/>
      <c r="U301" s="14"/>
      <c r="V301" s="15"/>
      <c r="W301" s="14"/>
      <c r="X301" s="15"/>
      <c r="Y301" s="14"/>
      <c r="Z301" s="15"/>
    </row>
    <row r="302" spans="1:26" x14ac:dyDescent="0.25">
      <c r="Q302" s="14"/>
      <c r="R302" s="15"/>
      <c r="S302" s="14"/>
      <c r="T302" s="15"/>
      <c r="U302" s="14"/>
      <c r="V302" s="15"/>
      <c r="W302" s="14"/>
      <c r="X302" s="15"/>
      <c r="Y302" s="14"/>
      <c r="Z302" s="15"/>
    </row>
    <row r="303" spans="1:26" x14ac:dyDescent="0.25">
      <c r="Q303" s="14"/>
      <c r="R303" s="15"/>
      <c r="S303" s="14"/>
      <c r="T303" s="15"/>
      <c r="U303" s="14"/>
      <c r="V303" s="15"/>
      <c r="W303" s="14"/>
      <c r="X303" s="15"/>
      <c r="Y303" s="14"/>
      <c r="Z303" s="15"/>
    </row>
    <row r="304" spans="1:26" x14ac:dyDescent="0.25">
      <c r="Q304" s="14"/>
      <c r="R304" s="15"/>
      <c r="S304" s="14"/>
      <c r="T304" s="15"/>
      <c r="U304" s="14"/>
      <c r="V304" s="15"/>
      <c r="W304" s="14"/>
      <c r="X304" s="15"/>
      <c r="Y304" s="14"/>
      <c r="Z304" s="15"/>
    </row>
    <row r="305" spans="1:26" x14ac:dyDescent="0.25">
      <c r="Q305" s="14"/>
      <c r="R305" s="15"/>
      <c r="S305" s="14"/>
      <c r="T305" s="15"/>
      <c r="U305" s="14"/>
      <c r="V305" s="15"/>
      <c r="W305" s="14"/>
      <c r="X305" s="15"/>
      <c r="Y305" s="14"/>
      <c r="Z305" s="15"/>
    </row>
    <row r="306" spans="1:26" x14ac:dyDescent="0.25">
      <c r="Q306" s="14"/>
      <c r="R306" s="15"/>
      <c r="S306" s="14"/>
      <c r="T306" s="15"/>
      <c r="U306" s="14"/>
      <c r="V306" s="15"/>
      <c r="W306" s="14"/>
      <c r="X306" s="15"/>
      <c r="Y306" s="14"/>
      <c r="Z306" s="15"/>
    </row>
    <row r="307" spans="1:26" x14ac:dyDescent="0.25">
      <c r="Q307" s="14"/>
      <c r="R307" s="15"/>
      <c r="S307" s="14"/>
      <c r="T307" s="15"/>
      <c r="U307" s="14"/>
      <c r="V307" s="15"/>
      <c r="W307" s="14"/>
      <c r="X307" s="15"/>
      <c r="Y307" s="14"/>
      <c r="Z307" s="15"/>
    </row>
    <row r="308" spans="1:26" x14ac:dyDescent="0.25">
      <c r="Q308" s="14"/>
      <c r="R308" s="15"/>
      <c r="S308" s="14"/>
      <c r="T308" s="15"/>
      <c r="U308" s="14"/>
      <c r="V308" s="15"/>
      <c r="W308" s="14"/>
      <c r="X308" s="15"/>
      <c r="Y308" s="14"/>
      <c r="Z308" s="15"/>
    </row>
    <row r="309" spans="1:26" x14ac:dyDescent="0.25">
      <c r="Q309" s="14"/>
      <c r="R309" s="15"/>
      <c r="S309" s="14"/>
      <c r="T309" s="15"/>
      <c r="U309" s="14"/>
      <c r="V309" s="15"/>
      <c r="W309" s="14"/>
      <c r="X309" s="15"/>
      <c r="Y309" s="14"/>
      <c r="Z309" s="15"/>
    </row>
    <row r="310" spans="1:26" x14ac:dyDescent="0.25">
      <c r="Q310" s="14"/>
      <c r="R310" s="15"/>
      <c r="S310" s="14"/>
      <c r="T310" s="15"/>
      <c r="U310" s="14"/>
      <c r="V310" s="15"/>
      <c r="W310" s="14"/>
      <c r="X310" s="15"/>
      <c r="Y310" s="14"/>
      <c r="Z310" s="15"/>
    </row>
    <row r="311" spans="1:26" x14ac:dyDescent="0.25">
      <c r="Q311" s="14"/>
      <c r="R311" s="15"/>
      <c r="S311" s="14"/>
      <c r="T311" s="15"/>
      <c r="U311" s="14"/>
      <c r="V311" s="15"/>
      <c r="W311" s="14"/>
      <c r="X311" s="15"/>
      <c r="Y311" s="14"/>
      <c r="Z311" s="15"/>
    </row>
    <row r="312" spans="1:26" x14ac:dyDescent="0.25">
      <c r="Q312" s="14"/>
      <c r="R312" s="15"/>
      <c r="S312" s="14"/>
      <c r="T312" s="15"/>
      <c r="U312" s="14"/>
      <c r="V312" s="15"/>
      <c r="W312" s="14"/>
      <c r="X312" s="15"/>
      <c r="Y312" s="14"/>
      <c r="Z312" s="15"/>
    </row>
    <row r="313" spans="1:26" x14ac:dyDescent="0.25">
      <c r="Q313" s="14"/>
      <c r="R313" s="15"/>
      <c r="S313" s="14"/>
      <c r="T313" s="15"/>
      <c r="U313" s="14"/>
      <c r="V313" s="15"/>
      <c r="W313" s="14"/>
      <c r="X313" s="15"/>
      <c r="Y313" s="14"/>
      <c r="Z313" s="15"/>
    </row>
    <row r="314" spans="1:26" x14ac:dyDescent="0.25">
      <c r="Q314" s="14"/>
      <c r="R314" s="15"/>
      <c r="S314" s="14"/>
      <c r="T314" s="15"/>
      <c r="U314" s="14"/>
      <c r="V314" s="15"/>
      <c r="W314" s="14"/>
      <c r="X314" s="15"/>
      <c r="Y314" s="14"/>
      <c r="Z314" s="15"/>
    </row>
    <row r="315" spans="1:26" x14ac:dyDescent="0.25">
      <c r="Q315" s="14"/>
      <c r="R315" s="15"/>
      <c r="S315" s="14"/>
      <c r="T315" s="15"/>
      <c r="U315" s="14"/>
      <c r="V315" s="15"/>
      <c r="W315" s="14"/>
      <c r="X315" s="15"/>
      <c r="Y315" s="14"/>
      <c r="Z315" s="15"/>
    </row>
    <row r="316" spans="1:26" x14ac:dyDescent="0.25">
      <c r="Q316" s="14"/>
      <c r="R316" s="15"/>
      <c r="S316" s="14"/>
      <c r="T316" s="15"/>
      <c r="U316" s="14"/>
      <c r="V316" s="15"/>
      <c r="W316" s="14"/>
      <c r="X316" s="15"/>
      <c r="Y316" s="14"/>
      <c r="Z316" s="15"/>
    </row>
    <row r="317" spans="1:26" x14ac:dyDescent="0.25">
      <c r="Q317" s="14"/>
      <c r="R317" s="15"/>
      <c r="S317" s="14"/>
      <c r="T317" s="15"/>
      <c r="U317" s="14"/>
      <c r="V317" s="15"/>
      <c r="W317" s="14"/>
      <c r="X317" s="15"/>
      <c r="Y317" s="14"/>
      <c r="Z317" s="15"/>
    </row>
    <row r="318" spans="1:26" x14ac:dyDescent="0.25">
      <c r="Q318" s="14"/>
      <c r="R318" s="15"/>
      <c r="S318" s="14"/>
      <c r="T318" s="15"/>
      <c r="U318" s="14"/>
      <c r="V318" s="15"/>
      <c r="W318" s="14"/>
      <c r="X318" s="15"/>
      <c r="Y318" s="14"/>
      <c r="Z318" s="15"/>
    </row>
    <row r="319" spans="1:26" x14ac:dyDescent="0.25">
      <c r="Q319" s="14"/>
      <c r="R319" s="15"/>
      <c r="S319" s="14"/>
      <c r="T319" s="15"/>
      <c r="U319" s="14"/>
      <c r="V319" s="15"/>
      <c r="W319" s="14"/>
      <c r="X319" s="15"/>
      <c r="Y319" s="14"/>
      <c r="Z319" s="15"/>
    </row>
    <row r="320" spans="1:26" x14ac:dyDescent="0.25">
      <c r="Q320" s="14"/>
      <c r="R320" s="15"/>
      <c r="S320" s="14"/>
      <c r="T320" s="15"/>
      <c r="U320" s="14"/>
      <c r="V320" s="15"/>
      <c r="W320" s="14"/>
      <c r="X320" s="15"/>
      <c r="Y320" s="14"/>
      <c r="Z320" s="15"/>
    </row>
    <row r="321" spans="1:26" x14ac:dyDescent="0.25">
      <c r="Q321" s="14"/>
      <c r="R321" s="15"/>
      <c r="S321" s="14"/>
      <c r="T321" s="15"/>
      <c r="U321" s="14"/>
      <c r="V321" s="15"/>
      <c r="W321" s="14"/>
      <c r="X321" s="15"/>
      <c r="Y321" s="14"/>
      <c r="Z321" s="15"/>
    </row>
    <row r="322" spans="1:26" x14ac:dyDescent="0.25">
      <c r="Q322" s="14"/>
      <c r="R322" s="15"/>
      <c r="S322" s="14"/>
      <c r="T322" s="15"/>
      <c r="U322" s="14"/>
      <c r="V322" s="15"/>
      <c r="W322" s="14"/>
      <c r="X322" s="15"/>
      <c r="Y322" s="14"/>
      <c r="Z322" s="15"/>
    </row>
    <row r="323" spans="1:26" x14ac:dyDescent="0.25">
      <c r="Q323" s="14"/>
      <c r="R323" s="15"/>
      <c r="S323" s="14"/>
      <c r="T323" s="15"/>
      <c r="U323" s="14"/>
      <c r="V323" s="15"/>
      <c r="W323" s="14"/>
      <c r="X323" s="15"/>
      <c r="Y323" s="14"/>
      <c r="Z323" s="15"/>
    </row>
    <row r="324" spans="1:26" x14ac:dyDescent="0.25">
      <c r="Q324" s="14"/>
      <c r="R324" s="15"/>
      <c r="S324" s="14"/>
      <c r="T324" s="15"/>
      <c r="U324" s="14"/>
      <c r="V324" s="15"/>
      <c r="W324" s="14"/>
      <c r="X324" s="15"/>
      <c r="Y324" s="14"/>
      <c r="Z324" s="15"/>
    </row>
    <row r="325" spans="1:26" x14ac:dyDescent="0.25">
      <c r="Q325" s="14"/>
      <c r="R325" s="15"/>
      <c r="S325" s="14"/>
      <c r="T325" s="15"/>
      <c r="U325" s="14"/>
      <c r="V325" s="15"/>
      <c r="W325" s="14"/>
      <c r="X325" s="15"/>
      <c r="Y325" s="14"/>
      <c r="Z325" s="15"/>
    </row>
    <row r="326" spans="1:26" x14ac:dyDescent="0.25">
      <c r="Q326" s="14"/>
      <c r="R326" s="15"/>
      <c r="S326" s="14"/>
      <c r="T326" s="15"/>
      <c r="U326" s="14"/>
      <c r="V326" s="15"/>
      <c r="W326" s="14"/>
      <c r="X326" s="15"/>
      <c r="Y326" s="14"/>
      <c r="Z326" s="15"/>
    </row>
    <row r="327" spans="1:26" x14ac:dyDescent="0.25">
      <c r="Q327" s="14"/>
      <c r="R327" s="15"/>
      <c r="S327" s="14"/>
      <c r="T327" s="15"/>
      <c r="U327" s="14"/>
      <c r="V327" s="15"/>
      <c r="W327" s="14"/>
      <c r="X327" s="15"/>
      <c r="Y327" s="14"/>
      <c r="Z327" s="15"/>
    </row>
    <row r="328" spans="1:26" x14ac:dyDescent="0.25">
      <c r="Q328" s="14"/>
      <c r="R328" s="15"/>
      <c r="S328" s="14"/>
      <c r="T328" s="15"/>
      <c r="U328" s="14"/>
      <c r="V328" s="15"/>
      <c r="W328" s="14"/>
      <c r="X328" s="15"/>
      <c r="Y328" s="14"/>
      <c r="Z328" s="15"/>
    </row>
    <row r="329" spans="1:26" x14ac:dyDescent="0.25">
      <c r="Q329" s="14"/>
      <c r="R329" s="15"/>
      <c r="S329" s="14"/>
      <c r="T329" s="15"/>
      <c r="U329" s="14"/>
      <c r="V329" s="15"/>
      <c r="W329" s="14"/>
      <c r="X329" s="15"/>
      <c r="Y329" s="14"/>
      <c r="Z329" s="15"/>
    </row>
    <row r="330" spans="1:26" x14ac:dyDescent="0.25">
      <c r="Q330" s="14"/>
      <c r="R330" s="15"/>
      <c r="S330" s="14"/>
      <c r="T330" s="15"/>
      <c r="U330" s="14"/>
      <c r="V330" s="15"/>
      <c r="W330" s="14"/>
      <c r="X330" s="15"/>
      <c r="Y330" s="14"/>
      <c r="Z330" s="15"/>
    </row>
    <row r="331" spans="1:26" x14ac:dyDescent="0.25">
      <c r="Q331" s="14"/>
      <c r="R331" s="15"/>
      <c r="S331" s="14"/>
      <c r="T331" s="15"/>
      <c r="U331" s="14"/>
      <c r="V331" s="15"/>
      <c r="W331" s="14"/>
      <c r="X331" s="15"/>
      <c r="Y331" s="14"/>
      <c r="Z331" s="15"/>
    </row>
    <row r="332" spans="1:26" x14ac:dyDescent="0.25">
      <c r="Q332" s="14"/>
      <c r="R332" s="15"/>
      <c r="S332" s="14"/>
      <c r="T332" s="15"/>
      <c r="U332" s="14"/>
      <c r="V332" s="15"/>
      <c r="W332" s="14"/>
      <c r="X332" s="15"/>
      <c r="Y332" s="14"/>
      <c r="Z332" s="15"/>
    </row>
    <row r="333" spans="1:26" x14ac:dyDescent="0.25">
      <c r="Q333" s="14"/>
      <c r="R333" s="15"/>
      <c r="S333" s="14"/>
      <c r="T333" s="15"/>
      <c r="U333" s="14"/>
      <c r="V333" s="15"/>
      <c r="W333" s="14"/>
      <c r="X333" s="15"/>
      <c r="Y333" s="14"/>
      <c r="Z333" s="15"/>
    </row>
    <row r="334" spans="1:26" x14ac:dyDescent="0.25">
      <c r="Q334" s="14"/>
      <c r="R334" s="15"/>
      <c r="S334" s="14"/>
      <c r="T334" s="15"/>
      <c r="U334" s="14"/>
      <c r="V334" s="15"/>
      <c r="W334" s="14"/>
      <c r="X334" s="15"/>
      <c r="Y334" s="14"/>
      <c r="Z334" s="15"/>
    </row>
    <row r="335" spans="1:26" x14ac:dyDescent="0.25">
      <c r="Q335" s="14"/>
      <c r="R335" s="15"/>
      <c r="S335" s="14"/>
      <c r="T335" s="15"/>
      <c r="U335" s="14"/>
      <c r="V335" s="15"/>
      <c r="W335" s="14"/>
      <c r="X335" s="15"/>
      <c r="Y335" s="14"/>
      <c r="Z335" s="15"/>
    </row>
    <row r="336" spans="1:26" x14ac:dyDescent="0.25">
      <c r="Q336" s="14"/>
      <c r="R336" s="15"/>
      <c r="S336" s="14"/>
      <c r="T336" s="15"/>
      <c r="U336" s="14"/>
      <c r="V336" s="15"/>
      <c r="W336" s="14"/>
      <c r="X336" s="15"/>
      <c r="Y336" s="14"/>
      <c r="Z336" s="15"/>
    </row>
    <row r="337" spans="1:26" x14ac:dyDescent="0.25">
      <c r="Q337" s="14"/>
      <c r="R337" s="15"/>
      <c r="S337" s="14"/>
      <c r="T337" s="15"/>
      <c r="U337" s="14"/>
      <c r="V337" s="15"/>
      <c r="W337" s="14"/>
      <c r="X337" s="15"/>
      <c r="Y337" s="14"/>
      <c r="Z337" s="15"/>
    </row>
    <row r="338" spans="1:26" x14ac:dyDescent="0.25">
      <c r="Q338" s="14"/>
      <c r="R338" s="15"/>
      <c r="S338" s="14"/>
      <c r="T338" s="15"/>
      <c r="U338" s="14"/>
      <c r="V338" s="15"/>
      <c r="W338" s="14"/>
      <c r="X338" s="15"/>
      <c r="Y338" s="14"/>
      <c r="Z338" s="15"/>
    </row>
    <row r="339" spans="1:26" x14ac:dyDescent="0.25">
      <c r="Q339" s="14"/>
      <c r="R339" s="15"/>
      <c r="S339" s="14"/>
      <c r="T339" s="15"/>
      <c r="U339" s="14"/>
      <c r="V339" s="15"/>
      <c r="W339" s="14"/>
      <c r="X339" s="15"/>
      <c r="Y339" s="14"/>
      <c r="Z339" s="15"/>
    </row>
    <row r="340" spans="1:26" x14ac:dyDescent="0.25">
      <c r="Q340" s="14"/>
      <c r="R340" s="15"/>
      <c r="S340" s="14"/>
      <c r="T340" s="15"/>
      <c r="U340" s="14"/>
      <c r="V340" s="15"/>
      <c r="W340" s="14"/>
      <c r="X340" s="15"/>
      <c r="Y340" s="14"/>
      <c r="Z340" s="15"/>
    </row>
    <row r="341" spans="1:26" x14ac:dyDescent="0.25">
      <c r="Q341" s="14"/>
      <c r="R341" s="15"/>
      <c r="S341" s="14"/>
      <c r="T341" s="15"/>
      <c r="U341" s="14"/>
      <c r="V341" s="15"/>
      <c r="W341" s="14"/>
      <c r="X341" s="15"/>
      <c r="Y341" s="14"/>
      <c r="Z341" s="15"/>
    </row>
    <row r="342" spans="1:26" x14ac:dyDescent="0.25">
      <c r="Q342" s="14"/>
      <c r="R342" s="15"/>
      <c r="S342" s="14"/>
      <c r="T342" s="15"/>
      <c r="U342" s="14"/>
      <c r="V342" s="15"/>
      <c r="W342" s="14"/>
      <c r="X342" s="15"/>
      <c r="Y342" s="14"/>
      <c r="Z342" s="15"/>
    </row>
    <row r="343" spans="1:26" x14ac:dyDescent="0.25">
      <c r="Q343" s="14"/>
      <c r="R343" s="15"/>
      <c r="S343" s="14"/>
      <c r="T343" s="15"/>
      <c r="U343" s="14"/>
      <c r="V343" s="15"/>
      <c r="W343" s="14"/>
      <c r="X343" s="15"/>
      <c r="Y343" s="14"/>
      <c r="Z343" s="15"/>
    </row>
    <row r="344" spans="1:26" x14ac:dyDescent="0.25">
      <c r="Q344" s="14"/>
      <c r="R344" s="15"/>
      <c r="S344" s="14"/>
      <c r="T344" s="15"/>
      <c r="U344" s="14"/>
      <c r="V344" s="15"/>
      <c r="W344" s="14"/>
      <c r="X344" s="15"/>
      <c r="Y344" s="14"/>
      <c r="Z344" s="15"/>
    </row>
    <row r="345" spans="1:26" x14ac:dyDescent="0.25">
      <c r="Q345" s="14"/>
      <c r="R345" s="15"/>
      <c r="S345" s="14"/>
      <c r="T345" s="15"/>
      <c r="U345" s="14"/>
      <c r="V345" s="15"/>
      <c r="W345" s="14"/>
      <c r="X345" s="15"/>
      <c r="Y345" s="14"/>
      <c r="Z345" s="15"/>
    </row>
    <row r="346" spans="1:26" x14ac:dyDescent="0.25">
      <c r="Q346" s="14"/>
      <c r="R346" s="15"/>
      <c r="S346" s="14"/>
      <c r="T346" s="15"/>
      <c r="U346" s="14"/>
      <c r="V346" s="15"/>
      <c r="W346" s="14"/>
      <c r="X346" s="15"/>
      <c r="Y346" s="14"/>
      <c r="Z346" s="15"/>
    </row>
    <row r="347" spans="1:26" x14ac:dyDescent="0.25">
      <c r="Q347" s="14"/>
      <c r="R347" s="15"/>
      <c r="S347" s="14"/>
      <c r="T347" s="15"/>
      <c r="U347" s="14"/>
      <c r="V347" s="15"/>
      <c r="W347" s="14"/>
      <c r="X347" s="15"/>
      <c r="Y347" s="14"/>
      <c r="Z347" s="15"/>
    </row>
    <row r="348" spans="1:26" x14ac:dyDescent="0.25">
      <c r="Q348" s="14"/>
      <c r="R348" s="15"/>
      <c r="S348" s="14"/>
      <c r="T348" s="15"/>
      <c r="U348" s="14"/>
      <c r="V348" s="15"/>
      <c r="W348" s="14"/>
      <c r="X348" s="15"/>
      <c r="Y348" s="14"/>
      <c r="Z348" s="15"/>
    </row>
    <row r="349" spans="1:26" x14ac:dyDescent="0.25">
      <c r="Q349" s="14"/>
      <c r="R349" s="15"/>
      <c r="S349" s="14"/>
      <c r="T349" s="15"/>
      <c r="U349" s="14"/>
      <c r="V349" s="15"/>
      <c r="W349" s="14"/>
      <c r="X349" s="15"/>
      <c r="Y349" s="14"/>
      <c r="Z349" s="15"/>
    </row>
    <row r="350" spans="1:26" x14ac:dyDescent="0.25">
      <c r="Q350" s="14"/>
      <c r="R350" s="15"/>
      <c r="S350" s="14"/>
      <c r="T350" s="15"/>
      <c r="U350" s="14"/>
      <c r="V350" s="15"/>
      <c r="W350" s="14"/>
      <c r="X350" s="15"/>
      <c r="Y350" s="14"/>
      <c r="Z350" s="15"/>
    </row>
    <row r="351" spans="1:26" x14ac:dyDescent="0.25">
      <c r="Q351" s="14"/>
      <c r="R351" s="15"/>
      <c r="S351" s="14"/>
      <c r="T351" s="15"/>
      <c r="U351" s="14"/>
      <c r="V351" s="15"/>
      <c r="W351" s="14"/>
      <c r="X351" s="15"/>
      <c r="Y351" s="14"/>
      <c r="Z351" s="15"/>
    </row>
    <row r="352" spans="1:26" x14ac:dyDescent="0.25">
      <c r="Q352" s="14"/>
      <c r="R352" s="15"/>
      <c r="S352" s="14"/>
      <c r="T352" s="15"/>
      <c r="U352" s="14"/>
      <c r="V352" s="15"/>
      <c r="W352" s="14"/>
      <c r="X352" s="15"/>
      <c r="Y352" s="14"/>
      <c r="Z352" s="15"/>
    </row>
    <row r="353" spans="1:26" x14ac:dyDescent="0.25">
      <c r="Q353" s="14"/>
      <c r="R353" s="15"/>
      <c r="S353" s="14"/>
      <c r="T353" s="15"/>
      <c r="U353" s="14"/>
      <c r="V353" s="15"/>
      <c r="W353" s="14"/>
      <c r="X353" s="15"/>
      <c r="Y353" s="14"/>
      <c r="Z353" s="15"/>
    </row>
    <row r="354" spans="1:26" x14ac:dyDescent="0.25">
      <c r="Q354" s="14"/>
      <c r="R354" s="15"/>
      <c r="S354" s="14"/>
      <c r="T354" s="15"/>
      <c r="U354" s="14"/>
      <c r="V354" s="15"/>
      <c r="W354" s="14"/>
      <c r="X354" s="15"/>
      <c r="Y354" s="14"/>
      <c r="Z354" s="15"/>
    </row>
    <row r="355" spans="1:26" x14ac:dyDescent="0.25">
      <c r="Q355" s="14"/>
      <c r="R355" s="15"/>
      <c r="S355" s="14"/>
      <c r="T355" s="15"/>
      <c r="U355" s="14"/>
      <c r="V355" s="15"/>
      <c r="W355" s="14"/>
      <c r="X355" s="15"/>
      <c r="Y355" s="14"/>
      <c r="Z355" s="15"/>
    </row>
    <row r="356" spans="1:26" x14ac:dyDescent="0.25">
      <c r="Q356" s="14"/>
      <c r="R356" s="15"/>
      <c r="S356" s="14"/>
      <c r="T356" s="15"/>
      <c r="U356" s="14"/>
      <c r="V356" s="15"/>
      <c r="W356" s="14"/>
      <c r="X356" s="15"/>
      <c r="Y356" s="14"/>
      <c r="Z356" s="15"/>
    </row>
    <row r="357" spans="1:26" x14ac:dyDescent="0.25">
      <c r="Q357" s="14"/>
      <c r="R357" s="15"/>
      <c r="S357" s="14"/>
      <c r="T357" s="15"/>
      <c r="U357" s="14"/>
      <c r="V357" s="15"/>
      <c r="W357" s="14"/>
      <c r="X357" s="15"/>
      <c r="Y357" s="14"/>
      <c r="Z357" s="15"/>
    </row>
    <row r="358" spans="1:26" x14ac:dyDescent="0.25">
      <c r="Q358" s="14"/>
      <c r="R358" s="15"/>
      <c r="S358" s="14"/>
      <c r="T358" s="15"/>
      <c r="U358" s="14"/>
      <c r="V358" s="15"/>
      <c r="W358" s="14"/>
      <c r="X358" s="15"/>
      <c r="Y358" s="14"/>
      <c r="Z358" s="15"/>
    </row>
    <row r="359" spans="1:26" x14ac:dyDescent="0.25">
      <c r="Q359" s="14"/>
      <c r="R359" s="15"/>
      <c r="S359" s="14"/>
      <c r="T359" s="15"/>
      <c r="U359" s="14"/>
      <c r="V359" s="15"/>
      <c r="W359" s="14"/>
      <c r="X359" s="15"/>
      <c r="Y359" s="14"/>
      <c r="Z359" s="15"/>
    </row>
    <row r="360" spans="1:26" x14ac:dyDescent="0.25">
      <c r="Q360" s="14"/>
      <c r="R360" s="15"/>
      <c r="S360" s="14"/>
      <c r="T360" s="15"/>
      <c r="U360" s="14"/>
      <c r="V360" s="15"/>
      <c r="W360" s="14"/>
      <c r="X360" s="15"/>
      <c r="Y360" s="14"/>
      <c r="Z360" s="15"/>
    </row>
    <row r="361" spans="1:26" x14ac:dyDescent="0.25">
      <c r="Q361" s="14"/>
      <c r="R361" s="15"/>
      <c r="S361" s="14"/>
      <c r="T361" s="15"/>
      <c r="U361" s="14"/>
      <c r="V361" s="15"/>
      <c r="W361" s="14"/>
      <c r="X361" s="15"/>
      <c r="Y361" s="14"/>
      <c r="Z361" s="15"/>
    </row>
    <row r="362" spans="1:26" x14ac:dyDescent="0.25">
      <c r="Q362" s="14"/>
      <c r="R362" s="15"/>
      <c r="S362" s="14"/>
      <c r="T362" s="15"/>
      <c r="U362" s="14"/>
      <c r="V362" s="15"/>
      <c r="W362" s="14"/>
      <c r="X362" s="15"/>
      <c r="Y362" s="14"/>
      <c r="Z362" s="15"/>
    </row>
    <row r="363" spans="1:26" x14ac:dyDescent="0.25">
      <c r="Q363" s="14"/>
      <c r="R363" s="15"/>
      <c r="S363" s="14"/>
      <c r="T363" s="15"/>
      <c r="U363" s="14"/>
      <c r="V363" s="15"/>
      <c r="W363" s="14"/>
      <c r="X363" s="15"/>
      <c r="Y363" s="14"/>
      <c r="Z363" s="15"/>
    </row>
    <row r="364" spans="1:26" x14ac:dyDescent="0.25">
      <c r="Q364" s="14"/>
      <c r="R364" s="15"/>
      <c r="S364" s="14"/>
      <c r="T364" s="15"/>
      <c r="U364" s="14"/>
      <c r="V364" s="15"/>
      <c r="W364" s="14"/>
      <c r="X364" s="15"/>
      <c r="Y364" s="14"/>
      <c r="Z364" s="15"/>
    </row>
    <row r="365" spans="1:26" x14ac:dyDescent="0.25">
      <c r="Q365" s="14"/>
      <c r="R365" s="15"/>
      <c r="S365" s="14"/>
      <c r="T365" s="15"/>
      <c r="U365" s="14"/>
      <c r="V365" s="15"/>
      <c r="W365" s="14"/>
      <c r="X365" s="15"/>
      <c r="Y365" s="14"/>
      <c r="Z365" s="15"/>
    </row>
    <row r="366" spans="1:26" x14ac:dyDescent="0.25">
      <c r="Q366" s="14"/>
      <c r="R366" s="15"/>
      <c r="S366" s="14"/>
      <c r="T366" s="15"/>
      <c r="U366" s="14"/>
      <c r="V366" s="15"/>
      <c r="W366" s="14"/>
      <c r="X366" s="15"/>
      <c r="Y366" s="14"/>
      <c r="Z366" s="15"/>
    </row>
    <row r="367" spans="1:26" x14ac:dyDescent="0.25">
      <c r="Q367" s="14"/>
      <c r="R367" s="15"/>
      <c r="S367" s="14"/>
      <c r="T367" s="15"/>
      <c r="U367" s="14"/>
      <c r="V367" s="15"/>
      <c r="W367" s="14"/>
      <c r="X367" s="15"/>
      <c r="Y367" s="14"/>
      <c r="Z367" s="15"/>
    </row>
    <row r="368" spans="1:26" x14ac:dyDescent="0.25">
      <c r="Q368" s="14"/>
      <c r="R368" s="15"/>
      <c r="S368" s="14"/>
      <c r="T368" s="15"/>
      <c r="U368" s="14"/>
      <c r="V368" s="15"/>
      <c r="W368" s="14"/>
      <c r="X368" s="15"/>
      <c r="Y368" s="14"/>
      <c r="Z368" s="15"/>
    </row>
    <row r="369" spans="1:26" x14ac:dyDescent="0.25">
      <c r="Q369" s="14"/>
      <c r="R369" s="15"/>
      <c r="S369" s="14"/>
      <c r="T369" s="15"/>
      <c r="U369" s="14"/>
      <c r="V369" s="15"/>
      <c r="W369" s="14"/>
      <c r="X369" s="15"/>
      <c r="Y369" s="14"/>
      <c r="Z369" s="15"/>
    </row>
    <row r="370" spans="1:26" x14ac:dyDescent="0.25">
      <c r="Q370" s="14"/>
      <c r="R370" s="15"/>
      <c r="S370" s="14"/>
      <c r="T370" s="15"/>
      <c r="U370" s="14"/>
      <c r="V370" s="15"/>
      <c r="W370" s="14"/>
      <c r="X370" s="15"/>
      <c r="Y370" s="14"/>
      <c r="Z370" s="15"/>
    </row>
    <row r="371" spans="1:26" x14ac:dyDescent="0.25">
      <c r="Q371" s="14"/>
      <c r="R371" s="15"/>
      <c r="S371" s="14"/>
      <c r="T371" s="15"/>
      <c r="U371" s="14"/>
      <c r="V371" s="15"/>
      <c r="W371" s="14"/>
      <c r="X371" s="15"/>
      <c r="Y371" s="14"/>
      <c r="Z371" s="15"/>
    </row>
    <row r="372" spans="1:26" x14ac:dyDescent="0.25">
      <c r="Q372" s="14"/>
      <c r="R372" s="15"/>
      <c r="S372" s="14"/>
      <c r="T372" s="15"/>
      <c r="U372" s="14"/>
      <c r="V372" s="15"/>
      <c r="W372" s="14"/>
      <c r="X372" s="15"/>
      <c r="Y372" s="14"/>
      <c r="Z372" s="15"/>
    </row>
    <row r="373" spans="1:26" x14ac:dyDescent="0.25">
      <c r="Q373" s="14"/>
      <c r="R373" s="15"/>
      <c r="S373" s="14"/>
      <c r="T373" s="15"/>
      <c r="U373" s="14"/>
      <c r="V373" s="15"/>
      <c r="W373" s="14"/>
      <c r="X373" s="15"/>
      <c r="Y373" s="14"/>
      <c r="Z373" s="15"/>
    </row>
    <row r="374" spans="1:26" x14ac:dyDescent="0.25">
      <c r="Q374" s="14"/>
      <c r="R374" s="15"/>
      <c r="S374" s="14"/>
      <c r="T374" s="15"/>
      <c r="U374" s="14"/>
      <c r="V374" s="15"/>
      <c r="W374" s="14"/>
      <c r="X374" s="15"/>
      <c r="Y374" s="14"/>
      <c r="Z374" s="15"/>
    </row>
    <row r="375" spans="1:26" x14ac:dyDescent="0.25">
      <c r="Q375" s="14"/>
      <c r="R375" s="15"/>
      <c r="S375" s="14"/>
      <c r="T375" s="15"/>
      <c r="U375" s="14"/>
      <c r="V375" s="15"/>
      <c r="W375" s="14"/>
      <c r="X375" s="15"/>
      <c r="Y375" s="14"/>
      <c r="Z375" s="15"/>
    </row>
    <row r="376" spans="1:26" x14ac:dyDescent="0.25">
      <c r="Q376" s="14"/>
      <c r="R376" s="15"/>
      <c r="S376" s="14"/>
      <c r="T376" s="15"/>
      <c r="U376" s="14"/>
      <c r="V376" s="15"/>
      <c r="W376" s="14"/>
      <c r="X376" s="15"/>
      <c r="Y376" s="14"/>
      <c r="Z376" s="15"/>
    </row>
    <row r="377" spans="1:26" x14ac:dyDescent="0.25">
      <c r="Q377" s="14"/>
      <c r="R377" s="15"/>
      <c r="S377" s="14"/>
      <c r="T377" s="15"/>
      <c r="U377" s="14"/>
      <c r="V377" s="15"/>
      <c r="W377" s="14"/>
      <c r="X377" s="15"/>
      <c r="Y377" s="14"/>
      <c r="Z377" s="15"/>
    </row>
    <row r="378" spans="1:26" x14ac:dyDescent="0.25">
      <c r="Q378" s="14"/>
      <c r="R378" s="15"/>
      <c r="S378" s="14"/>
      <c r="T378" s="15"/>
      <c r="U378" s="14"/>
      <c r="V378" s="15"/>
      <c r="W378" s="14"/>
      <c r="X378" s="15"/>
      <c r="Y378" s="14"/>
      <c r="Z378" s="15"/>
    </row>
    <row r="379" spans="1:26" x14ac:dyDescent="0.25">
      <c r="Q379" s="14"/>
      <c r="R379" s="15"/>
      <c r="S379" s="14"/>
      <c r="T379" s="15"/>
      <c r="U379" s="14"/>
      <c r="V379" s="15"/>
      <c r="W379" s="14"/>
      <c r="X379" s="15"/>
      <c r="Y379" s="14"/>
      <c r="Z379" s="15"/>
    </row>
    <row r="380" spans="1:26" x14ac:dyDescent="0.25">
      <c r="Q380" s="14"/>
      <c r="R380" s="15"/>
      <c r="S380" s="14"/>
      <c r="T380" s="15"/>
      <c r="U380" s="14"/>
      <c r="V380" s="15"/>
      <c r="W380" s="14"/>
      <c r="X380" s="15"/>
      <c r="Y380" s="14"/>
      <c r="Z380" s="15"/>
    </row>
    <row r="381" spans="1:26" x14ac:dyDescent="0.25">
      <c r="Q381" s="14"/>
      <c r="R381" s="15"/>
      <c r="S381" s="14"/>
      <c r="T381" s="15"/>
      <c r="U381" s="14"/>
      <c r="V381" s="15"/>
      <c r="W381" s="14"/>
      <c r="X381" s="15"/>
      <c r="Y381" s="14"/>
      <c r="Z381" s="15"/>
    </row>
    <row r="382" spans="1:26" x14ac:dyDescent="0.25">
      <c r="Q382" s="14"/>
      <c r="R382" s="15"/>
      <c r="S382" s="14"/>
      <c r="T382" s="15"/>
      <c r="U382" s="14"/>
      <c r="V382" s="15"/>
      <c r="W382" s="14"/>
      <c r="X382" s="15"/>
      <c r="Y382" s="14"/>
      <c r="Z382" s="15"/>
    </row>
    <row r="383" spans="1:26" x14ac:dyDescent="0.25">
      <c r="Q383" s="14"/>
      <c r="R383" s="15"/>
      <c r="S383" s="14"/>
      <c r="T383" s="15"/>
      <c r="U383" s="14"/>
      <c r="V383" s="15"/>
      <c r="W383" s="14"/>
      <c r="X383" s="15"/>
      <c r="Y383" s="14"/>
      <c r="Z383" s="15"/>
    </row>
    <row r="384" spans="1:26" x14ac:dyDescent="0.25">
      <c r="Q384" s="14"/>
      <c r="R384" s="15"/>
      <c r="S384" s="14"/>
      <c r="T384" s="15"/>
      <c r="U384" s="14"/>
      <c r="V384" s="15"/>
      <c r="W384" s="14"/>
      <c r="X384" s="15"/>
      <c r="Y384" s="14"/>
      <c r="Z384" s="15"/>
    </row>
    <row r="385" spans="1:26" x14ac:dyDescent="0.25">
      <c r="Q385" s="14"/>
      <c r="R385" s="15"/>
      <c r="S385" s="14"/>
      <c r="T385" s="15"/>
      <c r="U385" s="14"/>
      <c r="V385" s="15"/>
      <c r="W385" s="14"/>
      <c r="X385" s="15"/>
      <c r="Y385" s="14"/>
      <c r="Z385" s="15"/>
    </row>
    <row r="386" spans="1:26" x14ac:dyDescent="0.25">
      <c r="Q386" s="14"/>
      <c r="R386" s="15"/>
      <c r="S386" s="14"/>
      <c r="T386" s="15"/>
      <c r="U386" s="14"/>
      <c r="V386" s="15"/>
      <c r="W386" s="14"/>
      <c r="X386" s="15"/>
      <c r="Y386" s="14"/>
      <c r="Z386" s="15"/>
    </row>
    <row r="387" spans="1:26" x14ac:dyDescent="0.25">
      <c r="Q387" s="14"/>
      <c r="R387" s="15"/>
      <c r="S387" s="14"/>
      <c r="T387" s="15"/>
      <c r="U387" s="14"/>
      <c r="V387" s="15"/>
      <c r="W387" s="14"/>
      <c r="X387" s="15"/>
      <c r="Y387" s="14"/>
      <c r="Z387" s="15"/>
    </row>
    <row r="388" spans="1:26" x14ac:dyDescent="0.25">
      <c r="Q388" s="14"/>
      <c r="R388" s="15"/>
      <c r="S388" s="14"/>
      <c r="T388" s="15"/>
      <c r="U388" s="14"/>
      <c r="V388" s="15"/>
      <c r="W388" s="14"/>
      <c r="X388" s="15"/>
      <c r="Y388" s="14"/>
      <c r="Z388" s="15"/>
    </row>
    <row r="389" spans="1:26" x14ac:dyDescent="0.25">
      <c r="Q389" s="14"/>
      <c r="R389" s="15"/>
      <c r="S389" s="14"/>
      <c r="T389" s="15"/>
      <c r="U389" s="14"/>
      <c r="V389" s="15"/>
      <c r="W389" s="14"/>
      <c r="X389" s="15"/>
      <c r="Y389" s="14"/>
      <c r="Z389" s="15"/>
    </row>
    <row r="390" spans="1:26" x14ac:dyDescent="0.25">
      <c r="Q390" s="14"/>
      <c r="R390" s="15"/>
      <c r="S390" s="14"/>
      <c r="T390" s="15"/>
      <c r="U390" s="14"/>
      <c r="V390" s="15"/>
      <c r="W390" s="14"/>
      <c r="X390" s="15"/>
      <c r="Y390" s="14"/>
      <c r="Z390" s="15"/>
    </row>
    <row r="391" spans="1:26" x14ac:dyDescent="0.25">
      <c r="Q391" s="14"/>
      <c r="R391" s="15"/>
      <c r="S391" s="14"/>
      <c r="T391" s="15"/>
      <c r="U391" s="14"/>
      <c r="V391" s="15"/>
      <c r="W391" s="14"/>
      <c r="X391" s="15"/>
      <c r="Y391" s="14"/>
      <c r="Z391" s="15"/>
    </row>
    <row r="392" spans="1:26" x14ac:dyDescent="0.25">
      <c r="Q392" s="14"/>
      <c r="R392" s="15"/>
      <c r="S392" s="14"/>
      <c r="T392" s="15"/>
      <c r="U392" s="14"/>
      <c r="V392" s="15"/>
      <c r="W392" s="14"/>
      <c r="X392" s="15"/>
      <c r="Y392" s="14"/>
      <c r="Z392" s="15"/>
    </row>
    <row r="393" spans="1:26" x14ac:dyDescent="0.25">
      <c r="Q393" s="14"/>
      <c r="R393" s="15"/>
      <c r="S393" s="14"/>
      <c r="T393" s="15"/>
      <c r="U393" s="14"/>
      <c r="V393" s="15"/>
      <c r="W393" s="14"/>
      <c r="X393" s="15"/>
      <c r="Y393" s="14"/>
      <c r="Z393" s="15"/>
    </row>
    <row r="394" spans="1:26" x14ac:dyDescent="0.25">
      <c r="Q394" s="14"/>
      <c r="R394" s="15"/>
      <c r="S394" s="14"/>
      <c r="T394" s="15"/>
      <c r="U394" s="14"/>
      <c r="V394" s="15"/>
      <c r="W394" s="14"/>
      <c r="X394" s="15"/>
      <c r="Y394" s="14"/>
      <c r="Z394" s="15"/>
    </row>
    <row r="395" spans="1:26" x14ac:dyDescent="0.25">
      <c r="Q395" s="14"/>
      <c r="R395" s="15"/>
      <c r="S395" s="14"/>
      <c r="T395" s="15"/>
      <c r="U395" s="14"/>
      <c r="V395" s="15"/>
      <c r="W395" s="14"/>
      <c r="X395" s="15"/>
      <c r="Y395" s="14"/>
      <c r="Z395" s="15"/>
    </row>
    <row r="396" spans="1:26" x14ac:dyDescent="0.25">
      <c r="Q396" s="14"/>
      <c r="R396" s="15"/>
      <c r="S396" s="14"/>
      <c r="T396" s="15"/>
      <c r="U396" s="14"/>
      <c r="V396" s="15"/>
      <c r="W396" s="14"/>
      <c r="X396" s="15"/>
      <c r="Y396" s="14"/>
      <c r="Z396" s="15"/>
    </row>
    <row r="397" spans="1:26" x14ac:dyDescent="0.25">
      <c r="Q397" s="14"/>
      <c r="R397" s="15"/>
      <c r="S397" s="14"/>
      <c r="T397" s="15"/>
      <c r="U397" s="14"/>
      <c r="V397" s="15"/>
      <c r="W397" s="14"/>
      <c r="X397" s="15"/>
      <c r="Y397" s="14"/>
      <c r="Z397" s="15"/>
    </row>
    <row r="398" spans="1:26" x14ac:dyDescent="0.25">
      <c r="Q398" s="14"/>
      <c r="R398" s="15"/>
      <c r="S398" s="14"/>
      <c r="T398" s="15"/>
      <c r="U398" s="14"/>
      <c r="V398" s="15"/>
      <c r="W398" s="14"/>
      <c r="X398" s="15"/>
      <c r="Y398" s="14"/>
      <c r="Z398" s="15"/>
    </row>
    <row r="399" spans="1:26" x14ac:dyDescent="0.25">
      <c r="Q399" s="14"/>
      <c r="R399" s="15"/>
      <c r="S399" s="14"/>
      <c r="T399" s="15"/>
      <c r="U399" s="14"/>
      <c r="V399" s="15"/>
      <c r="W399" s="14"/>
      <c r="X399" s="15"/>
      <c r="Y399" s="14"/>
      <c r="Z399" s="15"/>
    </row>
    <row r="400" spans="1:26" x14ac:dyDescent="0.25">
      <c r="Q400" s="14"/>
      <c r="R400" s="15"/>
      <c r="S400" s="14"/>
      <c r="T400" s="15"/>
      <c r="U400" s="14"/>
      <c r="V400" s="15"/>
      <c r="W400" s="14"/>
      <c r="X400" s="15"/>
      <c r="Y400" s="14"/>
      <c r="Z400" s="15"/>
    </row>
    <row r="401" spans="1:26" x14ac:dyDescent="0.25">
      <c r="Q401" s="14"/>
      <c r="R401" s="15"/>
      <c r="S401" s="14"/>
      <c r="T401" s="15"/>
      <c r="U401" s="14"/>
      <c r="V401" s="15"/>
      <c r="W401" s="14"/>
      <c r="X401" s="15"/>
      <c r="Y401" s="14"/>
      <c r="Z401" s="15"/>
    </row>
    <row r="402" spans="1:26" x14ac:dyDescent="0.25">
      <c r="Q402" s="14"/>
      <c r="R402" s="15"/>
      <c r="S402" s="14"/>
      <c r="T402" s="15"/>
      <c r="U402" s="14"/>
      <c r="V402" s="15"/>
      <c r="W402" s="14"/>
      <c r="X402" s="15"/>
      <c r="Y402" s="14"/>
      <c r="Z402" s="15"/>
    </row>
    <row r="403" spans="1:26" x14ac:dyDescent="0.25">
      <c r="Q403" s="14"/>
      <c r="R403" s="15"/>
      <c r="S403" s="14"/>
      <c r="T403" s="15"/>
      <c r="U403" s="14"/>
      <c r="V403" s="15"/>
      <c r="W403" s="14"/>
      <c r="X403" s="15"/>
      <c r="Y403" s="14"/>
      <c r="Z403" s="15"/>
    </row>
    <row r="404" spans="1:26" x14ac:dyDescent="0.25">
      <c r="Q404" s="14"/>
      <c r="R404" s="15"/>
      <c r="S404" s="14"/>
      <c r="T404" s="15"/>
      <c r="U404" s="14"/>
      <c r="V404" s="15"/>
      <c r="W404" s="14"/>
      <c r="X404" s="15"/>
      <c r="Y404" s="14"/>
      <c r="Z404" s="15"/>
    </row>
    <row r="405" spans="1:26" x14ac:dyDescent="0.25">
      <c r="Q405" s="14"/>
      <c r="R405" s="15"/>
      <c r="S405" s="14"/>
      <c r="T405" s="15"/>
      <c r="U405" s="14"/>
      <c r="V405" s="15"/>
      <c r="W405" s="14"/>
      <c r="X405" s="15"/>
      <c r="Y405" s="14"/>
      <c r="Z405" s="15"/>
    </row>
    <row r="406" spans="1:26" x14ac:dyDescent="0.25">
      <c r="Q406" s="14"/>
      <c r="R406" s="15"/>
      <c r="S406" s="14"/>
      <c r="T406" s="15"/>
      <c r="U406" s="14"/>
      <c r="V406" s="15"/>
      <c r="W406" s="14"/>
      <c r="X406" s="15"/>
      <c r="Y406" s="14"/>
      <c r="Z406" s="15"/>
    </row>
    <row r="407" spans="1:26" x14ac:dyDescent="0.25">
      <c r="Q407" s="14"/>
      <c r="R407" s="15"/>
      <c r="S407" s="14"/>
      <c r="T407" s="15"/>
      <c r="U407" s="14"/>
      <c r="V407" s="15"/>
      <c r="W407" s="14"/>
      <c r="X407" s="15"/>
      <c r="Y407" s="14"/>
      <c r="Z407" s="15"/>
    </row>
    <row r="408" spans="1:26" x14ac:dyDescent="0.25">
      <c r="Q408" s="14"/>
      <c r="R408" s="15"/>
      <c r="S408" s="14"/>
      <c r="T408" s="15"/>
      <c r="U408" s="14"/>
      <c r="V408" s="15"/>
      <c r="W408" s="14"/>
      <c r="X408" s="15"/>
      <c r="Y408" s="14"/>
      <c r="Z408" s="15"/>
    </row>
    <row r="409" spans="1:26" x14ac:dyDescent="0.25">
      <c r="Q409" s="14"/>
      <c r="R409" s="15"/>
      <c r="S409" s="14"/>
      <c r="T409" s="15"/>
      <c r="U409" s="14"/>
      <c r="V409" s="15"/>
      <c r="W409" s="14"/>
      <c r="X409" s="15"/>
      <c r="Y409" s="14"/>
      <c r="Z409" s="15"/>
    </row>
    <row r="410" spans="1:26" x14ac:dyDescent="0.25">
      <c r="Q410" s="14"/>
      <c r="R410" s="15"/>
      <c r="S410" s="14"/>
      <c r="T410" s="15"/>
      <c r="U410" s="14"/>
      <c r="V410" s="15"/>
      <c r="W410" s="14"/>
      <c r="X410" s="15"/>
      <c r="Y410" s="14"/>
      <c r="Z410" s="15"/>
    </row>
    <row r="411" spans="1:26" x14ac:dyDescent="0.25">
      <c r="Q411" s="14"/>
      <c r="R411" s="15"/>
      <c r="S411" s="14"/>
      <c r="T411" s="15"/>
      <c r="U411" s="14"/>
      <c r="V411" s="15"/>
      <c r="W411" s="14"/>
      <c r="X411" s="15"/>
      <c r="Y411" s="14"/>
      <c r="Z411" s="15"/>
    </row>
    <row r="412" spans="1:26" x14ac:dyDescent="0.25">
      <c r="Q412" s="14"/>
      <c r="R412" s="15"/>
      <c r="S412" s="14"/>
      <c r="T412" s="15"/>
      <c r="U412" s="14"/>
      <c r="V412" s="15"/>
      <c r="W412" s="14"/>
      <c r="X412" s="15"/>
      <c r="Y412" s="14"/>
      <c r="Z412" s="15"/>
    </row>
    <row r="413" spans="1:26" x14ac:dyDescent="0.25">
      <c r="Q413" s="14"/>
      <c r="R413" s="15"/>
      <c r="S413" s="14"/>
      <c r="T413" s="15"/>
      <c r="U413" s="14"/>
      <c r="V413" s="15"/>
      <c r="W413" s="14"/>
      <c r="X413" s="15"/>
      <c r="Y413" s="14"/>
      <c r="Z413" s="15"/>
    </row>
    <row r="414" spans="1:26" x14ac:dyDescent="0.25">
      <c r="Q414" s="14"/>
      <c r="R414" s="15"/>
      <c r="S414" s="14"/>
      <c r="T414" s="15"/>
      <c r="U414" s="14"/>
      <c r="V414" s="15"/>
      <c r="W414" s="14"/>
      <c r="X414" s="15"/>
      <c r="Y414" s="14"/>
      <c r="Z414" s="15"/>
    </row>
    <row r="415" spans="1:26" x14ac:dyDescent="0.25">
      <c r="Q415" s="14"/>
      <c r="R415" s="15"/>
      <c r="S415" s="14"/>
      <c r="T415" s="15"/>
      <c r="U415" s="14"/>
      <c r="V415" s="15"/>
      <c r="W415" s="14"/>
      <c r="X415" s="15"/>
      <c r="Y415" s="14"/>
      <c r="Z415" s="15"/>
    </row>
    <row r="416" spans="1:26" x14ac:dyDescent="0.25">
      <c r="Q416" s="14"/>
      <c r="R416" s="15"/>
      <c r="S416" s="14"/>
      <c r="T416" s="15"/>
      <c r="U416" s="14"/>
      <c r="V416" s="15"/>
      <c r="W416" s="14"/>
      <c r="X416" s="15"/>
      <c r="Y416" s="14"/>
      <c r="Z416" s="15"/>
    </row>
    <row r="417" spans="1:26" x14ac:dyDescent="0.25">
      <c r="Q417" s="14"/>
      <c r="R417" s="15"/>
      <c r="S417" s="14"/>
      <c r="T417" s="15"/>
      <c r="U417" s="14"/>
      <c r="V417" s="15"/>
      <c r="W417" s="14"/>
      <c r="X417" s="15"/>
      <c r="Y417" s="14"/>
      <c r="Z417" s="15"/>
    </row>
    <row r="418" spans="1:26" x14ac:dyDescent="0.25">
      <c r="Q418" s="14"/>
      <c r="R418" s="15"/>
      <c r="S418" s="14"/>
      <c r="T418" s="15"/>
      <c r="U418" s="14"/>
      <c r="V418" s="15"/>
      <c r="W418" s="14"/>
      <c r="X418" s="15"/>
      <c r="Y418" s="14"/>
      <c r="Z418" s="15"/>
    </row>
    <row r="419" spans="1:26" x14ac:dyDescent="0.25">
      <c r="Q419" s="14"/>
      <c r="R419" s="15"/>
      <c r="S419" s="14"/>
      <c r="T419" s="15"/>
      <c r="U419" s="14"/>
      <c r="V419" s="15"/>
      <c r="W419" s="14"/>
      <c r="X419" s="15"/>
      <c r="Y419" s="14"/>
      <c r="Z419" s="15"/>
    </row>
    <row r="420" spans="1:26" x14ac:dyDescent="0.25">
      <c r="Q420" s="14"/>
      <c r="R420" s="15"/>
      <c r="S420" s="14"/>
      <c r="T420" s="15"/>
      <c r="U420" s="14"/>
      <c r="V420" s="15"/>
      <c r="W420" s="14"/>
      <c r="X420" s="15"/>
      <c r="Y420" s="14"/>
      <c r="Z420" s="15"/>
    </row>
    <row r="421" spans="1:26" x14ac:dyDescent="0.25">
      <c r="Q421" s="14"/>
      <c r="R421" s="15"/>
      <c r="S421" s="14"/>
      <c r="T421" s="15"/>
      <c r="U421" s="14"/>
      <c r="V421" s="15"/>
      <c r="W421" s="14"/>
      <c r="X421" s="15"/>
      <c r="Y421" s="14"/>
      <c r="Z421" s="15"/>
    </row>
    <row r="422" spans="1:26" x14ac:dyDescent="0.25">
      <c r="Q422" s="14"/>
      <c r="R422" s="15"/>
      <c r="S422" s="14"/>
      <c r="T422" s="15"/>
      <c r="U422" s="14"/>
      <c r="V422" s="15"/>
      <c r="W422" s="14"/>
      <c r="X422" s="15"/>
      <c r="Y422" s="14"/>
      <c r="Z422" s="15"/>
    </row>
    <row r="423" spans="1:26" x14ac:dyDescent="0.25">
      <c r="Q423" s="14"/>
      <c r="R423" s="15"/>
      <c r="S423" s="14"/>
      <c r="T423" s="15"/>
      <c r="U423" s="14"/>
      <c r="V423" s="15"/>
      <c r="W423" s="14"/>
      <c r="X423" s="15"/>
      <c r="Y423" s="14"/>
      <c r="Z423" s="15"/>
    </row>
    <row r="424" spans="1:26" x14ac:dyDescent="0.25">
      <c r="Q424" s="14"/>
      <c r="R424" s="15"/>
      <c r="S424" s="14"/>
      <c r="T424" s="15"/>
      <c r="U424" s="14"/>
      <c r="V424" s="15"/>
      <c r="W424" s="14"/>
      <c r="X424" s="15"/>
      <c r="Y424" s="14"/>
      <c r="Z424" s="15"/>
    </row>
    <row r="425" spans="1:26" x14ac:dyDescent="0.25">
      <c r="Q425" s="14"/>
      <c r="R425" s="15"/>
      <c r="S425" s="14"/>
      <c r="T425" s="15"/>
      <c r="U425" s="14"/>
      <c r="V425" s="15"/>
      <c r="W425" s="14"/>
      <c r="X425" s="15"/>
      <c r="Y425" s="14"/>
      <c r="Z425" s="15"/>
    </row>
    <row r="426" spans="1:26" x14ac:dyDescent="0.25">
      <c r="Q426" s="14"/>
      <c r="R426" s="15"/>
      <c r="S426" s="14"/>
      <c r="T426" s="15"/>
      <c r="U426" s="14"/>
      <c r="V426" s="15"/>
      <c r="W426" s="14"/>
      <c r="X426" s="15"/>
      <c r="Y426" s="14"/>
      <c r="Z426" s="15"/>
    </row>
    <row r="427" spans="1:26" x14ac:dyDescent="0.25">
      <c r="Q427" s="14"/>
      <c r="R427" s="15"/>
      <c r="S427" s="14"/>
      <c r="T427" s="15"/>
      <c r="U427" s="14"/>
      <c r="V427" s="15"/>
      <c r="W427" s="14"/>
      <c r="X427" s="15"/>
      <c r="Y427" s="14"/>
      <c r="Z427" s="15"/>
    </row>
    <row r="428" spans="1:26" x14ac:dyDescent="0.25">
      <c r="Q428" s="14"/>
      <c r="R428" s="15"/>
      <c r="S428" s="14"/>
      <c r="T428" s="15"/>
      <c r="U428" s="14"/>
      <c r="V428" s="15"/>
      <c r="W428" s="14"/>
      <c r="X428" s="15"/>
      <c r="Y428" s="14"/>
      <c r="Z428" s="15"/>
    </row>
    <row r="429" spans="1:26" x14ac:dyDescent="0.25">
      <c r="Q429" s="14"/>
      <c r="R429" s="15"/>
      <c r="S429" s="14"/>
      <c r="T429" s="15"/>
      <c r="U429" s="14"/>
      <c r="V429" s="15"/>
      <c r="W429" s="14"/>
      <c r="X429" s="15"/>
      <c r="Y429" s="14"/>
      <c r="Z429" s="15"/>
    </row>
    <row r="430" spans="1:26" x14ac:dyDescent="0.25">
      <c r="Q430" s="14"/>
      <c r="R430" s="15"/>
      <c r="S430" s="14"/>
      <c r="T430" s="15"/>
      <c r="U430" s="14"/>
      <c r="V430" s="15"/>
      <c r="W430" s="14"/>
      <c r="X430" s="15"/>
      <c r="Y430" s="14"/>
      <c r="Z430" s="15"/>
    </row>
    <row r="431" spans="1:26" x14ac:dyDescent="0.25">
      <c r="Q431" s="14"/>
      <c r="R431" s="15"/>
      <c r="S431" s="14"/>
      <c r="T431" s="15"/>
      <c r="U431" s="14"/>
      <c r="V431" s="15"/>
      <c r="W431" s="14"/>
      <c r="X431" s="15"/>
      <c r="Y431" s="14"/>
      <c r="Z431" s="15"/>
    </row>
    <row r="432" spans="1:26" x14ac:dyDescent="0.25">
      <c r="Q432" s="14"/>
      <c r="R432" s="15"/>
      <c r="S432" s="14"/>
      <c r="T432" s="15"/>
      <c r="U432" s="14"/>
      <c r="V432" s="15"/>
      <c r="W432" s="14"/>
      <c r="X432" s="15"/>
      <c r="Y432" s="14"/>
      <c r="Z432" s="15"/>
    </row>
    <row r="433" spans="1:26" x14ac:dyDescent="0.25">
      <c r="Q433" s="14"/>
      <c r="R433" s="15"/>
      <c r="S433" s="14"/>
      <c r="T433" s="15"/>
      <c r="U433" s="14"/>
      <c r="V433" s="15"/>
      <c r="W433" s="14"/>
      <c r="X433" s="15"/>
      <c r="Y433" s="14"/>
      <c r="Z433" s="15"/>
    </row>
    <row r="434" spans="1:26" x14ac:dyDescent="0.25">
      <c r="Q434" s="14"/>
      <c r="R434" s="15"/>
      <c r="S434" s="14"/>
      <c r="T434" s="15"/>
      <c r="U434" s="14"/>
      <c r="V434" s="15"/>
      <c r="W434" s="14"/>
      <c r="X434" s="15"/>
      <c r="Y434" s="14"/>
      <c r="Z434" s="15"/>
    </row>
    <row r="435" spans="1:26" x14ac:dyDescent="0.25">
      <c r="Q435" s="14"/>
      <c r="R435" s="15"/>
      <c r="S435" s="14"/>
      <c r="T435" s="15"/>
      <c r="U435" s="14"/>
      <c r="V435" s="15"/>
      <c r="W435" s="14"/>
      <c r="X435" s="15"/>
      <c r="Y435" s="14"/>
      <c r="Z435" s="15"/>
    </row>
    <row r="436" spans="1:26" x14ac:dyDescent="0.25">
      <c r="Q436" s="14"/>
      <c r="R436" s="15"/>
      <c r="S436" s="14"/>
      <c r="T436" s="15"/>
      <c r="U436" s="14"/>
      <c r="V436" s="15"/>
      <c r="W436" s="14"/>
      <c r="X436" s="15"/>
      <c r="Y436" s="14"/>
      <c r="Z436" s="15"/>
    </row>
    <row r="437" spans="1:26" x14ac:dyDescent="0.25">
      <c r="Q437" s="14"/>
      <c r="R437" s="15"/>
      <c r="S437" s="14"/>
      <c r="T437" s="15"/>
      <c r="U437" s="14"/>
      <c r="V437" s="15"/>
      <c r="W437" s="14"/>
      <c r="X437" s="15"/>
      <c r="Y437" s="14"/>
      <c r="Z437" s="15"/>
    </row>
    <row r="438" spans="1:26" x14ac:dyDescent="0.25">
      <c r="Q438" s="14"/>
      <c r="R438" s="15"/>
      <c r="S438" s="14"/>
      <c r="T438" s="15"/>
      <c r="U438" s="14"/>
      <c r="V438" s="15"/>
      <c r="W438" s="14"/>
      <c r="X438" s="15"/>
      <c r="Y438" s="14"/>
      <c r="Z438" s="15"/>
    </row>
    <row r="439" spans="1:26" x14ac:dyDescent="0.25">
      <c r="Q439" s="14"/>
      <c r="R439" s="15"/>
      <c r="S439" s="14"/>
      <c r="T439" s="15"/>
      <c r="U439" s="14"/>
      <c r="V439" s="15"/>
      <c r="W439" s="14"/>
      <c r="X439" s="15"/>
      <c r="Y439" s="14"/>
      <c r="Z439" s="15"/>
    </row>
    <row r="440" spans="1:26" x14ac:dyDescent="0.25">
      <c r="Q440" s="14"/>
      <c r="R440" s="15"/>
      <c r="S440" s="14"/>
      <c r="T440" s="15"/>
      <c r="U440" s="14"/>
      <c r="V440" s="15"/>
      <c r="W440" s="14"/>
      <c r="X440" s="15"/>
      <c r="Y440" s="14"/>
      <c r="Z440" s="15"/>
    </row>
    <row r="441" spans="1:26" x14ac:dyDescent="0.25">
      <c r="Q441" s="14"/>
      <c r="R441" s="15"/>
      <c r="S441" s="14"/>
      <c r="T441" s="15"/>
      <c r="U441" s="14"/>
      <c r="V441" s="15"/>
      <c r="W441" s="14"/>
      <c r="X441" s="15"/>
      <c r="Y441" s="14"/>
      <c r="Z441" s="15"/>
    </row>
    <row r="442" spans="1:26" x14ac:dyDescent="0.25">
      <c r="Q442" s="14"/>
      <c r="R442" s="15"/>
      <c r="S442" s="14"/>
      <c r="T442" s="15"/>
      <c r="U442" s="14"/>
      <c r="V442" s="15"/>
      <c r="W442" s="14"/>
      <c r="X442" s="15"/>
      <c r="Y442" s="14"/>
      <c r="Z442" s="15"/>
    </row>
    <row r="443" spans="1:26" x14ac:dyDescent="0.25">
      <c r="Q443" s="14"/>
      <c r="R443" s="15"/>
      <c r="S443" s="14"/>
      <c r="T443" s="15"/>
      <c r="U443" s="14"/>
      <c r="V443" s="15"/>
      <c r="W443" s="14"/>
      <c r="X443" s="15"/>
      <c r="Y443" s="14"/>
      <c r="Z443" s="15"/>
    </row>
    <row r="444" spans="1:26" x14ac:dyDescent="0.25">
      <c r="Q444" s="14"/>
      <c r="R444" s="15"/>
      <c r="S444" s="14"/>
      <c r="T444" s="15"/>
      <c r="U444" s="14"/>
      <c r="V444" s="15"/>
      <c r="W444" s="14"/>
      <c r="X444" s="15"/>
      <c r="Y444" s="14"/>
      <c r="Z444" s="15"/>
    </row>
    <row r="445" spans="1:26" x14ac:dyDescent="0.25">
      <c r="Q445" s="14"/>
      <c r="R445" s="15"/>
      <c r="S445" s="14"/>
      <c r="T445" s="15"/>
      <c r="U445" s="14"/>
      <c r="V445" s="15"/>
      <c r="W445" s="14"/>
      <c r="X445" s="15"/>
      <c r="Y445" s="14"/>
      <c r="Z445" s="15"/>
    </row>
    <row r="446" spans="1:26" x14ac:dyDescent="0.25">
      <c r="Q446" s="14"/>
      <c r="R446" s="15"/>
      <c r="S446" s="14"/>
      <c r="T446" s="15"/>
      <c r="U446" s="14"/>
      <c r="V446" s="15"/>
      <c r="W446" s="14"/>
      <c r="X446" s="15"/>
      <c r="Y446" s="14"/>
      <c r="Z446" s="15"/>
    </row>
    <row r="447" spans="1:26" x14ac:dyDescent="0.25">
      <c r="Q447" s="14"/>
      <c r="R447" s="15"/>
      <c r="S447" s="14"/>
      <c r="T447" s="15"/>
      <c r="U447" s="14"/>
      <c r="V447" s="15"/>
      <c r="W447" s="14"/>
      <c r="X447" s="15"/>
      <c r="Y447" s="14"/>
      <c r="Z447" s="15"/>
    </row>
    <row r="448" spans="1:26" x14ac:dyDescent="0.25">
      <c r="Q448" s="14"/>
      <c r="R448" s="15"/>
      <c r="S448" s="14"/>
      <c r="T448" s="15"/>
      <c r="U448" s="14"/>
      <c r="V448" s="15"/>
      <c r="W448" s="14"/>
      <c r="X448" s="15"/>
      <c r="Y448" s="14"/>
      <c r="Z448" s="15"/>
    </row>
    <row r="449" spans="1:26" x14ac:dyDescent="0.25">
      <c r="Q449" s="14"/>
      <c r="R449" s="15"/>
      <c r="S449" s="14"/>
      <c r="T449" s="15"/>
      <c r="U449" s="14"/>
      <c r="V449" s="15"/>
      <c r="W449" s="14"/>
      <c r="X449" s="15"/>
      <c r="Y449" s="14"/>
      <c r="Z449" s="15"/>
    </row>
    <row r="450" spans="1:26" x14ac:dyDescent="0.25">
      <c r="Q450" s="14"/>
      <c r="R450" s="15"/>
      <c r="S450" s="14"/>
      <c r="T450" s="15"/>
      <c r="U450" s="14"/>
      <c r="V450" s="15"/>
      <c r="W450" s="14"/>
      <c r="X450" s="15"/>
      <c r="Y450" s="14"/>
      <c r="Z450" s="15"/>
    </row>
    <row r="451" spans="1:26" x14ac:dyDescent="0.25">
      <c r="Q451" s="14"/>
      <c r="R451" s="15"/>
      <c r="S451" s="14"/>
      <c r="T451" s="15"/>
      <c r="U451" s="14"/>
      <c r="V451" s="15"/>
      <c r="W451" s="14"/>
      <c r="X451" s="15"/>
      <c r="Y451" s="14"/>
      <c r="Z451" s="15"/>
    </row>
    <row r="452" spans="1:26" x14ac:dyDescent="0.25">
      <c r="Q452" s="14"/>
      <c r="R452" s="15"/>
      <c r="S452" s="14"/>
      <c r="T452" s="15"/>
      <c r="U452" s="14"/>
      <c r="V452" s="15"/>
      <c r="W452" s="14"/>
      <c r="X452" s="15"/>
      <c r="Y452" s="14"/>
      <c r="Z452" s="15"/>
    </row>
    <row r="453" spans="1:26" x14ac:dyDescent="0.25">
      <c r="Q453" s="14"/>
      <c r="R453" s="15"/>
      <c r="S453" s="14"/>
      <c r="T453" s="15"/>
      <c r="U453" s="14"/>
      <c r="V453" s="15"/>
      <c r="W453" s="14"/>
      <c r="X453" s="15"/>
      <c r="Y453" s="14"/>
      <c r="Z453" s="15"/>
    </row>
    <row r="454" spans="1:26" x14ac:dyDescent="0.25">
      <c r="Q454" s="14"/>
      <c r="R454" s="15"/>
      <c r="S454" s="14"/>
      <c r="T454" s="15"/>
      <c r="U454" s="14"/>
      <c r="V454" s="15"/>
      <c r="W454" s="14"/>
      <c r="X454" s="15"/>
      <c r="Y454" s="14"/>
      <c r="Z454" s="15"/>
    </row>
    <row r="455" spans="1:26" x14ac:dyDescent="0.25">
      <c r="Q455" s="14"/>
      <c r="R455" s="15"/>
      <c r="S455" s="14"/>
      <c r="T455" s="15"/>
      <c r="U455" s="14"/>
      <c r="V455" s="15"/>
      <c r="W455" s="14"/>
      <c r="X455" s="15"/>
      <c r="Y455" s="14"/>
      <c r="Z455" s="15"/>
    </row>
    <row r="456" spans="1:26" x14ac:dyDescent="0.25">
      <c r="Q456" s="14"/>
      <c r="R456" s="15"/>
      <c r="S456" s="14"/>
      <c r="T456" s="15"/>
      <c r="U456" s="14"/>
      <c r="V456" s="15"/>
      <c r="W456" s="14"/>
      <c r="X456" s="15"/>
      <c r="Y456" s="14"/>
      <c r="Z456" s="15"/>
    </row>
    <row r="457" spans="1:26" x14ac:dyDescent="0.25">
      <c r="Q457" s="14"/>
      <c r="R457" s="15"/>
      <c r="S457" s="14"/>
      <c r="T457" s="15"/>
      <c r="U457" s="14"/>
      <c r="V457" s="15"/>
      <c r="W457" s="14"/>
      <c r="X457" s="15"/>
      <c r="Y457" s="14"/>
      <c r="Z457" s="15"/>
    </row>
    <row r="458" spans="1:26" x14ac:dyDescent="0.25">
      <c r="Q458" s="14"/>
      <c r="R458" s="15"/>
      <c r="S458" s="14"/>
      <c r="T458" s="15"/>
      <c r="U458" s="14"/>
      <c r="V458" s="15"/>
      <c r="W458" s="14"/>
      <c r="X458" s="15"/>
      <c r="Y458" s="14"/>
      <c r="Z458" s="15"/>
    </row>
    <row r="459" spans="1:26" x14ac:dyDescent="0.25">
      <c r="Q459" s="14"/>
      <c r="R459" s="15"/>
      <c r="S459" s="14"/>
      <c r="T459" s="15"/>
      <c r="U459" s="14"/>
      <c r="V459" s="15"/>
      <c r="W459" s="14"/>
      <c r="X459" s="15"/>
      <c r="Y459" s="14"/>
      <c r="Z459" s="15"/>
    </row>
    <row r="460" spans="1:26" x14ac:dyDescent="0.25">
      <c r="Q460" s="14"/>
      <c r="R460" s="15"/>
      <c r="S460" s="14"/>
      <c r="T460" s="15"/>
      <c r="U460" s="14"/>
      <c r="V460" s="15"/>
      <c r="W460" s="14"/>
      <c r="X460" s="15"/>
      <c r="Y460" s="14"/>
      <c r="Z460" s="15"/>
    </row>
    <row r="461" spans="1:26" x14ac:dyDescent="0.25">
      <c r="Q461" s="14"/>
      <c r="R461" s="15"/>
      <c r="S461" s="14"/>
      <c r="T461" s="15"/>
      <c r="U461" s="14"/>
      <c r="V461" s="15"/>
      <c r="W461" s="14"/>
      <c r="X461" s="15"/>
      <c r="Y461" s="14"/>
      <c r="Z461" s="15"/>
    </row>
    <row r="462" spans="1:26" x14ac:dyDescent="0.25">
      <c r="Q462" s="14"/>
      <c r="R462" s="15"/>
      <c r="S462" s="14"/>
      <c r="T462" s="15"/>
      <c r="U462" s="14"/>
      <c r="V462" s="15"/>
      <c r="W462" s="14"/>
      <c r="X462" s="15"/>
      <c r="Y462" s="14"/>
      <c r="Z462" s="15"/>
    </row>
    <row r="463" spans="1:26" x14ac:dyDescent="0.25">
      <c r="Q463" s="14"/>
      <c r="R463" s="15"/>
      <c r="S463" s="14"/>
      <c r="T463" s="15"/>
      <c r="U463" s="14"/>
      <c r="V463" s="15"/>
      <c r="W463" s="14"/>
      <c r="X463" s="15"/>
      <c r="Y463" s="14"/>
      <c r="Z463" s="15"/>
    </row>
    <row r="464" spans="1:26" x14ac:dyDescent="0.25">
      <c r="Q464" s="14"/>
      <c r="R464" s="15"/>
      <c r="S464" s="14"/>
      <c r="T464" s="15"/>
      <c r="U464" s="14"/>
      <c r="V464" s="15"/>
      <c r="W464" s="14"/>
      <c r="X464" s="15"/>
      <c r="Y464" s="14"/>
      <c r="Z464" s="15"/>
    </row>
    <row r="465" spans="1:26" x14ac:dyDescent="0.25">
      <c r="Q465" s="14"/>
      <c r="R465" s="15"/>
      <c r="S465" s="14"/>
      <c r="T465" s="15"/>
      <c r="U465" s="14"/>
      <c r="V465" s="15"/>
      <c r="W465" s="14"/>
      <c r="X465" s="15"/>
      <c r="Y465" s="14"/>
      <c r="Z465" s="15"/>
    </row>
    <row r="466" spans="1:26" x14ac:dyDescent="0.25">
      <c r="Q466" s="14"/>
      <c r="R466" s="15"/>
      <c r="S466" s="14"/>
      <c r="T466" s="15"/>
      <c r="U466" s="14"/>
      <c r="V466" s="15"/>
      <c r="W466" s="14"/>
      <c r="X466" s="15"/>
      <c r="Y466" s="14"/>
      <c r="Z466" s="15"/>
    </row>
    <row r="467" spans="1:26" x14ac:dyDescent="0.25">
      <c r="Q467" s="14"/>
      <c r="R467" s="15"/>
      <c r="S467" s="14"/>
      <c r="T467" s="15"/>
      <c r="U467" s="14"/>
      <c r="V467" s="15"/>
      <c r="W467" s="14"/>
      <c r="X467" s="15"/>
      <c r="Y467" s="14"/>
      <c r="Z467" s="15"/>
    </row>
    <row r="468" spans="1:26" x14ac:dyDescent="0.25">
      <c r="Q468" s="14"/>
      <c r="R468" s="15"/>
      <c r="S468" s="14"/>
      <c r="T468" s="15"/>
      <c r="U468" s="14"/>
      <c r="V468" s="15"/>
      <c r="W468" s="14"/>
      <c r="X468" s="15"/>
      <c r="Y468" s="14"/>
      <c r="Z468" s="15"/>
    </row>
    <row r="469" spans="1:26" x14ac:dyDescent="0.25">
      <c r="Q469" s="14"/>
      <c r="R469" s="15"/>
      <c r="S469" s="14"/>
      <c r="T469" s="15"/>
      <c r="U469" s="14"/>
      <c r="V469" s="15"/>
      <c r="W469" s="14"/>
      <c r="X469" s="15"/>
      <c r="Y469" s="14"/>
      <c r="Z469" s="15"/>
    </row>
    <row r="470" spans="1:26" x14ac:dyDescent="0.25">
      <c r="Q470" s="14"/>
      <c r="R470" s="15"/>
      <c r="S470" s="14"/>
      <c r="T470" s="15"/>
      <c r="U470" s="14"/>
      <c r="V470" s="15"/>
      <c r="W470" s="14"/>
      <c r="X470" s="15"/>
      <c r="Y470" s="14"/>
      <c r="Z470" s="15"/>
    </row>
    <row r="471" spans="1:26" x14ac:dyDescent="0.25">
      <c r="Q471" s="14"/>
      <c r="R471" s="15"/>
      <c r="S471" s="14"/>
      <c r="T471" s="15"/>
      <c r="U471" s="14"/>
      <c r="V471" s="15"/>
      <c r="W471" s="14"/>
      <c r="X471" s="15"/>
      <c r="Y471" s="14"/>
      <c r="Z471" s="15"/>
    </row>
    <row r="472" spans="1:26" x14ac:dyDescent="0.25">
      <c r="Q472" s="14"/>
      <c r="R472" s="15"/>
      <c r="S472" s="14"/>
      <c r="T472" s="15"/>
      <c r="U472" s="14"/>
      <c r="V472" s="15"/>
      <c r="W472" s="14"/>
      <c r="X472" s="15"/>
      <c r="Y472" s="14"/>
      <c r="Z472" s="15"/>
    </row>
    <row r="473" spans="1:26" x14ac:dyDescent="0.25">
      <c r="Q473" s="14"/>
      <c r="R473" s="15"/>
      <c r="S473" s="14"/>
      <c r="T473" s="15"/>
      <c r="U473" s="14"/>
      <c r="V473" s="15"/>
      <c r="W473" s="14"/>
      <c r="X473" s="15"/>
      <c r="Y473" s="14"/>
      <c r="Z473" s="15"/>
    </row>
    <row r="474" spans="1:26" x14ac:dyDescent="0.25">
      <c r="Q474" s="14"/>
      <c r="R474" s="15"/>
      <c r="S474" s="14"/>
      <c r="T474" s="15"/>
      <c r="U474" s="14"/>
      <c r="V474" s="15"/>
      <c r="W474" s="14"/>
      <c r="X474" s="15"/>
      <c r="Y474" s="14"/>
      <c r="Z474" s="15"/>
    </row>
    <row r="475" spans="1:26" x14ac:dyDescent="0.25">
      <c r="Q475" s="14"/>
      <c r="R475" s="15"/>
      <c r="S475" s="14"/>
      <c r="T475" s="15"/>
      <c r="U475" s="14"/>
      <c r="V475" s="15"/>
      <c r="W475" s="14"/>
      <c r="X475" s="15"/>
      <c r="Y475" s="14"/>
      <c r="Z475" s="15"/>
    </row>
    <row r="476" spans="1:26" x14ac:dyDescent="0.25">
      <c r="Q476" s="14"/>
      <c r="R476" s="15"/>
      <c r="S476" s="14"/>
      <c r="T476" s="15"/>
      <c r="U476" s="14"/>
      <c r="V476" s="15"/>
      <c r="W476" s="14"/>
      <c r="X476" s="15"/>
      <c r="Y476" s="14"/>
      <c r="Z476" s="15"/>
    </row>
    <row r="477" spans="1:26" x14ac:dyDescent="0.25">
      <c r="Q477" s="14"/>
      <c r="R477" s="15"/>
      <c r="S477" s="14"/>
      <c r="T477" s="15"/>
      <c r="U477" s="14"/>
      <c r="V477" s="15"/>
      <c r="W477" s="14"/>
      <c r="X477" s="15"/>
      <c r="Y477" s="14"/>
      <c r="Z477" s="15"/>
    </row>
    <row r="478" spans="1:26" x14ac:dyDescent="0.25">
      <c r="Q478" s="14"/>
      <c r="R478" s="15"/>
      <c r="S478" s="14"/>
      <c r="T478" s="15"/>
      <c r="U478" s="14"/>
      <c r="V478" s="15"/>
      <c r="W478" s="14"/>
      <c r="X478" s="15"/>
      <c r="Y478" s="14"/>
      <c r="Z478" s="15"/>
    </row>
    <row r="479" spans="1:26" x14ac:dyDescent="0.25">
      <c r="Q479" s="14"/>
      <c r="R479" s="15"/>
      <c r="S479" s="14"/>
      <c r="T479" s="15"/>
      <c r="U479" s="14"/>
      <c r="V479" s="15"/>
      <c r="W479" s="14"/>
      <c r="X479" s="15"/>
      <c r="Y479" s="14"/>
      <c r="Z479" s="15"/>
    </row>
    <row r="480" spans="1:26" x14ac:dyDescent="0.25">
      <c r="Q480" s="14"/>
      <c r="R480" s="15"/>
      <c r="S480" s="14"/>
      <c r="T480" s="15"/>
      <c r="U480" s="14"/>
      <c r="V480" s="15"/>
      <c r="W480" s="14"/>
      <c r="X480" s="15"/>
      <c r="Y480" s="14"/>
      <c r="Z480" s="15"/>
    </row>
    <row r="481" spans="1:26" x14ac:dyDescent="0.25">
      <c r="Q481" s="14"/>
      <c r="R481" s="15"/>
      <c r="S481" s="14"/>
      <c r="T481" s="15"/>
      <c r="U481" s="14"/>
      <c r="V481" s="15"/>
      <c r="W481" s="14"/>
      <c r="X481" s="15"/>
      <c r="Y481" s="14"/>
      <c r="Z481" s="15"/>
    </row>
    <row r="482" spans="1:26" x14ac:dyDescent="0.25">
      <c r="Q482" s="14"/>
      <c r="R482" s="15"/>
      <c r="S482" s="14"/>
      <c r="T482" s="15"/>
      <c r="U482" s="14"/>
      <c r="V482" s="15"/>
      <c r="W482" s="14"/>
      <c r="X482" s="15"/>
      <c r="Y482" s="14"/>
      <c r="Z482" s="15"/>
    </row>
    <row r="483" spans="1:26" x14ac:dyDescent="0.25">
      <c r="Q483" s="14"/>
      <c r="R483" s="15"/>
      <c r="S483" s="14"/>
      <c r="T483" s="15"/>
      <c r="U483" s="14"/>
      <c r="V483" s="15"/>
      <c r="W483" s="14"/>
      <c r="X483" s="15"/>
      <c r="Y483" s="14"/>
      <c r="Z483" s="15"/>
    </row>
    <row r="484" spans="1:26" x14ac:dyDescent="0.25">
      <c r="Q484" s="14"/>
      <c r="R484" s="15"/>
      <c r="S484" s="14"/>
      <c r="T484" s="15"/>
      <c r="U484" s="14"/>
      <c r="V484" s="15"/>
      <c r="W484" s="14"/>
      <c r="X484" s="15"/>
      <c r="Y484" s="14"/>
      <c r="Z484" s="15"/>
    </row>
    <row r="485" spans="1:26" x14ac:dyDescent="0.25">
      <c r="Q485" s="14"/>
      <c r="R485" s="15"/>
      <c r="S485" s="14"/>
      <c r="T485" s="15"/>
      <c r="U485" s="14"/>
      <c r="V485" s="15"/>
      <c r="W485" s="14"/>
      <c r="X485" s="15"/>
      <c r="Y485" s="14"/>
      <c r="Z485" s="15"/>
    </row>
    <row r="486" spans="1:26" x14ac:dyDescent="0.25">
      <c r="Q486" s="14"/>
      <c r="R486" s="15"/>
      <c r="S486" s="14"/>
      <c r="T486" s="15"/>
      <c r="U486" s="14"/>
      <c r="V486" s="15"/>
      <c r="W486" s="14"/>
      <c r="X486" s="15"/>
      <c r="Y486" s="14"/>
      <c r="Z486" s="15"/>
    </row>
    <row r="487" spans="1:26" x14ac:dyDescent="0.25">
      <c r="Q487" s="14"/>
      <c r="R487" s="15"/>
      <c r="S487" s="14"/>
      <c r="T487" s="15"/>
      <c r="U487" s="14"/>
      <c r="V487" s="15"/>
      <c r="W487" s="14"/>
      <c r="X487" s="15"/>
      <c r="Y487" s="14"/>
      <c r="Z487" s="15"/>
    </row>
    <row r="488" spans="1:26" x14ac:dyDescent="0.25">
      <c r="Q488" s="14"/>
      <c r="R488" s="15"/>
      <c r="S488" s="14"/>
      <c r="T488" s="15"/>
      <c r="U488" s="14"/>
      <c r="V488" s="15"/>
      <c r="W488" s="14"/>
      <c r="X488" s="15"/>
      <c r="Y488" s="14"/>
      <c r="Z488" s="15"/>
    </row>
    <row r="489" spans="1:26" x14ac:dyDescent="0.25">
      <c r="Q489" s="14"/>
      <c r="R489" s="15"/>
      <c r="S489" s="14"/>
      <c r="T489" s="15"/>
      <c r="U489" s="14"/>
      <c r="V489" s="15"/>
      <c r="W489" s="14"/>
      <c r="X489" s="15"/>
      <c r="Y489" s="14"/>
      <c r="Z489" s="15"/>
    </row>
    <row r="490" spans="1:26" x14ac:dyDescent="0.25">
      <c r="Q490" s="14"/>
      <c r="R490" s="15"/>
      <c r="S490" s="14"/>
      <c r="T490" s="15"/>
      <c r="U490" s="14"/>
      <c r="V490" s="15"/>
      <c r="W490" s="14"/>
      <c r="X490" s="15"/>
      <c r="Y490" s="14"/>
      <c r="Z490" s="15"/>
    </row>
    <row r="491" spans="1:26" x14ac:dyDescent="0.25">
      <c r="Q491" s="14"/>
      <c r="R491" s="15"/>
      <c r="S491" s="14"/>
      <c r="T491" s="15"/>
      <c r="U491" s="14"/>
      <c r="V491" s="15"/>
      <c r="W491" s="14"/>
      <c r="X491" s="15"/>
      <c r="Y491" s="14"/>
      <c r="Z491" s="15"/>
    </row>
    <row r="492" spans="1:26" x14ac:dyDescent="0.25">
      <c r="Q492" s="14"/>
      <c r="R492" s="15"/>
      <c r="S492" s="14"/>
      <c r="T492" s="15"/>
      <c r="U492" s="14"/>
      <c r="V492" s="15"/>
      <c r="W492" s="14"/>
      <c r="X492" s="15"/>
      <c r="Y492" s="14"/>
      <c r="Z492" s="15"/>
    </row>
    <row r="493" spans="1:26" x14ac:dyDescent="0.25">
      <c r="Q493" s="14"/>
      <c r="R493" s="15"/>
      <c r="S493" s="14"/>
      <c r="T493" s="15"/>
      <c r="U493" s="14"/>
      <c r="V493" s="15"/>
      <c r="W493" s="14"/>
      <c r="X493" s="15"/>
      <c r="Y493" s="14"/>
      <c r="Z493" s="15"/>
    </row>
    <row r="494" spans="1:26" x14ac:dyDescent="0.25">
      <c r="Q494" s="14"/>
      <c r="R494" s="15"/>
      <c r="S494" s="14"/>
      <c r="T494" s="15"/>
      <c r="U494" s="14"/>
      <c r="V494" s="15"/>
      <c r="W494" s="14"/>
      <c r="X494" s="15"/>
      <c r="Y494" s="14"/>
      <c r="Z494" s="15"/>
    </row>
    <row r="495" spans="1:26" x14ac:dyDescent="0.25">
      <c r="Q495" s="14"/>
      <c r="R495" s="15"/>
      <c r="S495" s="14"/>
      <c r="T495" s="15"/>
      <c r="U495" s="14"/>
      <c r="V495" s="15"/>
      <c r="W495" s="14"/>
      <c r="X495" s="15"/>
      <c r="Y495" s="14"/>
      <c r="Z495" s="15"/>
    </row>
    <row r="496" spans="1:26" x14ac:dyDescent="0.25">
      <c r="Q496" s="14"/>
      <c r="R496" s="15"/>
      <c r="S496" s="14"/>
      <c r="T496" s="15"/>
      <c r="U496" s="14"/>
      <c r="V496" s="15"/>
      <c r="W496" s="14"/>
      <c r="X496" s="15"/>
      <c r="Y496" s="14"/>
      <c r="Z496" s="15"/>
    </row>
    <row r="497" spans="1:26" x14ac:dyDescent="0.25">
      <c r="Q497" s="14"/>
      <c r="R497" s="15"/>
      <c r="S497" s="14"/>
      <c r="T497" s="15"/>
      <c r="U497" s="14"/>
      <c r="V497" s="15"/>
      <c r="W497" s="14"/>
      <c r="X497" s="15"/>
      <c r="Y497" s="14"/>
      <c r="Z497" s="15"/>
    </row>
    <row r="498" spans="1:26" x14ac:dyDescent="0.25">
      <c r="Q498" s="14"/>
      <c r="R498" s="15"/>
      <c r="S498" s="14"/>
      <c r="T498" s="15"/>
      <c r="U498" s="14"/>
      <c r="V498" s="15"/>
      <c r="W498" s="14"/>
      <c r="X498" s="15"/>
      <c r="Y498" s="14"/>
      <c r="Z498" s="15"/>
    </row>
    <row r="499" spans="1:26" x14ac:dyDescent="0.25">
      <c r="Q499" s="14"/>
      <c r="R499" s="15"/>
      <c r="S499" s="14"/>
      <c r="T499" s="15"/>
      <c r="U499" s="14"/>
      <c r="V499" s="15"/>
      <c r="W499" s="14"/>
      <c r="X499" s="15"/>
      <c r="Y499" s="14"/>
      <c r="Z499" s="15"/>
    </row>
    <row r="500" spans="1:26" x14ac:dyDescent="0.25">
      <c r="Q500" s="14"/>
      <c r="R500" s="15"/>
      <c r="S500" s="14"/>
      <c r="T500" s="15"/>
      <c r="U500" s="14"/>
      <c r="V500" s="15"/>
      <c r="W500" s="14"/>
      <c r="X500" s="15"/>
      <c r="Y500" s="14"/>
      <c r="Z500" s="15"/>
    </row>
    <row r="501" spans="1:26" x14ac:dyDescent="0.25">
      <c r="Q501" s="14"/>
      <c r="R501" s="15"/>
      <c r="S501" s="14"/>
      <c r="T501" s="15"/>
      <c r="U501" s="14"/>
      <c r="V501" s="15"/>
      <c r="W501" s="14"/>
      <c r="X501" s="15"/>
      <c r="Y501" s="14"/>
      <c r="Z501" s="15"/>
    </row>
    <row r="502" spans="1:26" x14ac:dyDescent="0.25">
      <c r="Q502" s="14"/>
      <c r="R502" s="15"/>
      <c r="S502" s="14"/>
      <c r="T502" s="15"/>
      <c r="U502" s="14"/>
      <c r="V502" s="15"/>
      <c r="W502" s="14"/>
      <c r="X502" s="15"/>
      <c r="Y502" s="14"/>
      <c r="Z502" s="15"/>
    </row>
    <row r="503" spans="1:26" x14ac:dyDescent="0.25">
      <c r="Q503" s="14"/>
      <c r="R503" s="15"/>
      <c r="S503" s="14"/>
      <c r="T503" s="15"/>
      <c r="U503" s="14"/>
      <c r="V503" s="15"/>
      <c r="W503" s="14"/>
      <c r="X503" s="15"/>
      <c r="Y503" s="14"/>
      <c r="Z503" s="15"/>
    </row>
    <row r="504" spans="1:26" x14ac:dyDescent="0.25">
      <c r="Q504" s="14"/>
      <c r="R504" s="15"/>
      <c r="S504" s="14"/>
      <c r="T504" s="15"/>
      <c r="U504" s="14"/>
      <c r="V504" s="15"/>
      <c r="W504" s="14"/>
      <c r="X504" s="15"/>
      <c r="Y504" s="14"/>
      <c r="Z504" s="15"/>
    </row>
    <row r="505" spans="1:26" x14ac:dyDescent="0.25">
      <c r="Q505" s="14"/>
      <c r="R505" s="15"/>
      <c r="S505" s="14"/>
      <c r="T505" s="15"/>
      <c r="U505" s="14"/>
      <c r="V505" s="15"/>
      <c r="W505" s="14"/>
      <c r="X505" s="15"/>
      <c r="Y505" s="14"/>
      <c r="Z505" s="15"/>
    </row>
    <row r="506" spans="1:26" x14ac:dyDescent="0.25">
      <c r="Q506" s="14"/>
      <c r="R506" s="15"/>
      <c r="S506" s="14"/>
      <c r="T506" s="15"/>
      <c r="U506" s="14"/>
      <c r="V506" s="15"/>
      <c r="W506" s="14"/>
      <c r="X506" s="15"/>
      <c r="Y506" s="14"/>
      <c r="Z506" s="15"/>
    </row>
    <row r="507" spans="1:26" x14ac:dyDescent="0.25">
      <c r="Q507" s="14"/>
      <c r="R507" s="15"/>
      <c r="S507" s="14"/>
      <c r="T507" s="15"/>
      <c r="U507" s="14"/>
      <c r="V507" s="15"/>
      <c r="W507" s="14"/>
      <c r="X507" s="15"/>
      <c r="Y507" s="14"/>
      <c r="Z507" s="15"/>
    </row>
    <row r="508" spans="1:26" x14ac:dyDescent="0.25">
      <c r="Q508" s="14"/>
      <c r="R508" s="15"/>
      <c r="S508" s="14"/>
      <c r="T508" s="15"/>
      <c r="U508" s="14"/>
      <c r="V508" s="15"/>
      <c r="W508" s="14"/>
      <c r="X508" s="15"/>
      <c r="Y508" s="14"/>
      <c r="Z508" s="15"/>
    </row>
    <row r="509" spans="1:26" x14ac:dyDescent="0.25">
      <c r="Q509" s="14"/>
      <c r="R509" s="15"/>
      <c r="S509" s="14"/>
      <c r="T509" s="15"/>
      <c r="U509" s="14"/>
      <c r="V509" s="15"/>
      <c r="W509" s="14"/>
      <c r="X509" s="15"/>
      <c r="Y509" s="14"/>
      <c r="Z509" s="15"/>
    </row>
    <row r="510" spans="1:26" x14ac:dyDescent="0.25">
      <c r="Q510" s="14"/>
      <c r="R510" s="15"/>
      <c r="S510" s="14"/>
      <c r="T510" s="15"/>
      <c r="U510" s="14"/>
      <c r="V510" s="15"/>
      <c r="W510" s="14"/>
      <c r="X510" s="15"/>
      <c r="Y510" s="14"/>
      <c r="Z510" s="15"/>
    </row>
    <row r="511" spans="1:26" x14ac:dyDescent="0.25">
      <c r="Q511" s="14"/>
      <c r="R511" s="15"/>
      <c r="S511" s="14"/>
      <c r="T511" s="15"/>
      <c r="U511" s="14"/>
      <c r="V511" s="15"/>
      <c r="W511" s="14"/>
      <c r="X511" s="15"/>
      <c r="Y511" s="14"/>
      <c r="Z511" s="15"/>
    </row>
    <row r="512" spans="1:26" x14ac:dyDescent="0.25">
      <c r="Q512" s="14"/>
      <c r="R512" s="15"/>
      <c r="S512" s="14"/>
      <c r="T512" s="15"/>
      <c r="U512" s="14"/>
      <c r="V512" s="15"/>
      <c r="W512" s="14"/>
      <c r="X512" s="15"/>
      <c r="Y512" s="14"/>
      <c r="Z512" s="15"/>
    </row>
    <row r="513" spans="1:26" x14ac:dyDescent="0.25">
      <c r="Q513" s="14"/>
      <c r="R513" s="15"/>
      <c r="S513" s="14"/>
      <c r="T513" s="15"/>
      <c r="U513" s="14"/>
      <c r="V513" s="15"/>
      <c r="W513" s="14"/>
      <c r="X513" s="15"/>
      <c r="Y513" s="14"/>
      <c r="Z513" s="15"/>
    </row>
    <row r="514" spans="1:26" x14ac:dyDescent="0.25">
      <c r="Q514" s="14"/>
      <c r="R514" s="15"/>
      <c r="S514" s="14"/>
      <c r="T514" s="15"/>
      <c r="U514" s="14"/>
      <c r="V514" s="15"/>
      <c r="W514" s="14"/>
      <c r="X514" s="15"/>
      <c r="Y514" s="14"/>
      <c r="Z514" s="15"/>
    </row>
    <row r="515" spans="1:26" x14ac:dyDescent="0.25">
      <c r="Q515" s="14"/>
      <c r="R515" s="15"/>
      <c r="S515" s="14"/>
      <c r="T515" s="15"/>
      <c r="U515" s="14"/>
      <c r="V515" s="15"/>
      <c r="W515" s="14"/>
      <c r="X515" s="15"/>
      <c r="Y515" s="14"/>
      <c r="Z515" s="15"/>
    </row>
    <row r="516" spans="1:26" x14ac:dyDescent="0.25">
      <c r="Q516" s="14"/>
      <c r="R516" s="15"/>
      <c r="S516" s="14"/>
      <c r="T516" s="15"/>
      <c r="U516" s="14"/>
      <c r="V516" s="15"/>
      <c r="W516" s="14"/>
      <c r="X516" s="15"/>
      <c r="Y516" s="14"/>
      <c r="Z516" s="15"/>
    </row>
    <row r="517" spans="1:26" x14ac:dyDescent="0.25">
      <c r="Q517" s="14"/>
      <c r="R517" s="15"/>
      <c r="S517" s="14"/>
      <c r="T517" s="15"/>
      <c r="U517" s="14"/>
      <c r="V517" s="15"/>
      <c r="W517" s="14"/>
      <c r="X517" s="15"/>
      <c r="Y517" s="14"/>
      <c r="Z517" s="15"/>
    </row>
    <row r="518" spans="1:26" x14ac:dyDescent="0.25">
      <c r="Q518" s="14"/>
      <c r="R518" s="15"/>
      <c r="S518" s="14"/>
      <c r="T518" s="15"/>
      <c r="U518" s="14"/>
      <c r="V518" s="15"/>
      <c r="W518" s="14"/>
      <c r="X518" s="15"/>
      <c r="Y518" s="14"/>
      <c r="Z518" s="15"/>
    </row>
    <row r="519" spans="1:26" x14ac:dyDescent="0.25">
      <c r="Q519" s="14"/>
      <c r="R519" s="15"/>
      <c r="S519" s="14"/>
      <c r="T519" s="15"/>
      <c r="U519" s="14"/>
      <c r="V519" s="15"/>
      <c r="W519" s="14"/>
      <c r="X519" s="15"/>
      <c r="Y519" s="14"/>
      <c r="Z519" s="15"/>
    </row>
    <row r="520" spans="1:26" x14ac:dyDescent="0.25">
      <c r="Q520" s="14"/>
      <c r="R520" s="15"/>
      <c r="S520" s="14"/>
      <c r="T520" s="15"/>
      <c r="U520" s="14"/>
      <c r="V520" s="15"/>
      <c r="W520" s="14"/>
      <c r="X520" s="15"/>
      <c r="Y520" s="14"/>
      <c r="Z520" s="15"/>
    </row>
    <row r="521" spans="1:26" x14ac:dyDescent="0.25">
      <c r="Q521" s="14"/>
      <c r="R521" s="15"/>
      <c r="S521" s="14"/>
      <c r="T521" s="15"/>
      <c r="U521" s="14"/>
      <c r="V521" s="15"/>
      <c r="W521" s="14"/>
      <c r="X521" s="15"/>
      <c r="Y521" s="14"/>
      <c r="Z521" s="15"/>
    </row>
    <row r="522" spans="1:26" x14ac:dyDescent="0.25">
      <c r="Q522" s="14"/>
      <c r="R522" s="15"/>
      <c r="S522" s="14"/>
      <c r="T522" s="15"/>
      <c r="U522" s="14"/>
      <c r="V522" s="15"/>
      <c r="W522" s="14"/>
      <c r="X522" s="15"/>
      <c r="Y522" s="14"/>
      <c r="Z522" s="15"/>
    </row>
    <row r="523" spans="1:26" x14ac:dyDescent="0.25">
      <c r="Q523" s="14"/>
      <c r="R523" s="15"/>
      <c r="S523" s="14"/>
      <c r="T523" s="15"/>
      <c r="U523" s="14"/>
      <c r="V523" s="15"/>
      <c r="W523" s="14"/>
      <c r="X523" s="15"/>
      <c r="Y523" s="14"/>
      <c r="Z523" s="15"/>
    </row>
    <row r="524" spans="1:26" x14ac:dyDescent="0.25">
      <c r="Q524" s="14"/>
      <c r="R524" s="15"/>
      <c r="S524" s="14"/>
      <c r="T524" s="15"/>
      <c r="U524" s="14"/>
      <c r="V524" s="15"/>
      <c r="W524" s="14"/>
      <c r="X524" s="15"/>
      <c r="Y524" s="14"/>
      <c r="Z524" s="15"/>
    </row>
    <row r="525" spans="1:26" x14ac:dyDescent="0.25">
      <c r="Q525" s="14"/>
      <c r="R525" s="15"/>
      <c r="S525" s="14"/>
      <c r="T525" s="15"/>
      <c r="U525" s="14"/>
      <c r="V525" s="15"/>
      <c r="W525" s="14"/>
      <c r="X525" s="15"/>
      <c r="Y525" s="14"/>
      <c r="Z525" s="15"/>
    </row>
    <row r="526" spans="1:26" x14ac:dyDescent="0.25">
      <c r="Q526" s="14"/>
      <c r="R526" s="15"/>
      <c r="S526" s="14"/>
      <c r="T526" s="15"/>
      <c r="U526" s="14"/>
      <c r="V526" s="15"/>
      <c r="W526" s="14"/>
      <c r="X526" s="15"/>
      <c r="Y526" s="14"/>
      <c r="Z526" s="15"/>
    </row>
    <row r="527" spans="1:26" x14ac:dyDescent="0.25">
      <c r="Q527" s="14"/>
      <c r="R527" s="15"/>
      <c r="S527" s="14"/>
      <c r="T527" s="15"/>
      <c r="U527" s="14"/>
      <c r="V527" s="15"/>
      <c r="W527" s="14"/>
      <c r="X527" s="15"/>
      <c r="Y527" s="14"/>
      <c r="Z527" s="15"/>
    </row>
    <row r="528" spans="1:26" x14ac:dyDescent="0.25">
      <c r="Q528" s="14"/>
      <c r="R528" s="15"/>
      <c r="S528" s="14"/>
      <c r="T528" s="15"/>
      <c r="U528" s="14"/>
      <c r="V528" s="15"/>
      <c r="W528" s="14"/>
      <c r="X528" s="15"/>
      <c r="Y528" s="14"/>
      <c r="Z528" s="15"/>
    </row>
    <row r="529" spans="1:26" x14ac:dyDescent="0.25">
      <c r="Q529" s="14"/>
      <c r="R529" s="15"/>
      <c r="S529" s="14"/>
      <c r="T529" s="15"/>
      <c r="U529" s="14"/>
      <c r="V529" s="15"/>
      <c r="W529" s="14"/>
      <c r="X529" s="15"/>
      <c r="Y529" s="14"/>
      <c r="Z529" s="15"/>
    </row>
    <row r="530" spans="1:26" x14ac:dyDescent="0.25">
      <c r="Q530" s="14"/>
      <c r="R530" s="15"/>
      <c r="S530" s="14"/>
      <c r="T530" s="15"/>
      <c r="U530" s="14"/>
      <c r="V530" s="15"/>
      <c r="W530" s="14"/>
      <c r="X530" s="15"/>
      <c r="Y530" s="14"/>
      <c r="Z530" s="15"/>
    </row>
    <row r="531" spans="1:26" x14ac:dyDescent="0.25">
      <c r="Q531" s="14"/>
      <c r="R531" s="15"/>
      <c r="S531" s="14"/>
      <c r="T531" s="15"/>
      <c r="U531" s="14"/>
      <c r="V531" s="15"/>
      <c r="W531" s="14"/>
      <c r="X531" s="15"/>
      <c r="Y531" s="14"/>
      <c r="Z531" s="15"/>
    </row>
    <row r="532" spans="1:26" x14ac:dyDescent="0.25">
      <c r="Q532" s="14"/>
      <c r="R532" s="15"/>
      <c r="S532" s="14"/>
      <c r="T532" s="15"/>
      <c r="U532" s="14"/>
      <c r="V532" s="15"/>
      <c r="W532" s="14"/>
      <c r="X532" s="15"/>
      <c r="Y532" s="14"/>
      <c r="Z532" s="15"/>
    </row>
    <row r="533" spans="1:26" x14ac:dyDescent="0.25">
      <c r="Q533" s="14"/>
      <c r="R533" s="15"/>
      <c r="S533" s="14"/>
      <c r="T533" s="15"/>
      <c r="U533" s="14"/>
      <c r="V533" s="15"/>
      <c r="W533" s="14"/>
      <c r="X533" s="15"/>
      <c r="Y533" s="14"/>
      <c r="Z533" s="15"/>
    </row>
    <row r="534" spans="1:26" x14ac:dyDescent="0.25">
      <c r="Q534" s="14"/>
      <c r="R534" s="15"/>
      <c r="S534" s="14"/>
      <c r="T534" s="15"/>
      <c r="U534" s="14"/>
      <c r="V534" s="15"/>
      <c r="W534" s="14"/>
      <c r="X534" s="15"/>
      <c r="Y534" s="14"/>
      <c r="Z534" s="15"/>
    </row>
    <row r="535" spans="1:26" x14ac:dyDescent="0.25">
      <c r="Q535" s="14"/>
      <c r="R535" s="15"/>
      <c r="S535" s="14"/>
      <c r="T535" s="15"/>
      <c r="U535" s="14"/>
      <c r="V535" s="15"/>
      <c r="W535" s="14"/>
      <c r="X535" s="15"/>
      <c r="Y535" s="14"/>
      <c r="Z535" s="15"/>
    </row>
    <row r="536" spans="1:26" x14ac:dyDescent="0.25">
      <c r="Q536" s="14"/>
      <c r="R536" s="15"/>
      <c r="S536" s="14"/>
      <c r="T536" s="15"/>
      <c r="U536" s="14"/>
      <c r="V536" s="15"/>
      <c r="W536" s="14"/>
      <c r="X536" s="15"/>
      <c r="Y536" s="14"/>
      <c r="Z536" s="15"/>
    </row>
    <row r="537" spans="1:26" x14ac:dyDescent="0.25">
      <c r="Q537" s="14"/>
      <c r="R537" s="15"/>
      <c r="S537" s="14"/>
      <c r="T537" s="15"/>
      <c r="U537" s="14"/>
      <c r="V537" s="15"/>
      <c r="W537" s="14"/>
      <c r="X537" s="15"/>
      <c r="Y537" s="14"/>
      <c r="Z537" s="15"/>
    </row>
    <row r="538" spans="1:26" x14ac:dyDescent="0.25">
      <c r="Q538" s="14"/>
      <c r="R538" s="15"/>
      <c r="S538" s="14"/>
      <c r="T538" s="15"/>
      <c r="U538" s="14"/>
      <c r="V538" s="15"/>
      <c r="W538" s="14"/>
      <c r="X538" s="15"/>
      <c r="Y538" s="14"/>
      <c r="Z538" s="15"/>
    </row>
    <row r="539" spans="1:26" x14ac:dyDescent="0.25">
      <c r="Q539" s="14"/>
      <c r="R539" s="15"/>
      <c r="S539" s="14"/>
      <c r="T539" s="15"/>
      <c r="U539" s="14"/>
      <c r="V539" s="15"/>
      <c r="W539" s="14"/>
      <c r="X539" s="15"/>
      <c r="Y539" s="14"/>
      <c r="Z539" s="15"/>
    </row>
    <row r="540" spans="1:26" x14ac:dyDescent="0.25">
      <c r="Q540" s="14"/>
      <c r="R540" s="15"/>
      <c r="S540" s="14"/>
      <c r="T540" s="15"/>
      <c r="U540" s="14"/>
      <c r="V540" s="15"/>
      <c r="W540" s="14"/>
      <c r="X540" s="15"/>
      <c r="Y540" s="14"/>
      <c r="Z540" s="15"/>
    </row>
    <row r="541" spans="1:26" x14ac:dyDescent="0.25">
      <c r="Q541" s="14"/>
      <c r="R541" s="15"/>
      <c r="S541" s="14"/>
      <c r="T541" s="15"/>
      <c r="U541" s="14"/>
      <c r="V541" s="15"/>
      <c r="W541" s="14"/>
      <c r="X541" s="15"/>
      <c r="Y541" s="14"/>
      <c r="Z541" s="15"/>
    </row>
    <row r="542" spans="1:26" x14ac:dyDescent="0.25">
      <c r="Q542" s="14"/>
      <c r="R542" s="15"/>
      <c r="S542" s="14"/>
      <c r="T542" s="15"/>
      <c r="U542" s="14"/>
      <c r="V542" s="15"/>
      <c r="W542" s="14"/>
      <c r="X542" s="15"/>
      <c r="Y542" s="14"/>
      <c r="Z542" s="15"/>
    </row>
    <row r="543" spans="1:26" x14ac:dyDescent="0.25">
      <c r="Q543" s="14"/>
      <c r="R543" s="15"/>
      <c r="S543" s="14"/>
      <c r="T543" s="15"/>
      <c r="U543" s="14"/>
      <c r="V543" s="15"/>
      <c r="W543" s="14"/>
      <c r="X543" s="15"/>
      <c r="Y543" s="14"/>
      <c r="Z543" s="15"/>
    </row>
    <row r="544" spans="1:26" x14ac:dyDescent="0.25">
      <c r="Q544" s="14"/>
      <c r="R544" s="15"/>
      <c r="S544" s="14"/>
      <c r="T544" s="15"/>
      <c r="U544" s="14"/>
      <c r="V544" s="15"/>
      <c r="W544" s="14"/>
      <c r="X544" s="15"/>
      <c r="Y544" s="14"/>
      <c r="Z544" s="15"/>
    </row>
    <row r="545" spans="1:26" x14ac:dyDescent="0.25">
      <c r="Q545" s="14"/>
      <c r="R545" s="15"/>
      <c r="S545" s="14"/>
      <c r="T545" s="15"/>
      <c r="U545" s="14"/>
      <c r="V545" s="15"/>
      <c r="W545" s="14"/>
      <c r="X545" s="15"/>
      <c r="Y545" s="14"/>
      <c r="Z545" s="15"/>
    </row>
    <row r="546" spans="1:26" x14ac:dyDescent="0.25">
      <c r="Q546" s="14"/>
      <c r="R546" s="15"/>
      <c r="S546" s="14"/>
      <c r="T546" s="15"/>
      <c r="U546" s="14"/>
      <c r="V546" s="15"/>
      <c r="W546" s="14"/>
      <c r="X546" s="15"/>
      <c r="Y546" s="14"/>
      <c r="Z546" s="15"/>
    </row>
    <row r="547" spans="1:26" x14ac:dyDescent="0.25">
      <c r="Q547" s="14"/>
      <c r="R547" s="15"/>
      <c r="S547" s="14"/>
      <c r="T547" s="15"/>
      <c r="U547" s="14"/>
      <c r="V547" s="15"/>
      <c r="W547" s="14"/>
      <c r="X547" s="15"/>
      <c r="Y547" s="14"/>
      <c r="Z547" s="15"/>
    </row>
    <row r="548" spans="1:26" x14ac:dyDescent="0.25">
      <c r="Q548" s="14"/>
      <c r="R548" s="15"/>
      <c r="S548" s="14"/>
      <c r="T548" s="15"/>
      <c r="U548" s="14"/>
      <c r="V548" s="15"/>
      <c r="W548" s="14"/>
      <c r="X548" s="15"/>
      <c r="Y548" s="14"/>
      <c r="Z548" s="15"/>
    </row>
    <row r="549" spans="1:26" x14ac:dyDescent="0.25">
      <c r="Q549" s="14"/>
      <c r="R549" s="15"/>
      <c r="S549" s="14"/>
      <c r="T549" s="15"/>
      <c r="U549" s="14"/>
      <c r="V549" s="15"/>
      <c r="W549" s="14"/>
      <c r="X549" s="15"/>
      <c r="Y549" s="14"/>
      <c r="Z549" s="15"/>
    </row>
    <row r="550" spans="1:26" x14ac:dyDescent="0.25">
      <c r="Q550" s="14"/>
      <c r="R550" s="15"/>
      <c r="S550" s="14"/>
      <c r="T550" s="15"/>
      <c r="U550" s="14"/>
      <c r="V550" s="15"/>
      <c r="W550" s="14"/>
      <c r="X550" s="15"/>
      <c r="Y550" s="14"/>
      <c r="Z550" s="15"/>
    </row>
    <row r="551" spans="1:26" x14ac:dyDescent="0.25">
      <c r="Q551" s="14"/>
      <c r="R551" s="15"/>
      <c r="S551" s="14"/>
      <c r="T551" s="15"/>
      <c r="U551" s="14"/>
      <c r="V551" s="15"/>
      <c r="W551" s="14"/>
      <c r="X551" s="15"/>
      <c r="Y551" s="14"/>
      <c r="Z551" s="15"/>
    </row>
    <row r="552" spans="1:26" x14ac:dyDescent="0.25">
      <c r="Q552" s="14"/>
      <c r="R552" s="15"/>
      <c r="S552" s="14"/>
      <c r="T552" s="15"/>
      <c r="U552" s="14"/>
      <c r="V552" s="15"/>
      <c r="W552" s="14"/>
      <c r="X552" s="15"/>
      <c r="Y552" s="14"/>
      <c r="Z552" s="15"/>
    </row>
    <row r="553" spans="1:26" x14ac:dyDescent="0.25">
      <c r="Q553" s="14"/>
      <c r="R553" s="15"/>
      <c r="S553" s="14"/>
      <c r="T553" s="15"/>
      <c r="U553" s="14"/>
      <c r="V553" s="15"/>
      <c r="W553" s="14"/>
      <c r="X553" s="15"/>
      <c r="Y553" s="14"/>
      <c r="Z553" s="15"/>
    </row>
    <row r="554" spans="1:26" x14ac:dyDescent="0.25">
      <c r="Q554" s="14"/>
      <c r="R554" s="15"/>
      <c r="S554" s="14"/>
      <c r="T554" s="15"/>
      <c r="U554" s="14"/>
      <c r="V554" s="15"/>
      <c r="W554" s="14"/>
      <c r="X554" s="15"/>
      <c r="Y554" s="14"/>
      <c r="Z554" s="15"/>
    </row>
    <row r="555" spans="1:26" x14ac:dyDescent="0.25">
      <c r="Q555" s="14"/>
      <c r="R555" s="15"/>
      <c r="S555" s="14"/>
      <c r="T555" s="15"/>
      <c r="U555" s="14"/>
      <c r="V555" s="15"/>
      <c r="W555" s="14"/>
      <c r="X555" s="15"/>
      <c r="Y555" s="14"/>
      <c r="Z555" s="15"/>
    </row>
    <row r="556" spans="1:26" x14ac:dyDescent="0.25">
      <c r="Q556" s="14"/>
      <c r="R556" s="15"/>
      <c r="S556" s="14"/>
      <c r="T556" s="15"/>
      <c r="U556" s="14"/>
      <c r="V556" s="15"/>
      <c r="W556" s="14"/>
      <c r="X556" s="15"/>
      <c r="Y556" s="14"/>
      <c r="Z556" s="15"/>
    </row>
    <row r="557" spans="1:26" x14ac:dyDescent="0.25">
      <c r="Q557" s="14"/>
      <c r="R557" s="15"/>
      <c r="S557" s="14"/>
      <c r="T557" s="15"/>
      <c r="U557" s="14"/>
      <c r="V557" s="15"/>
      <c r="W557" s="14"/>
      <c r="X557" s="15"/>
      <c r="Y557" s="14"/>
      <c r="Z557" s="15"/>
    </row>
    <row r="558" spans="1:26" x14ac:dyDescent="0.25">
      <c r="Q558" s="14"/>
      <c r="R558" s="15"/>
      <c r="S558" s="14"/>
      <c r="T558" s="15"/>
      <c r="U558" s="14"/>
      <c r="V558" s="15"/>
      <c r="W558" s="14"/>
      <c r="X558" s="15"/>
      <c r="Y558" s="14"/>
      <c r="Z558" s="15"/>
    </row>
    <row r="559" spans="1:26" x14ac:dyDescent="0.25">
      <c r="Q559" s="14"/>
      <c r="R559" s="15"/>
      <c r="S559" s="14"/>
      <c r="T559" s="15"/>
      <c r="U559" s="14"/>
      <c r="V559" s="15"/>
      <c r="W559" s="14"/>
      <c r="X559" s="15"/>
      <c r="Y559" s="14"/>
      <c r="Z559" s="15"/>
    </row>
    <row r="560" spans="1:26" x14ac:dyDescent="0.25">
      <c r="Q560" s="14"/>
      <c r="R560" s="15"/>
      <c r="S560" s="14"/>
      <c r="T560" s="15"/>
      <c r="U560" s="14"/>
      <c r="V560" s="15"/>
      <c r="W560" s="14"/>
      <c r="X560" s="15"/>
      <c r="Y560" s="14"/>
      <c r="Z560" s="15"/>
    </row>
    <row r="561" spans="1:26" x14ac:dyDescent="0.25">
      <c r="Q561" s="14"/>
      <c r="R561" s="15"/>
      <c r="S561" s="14"/>
      <c r="T561" s="15"/>
      <c r="U561" s="14"/>
      <c r="V561" s="15"/>
      <c r="W561" s="14"/>
      <c r="X561" s="15"/>
      <c r="Y561" s="14"/>
      <c r="Z561" s="15"/>
    </row>
    <row r="562" spans="1:26" x14ac:dyDescent="0.25">
      <c r="Q562" s="14"/>
      <c r="R562" s="15"/>
      <c r="S562" s="14"/>
      <c r="T562" s="15"/>
      <c r="U562" s="14"/>
      <c r="V562" s="15"/>
      <c r="W562" s="14"/>
      <c r="X562" s="15"/>
      <c r="Y562" s="14"/>
      <c r="Z562" s="15"/>
    </row>
    <row r="563" spans="1:26" x14ac:dyDescent="0.25">
      <c r="Q563" s="14"/>
      <c r="R563" s="15"/>
      <c r="S563" s="14"/>
      <c r="T563" s="15"/>
      <c r="U563" s="14"/>
      <c r="V563" s="15"/>
      <c r="W563" s="14"/>
      <c r="X563" s="15"/>
      <c r="Y563" s="14"/>
      <c r="Z563" s="15"/>
    </row>
    <row r="564" spans="1:26" x14ac:dyDescent="0.25">
      <c r="Q564" s="14"/>
      <c r="R564" s="15"/>
      <c r="S564" s="14"/>
      <c r="T564" s="15"/>
      <c r="U564" s="14"/>
      <c r="V564" s="15"/>
      <c r="W564" s="14"/>
      <c r="X564" s="15"/>
      <c r="Y564" s="14"/>
      <c r="Z564" s="15"/>
    </row>
    <row r="565" spans="1:26" x14ac:dyDescent="0.25">
      <c r="Q565" s="14"/>
      <c r="R565" s="15"/>
      <c r="S565" s="14"/>
      <c r="T565" s="15"/>
      <c r="U565" s="14"/>
      <c r="V565" s="15"/>
      <c r="W565" s="14"/>
      <c r="X565" s="15"/>
      <c r="Y565" s="14"/>
      <c r="Z565" s="15"/>
    </row>
    <row r="566" spans="1:26" x14ac:dyDescent="0.25">
      <c r="Q566" s="14"/>
      <c r="R566" s="15"/>
      <c r="S566" s="14"/>
      <c r="T566" s="15"/>
      <c r="U566" s="14"/>
      <c r="V566" s="15"/>
      <c r="W566" s="14"/>
      <c r="X566" s="15"/>
      <c r="Y566" s="14"/>
      <c r="Z566" s="15"/>
    </row>
    <row r="567" spans="1:26" x14ac:dyDescent="0.25">
      <c r="Q567" s="14"/>
      <c r="R567" s="15"/>
      <c r="S567" s="14"/>
      <c r="T567" s="15"/>
      <c r="U567" s="14"/>
      <c r="V567" s="15"/>
      <c r="W567" s="14"/>
      <c r="X567" s="15"/>
      <c r="Y567" s="14"/>
      <c r="Z567" s="15"/>
    </row>
    <row r="568" spans="1:26" x14ac:dyDescent="0.25">
      <c r="Q568" s="14"/>
      <c r="R568" s="15"/>
      <c r="S568" s="14"/>
      <c r="T568" s="15"/>
      <c r="U568" s="14"/>
      <c r="V568" s="15"/>
      <c r="W568" s="14"/>
      <c r="X568" s="15"/>
      <c r="Y568" s="14"/>
      <c r="Z568" s="15"/>
    </row>
    <row r="569" spans="1:26" x14ac:dyDescent="0.25">
      <c r="Q569" s="14"/>
      <c r="R569" s="15"/>
      <c r="S569" s="14"/>
      <c r="T569" s="15"/>
      <c r="U569" s="14"/>
      <c r="V569" s="15"/>
      <c r="W569" s="14"/>
      <c r="X569" s="15"/>
      <c r="Y569" s="14"/>
      <c r="Z569" s="15"/>
    </row>
    <row r="570" spans="1:26" x14ac:dyDescent="0.25">
      <c r="Q570" s="14"/>
      <c r="R570" s="15"/>
      <c r="S570" s="14"/>
      <c r="T570" s="15"/>
      <c r="U570" s="14"/>
      <c r="V570" s="15"/>
      <c r="W570" s="14"/>
      <c r="X570" s="15"/>
      <c r="Y570" s="14"/>
      <c r="Z570" s="15"/>
    </row>
    <row r="571" spans="1:26" x14ac:dyDescent="0.25">
      <c r="Q571" s="14"/>
      <c r="R571" s="15"/>
      <c r="S571" s="14"/>
      <c r="T571" s="15"/>
      <c r="U571" s="14"/>
      <c r="V571" s="15"/>
      <c r="W571" s="14"/>
      <c r="X571" s="15"/>
      <c r="Y571" s="14"/>
      <c r="Z571" s="15"/>
    </row>
    <row r="572" spans="1:26" x14ac:dyDescent="0.25">
      <c r="Q572" s="14"/>
      <c r="R572" s="15"/>
      <c r="S572" s="14"/>
      <c r="T572" s="15"/>
      <c r="U572" s="14"/>
      <c r="V572" s="15"/>
      <c r="W572" s="14"/>
      <c r="X572" s="15"/>
      <c r="Y572" s="14"/>
      <c r="Z572" s="15"/>
    </row>
    <row r="573" spans="1:26" x14ac:dyDescent="0.25">
      <c r="Q573" s="14"/>
      <c r="R573" s="15"/>
      <c r="S573" s="14"/>
      <c r="T573" s="15"/>
      <c r="U573" s="14"/>
      <c r="V573" s="15"/>
      <c r="W573" s="14"/>
      <c r="X573" s="15"/>
      <c r="Y573" s="14"/>
      <c r="Z573" s="15"/>
    </row>
    <row r="574" spans="1:26" x14ac:dyDescent="0.25">
      <c r="Q574" s="14"/>
      <c r="R574" s="15"/>
      <c r="S574" s="14"/>
      <c r="T574" s="15"/>
      <c r="U574" s="14"/>
      <c r="V574" s="15"/>
      <c r="W574" s="14"/>
      <c r="X574" s="15"/>
      <c r="Y574" s="14"/>
      <c r="Z574" s="15"/>
    </row>
    <row r="575" spans="1:26" x14ac:dyDescent="0.25">
      <c r="Q575" s="14"/>
      <c r="R575" s="15"/>
      <c r="S575" s="14"/>
      <c r="T575" s="15"/>
      <c r="U575" s="14"/>
      <c r="V575" s="15"/>
      <c r="W575" s="14"/>
      <c r="X575" s="15"/>
      <c r="Y575" s="14"/>
      <c r="Z575" s="15"/>
    </row>
    <row r="576" spans="1:26" x14ac:dyDescent="0.25">
      <c r="Q576" s="14"/>
      <c r="R576" s="15"/>
      <c r="S576" s="14"/>
      <c r="T576" s="15"/>
      <c r="U576" s="14"/>
      <c r="V576" s="15"/>
      <c r="W576" s="14"/>
      <c r="X576" s="15"/>
      <c r="Y576" s="14"/>
      <c r="Z576" s="15"/>
    </row>
    <row r="577" spans="1:26" x14ac:dyDescent="0.25">
      <c r="Q577" s="14"/>
      <c r="R577" s="15"/>
      <c r="S577" s="14"/>
      <c r="T577" s="15"/>
      <c r="U577" s="14"/>
      <c r="V577" s="15"/>
      <c r="W577" s="14"/>
      <c r="X577" s="15"/>
      <c r="Y577" s="14"/>
      <c r="Z577" s="15"/>
    </row>
    <row r="578" spans="1:26" x14ac:dyDescent="0.25">
      <c r="Q578" s="14"/>
      <c r="R578" s="15"/>
      <c r="S578" s="14"/>
      <c r="T578" s="15"/>
      <c r="U578" s="14"/>
      <c r="V578" s="15"/>
      <c r="W578" s="14"/>
      <c r="X578" s="15"/>
      <c r="Y578" s="14"/>
      <c r="Z578" s="15"/>
    </row>
    <row r="579" spans="1:26" x14ac:dyDescent="0.25">
      <c r="Q579" s="14"/>
      <c r="R579" s="15"/>
      <c r="S579" s="14"/>
      <c r="T579" s="15"/>
      <c r="U579" s="14"/>
      <c r="V579" s="15"/>
      <c r="W579" s="14"/>
      <c r="X579" s="15"/>
      <c r="Y579" s="14"/>
      <c r="Z579" s="15"/>
    </row>
    <row r="580" spans="1:26" x14ac:dyDescent="0.25">
      <c r="Q580" s="14"/>
      <c r="R580" s="15"/>
      <c r="S580" s="14"/>
      <c r="T580" s="15"/>
      <c r="U580" s="14"/>
      <c r="V580" s="15"/>
      <c r="W580" s="14"/>
      <c r="X580" s="15"/>
      <c r="Y580" s="14"/>
      <c r="Z580" s="15"/>
    </row>
    <row r="581" spans="1:26" x14ac:dyDescent="0.25">
      <c r="Q581" s="14"/>
      <c r="R581" s="15"/>
      <c r="S581" s="14"/>
      <c r="T581" s="15"/>
      <c r="U581" s="14"/>
      <c r="V581" s="15"/>
      <c r="W581" s="14"/>
      <c r="X581" s="15"/>
      <c r="Y581" s="14"/>
      <c r="Z581" s="15"/>
    </row>
    <row r="582" spans="1:26" x14ac:dyDescent="0.25">
      <c r="Q582" s="14"/>
      <c r="R582" s="15"/>
      <c r="S582" s="14"/>
      <c r="T582" s="15"/>
      <c r="U582" s="14"/>
      <c r="V582" s="15"/>
      <c r="W582" s="14"/>
      <c r="X582" s="15"/>
      <c r="Y582" s="14"/>
      <c r="Z582" s="15"/>
    </row>
    <row r="583" spans="1:26" x14ac:dyDescent="0.25">
      <c r="Q583" s="14"/>
      <c r="R583" s="15"/>
      <c r="S583" s="14"/>
      <c r="T583" s="15"/>
      <c r="U583" s="14"/>
      <c r="V583" s="15"/>
      <c r="W583" s="14"/>
      <c r="X583" s="15"/>
      <c r="Y583" s="14"/>
      <c r="Z583" s="15"/>
    </row>
    <row r="584" spans="1:26" x14ac:dyDescent="0.25">
      <c r="Q584" s="14"/>
      <c r="R584" s="15"/>
      <c r="S584" s="14"/>
      <c r="T584" s="15"/>
      <c r="U584" s="14"/>
      <c r="V584" s="15"/>
      <c r="W584" s="14"/>
      <c r="X584" s="15"/>
      <c r="Y584" s="14"/>
      <c r="Z584" s="15"/>
    </row>
    <row r="585" spans="1:26" x14ac:dyDescent="0.25">
      <c r="Q585" s="14"/>
      <c r="R585" s="15"/>
      <c r="S585" s="14"/>
      <c r="T585" s="15"/>
      <c r="U585" s="14"/>
      <c r="V585" s="15"/>
      <c r="W585" s="14"/>
      <c r="X585" s="15"/>
      <c r="Y585" s="14"/>
      <c r="Z585" s="15"/>
    </row>
    <row r="586" spans="1:26" x14ac:dyDescent="0.25">
      <c r="Q586" s="14"/>
      <c r="R586" s="15"/>
      <c r="S586" s="14"/>
      <c r="T586" s="15"/>
      <c r="U586" s="14"/>
      <c r="V586" s="15"/>
      <c r="W586" s="14"/>
      <c r="X586" s="15"/>
      <c r="Y586" s="14"/>
      <c r="Z586" s="15"/>
    </row>
    <row r="587" spans="1:26" x14ac:dyDescent="0.25">
      <c r="Q587" s="14"/>
      <c r="R587" s="15"/>
      <c r="S587" s="14"/>
      <c r="T587" s="15"/>
      <c r="U587" s="14"/>
      <c r="V587" s="15"/>
      <c r="W587" s="14"/>
      <c r="X587" s="15"/>
      <c r="Y587" s="14"/>
      <c r="Z587" s="15"/>
    </row>
    <row r="588" spans="1:26" x14ac:dyDescent="0.25">
      <c r="Q588" s="14"/>
      <c r="R588" s="15"/>
      <c r="S588" s="14"/>
      <c r="T588" s="15"/>
      <c r="U588" s="14"/>
      <c r="V588" s="15"/>
      <c r="W588" s="14"/>
      <c r="X588" s="15"/>
      <c r="Y588" s="14"/>
      <c r="Z588" s="15"/>
    </row>
    <row r="589" spans="1:26" x14ac:dyDescent="0.25">
      <c r="Q589" s="14"/>
      <c r="R589" s="15"/>
      <c r="S589" s="14"/>
      <c r="T589" s="15"/>
      <c r="U589" s="14"/>
      <c r="V589" s="15"/>
      <c r="W589" s="14"/>
      <c r="X589" s="15"/>
      <c r="Y589" s="14"/>
      <c r="Z589" s="15"/>
    </row>
    <row r="590" spans="1:26" x14ac:dyDescent="0.25">
      <c r="Q590" s="14"/>
      <c r="R590" s="15"/>
      <c r="S590" s="14"/>
      <c r="T590" s="15"/>
      <c r="U590" s="14"/>
      <c r="V590" s="15"/>
      <c r="W590" s="14"/>
      <c r="X590" s="15"/>
      <c r="Y590" s="14"/>
      <c r="Z590" s="15"/>
    </row>
    <row r="591" spans="1:26" x14ac:dyDescent="0.25">
      <c r="Q591" s="14"/>
      <c r="R591" s="15"/>
      <c r="S591" s="14"/>
      <c r="T591" s="15"/>
      <c r="U591" s="14"/>
      <c r="V591" s="15"/>
      <c r="W591" s="14"/>
      <c r="X591" s="15"/>
      <c r="Y591" s="14"/>
      <c r="Z591" s="15"/>
    </row>
    <row r="592" spans="1:26" x14ac:dyDescent="0.25">
      <c r="Q592" s="14"/>
      <c r="R592" s="15"/>
      <c r="S592" s="14"/>
      <c r="T592" s="15"/>
      <c r="U592" s="14"/>
      <c r="V592" s="15"/>
      <c r="W592" s="14"/>
      <c r="X592" s="15"/>
      <c r="Y592" s="14"/>
      <c r="Z592" s="15"/>
    </row>
    <row r="593" spans="1:26" x14ac:dyDescent="0.25">
      <c r="Q593" s="14"/>
      <c r="R593" s="15"/>
      <c r="S593" s="14"/>
      <c r="T593" s="15"/>
      <c r="U593" s="14"/>
      <c r="V593" s="15"/>
      <c r="W593" s="14"/>
      <c r="X593" s="15"/>
      <c r="Y593" s="14"/>
      <c r="Z593" s="15"/>
    </row>
    <row r="594" spans="1:26" x14ac:dyDescent="0.25">
      <c r="Q594" s="14"/>
      <c r="R594" s="15"/>
      <c r="S594" s="14"/>
      <c r="T594" s="15"/>
      <c r="U594" s="14"/>
      <c r="V594" s="15"/>
      <c r="W594" s="14"/>
      <c r="X594" s="15"/>
      <c r="Y594" s="14"/>
      <c r="Z594" s="15"/>
    </row>
    <row r="595" spans="1:26" x14ac:dyDescent="0.25">
      <c r="Q595" s="14"/>
      <c r="R595" s="15"/>
      <c r="S595" s="14"/>
      <c r="T595" s="15"/>
      <c r="U595" s="14"/>
      <c r="V595" s="15"/>
      <c r="W595" s="14"/>
      <c r="X595" s="15"/>
      <c r="Y595" s="14"/>
      <c r="Z595" s="15"/>
    </row>
    <row r="596" spans="1:26" x14ac:dyDescent="0.25">
      <c r="Q596" s="14"/>
      <c r="R596" s="15"/>
      <c r="S596" s="14"/>
      <c r="T596" s="15"/>
      <c r="U596" s="14"/>
      <c r="V596" s="15"/>
      <c r="W596" s="14"/>
      <c r="X596" s="15"/>
      <c r="Y596" s="14"/>
      <c r="Z596" s="15"/>
    </row>
    <row r="597" spans="1:26" x14ac:dyDescent="0.25">
      <c r="Q597" s="14"/>
      <c r="R597" s="15"/>
      <c r="S597" s="14"/>
      <c r="T597" s="15"/>
      <c r="U597" s="14"/>
      <c r="V597" s="15"/>
      <c r="W597" s="14"/>
      <c r="X597" s="15"/>
      <c r="Y597" s="14"/>
      <c r="Z597" s="15"/>
    </row>
    <row r="598" spans="1:26" x14ac:dyDescent="0.25">
      <c r="Q598" s="14"/>
      <c r="R598" s="15"/>
      <c r="S598" s="14"/>
      <c r="T598" s="15"/>
      <c r="U598" s="14"/>
      <c r="V598" s="15"/>
      <c r="W598" s="14"/>
      <c r="X598" s="15"/>
      <c r="Y598" s="14"/>
      <c r="Z598" s="15"/>
    </row>
    <row r="599" spans="1:26" x14ac:dyDescent="0.25">
      <c r="Q599" s="14"/>
      <c r="R599" s="15"/>
      <c r="S599" s="14"/>
      <c r="T599" s="15"/>
      <c r="U599" s="14"/>
      <c r="V599" s="15"/>
      <c r="W599" s="14"/>
      <c r="X599" s="15"/>
      <c r="Y599" s="14"/>
      <c r="Z599" s="15"/>
    </row>
    <row r="600" spans="1:26" x14ac:dyDescent="0.25">
      <c r="Q600" s="14"/>
      <c r="R600" s="15"/>
      <c r="S600" s="14"/>
      <c r="T600" s="15"/>
      <c r="U600" s="14"/>
      <c r="V600" s="15"/>
      <c r="W600" s="14"/>
      <c r="X600" s="15"/>
      <c r="Y600" s="14"/>
      <c r="Z600" s="15"/>
    </row>
    <row r="601" spans="1:26" x14ac:dyDescent="0.25">
      <c r="Q601" s="14"/>
      <c r="R601" s="15"/>
      <c r="S601" s="14"/>
      <c r="T601" s="15"/>
      <c r="U601" s="14"/>
      <c r="V601" s="15"/>
      <c r="W601" s="14"/>
      <c r="X601" s="15"/>
      <c r="Y601" s="14"/>
      <c r="Z601" s="15"/>
    </row>
    <row r="602" spans="1:26" x14ac:dyDescent="0.25">
      <c r="Q602" s="14"/>
      <c r="R602" s="15"/>
      <c r="S602" s="14"/>
      <c r="T602" s="15"/>
      <c r="U602" s="14"/>
      <c r="V602" s="15"/>
      <c r="W602" s="14"/>
      <c r="X602" s="15"/>
      <c r="Y602" s="14"/>
      <c r="Z602" s="15"/>
    </row>
    <row r="603" spans="1:26" x14ac:dyDescent="0.25">
      <c r="Q603" s="14"/>
      <c r="R603" s="15"/>
      <c r="S603" s="14"/>
      <c r="T603" s="15"/>
      <c r="U603" s="14"/>
      <c r="V603" s="15"/>
      <c r="W603" s="14"/>
      <c r="X603" s="15"/>
      <c r="Y603" s="14"/>
      <c r="Z603" s="15"/>
    </row>
    <row r="604" spans="1:26" x14ac:dyDescent="0.25">
      <c r="Q604" s="14"/>
      <c r="R604" s="15"/>
      <c r="S604" s="14"/>
      <c r="T604" s="15"/>
      <c r="U604" s="14"/>
      <c r="V604" s="15"/>
      <c r="W604" s="14"/>
      <c r="X604" s="15"/>
      <c r="Y604" s="14"/>
      <c r="Z604" s="15"/>
    </row>
    <row r="605" spans="1:26" x14ac:dyDescent="0.25">
      <c r="Q605" s="14"/>
      <c r="R605" s="15"/>
      <c r="S605" s="14"/>
      <c r="T605" s="15"/>
      <c r="U605" s="14"/>
      <c r="V605" s="15"/>
      <c r="W605" s="14"/>
      <c r="X605" s="15"/>
      <c r="Y605" s="14"/>
      <c r="Z605" s="15"/>
    </row>
    <row r="606" spans="1:26" x14ac:dyDescent="0.25">
      <c r="Q606" s="14"/>
      <c r="R606" s="15"/>
      <c r="S606" s="14"/>
      <c r="T606" s="15"/>
      <c r="U606" s="14"/>
      <c r="V606" s="15"/>
      <c r="W606" s="14"/>
      <c r="X606" s="15"/>
      <c r="Y606" s="14"/>
      <c r="Z606" s="15"/>
    </row>
    <row r="607" spans="1:26" x14ac:dyDescent="0.25">
      <c r="Q607" s="14"/>
      <c r="R607" s="15"/>
      <c r="S607" s="14"/>
      <c r="T607" s="15"/>
      <c r="U607" s="14"/>
      <c r="V607" s="15"/>
      <c r="W607" s="14"/>
      <c r="X607" s="15"/>
      <c r="Y607" s="14"/>
      <c r="Z607" s="15"/>
    </row>
    <row r="608" spans="1:26" x14ac:dyDescent="0.25">
      <c r="Q608" s="14"/>
      <c r="R608" s="15"/>
      <c r="S608" s="14"/>
      <c r="T608" s="15"/>
      <c r="U608" s="14"/>
      <c r="V608" s="15"/>
      <c r="W608" s="14"/>
      <c r="X608" s="15"/>
      <c r="Y608" s="14"/>
      <c r="Z608" s="15"/>
    </row>
    <row r="609" spans="1:26" x14ac:dyDescent="0.25">
      <c r="Q609" s="14"/>
      <c r="R609" s="15"/>
      <c r="S609" s="14"/>
      <c r="T609" s="15"/>
      <c r="U609" s="14"/>
      <c r="V609" s="15"/>
      <c r="W609" s="14"/>
      <c r="X609" s="15"/>
      <c r="Y609" s="14"/>
      <c r="Z609" s="15"/>
    </row>
    <row r="610" spans="1:26" x14ac:dyDescent="0.25">
      <c r="Q610" s="14"/>
      <c r="R610" s="15"/>
      <c r="S610" s="14"/>
      <c r="T610" s="15"/>
      <c r="U610" s="14"/>
      <c r="V610" s="15"/>
      <c r="W610" s="14"/>
      <c r="X610" s="15"/>
      <c r="Y610" s="14"/>
      <c r="Z610" s="15"/>
    </row>
    <row r="611" spans="1:26" x14ac:dyDescent="0.25">
      <c r="Q611" s="14"/>
      <c r="R611" s="15"/>
      <c r="S611" s="14"/>
      <c r="T611" s="15"/>
      <c r="U611" s="14"/>
      <c r="V611" s="15"/>
      <c r="W611" s="14"/>
      <c r="X611" s="15"/>
      <c r="Y611" s="14"/>
      <c r="Z611" s="15"/>
    </row>
    <row r="612" spans="1:26" x14ac:dyDescent="0.25">
      <c r="Q612" s="14"/>
      <c r="R612" s="15"/>
      <c r="S612" s="14"/>
      <c r="T612" s="15"/>
      <c r="U612" s="14"/>
      <c r="V612" s="15"/>
      <c r="W612" s="14"/>
      <c r="X612" s="15"/>
      <c r="Y612" s="14"/>
      <c r="Z612" s="15"/>
    </row>
    <row r="613" spans="1:26" x14ac:dyDescent="0.25">
      <c r="Q613" s="14"/>
      <c r="R613" s="15"/>
      <c r="S613" s="14"/>
      <c r="T613" s="15"/>
      <c r="U613" s="14"/>
      <c r="V613" s="15"/>
      <c r="W613" s="14"/>
      <c r="X613" s="15"/>
      <c r="Y613" s="14"/>
      <c r="Z613" s="15"/>
    </row>
    <row r="614" spans="1:26" x14ac:dyDescent="0.25">
      <c r="Q614" s="14"/>
      <c r="R614" s="15"/>
      <c r="S614" s="14"/>
      <c r="T614" s="15"/>
      <c r="U614" s="14"/>
      <c r="V614" s="15"/>
      <c r="W614" s="14"/>
      <c r="X614" s="15"/>
      <c r="Y614" s="14"/>
      <c r="Z614" s="15"/>
    </row>
    <row r="615" spans="1:26" x14ac:dyDescent="0.25">
      <c r="Q615" s="14"/>
      <c r="R615" s="15"/>
      <c r="S615" s="14"/>
      <c r="T615" s="15"/>
      <c r="U615" s="14"/>
      <c r="V615" s="15"/>
      <c r="W615" s="14"/>
      <c r="X615" s="15"/>
      <c r="Y615" s="14"/>
      <c r="Z615" s="15"/>
    </row>
    <row r="616" spans="1:26" x14ac:dyDescent="0.25">
      <c r="Q616" s="14"/>
      <c r="R616" s="15"/>
      <c r="S616" s="14"/>
      <c r="T616" s="15"/>
      <c r="U616" s="14"/>
      <c r="V616" s="15"/>
      <c r="W616" s="14"/>
      <c r="X616" s="15"/>
      <c r="Y616" s="14"/>
      <c r="Z616" s="15"/>
    </row>
    <row r="617" spans="1:26" x14ac:dyDescent="0.25">
      <c r="Q617" s="14"/>
      <c r="R617" s="15"/>
      <c r="S617" s="14"/>
      <c r="T617" s="15"/>
      <c r="U617" s="14"/>
      <c r="V617" s="15"/>
      <c r="W617" s="14"/>
      <c r="X617" s="15"/>
      <c r="Y617" s="14"/>
      <c r="Z617" s="15"/>
    </row>
    <row r="618" spans="1:26" x14ac:dyDescent="0.25">
      <c r="Q618" s="14"/>
      <c r="R618" s="15"/>
      <c r="S618" s="14"/>
      <c r="T618" s="15"/>
      <c r="U618" s="14"/>
      <c r="V618" s="15"/>
      <c r="W618" s="14"/>
      <c r="X618" s="15"/>
      <c r="Y618" s="14"/>
      <c r="Z618" s="15"/>
    </row>
    <row r="619" spans="1:26" x14ac:dyDescent="0.25">
      <c r="Q619" s="14"/>
      <c r="R619" s="15"/>
      <c r="S619" s="14"/>
      <c r="T619" s="15"/>
      <c r="U619" s="14"/>
      <c r="V619" s="15"/>
      <c r="W619" s="14"/>
      <c r="X619" s="15"/>
      <c r="Y619" s="14"/>
      <c r="Z619" s="15"/>
    </row>
    <row r="620" spans="1:26" x14ac:dyDescent="0.25">
      <c r="Q620" s="14"/>
      <c r="R620" s="15"/>
      <c r="S620" s="14"/>
      <c r="T620" s="15"/>
      <c r="U620" s="14"/>
      <c r="V620" s="15"/>
      <c r="W620" s="14"/>
      <c r="X620" s="15"/>
      <c r="Y620" s="14"/>
      <c r="Z620" s="15"/>
    </row>
    <row r="621" spans="1:26" x14ac:dyDescent="0.25">
      <c r="Q621" s="14"/>
      <c r="R621" s="15"/>
      <c r="S621" s="14"/>
      <c r="T621" s="15"/>
      <c r="U621" s="14"/>
      <c r="V621" s="15"/>
      <c r="W621" s="14"/>
      <c r="X621" s="15"/>
      <c r="Y621" s="14"/>
      <c r="Z621" s="15"/>
    </row>
    <row r="622" spans="1:26" x14ac:dyDescent="0.25">
      <c r="Q622" s="14"/>
      <c r="R622" s="15"/>
      <c r="S622" s="14"/>
      <c r="T622" s="15"/>
      <c r="U622" s="14"/>
      <c r="V622" s="15"/>
      <c r="W622" s="14"/>
      <c r="X622" s="15"/>
      <c r="Y622" s="14"/>
      <c r="Z622" s="15"/>
    </row>
    <row r="623" spans="1:26" x14ac:dyDescent="0.25">
      <c r="Q623" s="14"/>
      <c r="R623" s="15"/>
      <c r="S623" s="14"/>
      <c r="T623" s="15"/>
      <c r="U623" s="14"/>
      <c r="V623" s="15"/>
      <c r="W623" s="14"/>
      <c r="X623" s="15"/>
      <c r="Y623" s="14"/>
      <c r="Z623" s="15"/>
    </row>
    <row r="624" spans="1:26" x14ac:dyDescent="0.25">
      <c r="Q624" s="14"/>
      <c r="R624" s="15"/>
      <c r="S624" s="14"/>
      <c r="T624" s="15"/>
      <c r="U624" s="14"/>
      <c r="V624" s="15"/>
      <c r="W624" s="14"/>
      <c r="X624" s="15"/>
      <c r="Y624" s="14"/>
      <c r="Z624" s="15"/>
    </row>
    <row r="625" spans="1:26" x14ac:dyDescent="0.25">
      <c r="Q625" s="14"/>
      <c r="R625" s="15"/>
      <c r="S625" s="14"/>
      <c r="T625" s="15"/>
      <c r="U625" s="14"/>
      <c r="V625" s="15"/>
      <c r="W625" s="14"/>
      <c r="X625" s="15"/>
      <c r="Y625" s="14"/>
      <c r="Z625" s="15"/>
    </row>
    <row r="626" spans="1:26" x14ac:dyDescent="0.25">
      <c r="Q626" s="14"/>
      <c r="R626" s="15"/>
      <c r="S626" s="14"/>
      <c r="T626" s="15"/>
      <c r="U626" s="14"/>
      <c r="V626" s="15"/>
      <c r="W626" s="14"/>
      <c r="X626" s="15"/>
      <c r="Y626" s="14"/>
      <c r="Z626" s="15"/>
    </row>
    <row r="627" spans="1:26" x14ac:dyDescent="0.25">
      <c r="Q627" s="14"/>
      <c r="R627" s="15"/>
      <c r="S627" s="14"/>
      <c r="T627" s="15"/>
      <c r="U627" s="14"/>
      <c r="V627" s="15"/>
      <c r="W627" s="14"/>
      <c r="X627" s="15"/>
      <c r="Y627" s="14"/>
      <c r="Z627" s="15"/>
    </row>
    <row r="628" spans="1:26" x14ac:dyDescent="0.25">
      <c r="Q628" s="14"/>
      <c r="R628" s="15"/>
      <c r="S628" s="14"/>
      <c r="T628" s="15"/>
      <c r="U628" s="14"/>
      <c r="V628" s="15"/>
      <c r="W628" s="14"/>
      <c r="X628" s="15"/>
      <c r="Y628" s="14"/>
      <c r="Z628" s="15"/>
    </row>
    <row r="629" spans="1:26" x14ac:dyDescent="0.25">
      <c r="Q629" s="14"/>
      <c r="R629" s="15"/>
      <c r="S629" s="14"/>
      <c r="T629" s="15"/>
      <c r="U629" s="14"/>
      <c r="V629" s="15"/>
      <c r="W629" s="14"/>
      <c r="X629" s="15"/>
      <c r="Y629" s="14"/>
      <c r="Z629" s="15"/>
    </row>
    <row r="630" spans="1:26" x14ac:dyDescent="0.25">
      <c r="Q630" s="14"/>
      <c r="R630" s="15"/>
      <c r="S630" s="14"/>
      <c r="T630" s="15"/>
      <c r="U630" s="14"/>
      <c r="V630" s="15"/>
      <c r="W630" s="14"/>
      <c r="X630" s="15"/>
      <c r="Y630" s="14"/>
      <c r="Z630" s="15"/>
    </row>
    <row r="631" spans="1:26" x14ac:dyDescent="0.25">
      <c r="Q631" s="14"/>
      <c r="R631" s="15"/>
      <c r="S631" s="14"/>
      <c r="T631" s="15"/>
      <c r="U631" s="14"/>
      <c r="V631" s="15"/>
      <c r="W631" s="14"/>
      <c r="X631" s="15"/>
      <c r="Y631" s="14"/>
      <c r="Z631" s="15"/>
    </row>
    <row r="632" spans="1:26" x14ac:dyDescent="0.25">
      <c r="Q632" s="14"/>
      <c r="R632" s="15"/>
      <c r="S632" s="14"/>
      <c r="T632" s="15"/>
      <c r="U632" s="14"/>
      <c r="V632" s="15"/>
      <c r="W632" s="14"/>
      <c r="X632" s="15"/>
      <c r="Y632" s="14"/>
      <c r="Z632" s="15"/>
    </row>
    <row r="633" spans="1:26" x14ac:dyDescent="0.25">
      <c r="Q633" s="14"/>
      <c r="R633" s="15"/>
      <c r="S633" s="14"/>
      <c r="T633" s="15"/>
      <c r="U633" s="14"/>
      <c r="V633" s="15"/>
      <c r="W633" s="14"/>
      <c r="X633" s="15"/>
      <c r="Y633" s="14"/>
      <c r="Z633" s="15"/>
    </row>
    <row r="634" spans="1:26" x14ac:dyDescent="0.25">
      <c r="Q634" s="14"/>
      <c r="R634" s="15"/>
      <c r="S634" s="14"/>
      <c r="T634" s="15"/>
      <c r="U634" s="14"/>
      <c r="V634" s="15"/>
      <c r="W634" s="14"/>
      <c r="X634" s="15"/>
      <c r="Y634" s="14"/>
      <c r="Z634" s="15"/>
    </row>
    <row r="635" spans="1:26" x14ac:dyDescent="0.25">
      <c r="Q635" s="14"/>
      <c r="R635" s="15"/>
      <c r="S635" s="14"/>
      <c r="T635" s="15"/>
      <c r="U635" s="14"/>
      <c r="V635" s="15"/>
      <c r="W635" s="14"/>
      <c r="X635" s="15"/>
      <c r="Y635" s="14"/>
      <c r="Z635" s="15"/>
    </row>
    <row r="636" spans="1:26" x14ac:dyDescent="0.25">
      <c r="Q636" s="14"/>
      <c r="R636" s="15"/>
      <c r="S636" s="14"/>
      <c r="T636" s="15"/>
      <c r="U636" s="14"/>
      <c r="V636" s="15"/>
      <c r="W636" s="14"/>
      <c r="X636" s="15"/>
      <c r="Y636" s="14"/>
      <c r="Z636" s="15"/>
    </row>
    <row r="637" spans="1:26" x14ac:dyDescent="0.25">
      <c r="Q637" s="14"/>
      <c r="R637" s="15"/>
      <c r="S637" s="14"/>
      <c r="T637" s="15"/>
      <c r="U637" s="14"/>
      <c r="V637" s="15"/>
      <c r="W637" s="14"/>
      <c r="X637" s="15"/>
      <c r="Y637" s="14"/>
      <c r="Z637" s="15"/>
    </row>
    <row r="638" spans="1:26" x14ac:dyDescent="0.25">
      <c r="Q638" s="14"/>
      <c r="R638" s="15"/>
      <c r="S638" s="14"/>
      <c r="T638" s="15"/>
      <c r="U638" s="14"/>
      <c r="V638" s="15"/>
      <c r="W638" s="14"/>
      <c r="X638" s="15"/>
      <c r="Y638" s="14"/>
      <c r="Z638" s="15"/>
    </row>
    <row r="639" spans="1:26" x14ac:dyDescent="0.25">
      <c r="Q639" s="14"/>
      <c r="R639" s="15"/>
      <c r="S639" s="14"/>
      <c r="T639" s="15"/>
      <c r="U639" s="14"/>
      <c r="V639" s="15"/>
      <c r="W639" s="14"/>
      <c r="X639" s="15"/>
      <c r="Y639" s="14"/>
      <c r="Z639" s="15"/>
    </row>
    <row r="640" spans="1:26" x14ac:dyDescent="0.25">
      <c r="Q640" s="14"/>
      <c r="R640" s="15"/>
      <c r="S640" s="14"/>
      <c r="T640" s="15"/>
      <c r="U640" s="14"/>
      <c r="V640" s="15"/>
      <c r="W640" s="14"/>
      <c r="X640" s="15"/>
      <c r="Y640" s="14"/>
      <c r="Z640" s="15"/>
    </row>
    <row r="641" spans="1:26" x14ac:dyDescent="0.25">
      <c r="Q641" s="14"/>
      <c r="R641" s="15"/>
      <c r="S641" s="14"/>
      <c r="T641" s="15"/>
      <c r="U641" s="14"/>
      <c r="V641" s="15"/>
      <c r="W641" s="14"/>
      <c r="X641" s="15"/>
      <c r="Y641" s="14"/>
      <c r="Z641" s="15"/>
    </row>
    <row r="642" spans="1:26" x14ac:dyDescent="0.25">
      <c r="Q642" s="14"/>
      <c r="R642" s="15"/>
      <c r="S642" s="14"/>
      <c r="T642" s="15"/>
      <c r="U642" s="14"/>
      <c r="V642" s="15"/>
      <c r="W642" s="14"/>
      <c r="X642" s="15"/>
      <c r="Y642" s="14"/>
      <c r="Z642" s="15"/>
    </row>
    <row r="643" spans="1:26" x14ac:dyDescent="0.25">
      <c r="Q643" s="14"/>
      <c r="R643" s="15"/>
      <c r="S643" s="14"/>
      <c r="T643" s="15"/>
      <c r="U643" s="14"/>
      <c r="V643" s="15"/>
      <c r="W643" s="14"/>
      <c r="X643" s="15"/>
      <c r="Y643" s="14"/>
      <c r="Z643" s="15"/>
    </row>
    <row r="644" spans="1:26" x14ac:dyDescent="0.25">
      <c r="Q644" s="14"/>
      <c r="R644" s="15"/>
      <c r="S644" s="14"/>
      <c r="T644" s="15"/>
      <c r="U644" s="14"/>
      <c r="V644" s="15"/>
      <c r="W644" s="14"/>
      <c r="X644" s="15"/>
      <c r="Y644" s="14"/>
      <c r="Z644" s="15"/>
    </row>
    <row r="645" spans="1:26" x14ac:dyDescent="0.25">
      <c r="Q645" s="14"/>
      <c r="R645" s="15"/>
      <c r="S645" s="14"/>
      <c r="T645" s="15"/>
      <c r="U645" s="14"/>
      <c r="V645" s="15"/>
      <c r="W645" s="14"/>
      <c r="X645" s="15"/>
      <c r="Y645" s="14"/>
      <c r="Z645" s="15"/>
    </row>
    <row r="646" spans="1:26" x14ac:dyDescent="0.25">
      <c r="Q646" s="14"/>
      <c r="R646" s="15"/>
      <c r="S646" s="14"/>
      <c r="T646" s="15"/>
      <c r="U646" s="14"/>
      <c r="V646" s="15"/>
      <c r="W646" s="14"/>
      <c r="X646" s="15"/>
      <c r="Y646" s="14"/>
      <c r="Z646" s="15"/>
    </row>
    <row r="647" spans="1:26" x14ac:dyDescent="0.25">
      <c r="Q647" s="14"/>
      <c r="R647" s="15"/>
      <c r="S647" s="14"/>
      <c r="T647" s="15"/>
      <c r="U647" s="14"/>
      <c r="V647" s="15"/>
      <c r="W647" s="14"/>
      <c r="X647" s="15"/>
      <c r="Y647" s="14"/>
      <c r="Z647" s="15"/>
    </row>
    <row r="648" spans="1:26" x14ac:dyDescent="0.25">
      <c r="Q648" s="14"/>
      <c r="R648" s="15"/>
      <c r="S648" s="14"/>
      <c r="T648" s="15"/>
      <c r="U648" s="14"/>
      <c r="V648" s="15"/>
      <c r="W648" s="14"/>
      <c r="X648" s="15"/>
      <c r="Y648" s="14"/>
      <c r="Z648" s="15"/>
    </row>
    <row r="649" spans="1:26" x14ac:dyDescent="0.25">
      <c r="Q649" s="14"/>
      <c r="R649" s="15"/>
      <c r="S649" s="14"/>
      <c r="T649" s="15"/>
      <c r="U649" s="14"/>
      <c r="V649" s="15"/>
      <c r="W649" s="14"/>
      <c r="X649" s="15"/>
      <c r="Y649" s="14"/>
      <c r="Z649" s="15"/>
    </row>
    <row r="650" spans="1:26" x14ac:dyDescent="0.25">
      <c r="Q650" s="14"/>
      <c r="R650" s="15"/>
      <c r="S650" s="14"/>
      <c r="T650" s="15"/>
      <c r="U650" s="14"/>
      <c r="V650" s="15"/>
      <c r="W650" s="14"/>
      <c r="X650" s="15"/>
      <c r="Y650" s="14"/>
      <c r="Z650" s="15"/>
    </row>
    <row r="651" spans="1:26" x14ac:dyDescent="0.25">
      <c r="Q651" s="14"/>
      <c r="R651" s="15"/>
      <c r="S651" s="14"/>
      <c r="T651" s="15"/>
      <c r="U651" s="14"/>
      <c r="V651" s="15"/>
      <c r="W651" s="14"/>
      <c r="X651" s="15"/>
      <c r="Y651" s="14"/>
      <c r="Z651" s="15"/>
    </row>
    <row r="652" spans="1:26" x14ac:dyDescent="0.25">
      <c r="Q652" s="14"/>
      <c r="R652" s="15"/>
      <c r="S652" s="14"/>
      <c r="T652" s="15"/>
      <c r="U652" s="14"/>
      <c r="V652" s="15"/>
      <c r="W652" s="14"/>
      <c r="X652" s="15"/>
      <c r="Y652" s="14"/>
      <c r="Z652" s="15"/>
    </row>
    <row r="653" spans="1:26" x14ac:dyDescent="0.25">
      <c r="Q653" s="14"/>
      <c r="R653" s="15"/>
      <c r="S653" s="14"/>
      <c r="T653" s="15"/>
      <c r="U653" s="14"/>
      <c r="V653" s="15"/>
      <c r="W653" s="14"/>
      <c r="X653" s="15"/>
      <c r="Y653" s="14"/>
      <c r="Z653" s="15"/>
    </row>
    <row r="654" spans="1:26" x14ac:dyDescent="0.25">
      <c r="Q654" s="14"/>
      <c r="R654" s="15"/>
      <c r="S654" s="14"/>
      <c r="T654" s="15"/>
      <c r="U654" s="14"/>
      <c r="V654" s="15"/>
      <c r="W654" s="14"/>
      <c r="X654" s="15"/>
      <c r="Y654" s="14"/>
      <c r="Z654" s="15"/>
    </row>
    <row r="655" spans="1:26" x14ac:dyDescent="0.25">
      <c r="Q655" s="14"/>
      <c r="R655" s="15"/>
      <c r="S655" s="14"/>
      <c r="T655" s="15"/>
      <c r="U655" s="14"/>
      <c r="V655" s="15"/>
      <c r="W655" s="14"/>
      <c r="X655" s="15"/>
      <c r="Y655" s="14"/>
      <c r="Z655" s="15"/>
    </row>
    <row r="656" spans="1:26" x14ac:dyDescent="0.25">
      <c r="Q656" s="14"/>
      <c r="R656" s="15"/>
      <c r="S656" s="14"/>
      <c r="T656" s="15"/>
      <c r="U656" s="14"/>
      <c r="V656" s="15"/>
      <c r="W656" s="14"/>
      <c r="X656" s="15"/>
      <c r="Y656" s="14"/>
      <c r="Z656" s="15"/>
    </row>
    <row r="657" spans="1:26" x14ac:dyDescent="0.25">
      <c r="Q657" s="14"/>
      <c r="R657" s="15"/>
      <c r="S657" s="14"/>
      <c r="T657" s="15"/>
      <c r="U657" s="14"/>
      <c r="V657" s="15"/>
      <c r="W657" s="14"/>
      <c r="X657" s="15"/>
      <c r="Y657" s="14"/>
      <c r="Z657" s="15"/>
    </row>
    <row r="658" spans="1:26" x14ac:dyDescent="0.25">
      <c r="Q658" s="14"/>
      <c r="R658" s="15"/>
      <c r="S658" s="14"/>
      <c r="T658" s="15"/>
      <c r="U658" s="14"/>
      <c r="V658" s="15"/>
      <c r="W658" s="14"/>
      <c r="X658" s="15"/>
      <c r="Y658" s="14"/>
      <c r="Z658" s="15"/>
    </row>
    <row r="659" spans="1:26" x14ac:dyDescent="0.25">
      <c r="Q659" s="14"/>
      <c r="R659" s="15"/>
      <c r="S659" s="14"/>
      <c r="T659" s="15"/>
      <c r="U659" s="14"/>
      <c r="V659" s="15"/>
      <c r="W659" s="14"/>
      <c r="X659" s="15"/>
      <c r="Y659" s="14"/>
      <c r="Z659" s="15"/>
    </row>
    <row r="660" spans="1:26" x14ac:dyDescent="0.25">
      <c r="Q660" s="14"/>
      <c r="R660" s="15"/>
      <c r="S660" s="14"/>
      <c r="T660" s="15"/>
      <c r="U660" s="14"/>
      <c r="V660" s="15"/>
      <c r="W660" s="14"/>
      <c r="X660" s="15"/>
      <c r="Y660" s="14"/>
      <c r="Z660" s="15"/>
    </row>
    <row r="661" spans="1:26" x14ac:dyDescent="0.25">
      <c r="Q661" s="14"/>
      <c r="R661" s="15"/>
      <c r="S661" s="14"/>
      <c r="T661" s="15"/>
      <c r="U661" s="14"/>
      <c r="V661" s="15"/>
      <c r="W661" s="14"/>
      <c r="X661" s="15"/>
      <c r="Y661" s="14"/>
      <c r="Z661" s="15"/>
    </row>
    <row r="662" spans="1:26" x14ac:dyDescent="0.25">
      <c r="Q662" s="14"/>
      <c r="R662" s="15"/>
      <c r="S662" s="14"/>
      <c r="T662" s="15"/>
      <c r="U662" s="14"/>
      <c r="V662" s="15"/>
      <c r="W662" s="14"/>
      <c r="X662" s="15"/>
      <c r="Y662" s="14"/>
      <c r="Z662" s="15"/>
    </row>
    <row r="663" spans="1:26" x14ac:dyDescent="0.25">
      <c r="Q663" s="14"/>
      <c r="R663" s="15"/>
      <c r="S663" s="14"/>
      <c r="T663" s="15"/>
      <c r="U663" s="14"/>
      <c r="V663" s="15"/>
      <c r="W663" s="14"/>
      <c r="X663" s="15"/>
      <c r="Y663" s="14"/>
      <c r="Z663" s="15"/>
    </row>
    <row r="664" spans="1:26" x14ac:dyDescent="0.25">
      <c r="Q664" s="14"/>
      <c r="R664" s="15"/>
      <c r="S664" s="14"/>
      <c r="T664" s="15"/>
      <c r="U664" s="14"/>
      <c r="V664" s="15"/>
      <c r="W664" s="14"/>
      <c r="X664" s="15"/>
      <c r="Y664" s="14"/>
      <c r="Z664" s="15"/>
    </row>
    <row r="665" spans="1:26" x14ac:dyDescent="0.25">
      <c r="Q665" s="14"/>
      <c r="R665" s="15"/>
      <c r="S665" s="14"/>
      <c r="T665" s="15"/>
      <c r="U665" s="14"/>
      <c r="V665" s="15"/>
      <c r="W665" s="14"/>
      <c r="X665" s="15"/>
      <c r="Y665" s="14"/>
      <c r="Z665" s="15"/>
    </row>
    <row r="666" spans="1:26" x14ac:dyDescent="0.25">
      <c r="Q666" s="14"/>
      <c r="R666" s="15"/>
      <c r="S666" s="14"/>
      <c r="T666" s="15"/>
      <c r="U666" s="14"/>
      <c r="V666" s="15"/>
      <c r="W666" s="14"/>
      <c r="X666" s="15"/>
      <c r="Y666" s="14"/>
      <c r="Z666" s="15"/>
    </row>
    <row r="667" spans="1:26" x14ac:dyDescent="0.25">
      <c r="Q667" s="14"/>
      <c r="R667" s="15"/>
      <c r="S667" s="14"/>
      <c r="T667" s="15"/>
      <c r="U667" s="14"/>
      <c r="V667" s="15"/>
      <c r="W667" s="14"/>
      <c r="X667" s="15"/>
      <c r="Y667" s="14"/>
      <c r="Z667" s="15"/>
    </row>
    <row r="668" spans="1:26" x14ac:dyDescent="0.25">
      <c r="Q668" s="14"/>
      <c r="R668" s="15"/>
      <c r="S668" s="14"/>
      <c r="T668" s="15"/>
      <c r="U668" s="14"/>
      <c r="V668" s="15"/>
      <c r="W668" s="14"/>
      <c r="X668" s="15"/>
      <c r="Y668" s="14"/>
      <c r="Z668" s="15"/>
    </row>
    <row r="669" spans="1:26" x14ac:dyDescent="0.25">
      <c r="Q669" s="14"/>
      <c r="R669" s="15"/>
      <c r="S669" s="14"/>
      <c r="T669" s="15"/>
      <c r="U669" s="14"/>
      <c r="V669" s="15"/>
      <c r="W669" s="14"/>
      <c r="X669" s="15"/>
      <c r="Y669" s="14"/>
      <c r="Z669" s="15"/>
    </row>
    <row r="670" spans="1:26" x14ac:dyDescent="0.25">
      <c r="Q670" s="14"/>
      <c r="R670" s="15"/>
      <c r="S670" s="14"/>
      <c r="T670" s="15"/>
      <c r="U670" s="14"/>
      <c r="V670" s="15"/>
      <c r="W670" s="14"/>
      <c r="X670" s="15"/>
      <c r="Y670" s="14"/>
      <c r="Z670" s="15"/>
    </row>
    <row r="671" spans="1:26" x14ac:dyDescent="0.25">
      <c r="Q671" s="14"/>
      <c r="R671" s="15"/>
      <c r="S671" s="14"/>
      <c r="T671" s="15"/>
      <c r="U671" s="14"/>
      <c r="V671" s="15"/>
      <c r="W671" s="14"/>
      <c r="X671" s="15"/>
      <c r="Y671" s="14"/>
      <c r="Z671" s="15"/>
    </row>
    <row r="672" spans="1:26" x14ac:dyDescent="0.25">
      <c r="Q672" s="14"/>
      <c r="R672" s="15"/>
      <c r="S672" s="14"/>
      <c r="T672" s="15"/>
      <c r="U672" s="14"/>
      <c r="V672" s="15"/>
      <c r="W672" s="14"/>
      <c r="X672" s="15"/>
      <c r="Y672" s="14"/>
      <c r="Z672" s="15"/>
    </row>
    <row r="673" spans="1:26" x14ac:dyDescent="0.25">
      <c r="Q673" s="14"/>
      <c r="R673" s="15"/>
      <c r="S673" s="14"/>
      <c r="T673" s="15"/>
      <c r="U673" s="14"/>
      <c r="V673" s="15"/>
      <c r="W673" s="14"/>
      <c r="X673" s="15"/>
      <c r="Y673" s="14"/>
      <c r="Z673" s="15"/>
    </row>
    <row r="674" spans="1:26" x14ac:dyDescent="0.25">
      <c r="Q674" s="14"/>
      <c r="R674" s="15"/>
      <c r="S674" s="14"/>
      <c r="T674" s="15"/>
      <c r="U674" s="14"/>
      <c r="V674" s="15"/>
      <c r="W674" s="14"/>
      <c r="X674" s="15"/>
      <c r="Y674" s="14"/>
      <c r="Z674" s="15"/>
    </row>
    <row r="675" spans="1:26" x14ac:dyDescent="0.25">
      <c r="Q675" s="14"/>
      <c r="R675" s="15"/>
      <c r="S675" s="14"/>
      <c r="T675" s="15"/>
      <c r="U675" s="14"/>
      <c r="V675" s="15"/>
      <c r="W675" s="14"/>
      <c r="X675" s="15"/>
      <c r="Y675" s="14"/>
      <c r="Z675" s="15"/>
    </row>
    <row r="676" spans="1:26" x14ac:dyDescent="0.25">
      <c r="Q676" s="14"/>
      <c r="R676" s="15"/>
      <c r="S676" s="14"/>
      <c r="T676" s="15"/>
      <c r="U676" s="14"/>
      <c r="V676" s="15"/>
      <c r="W676" s="14"/>
      <c r="X676" s="15"/>
      <c r="Y676" s="14"/>
      <c r="Z676" s="15"/>
    </row>
    <row r="677" spans="1:26" x14ac:dyDescent="0.25">
      <c r="Q677" s="14"/>
      <c r="R677" s="15"/>
      <c r="S677" s="14"/>
      <c r="T677" s="15"/>
      <c r="U677" s="14"/>
      <c r="V677" s="15"/>
      <c r="W677" s="14"/>
      <c r="X677" s="15"/>
      <c r="Y677" s="14"/>
      <c r="Z677" s="15"/>
    </row>
    <row r="678" spans="1:26" x14ac:dyDescent="0.25">
      <c r="Q678" s="14"/>
      <c r="R678" s="15"/>
      <c r="S678" s="14"/>
      <c r="T678" s="15"/>
      <c r="U678" s="14"/>
      <c r="V678" s="15"/>
      <c r="W678" s="14"/>
      <c r="X678" s="15"/>
      <c r="Y678" s="14"/>
      <c r="Z678" s="15"/>
    </row>
    <row r="679" spans="1:26" x14ac:dyDescent="0.25">
      <c r="Q679" s="14"/>
      <c r="R679" s="15"/>
      <c r="S679" s="14"/>
      <c r="T679" s="15"/>
      <c r="U679" s="14"/>
      <c r="V679" s="15"/>
      <c r="W679" s="14"/>
      <c r="X679" s="15"/>
      <c r="Y679" s="14"/>
      <c r="Z679" s="15"/>
    </row>
    <row r="680" spans="1:26" x14ac:dyDescent="0.25">
      <c r="Q680" s="14"/>
      <c r="R680" s="15"/>
      <c r="S680" s="14"/>
      <c r="T680" s="15"/>
      <c r="U680" s="14"/>
      <c r="V680" s="15"/>
      <c r="W680" s="14"/>
      <c r="X680" s="15"/>
      <c r="Y680" s="14"/>
      <c r="Z680" s="15"/>
    </row>
    <row r="681" spans="1:26" x14ac:dyDescent="0.25">
      <c r="Q681" s="14"/>
      <c r="R681" s="15"/>
      <c r="S681" s="14"/>
      <c r="T681" s="15"/>
      <c r="U681" s="14"/>
      <c r="V681" s="15"/>
      <c r="W681" s="14"/>
      <c r="X681" s="15"/>
      <c r="Y681" s="14"/>
      <c r="Z681" s="15"/>
    </row>
    <row r="682" spans="1:26" x14ac:dyDescent="0.25">
      <c r="Q682" s="14"/>
      <c r="R682" s="15"/>
      <c r="S682" s="14"/>
      <c r="T682" s="15"/>
      <c r="U682" s="14"/>
      <c r="V682" s="15"/>
      <c r="W682" s="14"/>
      <c r="X682" s="15"/>
      <c r="Y682" s="14"/>
      <c r="Z682" s="15"/>
    </row>
    <row r="683" spans="1:26" x14ac:dyDescent="0.25">
      <c r="Q683" s="14"/>
      <c r="R683" s="15"/>
      <c r="S683" s="14"/>
      <c r="T683" s="15"/>
      <c r="U683" s="14"/>
      <c r="V683" s="15"/>
      <c r="W683" s="14"/>
      <c r="X683" s="15"/>
      <c r="Y683" s="14"/>
      <c r="Z683" s="15"/>
    </row>
    <row r="684" spans="1:26" x14ac:dyDescent="0.25">
      <c r="Q684" s="14"/>
      <c r="R684" s="15"/>
      <c r="S684" s="14"/>
      <c r="T684" s="15"/>
      <c r="U684" s="14"/>
      <c r="V684" s="15"/>
      <c r="W684" s="14"/>
      <c r="X684" s="15"/>
      <c r="Y684" s="14"/>
      <c r="Z684" s="15"/>
    </row>
    <row r="685" spans="1:26" x14ac:dyDescent="0.25">
      <c r="Q685" s="14"/>
      <c r="R685" s="15"/>
      <c r="S685" s="14"/>
      <c r="T685" s="15"/>
      <c r="U685" s="14"/>
      <c r="V685" s="15"/>
      <c r="W685" s="14"/>
      <c r="X685" s="15"/>
      <c r="Y685" s="14"/>
      <c r="Z685" s="15"/>
    </row>
    <row r="686" spans="1:26" x14ac:dyDescent="0.25">
      <c r="Q686" s="14"/>
      <c r="R686" s="15"/>
      <c r="S686" s="14"/>
      <c r="T686" s="15"/>
      <c r="U686" s="14"/>
      <c r="V686" s="15"/>
      <c r="W686" s="14"/>
      <c r="X686" s="15"/>
      <c r="Y686" s="14"/>
      <c r="Z686" s="15"/>
    </row>
    <row r="687" spans="1:26" x14ac:dyDescent="0.25">
      <c r="Q687" s="14"/>
      <c r="R687" s="15"/>
      <c r="S687" s="14"/>
      <c r="T687" s="15"/>
      <c r="U687" s="14"/>
      <c r="V687" s="15"/>
      <c r="W687" s="14"/>
      <c r="X687" s="15"/>
      <c r="Y687" s="14"/>
      <c r="Z687" s="15"/>
    </row>
    <row r="688" spans="1:26" x14ac:dyDescent="0.25">
      <c r="Q688" s="14"/>
      <c r="R688" s="15"/>
      <c r="S688" s="14"/>
      <c r="T688" s="15"/>
      <c r="U688" s="14"/>
      <c r="V688" s="15"/>
      <c r="W688" s="14"/>
      <c r="X688" s="15"/>
      <c r="Y688" s="14"/>
      <c r="Z688" s="15"/>
    </row>
    <row r="689" spans="1:26" x14ac:dyDescent="0.25">
      <c r="Q689" s="14"/>
      <c r="R689" s="15"/>
      <c r="S689" s="14"/>
      <c r="T689" s="15"/>
      <c r="U689" s="14"/>
      <c r="V689" s="15"/>
      <c r="W689" s="14"/>
      <c r="X689" s="15"/>
      <c r="Y689" s="14"/>
      <c r="Z689" s="15"/>
    </row>
    <row r="690" spans="1:26" x14ac:dyDescent="0.25">
      <c r="Q690" s="14"/>
      <c r="R690" s="15"/>
      <c r="S690" s="14"/>
      <c r="T690" s="15"/>
      <c r="U690" s="14"/>
      <c r="V690" s="15"/>
      <c r="W690" s="14"/>
      <c r="X690" s="15"/>
      <c r="Y690" s="14"/>
      <c r="Z690" s="15"/>
    </row>
    <row r="691" spans="1:26" x14ac:dyDescent="0.25">
      <c r="Q691" s="14"/>
      <c r="R691" s="15"/>
      <c r="S691" s="14"/>
      <c r="T691" s="15"/>
      <c r="U691" s="14"/>
      <c r="V691" s="15"/>
      <c r="W691" s="14"/>
      <c r="X691" s="15"/>
      <c r="Y691" s="14"/>
      <c r="Z691" s="15"/>
    </row>
    <row r="692" spans="1:26" x14ac:dyDescent="0.25">
      <c r="Q692" s="14"/>
      <c r="R692" s="15"/>
      <c r="S692" s="14"/>
      <c r="T692" s="15"/>
      <c r="U692" s="14"/>
      <c r="V692" s="15"/>
      <c r="W692" s="14"/>
      <c r="X692" s="15"/>
      <c r="Y692" s="14"/>
      <c r="Z692" s="15"/>
    </row>
    <row r="693" spans="1:26" x14ac:dyDescent="0.25">
      <c r="Q693" s="14"/>
      <c r="R693" s="15"/>
      <c r="S693" s="14"/>
      <c r="T693" s="15"/>
      <c r="U693" s="14"/>
      <c r="V693" s="15"/>
      <c r="W693" s="14"/>
      <c r="X693" s="15"/>
      <c r="Y693" s="14"/>
      <c r="Z693" s="15"/>
    </row>
    <row r="694" spans="1:26" x14ac:dyDescent="0.25">
      <c r="Q694" s="14"/>
      <c r="R694" s="15"/>
      <c r="S694" s="14"/>
      <c r="T694" s="15"/>
      <c r="U694" s="14"/>
      <c r="V694" s="15"/>
      <c r="W694" s="14"/>
      <c r="X694" s="15"/>
      <c r="Y694" s="14"/>
      <c r="Z694" s="15"/>
    </row>
    <row r="695" spans="1:26" x14ac:dyDescent="0.25">
      <c r="Q695" s="14"/>
      <c r="R695" s="15"/>
      <c r="S695" s="14"/>
      <c r="T695" s="15"/>
      <c r="U695" s="14"/>
      <c r="V695" s="15"/>
      <c r="W695" s="14"/>
      <c r="X695" s="15"/>
      <c r="Y695" s="14"/>
      <c r="Z695" s="15"/>
    </row>
    <row r="696" spans="1:26" x14ac:dyDescent="0.25">
      <c r="Q696" s="14"/>
      <c r="R696" s="15"/>
      <c r="S696" s="14"/>
      <c r="T696" s="15"/>
      <c r="U696" s="14"/>
      <c r="V696" s="15"/>
      <c r="W696" s="14"/>
      <c r="X696" s="15"/>
      <c r="Y696" s="14"/>
      <c r="Z696" s="15"/>
    </row>
    <row r="697" spans="1:26" x14ac:dyDescent="0.25">
      <c r="Q697" s="14"/>
      <c r="R697" s="15"/>
      <c r="S697" s="14"/>
      <c r="T697" s="15"/>
      <c r="U697" s="14"/>
      <c r="V697" s="15"/>
      <c r="W697" s="14"/>
      <c r="X697" s="15"/>
      <c r="Y697" s="14"/>
      <c r="Z697" s="15"/>
    </row>
    <row r="698" spans="1:26" x14ac:dyDescent="0.25">
      <c r="Q698" s="14"/>
      <c r="R698" s="15"/>
      <c r="S698" s="14"/>
      <c r="T698" s="15"/>
      <c r="U698" s="14"/>
      <c r="V698" s="15"/>
      <c r="W698" s="14"/>
      <c r="X698" s="15"/>
      <c r="Y698" s="14"/>
      <c r="Z698" s="15"/>
    </row>
    <row r="699" spans="1:26" x14ac:dyDescent="0.25">
      <c r="Q699" s="14"/>
      <c r="R699" s="15"/>
      <c r="S699" s="14"/>
      <c r="T699" s="15"/>
      <c r="U699" s="14"/>
      <c r="V699" s="15"/>
      <c r="W699" s="14"/>
      <c r="X699" s="15"/>
      <c r="Y699" s="14"/>
      <c r="Z699" s="15"/>
    </row>
    <row r="700" spans="1:26" x14ac:dyDescent="0.25">
      <c r="Q700" s="14"/>
      <c r="R700" s="15"/>
      <c r="S700" s="14"/>
      <c r="T700" s="15"/>
      <c r="U700" s="14"/>
      <c r="V700" s="15"/>
      <c r="W700" s="14"/>
      <c r="X700" s="15"/>
      <c r="Y700" s="14"/>
      <c r="Z700" s="15"/>
    </row>
    <row r="701" spans="1:26" x14ac:dyDescent="0.25">
      <c r="Q701" s="14"/>
      <c r="R701" s="15"/>
      <c r="S701" s="14"/>
      <c r="T701" s="15"/>
      <c r="U701" s="14"/>
      <c r="V701" s="15"/>
      <c r="W701" s="14"/>
      <c r="X701" s="15"/>
      <c r="Y701" s="14"/>
      <c r="Z701" s="15"/>
    </row>
    <row r="702" spans="1:26" x14ac:dyDescent="0.25">
      <c r="Q702" s="14"/>
      <c r="R702" s="15"/>
      <c r="S702" s="14"/>
      <c r="T702" s="15"/>
      <c r="U702" s="14"/>
      <c r="V702" s="15"/>
      <c r="W702" s="14"/>
      <c r="X702" s="15"/>
      <c r="Y702" s="14"/>
      <c r="Z702" s="15"/>
    </row>
    <row r="703" spans="1:26" x14ac:dyDescent="0.25">
      <c r="Q703" s="14"/>
      <c r="R703" s="15"/>
      <c r="S703" s="14"/>
      <c r="T703" s="15"/>
      <c r="U703" s="14"/>
      <c r="V703" s="15"/>
      <c r="W703" s="14"/>
      <c r="X703" s="15"/>
      <c r="Y703" s="14"/>
      <c r="Z703" s="15"/>
    </row>
    <row r="704" spans="1:26" x14ac:dyDescent="0.25">
      <c r="Q704" s="14"/>
      <c r="R704" s="15"/>
      <c r="S704" s="14"/>
      <c r="T704" s="15"/>
      <c r="U704" s="14"/>
      <c r="V704" s="15"/>
      <c r="W704" s="14"/>
      <c r="X704" s="15"/>
      <c r="Y704" s="14"/>
      <c r="Z704" s="15"/>
    </row>
    <row r="705" spans="1:26" x14ac:dyDescent="0.25">
      <c r="Q705" s="14"/>
      <c r="R705" s="15"/>
      <c r="S705" s="14"/>
      <c r="T705" s="15"/>
      <c r="U705" s="14"/>
      <c r="V705" s="15"/>
      <c r="W705" s="14"/>
      <c r="X705" s="15"/>
      <c r="Y705" s="14"/>
      <c r="Z705" s="15"/>
    </row>
    <row r="706" spans="1:26" x14ac:dyDescent="0.25">
      <c r="Q706" s="14"/>
      <c r="R706" s="15"/>
      <c r="S706" s="14"/>
      <c r="T706" s="15"/>
      <c r="U706" s="14"/>
      <c r="V706" s="15"/>
      <c r="W706" s="14"/>
      <c r="X706" s="15"/>
      <c r="Y706" s="14"/>
      <c r="Z706" s="15"/>
    </row>
    <row r="707" spans="1:26" x14ac:dyDescent="0.25">
      <c r="Q707" s="14"/>
      <c r="R707" s="15"/>
      <c r="S707" s="14"/>
      <c r="T707" s="15"/>
      <c r="U707" s="14"/>
      <c r="V707" s="15"/>
      <c r="W707" s="14"/>
      <c r="X707" s="15"/>
      <c r="Y707" s="14"/>
      <c r="Z707" s="15"/>
    </row>
    <row r="708" spans="1:26" x14ac:dyDescent="0.25">
      <c r="Q708" s="14"/>
      <c r="R708" s="15"/>
      <c r="S708" s="14"/>
      <c r="T708" s="15"/>
      <c r="U708" s="14"/>
      <c r="V708" s="15"/>
      <c r="W708" s="14"/>
      <c r="X708" s="15"/>
      <c r="Y708" s="14"/>
      <c r="Z708" s="15"/>
    </row>
    <row r="709" spans="1:26" x14ac:dyDescent="0.25">
      <c r="Q709" s="14"/>
      <c r="R709" s="15"/>
      <c r="S709" s="14"/>
      <c r="T709" s="15"/>
      <c r="U709" s="14"/>
      <c r="V709" s="15"/>
      <c r="W709" s="14"/>
      <c r="X709" s="15"/>
      <c r="Y709" s="14"/>
      <c r="Z709" s="15"/>
    </row>
    <row r="710" spans="1:26" x14ac:dyDescent="0.25">
      <c r="Q710" s="14"/>
      <c r="R710" s="15"/>
      <c r="S710" s="14"/>
      <c r="T710" s="15"/>
      <c r="U710" s="14"/>
      <c r="V710" s="15"/>
      <c r="W710" s="14"/>
      <c r="X710" s="15"/>
      <c r="Y710" s="14"/>
      <c r="Z710" s="15"/>
    </row>
    <row r="711" spans="1:26" x14ac:dyDescent="0.25">
      <c r="Q711" s="14"/>
      <c r="R711" s="15"/>
      <c r="S711" s="14"/>
      <c r="T711" s="15"/>
      <c r="U711" s="14"/>
      <c r="V711" s="15"/>
      <c r="W711" s="14"/>
      <c r="X711" s="15"/>
      <c r="Y711" s="14"/>
      <c r="Z711" s="15"/>
    </row>
    <row r="712" spans="1:26" x14ac:dyDescent="0.25">
      <c r="Q712" s="14"/>
      <c r="R712" s="15"/>
      <c r="S712" s="14"/>
      <c r="T712" s="15"/>
      <c r="U712" s="14"/>
      <c r="V712" s="15"/>
      <c r="W712" s="14"/>
      <c r="X712" s="15"/>
      <c r="Y712" s="14"/>
      <c r="Z712" s="15"/>
    </row>
    <row r="713" spans="1:26" x14ac:dyDescent="0.25">
      <c r="Q713" s="14"/>
      <c r="R713" s="15"/>
      <c r="S713" s="14"/>
      <c r="T713" s="15"/>
      <c r="U713" s="14"/>
      <c r="V713" s="15"/>
      <c r="W713" s="14"/>
      <c r="X713" s="15"/>
      <c r="Y713" s="14"/>
      <c r="Z713" s="15"/>
    </row>
    <row r="714" spans="1:26" x14ac:dyDescent="0.25">
      <c r="Q714" s="14"/>
      <c r="R714" s="15"/>
      <c r="S714" s="14"/>
      <c r="T714" s="15"/>
      <c r="U714" s="14"/>
      <c r="V714" s="15"/>
      <c r="W714" s="14"/>
      <c r="X714" s="15"/>
      <c r="Y714" s="14"/>
      <c r="Z714" s="15"/>
    </row>
    <row r="715" spans="1:26" x14ac:dyDescent="0.25">
      <c r="Q715" s="14"/>
      <c r="R715" s="15"/>
      <c r="S715" s="14"/>
      <c r="T715" s="15"/>
      <c r="U715" s="14"/>
      <c r="V715" s="15"/>
      <c r="W715" s="14"/>
      <c r="X715" s="15"/>
      <c r="Y715" s="14"/>
      <c r="Z715" s="15"/>
    </row>
    <row r="716" spans="1:26" x14ac:dyDescent="0.25">
      <c r="Q716" s="14"/>
      <c r="R716" s="15"/>
      <c r="S716" s="14"/>
      <c r="T716" s="15"/>
      <c r="U716" s="14"/>
      <c r="V716" s="15"/>
      <c r="W716" s="14"/>
      <c r="X716" s="15"/>
      <c r="Y716" s="14"/>
      <c r="Z716" s="15"/>
    </row>
    <row r="717" spans="1:26" x14ac:dyDescent="0.25">
      <c r="Q717" s="14"/>
      <c r="R717" s="15"/>
      <c r="S717" s="14"/>
      <c r="T717" s="15"/>
      <c r="U717" s="14"/>
      <c r="V717" s="15"/>
      <c r="W717" s="14"/>
      <c r="X717" s="15"/>
      <c r="Y717" s="14"/>
      <c r="Z717" s="15"/>
    </row>
    <row r="718" spans="1:26" x14ac:dyDescent="0.25">
      <c r="Q718" s="14"/>
      <c r="R718" s="15"/>
      <c r="S718" s="14"/>
      <c r="T718" s="15"/>
      <c r="U718" s="14"/>
      <c r="V718" s="15"/>
      <c r="W718" s="14"/>
      <c r="X718" s="15"/>
      <c r="Y718" s="14"/>
      <c r="Z718" s="15"/>
    </row>
    <row r="719" spans="1:26" x14ac:dyDescent="0.25">
      <c r="Q719" s="14"/>
      <c r="R719" s="15"/>
      <c r="S719" s="14"/>
      <c r="T719" s="15"/>
      <c r="U719" s="14"/>
      <c r="V719" s="15"/>
      <c r="W719" s="14"/>
      <c r="X719" s="15"/>
      <c r="Y719" s="14"/>
      <c r="Z719" s="15"/>
    </row>
    <row r="720" spans="1:26" x14ac:dyDescent="0.25">
      <c r="Q720" s="14"/>
      <c r="R720" s="15"/>
      <c r="S720" s="14"/>
      <c r="T720" s="15"/>
      <c r="U720" s="14"/>
      <c r="V720" s="15"/>
      <c r="W720" s="14"/>
      <c r="X720" s="15"/>
      <c r="Y720" s="14"/>
      <c r="Z720" s="15"/>
    </row>
    <row r="721" spans="1:26" x14ac:dyDescent="0.25">
      <c r="Q721" s="14"/>
      <c r="R721" s="15"/>
      <c r="S721" s="14"/>
      <c r="T721" s="15"/>
      <c r="U721" s="14"/>
      <c r="V721" s="15"/>
      <c r="W721" s="14"/>
      <c r="X721" s="15"/>
      <c r="Y721" s="14"/>
      <c r="Z721" s="15"/>
    </row>
    <row r="722" spans="1:26" x14ac:dyDescent="0.25">
      <c r="Q722" s="14"/>
      <c r="R722" s="15"/>
      <c r="S722" s="14"/>
      <c r="T722" s="15"/>
      <c r="U722" s="14"/>
      <c r="V722" s="15"/>
      <c r="W722" s="14"/>
      <c r="X722" s="15"/>
      <c r="Y722" s="14"/>
      <c r="Z722" s="15"/>
    </row>
    <row r="723" spans="1:26" x14ac:dyDescent="0.25">
      <c r="Q723" s="14"/>
      <c r="R723" s="15"/>
      <c r="S723" s="14"/>
      <c r="T723" s="15"/>
      <c r="U723" s="14"/>
      <c r="V723" s="15"/>
      <c r="W723" s="14"/>
      <c r="X723" s="15"/>
      <c r="Y723" s="14"/>
      <c r="Z723" s="15"/>
    </row>
    <row r="724" spans="1:26" x14ac:dyDescent="0.25">
      <c r="Q724" s="14"/>
      <c r="R724" s="15"/>
      <c r="S724" s="14"/>
      <c r="T724" s="15"/>
      <c r="U724" s="14"/>
      <c r="V724" s="15"/>
      <c r="W724" s="14"/>
      <c r="X724" s="15"/>
      <c r="Y724" s="14"/>
      <c r="Z724" s="15"/>
    </row>
    <row r="725" spans="1:26" x14ac:dyDescent="0.25">
      <c r="Q725" s="14"/>
      <c r="R725" s="15"/>
      <c r="S725" s="14"/>
      <c r="T725" s="15"/>
      <c r="U725" s="14"/>
      <c r="V725" s="15"/>
      <c r="W725" s="14"/>
      <c r="X725" s="15"/>
      <c r="Y725" s="14"/>
      <c r="Z725" s="15"/>
    </row>
    <row r="726" spans="1:26" x14ac:dyDescent="0.25">
      <c r="Q726" s="14"/>
      <c r="R726" s="15"/>
      <c r="S726" s="14"/>
      <c r="T726" s="15"/>
      <c r="U726" s="14"/>
      <c r="V726" s="15"/>
      <c r="W726" s="14"/>
      <c r="X726" s="15"/>
      <c r="Y726" s="14"/>
      <c r="Z726" s="15"/>
    </row>
    <row r="727" spans="1:26" x14ac:dyDescent="0.25">
      <c r="Q727" s="14"/>
      <c r="R727" s="15"/>
      <c r="S727" s="14"/>
      <c r="T727" s="15"/>
      <c r="U727" s="14"/>
      <c r="V727" s="15"/>
      <c r="W727" s="14"/>
      <c r="X727" s="15"/>
      <c r="Y727" s="14"/>
      <c r="Z727" s="15"/>
    </row>
    <row r="728" spans="1:26" x14ac:dyDescent="0.25">
      <c r="Q728" s="14"/>
      <c r="R728" s="15"/>
      <c r="S728" s="14"/>
      <c r="T728" s="15"/>
      <c r="U728" s="14"/>
      <c r="V728" s="15"/>
      <c r="W728" s="14"/>
      <c r="X728" s="15"/>
      <c r="Y728" s="14"/>
      <c r="Z728" s="15"/>
    </row>
    <row r="729" spans="1:26" x14ac:dyDescent="0.25">
      <c r="Q729" s="14"/>
      <c r="R729" s="15"/>
      <c r="S729" s="14"/>
      <c r="T729" s="15"/>
      <c r="U729" s="14"/>
      <c r="V729" s="15"/>
      <c r="W729" s="14"/>
      <c r="X729" s="15"/>
      <c r="Y729" s="14"/>
      <c r="Z729" s="15"/>
    </row>
    <row r="730" spans="1:26" x14ac:dyDescent="0.25">
      <c r="Q730" s="14"/>
      <c r="R730" s="15"/>
      <c r="S730" s="14"/>
      <c r="T730" s="15"/>
      <c r="U730" s="14"/>
      <c r="V730" s="15"/>
      <c r="W730" s="14"/>
      <c r="X730" s="15"/>
      <c r="Y730" s="14"/>
      <c r="Z730" s="15"/>
    </row>
    <row r="731" spans="1:26" x14ac:dyDescent="0.25">
      <c r="Q731" s="14"/>
      <c r="R731" s="15"/>
      <c r="S731" s="14"/>
      <c r="T731" s="15"/>
      <c r="U731" s="14"/>
      <c r="V731" s="15"/>
      <c r="W731" s="14"/>
      <c r="X731" s="15"/>
      <c r="Y731" s="14"/>
      <c r="Z731" s="15"/>
    </row>
    <row r="732" spans="1:26" x14ac:dyDescent="0.25">
      <c r="Q732" s="14"/>
      <c r="R732" s="15"/>
      <c r="S732" s="14"/>
      <c r="T732" s="15"/>
      <c r="U732" s="14"/>
      <c r="V732" s="15"/>
      <c r="W732" s="14"/>
      <c r="X732" s="15"/>
      <c r="Y732" s="14"/>
      <c r="Z732" s="15"/>
    </row>
    <row r="733" spans="1:26" x14ac:dyDescent="0.25">
      <c r="Q733" s="14"/>
      <c r="R733" s="15"/>
      <c r="S733" s="14"/>
      <c r="T733" s="15"/>
      <c r="U733" s="14"/>
      <c r="V733" s="15"/>
      <c r="W733" s="14"/>
      <c r="X733" s="15"/>
      <c r="Y733" s="14"/>
      <c r="Z733" s="15"/>
    </row>
    <row r="734" spans="1:26" x14ac:dyDescent="0.25">
      <c r="Q734" s="14"/>
      <c r="R734" s="15"/>
      <c r="S734" s="14"/>
      <c r="T734" s="15"/>
      <c r="U734" s="14"/>
      <c r="V734" s="15"/>
      <c r="W734" s="14"/>
      <c r="X734" s="15"/>
      <c r="Y734" s="14"/>
      <c r="Z734" s="15"/>
    </row>
    <row r="735" spans="1:26" x14ac:dyDescent="0.25">
      <c r="Q735" s="14"/>
      <c r="R735" s="15"/>
      <c r="S735" s="14"/>
      <c r="T735" s="15"/>
      <c r="U735" s="14"/>
      <c r="V735" s="15"/>
      <c r="W735" s="14"/>
      <c r="X735" s="15"/>
      <c r="Y735" s="14"/>
      <c r="Z735" s="15"/>
    </row>
    <row r="736" spans="1:26" x14ac:dyDescent="0.25">
      <c r="Q736" s="14"/>
      <c r="R736" s="15"/>
      <c r="S736" s="14"/>
      <c r="T736" s="15"/>
      <c r="U736" s="14"/>
      <c r="V736" s="15"/>
      <c r="W736" s="14"/>
      <c r="X736" s="15"/>
      <c r="Y736" s="14"/>
      <c r="Z736" s="15"/>
    </row>
    <row r="737" spans="1:26" x14ac:dyDescent="0.25">
      <c r="Q737" s="14"/>
      <c r="R737" s="15"/>
      <c r="S737" s="14"/>
      <c r="T737" s="15"/>
      <c r="U737" s="14"/>
      <c r="V737" s="15"/>
      <c r="W737" s="14"/>
      <c r="X737" s="15"/>
      <c r="Y737" s="14"/>
      <c r="Z737" s="15"/>
    </row>
    <row r="738" spans="1:26" x14ac:dyDescent="0.25">
      <c r="Q738" s="14"/>
      <c r="R738" s="15"/>
      <c r="S738" s="14"/>
      <c r="T738" s="15"/>
      <c r="U738" s="14"/>
      <c r="V738" s="15"/>
      <c r="W738" s="14"/>
      <c r="X738" s="15"/>
      <c r="Y738" s="14"/>
      <c r="Z738" s="15"/>
    </row>
    <row r="739" spans="1:26" x14ac:dyDescent="0.25">
      <c r="Q739" s="14"/>
      <c r="R739" s="15"/>
      <c r="S739" s="14"/>
      <c r="T739" s="15"/>
      <c r="U739" s="14"/>
      <c r="V739" s="15"/>
      <c r="W739" s="14"/>
      <c r="X739" s="15"/>
      <c r="Y739" s="14"/>
      <c r="Z739" s="15"/>
    </row>
    <row r="740" spans="1:26" x14ac:dyDescent="0.25">
      <c r="Q740" s="14"/>
      <c r="R740" s="15"/>
      <c r="S740" s="14"/>
      <c r="T740" s="15"/>
      <c r="U740" s="14"/>
      <c r="V740" s="15"/>
      <c r="W740" s="14"/>
      <c r="X740" s="15"/>
      <c r="Y740" s="14"/>
      <c r="Z740" s="15"/>
    </row>
    <row r="741" spans="1:26" x14ac:dyDescent="0.25">
      <c r="Q741" s="14"/>
      <c r="R741" s="15"/>
      <c r="S741" s="14"/>
      <c r="T741" s="15"/>
      <c r="U741" s="14"/>
      <c r="V741" s="15"/>
      <c r="W741" s="14"/>
      <c r="X741" s="15"/>
      <c r="Y741" s="14"/>
      <c r="Z741" s="15"/>
    </row>
    <row r="742" spans="1:26" x14ac:dyDescent="0.25">
      <c r="Q742" s="14"/>
      <c r="R742" s="15"/>
      <c r="S742" s="14"/>
      <c r="T742" s="15"/>
      <c r="U742" s="14"/>
      <c r="V742" s="15"/>
      <c r="W742" s="14"/>
      <c r="X742" s="15"/>
      <c r="Y742" s="14"/>
      <c r="Z742" s="15"/>
    </row>
    <row r="743" spans="1:26" x14ac:dyDescent="0.25">
      <c r="Q743" s="14"/>
      <c r="R743" s="15"/>
      <c r="S743" s="14"/>
      <c r="T743" s="15"/>
      <c r="U743" s="14"/>
      <c r="V743" s="15"/>
      <c r="W743" s="14"/>
      <c r="X743" s="15"/>
      <c r="Y743" s="14"/>
      <c r="Z743" s="15"/>
    </row>
    <row r="744" spans="1:26" x14ac:dyDescent="0.25">
      <c r="Q744" s="14"/>
      <c r="R744" s="15"/>
      <c r="S744" s="14"/>
      <c r="T744" s="15"/>
      <c r="U744" s="14"/>
      <c r="V744" s="15"/>
      <c r="W744" s="14"/>
      <c r="X744" s="15"/>
      <c r="Y744" s="14"/>
      <c r="Z744" s="15"/>
    </row>
    <row r="745" spans="1:26" x14ac:dyDescent="0.25">
      <c r="Q745" s="14"/>
      <c r="R745" s="15"/>
      <c r="S745" s="14"/>
      <c r="T745" s="15"/>
      <c r="U745" s="14"/>
      <c r="V745" s="15"/>
      <c r="W745" s="14"/>
      <c r="X745" s="15"/>
      <c r="Y745" s="14"/>
      <c r="Z745" s="15"/>
    </row>
    <row r="746" spans="1:26" x14ac:dyDescent="0.25">
      <c r="Q746" s="14"/>
      <c r="R746" s="15"/>
      <c r="S746" s="14"/>
      <c r="T746" s="15"/>
      <c r="U746" s="14"/>
      <c r="V746" s="15"/>
      <c r="W746" s="14"/>
      <c r="X746" s="15"/>
      <c r="Y746" s="14"/>
      <c r="Z746" s="15"/>
    </row>
    <row r="747" spans="1:26" x14ac:dyDescent="0.25">
      <c r="Q747" s="14"/>
      <c r="R747" s="15"/>
      <c r="S747" s="14"/>
      <c r="T747" s="15"/>
      <c r="U747" s="14"/>
      <c r="V747" s="15"/>
      <c r="W747" s="14"/>
      <c r="X747" s="15"/>
      <c r="Y747" s="14"/>
      <c r="Z747" s="15"/>
    </row>
    <row r="748" spans="1:26" x14ac:dyDescent="0.25">
      <c r="Q748" s="14"/>
      <c r="R748" s="15"/>
      <c r="S748" s="14"/>
      <c r="T748" s="15"/>
      <c r="U748" s="14"/>
      <c r="V748" s="15"/>
      <c r="W748" s="14"/>
      <c r="X748" s="15"/>
      <c r="Y748" s="14"/>
      <c r="Z748" s="15"/>
    </row>
    <row r="749" spans="1:26" x14ac:dyDescent="0.25">
      <c r="Q749" s="14"/>
      <c r="R749" s="15"/>
      <c r="S749" s="14"/>
      <c r="T749" s="15"/>
      <c r="U749" s="14"/>
      <c r="V749" s="15"/>
      <c r="W749" s="14"/>
      <c r="X749" s="15"/>
      <c r="Y749" s="14"/>
      <c r="Z749" s="15"/>
    </row>
    <row r="750" spans="1:26" x14ac:dyDescent="0.25">
      <c r="Q750" s="14"/>
      <c r="R750" s="15"/>
      <c r="S750" s="14"/>
      <c r="T750" s="15"/>
      <c r="U750" s="14"/>
      <c r="V750" s="15"/>
      <c r="W750" s="14"/>
      <c r="X750" s="15"/>
      <c r="Y750" s="14"/>
      <c r="Z750" s="15"/>
    </row>
    <row r="751" spans="1:26" x14ac:dyDescent="0.25">
      <c r="Q751" s="14"/>
      <c r="R751" s="15"/>
      <c r="S751" s="14"/>
      <c r="T751" s="15"/>
      <c r="U751" s="14"/>
      <c r="V751" s="15"/>
      <c r="W751" s="14"/>
      <c r="X751" s="15"/>
      <c r="Y751" s="14"/>
      <c r="Z751" s="15"/>
    </row>
    <row r="752" spans="1:26" x14ac:dyDescent="0.25">
      <c r="Q752" s="14"/>
      <c r="R752" s="15"/>
      <c r="S752" s="14"/>
      <c r="T752" s="15"/>
      <c r="U752" s="14"/>
      <c r="V752" s="15"/>
      <c r="W752" s="14"/>
      <c r="X752" s="15"/>
      <c r="Y752" s="14"/>
      <c r="Z752" s="15"/>
    </row>
    <row r="753" spans="1:26" x14ac:dyDescent="0.25">
      <c r="Q753" s="14"/>
      <c r="R753" s="15"/>
      <c r="S753" s="14"/>
      <c r="T753" s="15"/>
      <c r="U753" s="14"/>
      <c r="V753" s="15"/>
      <c r="W753" s="14"/>
      <c r="X753" s="15"/>
      <c r="Y753" s="14"/>
      <c r="Z753" s="15"/>
    </row>
    <row r="754" spans="1:26" x14ac:dyDescent="0.25">
      <c r="Q754" s="14"/>
      <c r="R754" s="15"/>
      <c r="S754" s="14"/>
      <c r="T754" s="15"/>
      <c r="U754" s="14"/>
      <c r="V754" s="15"/>
      <c r="W754" s="14"/>
      <c r="X754" s="15"/>
      <c r="Y754" s="14"/>
      <c r="Z754" s="15"/>
    </row>
    <row r="755" spans="1:26" x14ac:dyDescent="0.25">
      <c r="Q755" s="14"/>
      <c r="R755" s="15"/>
      <c r="S755" s="14"/>
      <c r="T755" s="15"/>
      <c r="U755" s="14"/>
      <c r="V755" s="15"/>
      <c r="W755" s="14"/>
      <c r="X755" s="15"/>
      <c r="Y755" s="14"/>
      <c r="Z755" s="15"/>
    </row>
    <row r="756" spans="1:26" x14ac:dyDescent="0.25">
      <c r="Q756" s="14"/>
      <c r="R756" s="15"/>
      <c r="S756" s="14"/>
      <c r="T756" s="15"/>
      <c r="U756" s="14"/>
      <c r="V756" s="15"/>
      <c r="W756" s="14"/>
      <c r="X756" s="15"/>
      <c r="Y756" s="14"/>
      <c r="Z756" s="15"/>
    </row>
    <row r="757" spans="1:26" x14ac:dyDescent="0.25">
      <c r="Q757" s="14"/>
      <c r="R757" s="15"/>
      <c r="S757" s="14"/>
      <c r="T757" s="15"/>
      <c r="U757" s="14"/>
      <c r="V757" s="15"/>
      <c r="W757" s="14"/>
      <c r="X757" s="15"/>
      <c r="Y757" s="14"/>
      <c r="Z757" s="15"/>
    </row>
    <row r="758" spans="1:26" x14ac:dyDescent="0.25">
      <c r="Q758" s="14"/>
      <c r="R758" s="15"/>
      <c r="S758" s="14"/>
      <c r="T758" s="15"/>
      <c r="U758" s="14"/>
      <c r="V758" s="15"/>
      <c r="W758" s="14"/>
      <c r="X758" s="15"/>
      <c r="Y758" s="14"/>
      <c r="Z758" s="15"/>
    </row>
    <row r="759" spans="1:26" x14ac:dyDescent="0.25">
      <c r="Q759" s="14"/>
      <c r="R759" s="15"/>
      <c r="S759" s="14"/>
      <c r="T759" s="15"/>
      <c r="U759" s="14"/>
      <c r="V759" s="15"/>
      <c r="W759" s="14"/>
      <c r="X759" s="15"/>
      <c r="Y759" s="14"/>
      <c r="Z759" s="15"/>
    </row>
    <row r="760" spans="1:26" x14ac:dyDescent="0.25">
      <c r="Q760" s="14"/>
      <c r="R760" s="15"/>
      <c r="S760" s="14"/>
      <c r="T760" s="15"/>
      <c r="U760" s="14"/>
      <c r="V760" s="15"/>
      <c r="W760" s="14"/>
      <c r="X760" s="15"/>
      <c r="Y760" s="14"/>
      <c r="Z760" s="15"/>
    </row>
    <row r="761" spans="1:26" x14ac:dyDescent="0.25">
      <c r="Q761" s="14"/>
      <c r="R761" s="15"/>
      <c r="S761" s="14"/>
      <c r="T761" s="15"/>
      <c r="U761" s="14"/>
      <c r="V761" s="15"/>
      <c r="W761" s="14"/>
      <c r="X761" s="15"/>
      <c r="Y761" s="14"/>
      <c r="Z761" s="15"/>
    </row>
    <row r="762" spans="1:26" x14ac:dyDescent="0.25">
      <c r="Q762" s="14"/>
      <c r="R762" s="15"/>
      <c r="S762" s="14"/>
      <c r="T762" s="15"/>
      <c r="U762" s="14"/>
      <c r="V762" s="15"/>
      <c r="W762" s="14"/>
      <c r="X762" s="15"/>
      <c r="Y762" s="14"/>
      <c r="Z762" s="15"/>
    </row>
    <row r="763" spans="1:26" x14ac:dyDescent="0.25">
      <c r="Q763" s="14"/>
      <c r="R763" s="15"/>
      <c r="S763" s="14"/>
      <c r="T763" s="15"/>
      <c r="U763" s="14"/>
      <c r="V763" s="15"/>
      <c r="W763" s="14"/>
      <c r="X763" s="15"/>
      <c r="Y763" s="14"/>
      <c r="Z763" s="15"/>
    </row>
    <row r="764" spans="1:26" x14ac:dyDescent="0.25">
      <c r="Q764" s="14"/>
      <c r="R764" s="15"/>
      <c r="S764" s="14"/>
      <c r="T764" s="15"/>
      <c r="U764" s="14"/>
      <c r="V764" s="15"/>
      <c r="W764" s="14"/>
      <c r="X764" s="15"/>
      <c r="Y764" s="14"/>
      <c r="Z764" s="15"/>
    </row>
    <row r="765" spans="1:26" x14ac:dyDescent="0.25">
      <c r="Q765" s="14"/>
      <c r="R765" s="15"/>
      <c r="S765" s="14"/>
      <c r="T765" s="15"/>
      <c r="U765" s="14"/>
      <c r="V765" s="15"/>
      <c r="W765" s="14"/>
      <c r="X765" s="15"/>
      <c r="Y765" s="14"/>
      <c r="Z765" s="15"/>
    </row>
    <row r="766" spans="1:26" x14ac:dyDescent="0.25">
      <c r="Q766" s="14"/>
      <c r="R766" s="15"/>
      <c r="S766" s="14"/>
      <c r="T766" s="15"/>
      <c r="U766" s="14"/>
      <c r="V766" s="15"/>
      <c r="W766" s="14"/>
      <c r="X766" s="15"/>
      <c r="Y766" s="14"/>
      <c r="Z766" s="15"/>
    </row>
    <row r="767" spans="1:26" x14ac:dyDescent="0.25">
      <c r="Q767" s="14"/>
      <c r="R767" s="15"/>
      <c r="S767" s="14"/>
      <c r="T767" s="15"/>
      <c r="U767" s="14"/>
      <c r="V767" s="15"/>
      <c r="W767" s="14"/>
      <c r="X767" s="15"/>
      <c r="Y767" s="14"/>
      <c r="Z767" s="15"/>
    </row>
    <row r="768" spans="1:26" x14ac:dyDescent="0.25">
      <c r="Q768" s="14"/>
      <c r="R768" s="15"/>
      <c r="S768" s="14"/>
      <c r="T768" s="15"/>
      <c r="U768" s="14"/>
      <c r="V768" s="15"/>
      <c r="W768" s="14"/>
      <c r="X768" s="15"/>
      <c r="Y768" s="14"/>
      <c r="Z768" s="15"/>
    </row>
    <row r="769" spans="1:26" x14ac:dyDescent="0.25">
      <c r="Q769" s="14"/>
      <c r="R769" s="15"/>
      <c r="S769" s="14"/>
      <c r="T769" s="15"/>
      <c r="U769" s="14"/>
      <c r="V769" s="15"/>
      <c r="W769" s="14"/>
      <c r="X769" s="15"/>
      <c r="Y769" s="14"/>
      <c r="Z769" s="15"/>
    </row>
    <row r="770" spans="1:26" x14ac:dyDescent="0.25">
      <c r="Q770" s="14"/>
      <c r="R770" s="15"/>
      <c r="S770" s="14"/>
      <c r="T770" s="15"/>
      <c r="U770" s="14"/>
      <c r="V770" s="15"/>
      <c r="W770" s="14"/>
      <c r="X770" s="15"/>
      <c r="Y770" s="14"/>
      <c r="Z770" s="15"/>
    </row>
    <row r="771" spans="1:26" x14ac:dyDescent="0.25">
      <c r="Q771" s="14"/>
      <c r="R771" s="15"/>
      <c r="S771" s="14"/>
      <c r="T771" s="15"/>
      <c r="U771" s="14"/>
      <c r="V771" s="15"/>
      <c r="W771" s="14"/>
      <c r="X771" s="15"/>
      <c r="Y771" s="14"/>
      <c r="Z771" s="15"/>
    </row>
    <row r="772" spans="1:26" x14ac:dyDescent="0.25">
      <c r="Q772" s="14"/>
      <c r="R772" s="15"/>
      <c r="S772" s="14"/>
      <c r="T772" s="15"/>
      <c r="U772" s="14"/>
      <c r="V772" s="15"/>
      <c r="W772" s="14"/>
      <c r="X772" s="15"/>
      <c r="Y772" s="14"/>
      <c r="Z772" s="15"/>
    </row>
    <row r="773" spans="1:26" x14ac:dyDescent="0.25">
      <c r="Q773" s="14"/>
      <c r="R773" s="15"/>
      <c r="S773" s="14"/>
      <c r="T773" s="15"/>
      <c r="U773" s="14"/>
      <c r="V773" s="15"/>
      <c r="W773" s="14"/>
      <c r="X773" s="15"/>
      <c r="Y773" s="14"/>
      <c r="Z773" s="15"/>
    </row>
    <row r="774" spans="1:26" x14ac:dyDescent="0.25">
      <c r="Q774" s="14"/>
      <c r="R774" s="15"/>
      <c r="S774" s="14"/>
      <c r="T774" s="15"/>
      <c r="U774" s="14"/>
      <c r="V774" s="15"/>
      <c r="W774" s="14"/>
      <c r="X774" s="15"/>
      <c r="Y774" s="14"/>
      <c r="Z774" s="15"/>
    </row>
    <row r="775" spans="1:26" x14ac:dyDescent="0.25">
      <c r="Q775" s="14"/>
      <c r="R775" s="15"/>
      <c r="S775" s="14"/>
      <c r="T775" s="15"/>
      <c r="U775" s="14"/>
      <c r="V775" s="15"/>
      <c r="W775" s="14"/>
      <c r="X775" s="15"/>
      <c r="Y775" s="14"/>
      <c r="Z775" s="15"/>
    </row>
    <row r="776" spans="1:26" x14ac:dyDescent="0.25">
      <c r="Q776" s="14"/>
      <c r="R776" s="15"/>
      <c r="S776" s="14"/>
      <c r="T776" s="15"/>
      <c r="U776" s="14"/>
      <c r="V776" s="15"/>
      <c r="W776" s="14"/>
      <c r="X776" s="15"/>
      <c r="Y776" s="14"/>
      <c r="Z776" s="15"/>
    </row>
    <row r="777" spans="1:26" x14ac:dyDescent="0.25">
      <c r="Q777" s="14"/>
      <c r="R777" s="15"/>
      <c r="S777" s="14"/>
      <c r="T777" s="15"/>
      <c r="U777" s="14"/>
      <c r="V777" s="15"/>
      <c r="W777" s="14"/>
      <c r="X777" s="15"/>
      <c r="Y777" s="14"/>
      <c r="Z777" s="15"/>
    </row>
    <row r="778" spans="1:26" x14ac:dyDescent="0.25">
      <c r="Q778" s="14"/>
      <c r="R778" s="15"/>
      <c r="S778" s="14"/>
      <c r="T778" s="15"/>
      <c r="U778" s="14"/>
      <c r="V778" s="15"/>
      <c r="W778" s="14"/>
      <c r="X778" s="15"/>
      <c r="Y778" s="14"/>
      <c r="Z778" s="15"/>
    </row>
    <row r="779" spans="1:26" x14ac:dyDescent="0.25">
      <c r="Q779" s="14"/>
      <c r="R779" s="15"/>
      <c r="S779" s="14"/>
      <c r="T779" s="15"/>
      <c r="U779" s="14"/>
      <c r="V779" s="15"/>
      <c r="W779" s="14"/>
      <c r="X779" s="15"/>
      <c r="Y779" s="14"/>
      <c r="Z779" s="15"/>
    </row>
    <row r="780" spans="1:26" x14ac:dyDescent="0.25">
      <c r="Q780" s="14"/>
      <c r="R780" s="15"/>
      <c r="S780" s="14"/>
      <c r="T780" s="15"/>
      <c r="U780" s="14"/>
      <c r="V780" s="15"/>
      <c r="W780" s="14"/>
      <c r="X780" s="15"/>
      <c r="Y780" s="14"/>
      <c r="Z780" s="15"/>
    </row>
    <row r="781" spans="1:26" x14ac:dyDescent="0.25">
      <c r="Q781" s="14"/>
      <c r="R781" s="15"/>
      <c r="S781" s="14"/>
      <c r="T781" s="15"/>
      <c r="U781" s="14"/>
      <c r="V781" s="15"/>
      <c r="W781" s="14"/>
      <c r="X781" s="15"/>
      <c r="Y781" s="14"/>
      <c r="Z781" s="15"/>
    </row>
    <row r="782" spans="1:26" x14ac:dyDescent="0.25">
      <c r="Q782" s="14"/>
      <c r="R782" s="15"/>
      <c r="S782" s="14"/>
      <c r="T782" s="15"/>
      <c r="U782" s="14"/>
      <c r="V782" s="15"/>
      <c r="W782" s="14"/>
      <c r="X782" s="15"/>
      <c r="Y782" s="14"/>
      <c r="Z782" s="15"/>
    </row>
    <row r="783" spans="1:26" x14ac:dyDescent="0.25">
      <c r="Q783" s="14"/>
      <c r="R783" s="15"/>
      <c r="S783" s="14"/>
      <c r="T783" s="15"/>
      <c r="U783" s="14"/>
      <c r="V783" s="15"/>
      <c r="W783" s="14"/>
      <c r="X783" s="15"/>
      <c r="Y783" s="14"/>
      <c r="Z783" s="15"/>
    </row>
    <row r="784" spans="1:26" x14ac:dyDescent="0.25">
      <c r="Q784" s="14"/>
      <c r="R784" s="15"/>
      <c r="S784" s="14"/>
      <c r="T784" s="15"/>
      <c r="U784" s="14"/>
      <c r="V784" s="15"/>
      <c r="W784" s="14"/>
      <c r="X784" s="15"/>
      <c r="Y784" s="14"/>
      <c r="Z784" s="15"/>
    </row>
    <row r="785" spans="1:26" x14ac:dyDescent="0.25">
      <c r="Q785" s="14"/>
      <c r="R785" s="15"/>
      <c r="S785" s="14"/>
      <c r="T785" s="15"/>
      <c r="U785" s="14"/>
      <c r="V785" s="15"/>
      <c r="W785" s="14"/>
      <c r="X785" s="15"/>
      <c r="Y785" s="14"/>
      <c r="Z785" s="15"/>
    </row>
    <row r="786" spans="1:26" x14ac:dyDescent="0.25">
      <c r="Q786" s="14"/>
      <c r="R786" s="15"/>
      <c r="S786" s="14"/>
      <c r="T786" s="15"/>
      <c r="U786" s="14"/>
      <c r="V786" s="15"/>
      <c r="W786" s="14"/>
      <c r="X786" s="15"/>
      <c r="Y786" s="14"/>
      <c r="Z786" s="15"/>
    </row>
    <row r="787" spans="1:26" x14ac:dyDescent="0.25">
      <c r="Q787" s="14"/>
      <c r="R787" s="15"/>
      <c r="S787" s="14"/>
      <c r="T787" s="15"/>
      <c r="U787" s="14"/>
      <c r="V787" s="15"/>
      <c r="W787" s="14"/>
      <c r="X787" s="15"/>
      <c r="Y787" s="14"/>
      <c r="Z787" s="15"/>
    </row>
    <row r="788" spans="1:26" x14ac:dyDescent="0.25">
      <c r="Q788" s="14"/>
      <c r="R788" s="15"/>
      <c r="S788" s="14"/>
      <c r="T788" s="15"/>
      <c r="U788" s="14"/>
      <c r="V788" s="15"/>
      <c r="W788" s="14"/>
      <c r="X788" s="15"/>
      <c r="Y788" s="14"/>
      <c r="Z788" s="15"/>
    </row>
    <row r="789" spans="1:26" x14ac:dyDescent="0.25">
      <c r="Q789" s="14"/>
      <c r="R789" s="15"/>
      <c r="S789" s="14"/>
      <c r="T789" s="15"/>
      <c r="U789" s="14"/>
      <c r="V789" s="15"/>
      <c r="W789" s="14"/>
      <c r="X789" s="15"/>
      <c r="Y789" s="14"/>
      <c r="Z789" s="15"/>
    </row>
    <row r="790" spans="1:26" x14ac:dyDescent="0.25">
      <c r="Q790" s="14"/>
      <c r="R790" s="15"/>
      <c r="S790" s="14"/>
      <c r="T790" s="15"/>
      <c r="U790" s="14"/>
      <c r="V790" s="15"/>
      <c r="W790" s="14"/>
      <c r="X790" s="15"/>
      <c r="Y790" s="14"/>
      <c r="Z790" s="15"/>
    </row>
    <row r="791" spans="1:26" x14ac:dyDescent="0.25">
      <c r="Q791" s="14"/>
      <c r="R791" s="15"/>
      <c r="S791" s="14"/>
      <c r="T791" s="15"/>
      <c r="U791" s="14"/>
      <c r="V791" s="15"/>
      <c r="W791" s="14"/>
      <c r="X791" s="15"/>
      <c r="Y791" s="14"/>
      <c r="Z791" s="15"/>
    </row>
    <row r="792" spans="1:26" x14ac:dyDescent="0.25">
      <c r="Q792" s="14"/>
      <c r="R792" s="15"/>
      <c r="S792" s="14"/>
      <c r="T792" s="15"/>
      <c r="U792" s="14"/>
      <c r="V792" s="15"/>
      <c r="W792" s="14"/>
      <c r="X792" s="15"/>
      <c r="Y792" s="14"/>
      <c r="Z792" s="15"/>
    </row>
    <row r="793" spans="1:26" x14ac:dyDescent="0.25">
      <c r="Q793" s="14"/>
      <c r="R793" s="15"/>
      <c r="S793" s="14"/>
      <c r="T793" s="15"/>
      <c r="U793" s="14"/>
      <c r="V793" s="15"/>
      <c r="W793" s="14"/>
      <c r="X793" s="15"/>
      <c r="Y793" s="14"/>
      <c r="Z793" s="15"/>
    </row>
    <row r="794" spans="1:26" x14ac:dyDescent="0.25">
      <c r="Q794" s="14"/>
      <c r="R794" s="15"/>
      <c r="S794" s="14"/>
      <c r="T794" s="15"/>
      <c r="U794" s="14"/>
      <c r="V794" s="15"/>
      <c r="W794" s="14"/>
      <c r="X794" s="15"/>
      <c r="Y794" s="14"/>
      <c r="Z794" s="15"/>
    </row>
    <row r="795" spans="1:26" x14ac:dyDescent="0.25">
      <c r="Q795" s="14"/>
      <c r="R795" s="15"/>
      <c r="S795" s="14"/>
      <c r="T795" s="15"/>
      <c r="U795" s="14"/>
      <c r="V795" s="15"/>
      <c r="W795" s="14"/>
      <c r="X795" s="15"/>
      <c r="Y795" s="14"/>
      <c r="Z795" s="15"/>
    </row>
    <row r="796" spans="1:26" x14ac:dyDescent="0.25">
      <c r="Q796" s="14"/>
      <c r="R796" s="15"/>
      <c r="S796" s="14"/>
      <c r="T796" s="15"/>
      <c r="U796" s="14"/>
      <c r="V796" s="15"/>
      <c r="W796" s="14"/>
      <c r="X796" s="15"/>
      <c r="Y796" s="14"/>
      <c r="Z796" s="15"/>
    </row>
    <row r="797" spans="1:26" x14ac:dyDescent="0.25">
      <c r="Q797" s="14"/>
      <c r="R797" s="15"/>
      <c r="S797" s="14"/>
      <c r="T797" s="15"/>
      <c r="U797" s="14"/>
      <c r="V797" s="15"/>
      <c r="W797" s="14"/>
      <c r="X797" s="15"/>
      <c r="Y797" s="14"/>
      <c r="Z797" s="15"/>
    </row>
    <row r="798" spans="1:26" x14ac:dyDescent="0.25">
      <c r="Q798" s="14"/>
      <c r="R798" s="15"/>
      <c r="S798" s="14"/>
      <c r="T798" s="15"/>
      <c r="U798" s="14"/>
      <c r="V798" s="15"/>
      <c r="W798" s="14"/>
      <c r="X798" s="15"/>
      <c r="Y798" s="14"/>
      <c r="Z798" s="15"/>
    </row>
    <row r="799" spans="1:26" x14ac:dyDescent="0.25">
      <c r="Q799" s="14"/>
      <c r="R799" s="15"/>
      <c r="S799" s="14"/>
      <c r="T799" s="15"/>
      <c r="U799" s="14"/>
      <c r="V799" s="15"/>
      <c r="W799" s="14"/>
      <c r="X799" s="15"/>
      <c r="Y799" s="14"/>
      <c r="Z799" s="15"/>
    </row>
    <row r="800" spans="1:26" x14ac:dyDescent="0.25">
      <c r="Q800" s="14"/>
      <c r="R800" s="15"/>
      <c r="S800" s="14"/>
      <c r="T800" s="15"/>
      <c r="U800" s="14"/>
      <c r="V800" s="15"/>
      <c r="W800" s="14"/>
      <c r="X800" s="15"/>
      <c r="Y800" s="14"/>
      <c r="Z800" s="15"/>
    </row>
    <row r="801" spans="1:26" x14ac:dyDescent="0.25">
      <c r="Q801" s="14"/>
      <c r="R801" s="15"/>
      <c r="S801" s="14"/>
      <c r="T801" s="15"/>
      <c r="U801" s="14"/>
      <c r="V801" s="15"/>
      <c r="W801" s="14"/>
      <c r="X801" s="15"/>
      <c r="Y801" s="14"/>
      <c r="Z801" s="15"/>
    </row>
    <row r="802" spans="1:26" x14ac:dyDescent="0.25">
      <c r="Q802" s="14"/>
      <c r="R802" s="15"/>
      <c r="S802" s="14"/>
      <c r="T802" s="15"/>
      <c r="U802" s="14"/>
      <c r="V802" s="15"/>
      <c r="W802" s="14"/>
      <c r="X802" s="15"/>
      <c r="Y802" s="14"/>
      <c r="Z802" s="15"/>
    </row>
    <row r="803" spans="1:26" x14ac:dyDescent="0.25">
      <c r="Q803" s="14"/>
      <c r="R803" s="15"/>
      <c r="S803" s="14"/>
      <c r="T803" s="15"/>
      <c r="U803" s="14"/>
      <c r="V803" s="15"/>
      <c r="W803" s="14"/>
      <c r="X803" s="15"/>
      <c r="Y803" s="14"/>
      <c r="Z803" s="15"/>
    </row>
    <row r="804" spans="1:26" x14ac:dyDescent="0.25">
      <c r="Q804" s="14"/>
      <c r="R804" s="15"/>
      <c r="S804" s="14"/>
      <c r="T804" s="15"/>
      <c r="U804" s="14"/>
      <c r="V804" s="15"/>
      <c r="W804" s="14"/>
      <c r="X804" s="15"/>
      <c r="Y804" s="14"/>
      <c r="Z804" s="15"/>
    </row>
    <row r="805" spans="1:26" x14ac:dyDescent="0.25">
      <c r="Q805" s="14"/>
      <c r="R805" s="15"/>
      <c r="S805" s="14"/>
      <c r="T805" s="15"/>
      <c r="U805" s="14"/>
      <c r="V805" s="15"/>
      <c r="W805" s="14"/>
      <c r="X805" s="15"/>
      <c r="Y805" s="14"/>
      <c r="Z805" s="15"/>
    </row>
    <row r="806" spans="1:26" x14ac:dyDescent="0.25">
      <c r="Q806" s="14"/>
      <c r="R806" s="15"/>
      <c r="S806" s="14"/>
      <c r="T806" s="15"/>
      <c r="U806" s="14"/>
      <c r="V806" s="15"/>
      <c r="W806" s="14"/>
      <c r="X806" s="15"/>
      <c r="Y806" s="14"/>
      <c r="Z806" s="15"/>
    </row>
    <row r="807" spans="1:26" x14ac:dyDescent="0.25">
      <c r="Q807" s="14"/>
      <c r="R807" s="15"/>
      <c r="S807" s="14"/>
      <c r="T807" s="15"/>
      <c r="U807" s="14"/>
      <c r="V807" s="15"/>
      <c r="W807" s="14"/>
      <c r="X807" s="15"/>
      <c r="Y807" s="14"/>
      <c r="Z807" s="15"/>
    </row>
    <row r="808" spans="1:26" x14ac:dyDescent="0.25">
      <c r="Q808" s="14"/>
      <c r="R808" s="15"/>
      <c r="S808" s="14"/>
      <c r="T808" s="15"/>
      <c r="U808" s="14"/>
      <c r="V808" s="15"/>
      <c r="W808" s="14"/>
      <c r="X808" s="15"/>
      <c r="Y808" s="14"/>
      <c r="Z808" s="15"/>
    </row>
    <row r="809" spans="1:26" x14ac:dyDescent="0.25">
      <c r="Q809" s="14"/>
      <c r="R809" s="15"/>
      <c r="S809" s="14"/>
      <c r="T809" s="15"/>
      <c r="U809" s="14"/>
      <c r="V809" s="15"/>
      <c r="W809" s="14"/>
      <c r="X809" s="15"/>
      <c r="Y809" s="14"/>
      <c r="Z809" s="15"/>
    </row>
    <row r="810" spans="1:26" x14ac:dyDescent="0.25">
      <c r="Q810" s="14"/>
      <c r="R810" s="15"/>
      <c r="S810" s="14"/>
      <c r="T810" s="15"/>
      <c r="U810" s="14"/>
      <c r="V810" s="15"/>
      <c r="W810" s="14"/>
      <c r="X810" s="15"/>
      <c r="Y810" s="14"/>
      <c r="Z810" s="15"/>
    </row>
    <row r="811" spans="1:26" x14ac:dyDescent="0.25">
      <c r="Q811" s="14"/>
      <c r="R811" s="15"/>
      <c r="S811" s="14"/>
      <c r="T811" s="15"/>
      <c r="U811" s="14"/>
      <c r="V811" s="15"/>
      <c r="W811" s="14"/>
      <c r="X811" s="15"/>
      <c r="Y811" s="14"/>
      <c r="Z811" s="15"/>
    </row>
    <row r="812" spans="1:26" x14ac:dyDescent="0.25">
      <c r="Q812" s="14"/>
      <c r="R812" s="15"/>
      <c r="S812" s="14"/>
      <c r="T812" s="15"/>
      <c r="U812" s="14"/>
      <c r="V812" s="15"/>
      <c r="W812" s="14"/>
      <c r="X812" s="15"/>
      <c r="Y812" s="14"/>
      <c r="Z812" s="15"/>
    </row>
    <row r="813" spans="1:26" x14ac:dyDescent="0.25">
      <c r="Q813" s="14"/>
      <c r="R813" s="15"/>
      <c r="S813" s="14"/>
      <c r="T813" s="15"/>
      <c r="U813" s="14"/>
      <c r="V813" s="15"/>
      <c r="W813" s="14"/>
      <c r="X813" s="15"/>
      <c r="Y813" s="14"/>
      <c r="Z813" s="15"/>
    </row>
    <row r="814" spans="1:26" x14ac:dyDescent="0.25">
      <c r="Q814" s="14"/>
      <c r="R814" s="15"/>
      <c r="S814" s="14"/>
      <c r="T814" s="15"/>
      <c r="U814" s="14"/>
      <c r="V814" s="15"/>
      <c r="W814" s="14"/>
      <c r="X814" s="15"/>
      <c r="Y814" s="14"/>
      <c r="Z814" s="15"/>
    </row>
    <row r="815" spans="1:26" x14ac:dyDescent="0.25">
      <c r="Q815" s="14"/>
      <c r="R815" s="15"/>
      <c r="S815" s="14"/>
      <c r="T815" s="15"/>
      <c r="U815" s="14"/>
      <c r="V815" s="15"/>
      <c r="W815" s="14"/>
      <c r="X815" s="15"/>
      <c r="Y815" s="14"/>
      <c r="Z815" s="15"/>
    </row>
    <row r="816" spans="1:26" x14ac:dyDescent="0.25">
      <c r="Q816" s="14"/>
      <c r="R816" s="15"/>
      <c r="S816" s="14"/>
      <c r="T816" s="15"/>
      <c r="U816" s="14"/>
      <c r="V816" s="15"/>
      <c r="W816" s="14"/>
      <c r="X816" s="15"/>
      <c r="Y816" s="14"/>
      <c r="Z816" s="15"/>
    </row>
    <row r="817" spans="1:26" x14ac:dyDescent="0.25">
      <c r="Q817" s="14"/>
      <c r="R817" s="15"/>
      <c r="S817" s="14"/>
      <c r="T817" s="15"/>
      <c r="U817" s="14"/>
      <c r="V817" s="15"/>
      <c r="W817" s="14"/>
      <c r="X817" s="15"/>
      <c r="Y817" s="14"/>
      <c r="Z817" s="15"/>
    </row>
    <row r="818" spans="1:26" x14ac:dyDescent="0.25">
      <c r="Q818" s="14"/>
      <c r="R818" s="15"/>
      <c r="S818" s="14"/>
      <c r="T818" s="15"/>
      <c r="U818" s="14"/>
      <c r="V818" s="15"/>
      <c r="W818" s="14"/>
      <c r="X818" s="15"/>
      <c r="Y818" s="14"/>
      <c r="Z818" s="15"/>
    </row>
    <row r="819" spans="1:26" x14ac:dyDescent="0.25">
      <c r="Q819" s="14"/>
      <c r="R819" s="15"/>
      <c r="S819" s="14"/>
      <c r="T819" s="15"/>
      <c r="U819" s="14"/>
      <c r="V819" s="15"/>
      <c r="W819" s="14"/>
      <c r="X819" s="15"/>
      <c r="Y819" s="14"/>
      <c r="Z819" s="15"/>
    </row>
    <row r="820" spans="1:26" x14ac:dyDescent="0.25">
      <c r="Q820" s="14"/>
      <c r="R820" s="15"/>
      <c r="S820" s="14"/>
      <c r="T820" s="15"/>
      <c r="U820" s="14"/>
      <c r="V820" s="15"/>
      <c r="W820" s="14"/>
      <c r="X820" s="15"/>
      <c r="Y820" s="14"/>
      <c r="Z820" s="15"/>
    </row>
    <row r="821" spans="1:26" x14ac:dyDescent="0.25">
      <c r="Q821" s="14"/>
      <c r="R821" s="15"/>
      <c r="S821" s="14"/>
      <c r="T821" s="15"/>
      <c r="U821" s="14"/>
      <c r="V821" s="15"/>
      <c r="W821" s="14"/>
      <c r="X821" s="15"/>
      <c r="Y821" s="14"/>
      <c r="Z821" s="15"/>
    </row>
    <row r="822" spans="1:26" x14ac:dyDescent="0.25">
      <c r="Q822" s="14"/>
      <c r="R822" s="15"/>
      <c r="S822" s="14"/>
      <c r="T822" s="15"/>
      <c r="U822" s="14"/>
      <c r="V822" s="15"/>
      <c r="W822" s="14"/>
      <c r="X822" s="15"/>
      <c r="Y822" s="14"/>
      <c r="Z822" s="15"/>
    </row>
    <row r="823" spans="1:26" x14ac:dyDescent="0.25">
      <c r="Q823" s="14"/>
      <c r="R823" s="15"/>
      <c r="S823" s="14"/>
      <c r="T823" s="15"/>
      <c r="U823" s="14"/>
      <c r="V823" s="15"/>
      <c r="W823" s="14"/>
      <c r="X823" s="15"/>
      <c r="Y823" s="14"/>
      <c r="Z823" s="15"/>
    </row>
    <row r="824" spans="1:26" x14ac:dyDescent="0.25">
      <c r="Q824" s="14"/>
      <c r="R824" s="15"/>
      <c r="S824" s="14"/>
      <c r="T824" s="15"/>
      <c r="U824" s="14"/>
      <c r="V824" s="15"/>
      <c r="W824" s="14"/>
      <c r="X824" s="15"/>
      <c r="Y824" s="14"/>
      <c r="Z824" s="15"/>
    </row>
    <row r="825" spans="1:26" x14ac:dyDescent="0.25">
      <c r="Q825" s="14"/>
      <c r="R825" s="15"/>
      <c r="S825" s="14"/>
      <c r="T825" s="15"/>
      <c r="U825" s="14"/>
      <c r="V825" s="15"/>
      <c r="W825" s="14"/>
      <c r="X825" s="15"/>
      <c r="Y825" s="14"/>
      <c r="Z825" s="15"/>
    </row>
    <row r="826" spans="1:26" x14ac:dyDescent="0.25">
      <c r="Q826" s="14"/>
      <c r="R826" s="15"/>
      <c r="S826" s="14"/>
      <c r="T826" s="15"/>
      <c r="U826" s="14"/>
      <c r="V826" s="15"/>
      <c r="W826" s="14"/>
      <c r="X826" s="15"/>
      <c r="Y826" s="14"/>
      <c r="Z826" s="15"/>
    </row>
    <row r="827" spans="1:26" x14ac:dyDescent="0.25">
      <c r="Q827" s="14"/>
      <c r="R827" s="15"/>
      <c r="S827" s="14"/>
      <c r="T827" s="15"/>
      <c r="U827" s="14"/>
      <c r="V827" s="15"/>
      <c r="W827" s="14"/>
      <c r="X827" s="15"/>
      <c r="Y827" s="14"/>
      <c r="Z827" s="15"/>
    </row>
    <row r="828" spans="1:26" x14ac:dyDescent="0.25">
      <c r="Q828" s="14"/>
      <c r="R828" s="15"/>
      <c r="S828" s="14"/>
      <c r="T828" s="15"/>
      <c r="U828" s="14"/>
      <c r="V828" s="15"/>
      <c r="W828" s="14"/>
      <c r="X828" s="15"/>
      <c r="Y828" s="14"/>
      <c r="Z828" s="15"/>
    </row>
    <row r="829" spans="1:26" x14ac:dyDescent="0.25">
      <c r="Q829" s="14"/>
      <c r="R829" s="15"/>
      <c r="S829" s="14"/>
      <c r="T829" s="15"/>
      <c r="U829" s="14"/>
      <c r="V829" s="15"/>
      <c r="W829" s="14"/>
      <c r="X829" s="15"/>
      <c r="Y829" s="14"/>
      <c r="Z829" s="15"/>
    </row>
    <row r="830" spans="1:26" x14ac:dyDescent="0.25">
      <c r="Q830" s="14"/>
      <c r="R830" s="15"/>
      <c r="S830" s="14"/>
      <c r="T830" s="15"/>
      <c r="U830" s="14"/>
      <c r="V830" s="15"/>
      <c r="W830" s="14"/>
      <c r="X830" s="15"/>
      <c r="Y830" s="14"/>
      <c r="Z830" s="15"/>
    </row>
    <row r="831" spans="1:26" x14ac:dyDescent="0.25">
      <c r="Q831" s="14"/>
      <c r="R831" s="15"/>
      <c r="S831" s="14"/>
      <c r="T831" s="15"/>
      <c r="U831" s="14"/>
      <c r="V831" s="15"/>
      <c r="W831" s="14"/>
      <c r="X831" s="15"/>
      <c r="Y831" s="14"/>
      <c r="Z831" s="15"/>
    </row>
    <row r="832" spans="1:26" x14ac:dyDescent="0.25">
      <c r="Q832" s="14"/>
      <c r="R832" s="15"/>
      <c r="S832" s="14"/>
      <c r="T832" s="15"/>
      <c r="U832" s="14"/>
      <c r="V832" s="15"/>
      <c r="W832" s="14"/>
      <c r="X832" s="15"/>
      <c r="Y832" s="14"/>
      <c r="Z832" s="15"/>
    </row>
    <row r="833" spans="1:26" x14ac:dyDescent="0.25">
      <c r="Q833" s="14"/>
      <c r="R833" s="15"/>
      <c r="S833" s="14"/>
      <c r="T833" s="15"/>
      <c r="U833" s="14"/>
      <c r="V833" s="15"/>
      <c r="W833" s="14"/>
      <c r="X833" s="15"/>
      <c r="Y833" s="14"/>
      <c r="Z833" s="15"/>
    </row>
    <row r="834" spans="1:26" x14ac:dyDescent="0.25">
      <c r="Q834" s="14"/>
      <c r="R834" s="15"/>
      <c r="S834" s="14"/>
      <c r="T834" s="15"/>
      <c r="U834" s="14"/>
      <c r="V834" s="15"/>
      <c r="W834" s="14"/>
      <c r="X834" s="15"/>
      <c r="Y834" s="14"/>
      <c r="Z834" s="15"/>
    </row>
    <row r="835" spans="1:26" x14ac:dyDescent="0.25">
      <c r="Q835" s="14"/>
      <c r="R835" s="15"/>
      <c r="S835" s="14"/>
      <c r="T835" s="15"/>
      <c r="U835" s="14"/>
      <c r="V835" s="15"/>
      <c r="W835" s="14"/>
      <c r="X835" s="15"/>
      <c r="Y835" s="14"/>
      <c r="Z835" s="15"/>
    </row>
    <row r="836" spans="1:26" x14ac:dyDescent="0.25">
      <c r="Q836" s="14"/>
      <c r="R836" s="15"/>
      <c r="S836" s="14"/>
      <c r="T836" s="15"/>
      <c r="U836" s="14"/>
      <c r="V836" s="15"/>
      <c r="W836" s="14"/>
      <c r="X836" s="15"/>
      <c r="Y836" s="14"/>
      <c r="Z836" s="15"/>
    </row>
    <row r="837" spans="1:26" x14ac:dyDescent="0.25">
      <c r="Q837" s="14"/>
      <c r="R837" s="15"/>
      <c r="S837" s="14"/>
      <c r="T837" s="15"/>
      <c r="U837" s="14"/>
      <c r="V837" s="15"/>
      <c r="W837" s="14"/>
      <c r="X837" s="15"/>
      <c r="Y837" s="14"/>
      <c r="Z837" s="15"/>
    </row>
    <row r="838" spans="1:26" x14ac:dyDescent="0.25">
      <c r="Q838" s="14"/>
      <c r="R838" s="15"/>
      <c r="S838" s="14"/>
      <c r="T838" s="15"/>
      <c r="U838" s="14"/>
      <c r="V838" s="15"/>
      <c r="W838" s="14"/>
      <c r="X838" s="15"/>
      <c r="Y838" s="14"/>
      <c r="Z838" s="15"/>
    </row>
    <row r="839" spans="1:26" x14ac:dyDescent="0.25">
      <c r="Q839" s="14"/>
      <c r="R839" s="15"/>
      <c r="S839" s="14"/>
      <c r="T839" s="15"/>
      <c r="U839" s="14"/>
      <c r="V839" s="15"/>
      <c r="W839" s="14"/>
      <c r="X839" s="15"/>
      <c r="Y839" s="14"/>
      <c r="Z839" s="15"/>
    </row>
    <row r="840" spans="1:26" x14ac:dyDescent="0.25">
      <c r="Q840" s="14"/>
      <c r="R840" s="15"/>
      <c r="S840" s="14"/>
      <c r="T840" s="15"/>
      <c r="U840" s="14"/>
      <c r="V840" s="15"/>
      <c r="W840" s="14"/>
      <c r="X840" s="15"/>
      <c r="Y840" s="14"/>
      <c r="Z840" s="15"/>
    </row>
    <row r="841" spans="1:26" x14ac:dyDescent="0.25">
      <c r="Q841" s="14"/>
      <c r="R841" s="15"/>
      <c r="S841" s="14"/>
      <c r="T841" s="15"/>
      <c r="U841" s="14"/>
      <c r="V841" s="15"/>
      <c r="W841" s="14"/>
      <c r="X841" s="15"/>
      <c r="Y841" s="14"/>
      <c r="Z841" s="15"/>
    </row>
    <row r="842" spans="1:26" x14ac:dyDescent="0.25">
      <c r="Q842" s="14"/>
      <c r="R842" s="15"/>
      <c r="S842" s="14"/>
      <c r="T842" s="15"/>
      <c r="U842" s="14"/>
      <c r="V842" s="15"/>
      <c r="W842" s="14"/>
      <c r="X842" s="15"/>
      <c r="Y842" s="14"/>
      <c r="Z842" s="15"/>
    </row>
    <row r="843" spans="1:26" x14ac:dyDescent="0.25">
      <c r="Q843" s="14"/>
      <c r="R843" s="15"/>
      <c r="S843" s="14"/>
      <c r="T843" s="15"/>
      <c r="U843" s="14"/>
      <c r="V843" s="15"/>
      <c r="W843" s="14"/>
      <c r="X843" s="15"/>
      <c r="Y843" s="14"/>
      <c r="Z843" s="15"/>
    </row>
    <row r="844" spans="1:26" x14ac:dyDescent="0.25">
      <c r="Q844" s="14"/>
      <c r="R844" s="15"/>
      <c r="S844" s="14"/>
      <c r="T844" s="15"/>
      <c r="U844" s="14"/>
      <c r="V844" s="15"/>
      <c r="W844" s="14"/>
      <c r="X844" s="15"/>
      <c r="Y844" s="14"/>
      <c r="Z844" s="15"/>
    </row>
    <row r="845" spans="1:26" x14ac:dyDescent="0.25">
      <c r="Q845" s="14"/>
      <c r="R845" s="15"/>
      <c r="S845" s="14"/>
      <c r="T845" s="15"/>
      <c r="U845" s="14"/>
      <c r="V845" s="15"/>
      <c r="W845" s="14"/>
      <c r="X845" s="15"/>
      <c r="Y845" s="14"/>
      <c r="Z845" s="15"/>
    </row>
    <row r="846" spans="1:26" x14ac:dyDescent="0.25">
      <c r="Q846" s="14"/>
      <c r="R846" s="15"/>
      <c r="S846" s="14"/>
      <c r="T846" s="15"/>
      <c r="U846" s="14"/>
      <c r="V846" s="15"/>
      <c r="W846" s="14"/>
      <c r="X846" s="15"/>
      <c r="Y846" s="14"/>
      <c r="Z846" s="15"/>
    </row>
    <row r="847" spans="1:26" x14ac:dyDescent="0.25">
      <c r="Q847" s="14"/>
      <c r="R847" s="15"/>
      <c r="S847" s="14"/>
      <c r="T847" s="15"/>
      <c r="U847" s="14"/>
      <c r="V847" s="15"/>
      <c r="W847" s="14"/>
      <c r="X847" s="15"/>
      <c r="Y847" s="14"/>
      <c r="Z847" s="15"/>
    </row>
    <row r="848" spans="1:26" x14ac:dyDescent="0.25">
      <c r="Q848" s="14"/>
      <c r="R848" s="15"/>
      <c r="S848" s="14"/>
      <c r="T848" s="15"/>
      <c r="U848" s="14"/>
      <c r="V848" s="15"/>
      <c r="W848" s="14"/>
      <c r="X848" s="15"/>
      <c r="Y848" s="14"/>
      <c r="Z848" s="15"/>
    </row>
    <row r="849" spans="1:26" x14ac:dyDescent="0.25">
      <c r="Q849" s="14"/>
      <c r="R849" s="15"/>
      <c r="S849" s="14"/>
      <c r="T849" s="15"/>
      <c r="U849" s="14"/>
      <c r="V849" s="15"/>
      <c r="W849" s="14"/>
      <c r="X849" s="15"/>
      <c r="Y849" s="14"/>
      <c r="Z849" s="15"/>
    </row>
    <row r="850" spans="1:26" x14ac:dyDescent="0.25">
      <c r="Q850" s="14"/>
      <c r="R850" s="15"/>
      <c r="S850" s="14"/>
      <c r="T850" s="15"/>
      <c r="U850" s="14"/>
      <c r="V850" s="15"/>
      <c r="W850" s="14"/>
      <c r="X850" s="15"/>
      <c r="Y850" s="14"/>
      <c r="Z850" s="15"/>
    </row>
    <row r="851" spans="1:26" x14ac:dyDescent="0.25">
      <c r="Q851" s="14"/>
      <c r="R851" s="15"/>
      <c r="S851" s="14"/>
      <c r="T851" s="15"/>
      <c r="U851" s="14"/>
      <c r="V851" s="15"/>
      <c r="W851" s="14"/>
      <c r="X851" s="15"/>
      <c r="Y851" s="14"/>
      <c r="Z851" s="15"/>
    </row>
    <row r="852" spans="1:26" x14ac:dyDescent="0.25">
      <c r="Q852" s="14"/>
      <c r="R852" s="15"/>
      <c r="S852" s="14"/>
      <c r="T852" s="15"/>
      <c r="U852" s="14"/>
      <c r="V852" s="15"/>
      <c r="W852" s="14"/>
      <c r="X852" s="15"/>
      <c r="Y852" s="14"/>
      <c r="Z852" s="15"/>
    </row>
    <row r="853" spans="1:26" x14ac:dyDescent="0.25">
      <c r="Q853" s="14"/>
      <c r="R853" s="15"/>
      <c r="S853" s="14"/>
      <c r="T853" s="15"/>
      <c r="U853" s="14"/>
      <c r="V853" s="15"/>
      <c r="W853" s="14"/>
      <c r="X853" s="15"/>
      <c r="Y853" s="14"/>
      <c r="Z853" s="15"/>
    </row>
    <row r="854" spans="1:26" x14ac:dyDescent="0.25">
      <c r="Q854" s="14"/>
      <c r="R854" s="15"/>
      <c r="S854" s="14"/>
      <c r="T854" s="15"/>
      <c r="U854" s="14"/>
      <c r="V854" s="15"/>
      <c r="W854" s="14"/>
      <c r="X854" s="15"/>
      <c r="Y854" s="14"/>
      <c r="Z854" s="15"/>
    </row>
    <row r="855" spans="1:26" x14ac:dyDescent="0.25">
      <c r="Q855" s="14"/>
      <c r="R855" s="15"/>
      <c r="S855" s="14"/>
      <c r="T855" s="15"/>
      <c r="U855" s="14"/>
      <c r="V855" s="15"/>
      <c r="W855" s="14"/>
      <c r="X855" s="15"/>
      <c r="Y855" s="14"/>
      <c r="Z855" s="15"/>
    </row>
    <row r="856" spans="1:26" x14ac:dyDescent="0.25">
      <c r="Q856" s="14"/>
      <c r="R856" s="15"/>
      <c r="S856" s="14"/>
      <c r="T856" s="15"/>
      <c r="U856" s="14"/>
      <c r="V856" s="15"/>
      <c r="W856" s="14"/>
      <c r="X856" s="15"/>
      <c r="Y856" s="14"/>
      <c r="Z856" s="15"/>
    </row>
    <row r="857" spans="1:26" x14ac:dyDescent="0.25">
      <c r="Q857" s="14"/>
      <c r="R857" s="15"/>
      <c r="S857" s="14"/>
      <c r="T857" s="15"/>
      <c r="U857" s="14"/>
      <c r="V857" s="15"/>
      <c r="W857" s="14"/>
      <c r="X857" s="15"/>
      <c r="Y857" s="14"/>
      <c r="Z857" s="15"/>
    </row>
    <row r="858" spans="1:26" x14ac:dyDescent="0.25">
      <c r="Q858" s="14"/>
      <c r="R858" s="15"/>
      <c r="S858" s="14"/>
      <c r="T858" s="15"/>
      <c r="U858" s="14"/>
      <c r="V858" s="15"/>
      <c r="W858" s="14"/>
      <c r="X858" s="15"/>
      <c r="Y858" s="14"/>
      <c r="Z858" s="15"/>
    </row>
    <row r="859" spans="1:26" x14ac:dyDescent="0.25">
      <c r="Q859" s="14"/>
      <c r="R859" s="15"/>
      <c r="S859" s="14"/>
      <c r="T859" s="15"/>
      <c r="U859" s="14"/>
      <c r="V859" s="15"/>
      <c r="W859" s="14"/>
      <c r="X859" s="15"/>
      <c r="Y859" s="14"/>
      <c r="Z859" s="15"/>
    </row>
    <row r="860" spans="1:26" x14ac:dyDescent="0.25">
      <c r="Q860" s="14"/>
      <c r="R860" s="15"/>
      <c r="S860" s="14"/>
      <c r="T860" s="15"/>
      <c r="U860" s="14"/>
      <c r="V860" s="15"/>
      <c r="W860" s="14"/>
      <c r="X860" s="15"/>
      <c r="Y860" s="14"/>
      <c r="Z860" s="15"/>
    </row>
    <row r="861" spans="1:26" x14ac:dyDescent="0.25">
      <c r="Q861" s="14"/>
      <c r="R861" s="15"/>
      <c r="S861" s="14"/>
      <c r="T861" s="15"/>
      <c r="U861" s="14"/>
      <c r="V861" s="15"/>
      <c r="W861" s="14"/>
      <c r="X861" s="15"/>
      <c r="Y861" s="14"/>
      <c r="Z861" s="15"/>
    </row>
    <row r="862" spans="1:26" x14ac:dyDescent="0.25">
      <c r="Q862" s="14"/>
      <c r="R862" s="15"/>
      <c r="S862" s="14"/>
      <c r="T862" s="15"/>
      <c r="U862" s="14"/>
      <c r="V862" s="15"/>
      <c r="W862" s="14"/>
      <c r="X862" s="15"/>
      <c r="Y862" s="14"/>
      <c r="Z862" s="15"/>
    </row>
    <row r="863" spans="1:26" x14ac:dyDescent="0.25">
      <c r="Q863" s="14"/>
      <c r="R863" s="15"/>
      <c r="S863" s="14"/>
      <c r="T863" s="15"/>
      <c r="U863" s="14"/>
      <c r="V863" s="15"/>
      <c r="W863" s="14"/>
      <c r="X863" s="15"/>
      <c r="Y863" s="14"/>
      <c r="Z863" s="15"/>
    </row>
    <row r="864" spans="1:26" x14ac:dyDescent="0.25">
      <c r="Q864" s="14"/>
      <c r="R864" s="15"/>
      <c r="S864" s="14"/>
      <c r="T864" s="15"/>
      <c r="U864" s="14"/>
      <c r="V864" s="15"/>
      <c r="W864" s="14"/>
      <c r="X864" s="15"/>
      <c r="Y864" s="14"/>
      <c r="Z864" s="15"/>
    </row>
    <row r="865" spans="1:26" x14ac:dyDescent="0.25">
      <c r="Q865" s="14"/>
      <c r="R865" s="15"/>
      <c r="S865" s="14"/>
      <c r="T865" s="15"/>
      <c r="U865" s="14"/>
      <c r="V865" s="15"/>
      <c r="W865" s="14"/>
      <c r="X865" s="15"/>
      <c r="Y865" s="14"/>
      <c r="Z865" s="15"/>
    </row>
    <row r="866" spans="1:26" x14ac:dyDescent="0.25">
      <c r="Q866" s="14"/>
      <c r="R866" s="15"/>
      <c r="S866" s="14"/>
      <c r="T866" s="15"/>
      <c r="U866" s="14"/>
      <c r="V866" s="15"/>
      <c r="W866" s="14"/>
      <c r="X866" s="15"/>
      <c r="Y866" s="14"/>
      <c r="Z866" s="15"/>
    </row>
    <row r="867" spans="1:26" x14ac:dyDescent="0.25">
      <c r="Q867" s="14"/>
      <c r="R867" s="15"/>
      <c r="S867" s="14"/>
      <c r="T867" s="15"/>
      <c r="U867" s="14"/>
      <c r="V867" s="15"/>
      <c r="W867" s="14"/>
      <c r="X867" s="15"/>
      <c r="Y867" s="14"/>
      <c r="Z867" s="15"/>
    </row>
    <row r="868" spans="1:26" x14ac:dyDescent="0.25">
      <c r="Q868" s="14"/>
      <c r="R868" s="15"/>
      <c r="S868" s="14"/>
      <c r="T868" s="15"/>
      <c r="U868" s="14"/>
      <c r="V868" s="15"/>
      <c r="W868" s="14"/>
      <c r="X868" s="15"/>
      <c r="Y868" s="14"/>
      <c r="Z868" s="15"/>
    </row>
    <row r="869" spans="1:26" x14ac:dyDescent="0.25">
      <c r="Q869" s="14"/>
      <c r="R869" s="15"/>
      <c r="S869" s="14"/>
      <c r="T869" s="15"/>
      <c r="U869" s="14"/>
      <c r="V869" s="15"/>
      <c r="W869" s="14"/>
      <c r="X869" s="15"/>
      <c r="Y869" s="14"/>
      <c r="Z869" s="15"/>
    </row>
    <row r="870" spans="1:26" x14ac:dyDescent="0.25">
      <c r="Q870" s="14"/>
      <c r="R870" s="15"/>
      <c r="S870" s="14"/>
      <c r="T870" s="15"/>
      <c r="U870" s="14"/>
      <c r="V870" s="15"/>
      <c r="W870" s="14"/>
      <c r="X870" s="15"/>
      <c r="Y870" s="14"/>
      <c r="Z870" s="15"/>
    </row>
    <row r="871" spans="1:26" x14ac:dyDescent="0.25">
      <c r="Q871" s="14"/>
      <c r="R871" s="15"/>
      <c r="S871" s="14"/>
      <c r="T871" s="15"/>
      <c r="U871" s="14"/>
      <c r="V871" s="15"/>
      <c r="W871" s="14"/>
      <c r="X871" s="15"/>
      <c r="Y871" s="14"/>
      <c r="Z871" s="15"/>
    </row>
    <row r="872" spans="1:26" x14ac:dyDescent="0.25">
      <c r="Q872" s="14"/>
      <c r="R872" s="15"/>
      <c r="S872" s="14"/>
      <c r="T872" s="15"/>
      <c r="U872" s="14"/>
      <c r="V872" s="15"/>
      <c r="W872" s="14"/>
      <c r="X872" s="15"/>
      <c r="Y872" s="14"/>
      <c r="Z872" s="15"/>
    </row>
    <row r="873" spans="1:26" x14ac:dyDescent="0.25">
      <c r="Q873" s="14"/>
      <c r="R873" s="15"/>
      <c r="S873" s="14"/>
      <c r="T873" s="15"/>
      <c r="U873" s="14"/>
      <c r="V873" s="15"/>
      <c r="W873" s="14"/>
      <c r="X873" s="15"/>
      <c r="Y873" s="14"/>
      <c r="Z873" s="15"/>
    </row>
    <row r="874" spans="1:26" x14ac:dyDescent="0.25">
      <c r="Q874" s="14"/>
      <c r="R874" s="15"/>
      <c r="S874" s="14"/>
      <c r="T874" s="15"/>
      <c r="U874" s="14"/>
      <c r="V874" s="15"/>
      <c r="W874" s="14"/>
      <c r="X874" s="15"/>
      <c r="Y874" s="14"/>
      <c r="Z874" s="15"/>
    </row>
    <row r="875" spans="1:26" x14ac:dyDescent="0.25">
      <c r="Q875" s="14"/>
      <c r="R875" s="15"/>
      <c r="S875" s="14"/>
      <c r="T875" s="15"/>
      <c r="U875" s="14"/>
      <c r="V875" s="15"/>
      <c r="W875" s="14"/>
      <c r="X875" s="15"/>
      <c r="Y875" s="14"/>
      <c r="Z875" s="15"/>
    </row>
    <row r="876" spans="1:26" x14ac:dyDescent="0.25">
      <c r="Q876" s="14"/>
      <c r="R876" s="15"/>
      <c r="S876" s="14"/>
      <c r="T876" s="15"/>
      <c r="U876" s="14"/>
      <c r="V876" s="15"/>
      <c r="W876" s="14"/>
      <c r="X876" s="15"/>
      <c r="Y876" s="14"/>
      <c r="Z876" s="15"/>
    </row>
    <row r="877" spans="1:26" x14ac:dyDescent="0.25">
      <c r="Q877" s="14"/>
      <c r="R877" s="15"/>
      <c r="S877" s="14"/>
      <c r="T877" s="15"/>
      <c r="U877" s="14"/>
      <c r="V877" s="15"/>
      <c r="W877" s="14"/>
      <c r="X877" s="15"/>
      <c r="Y877" s="14"/>
      <c r="Z877" s="15"/>
    </row>
    <row r="878" spans="1:26" x14ac:dyDescent="0.25">
      <c r="Q878" s="14"/>
      <c r="R878" s="15"/>
      <c r="S878" s="14"/>
      <c r="T878" s="15"/>
      <c r="U878" s="14"/>
      <c r="V878" s="15"/>
      <c r="W878" s="14"/>
      <c r="X878" s="15"/>
      <c r="Y878" s="14"/>
      <c r="Z878" s="15"/>
    </row>
    <row r="879" spans="1:26" x14ac:dyDescent="0.25">
      <c r="Q879" s="14"/>
      <c r="R879" s="15"/>
      <c r="S879" s="14"/>
      <c r="T879" s="15"/>
      <c r="U879" s="14"/>
      <c r="V879" s="15"/>
      <c r="W879" s="14"/>
      <c r="X879" s="15"/>
      <c r="Y879" s="14"/>
      <c r="Z879" s="15"/>
    </row>
    <row r="880" spans="1:26" x14ac:dyDescent="0.25">
      <c r="Q880" s="14"/>
      <c r="R880" s="15"/>
      <c r="S880" s="14"/>
      <c r="T880" s="15"/>
      <c r="U880" s="14"/>
      <c r="V880" s="15"/>
      <c r="W880" s="14"/>
      <c r="X880" s="15"/>
      <c r="Y880" s="14"/>
      <c r="Z880" s="15"/>
    </row>
    <row r="881" spans="1:26" x14ac:dyDescent="0.25">
      <c r="Q881" s="14"/>
      <c r="R881" s="15"/>
      <c r="S881" s="14"/>
      <c r="T881" s="15"/>
      <c r="U881" s="14"/>
      <c r="V881" s="15"/>
      <c r="W881" s="14"/>
      <c r="X881" s="15"/>
      <c r="Y881" s="14"/>
      <c r="Z881" s="15"/>
    </row>
    <row r="882" spans="1:26" x14ac:dyDescent="0.25">
      <c r="Q882" s="14"/>
      <c r="R882" s="15"/>
      <c r="S882" s="14"/>
      <c r="T882" s="15"/>
      <c r="U882" s="14"/>
      <c r="V882" s="15"/>
      <c r="W882" s="14"/>
      <c r="X882" s="15"/>
      <c r="Y882" s="14"/>
      <c r="Z882" s="15"/>
    </row>
    <row r="883" spans="1:26" x14ac:dyDescent="0.25">
      <c r="Q883" s="14"/>
      <c r="R883" s="15"/>
      <c r="S883" s="14"/>
      <c r="T883" s="15"/>
      <c r="U883" s="14"/>
      <c r="V883" s="15"/>
      <c r="W883" s="14"/>
      <c r="X883" s="15"/>
      <c r="Y883" s="14"/>
      <c r="Z883" s="15"/>
    </row>
    <row r="884" spans="1:26" x14ac:dyDescent="0.25">
      <c r="Q884" s="14"/>
      <c r="R884" s="15"/>
      <c r="S884" s="14"/>
      <c r="T884" s="15"/>
      <c r="U884" s="14"/>
      <c r="V884" s="15"/>
      <c r="W884" s="14"/>
      <c r="X884" s="15"/>
      <c r="Y884" s="14"/>
      <c r="Z884" s="15"/>
    </row>
    <row r="885" spans="1:26" x14ac:dyDescent="0.25">
      <c r="Q885" s="14"/>
      <c r="R885" s="15"/>
      <c r="S885" s="14"/>
      <c r="T885" s="15"/>
      <c r="U885" s="14"/>
      <c r="V885" s="15"/>
      <c r="W885" s="14"/>
      <c r="X885" s="15"/>
      <c r="Y885" s="14"/>
      <c r="Z885" s="15"/>
    </row>
    <row r="886" spans="1:26" x14ac:dyDescent="0.25">
      <c r="Q886" s="14"/>
      <c r="R886" s="15"/>
      <c r="S886" s="14"/>
      <c r="T886" s="15"/>
      <c r="U886" s="14"/>
      <c r="V886" s="15"/>
      <c r="W886" s="14"/>
      <c r="X886" s="15"/>
      <c r="Y886" s="14"/>
      <c r="Z886" s="15"/>
    </row>
    <row r="887" spans="1:26" x14ac:dyDescent="0.25">
      <c r="Q887" s="14"/>
      <c r="R887" s="15"/>
      <c r="S887" s="14"/>
      <c r="T887" s="15"/>
      <c r="U887" s="14"/>
      <c r="V887" s="15"/>
      <c r="W887" s="14"/>
      <c r="X887" s="15"/>
      <c r="Y887" s="14"/>
      <c r="Z887" s="15"/>
    </row>
    <row r="888" spans="1:26" x14ac:dyDescent="0.25">
      <c r="Q888" s="14"/>
      <c r="R888" s="15"/>
      <c r="S888" s="14"/>
      <c r="T888" s="15"/>
      <c r="U888" s="14"/>
      <c r="V888" s="15"/>
      <c r="W888" s="14"/>
      <c r="X888" s="15"/>
      <c r="Y888" s="14"/>
      <c r="Z888" s="15"/>
    </row>
    <row r="889" spans="1:26" x14ac:dyDescent="0.25">
      <c r="Q889" s="14"/>
      <c r="R889" s="15"/>
      <c r="S889" s="14"/>
      <c r="T889" s="15"/>
      <c r="U889" s="14"/>
      <c r="V889" s="15"/>
      <c r="W889" s="14"/>
      <c r="X889" s="15"/>
      <c r="Y889" s="14"/>
      <c r="Z889" s="15"/>
    </row>
    <row r="890" spans="1:26" x14ac:dyDescent="0.25">
      <c r="Q890" s="14"/>
      <c r="R890" s="15"/>
      <c r="S890" s="14"/>
      <c r="T890" s="15"/>
      <c r="U890" s="14"/>
      <c r="V890" s="15"/>
      <c r="W890" s="14"/>
      <c r="X890" s="15"/>
      <c r="Y890" s="14"/>
      <c r="Z890" s="15"/>
    </row>
    <row r="891" spans="1:26" x14ac:dyDescent="0.25">
      <c r="Q891" s="14"/>
      <c r="R891" s="15"/>
      <c r="S891" s="14"/>
      <c r="T891" s="15"/>
      <c r="U891" s="14"/>
      <c r="V891" s="15"/>
      <c r="W891" s="14"/>
      <c r="X891" s="15"/>
      <c r="Y891" s="14"/>
      <c r="Z891" s="15"/>
    </row>
    <row r="892" spans="1:26" x14ac:dyDescent="0.25">
      <c r="Q892" s="14"/>
      <c r="R892" s="15"/>
      <c r="S892" s="14"/>
      <c r="T892" s="15"/>
      <c r="U892" s="14"/>
      <c r="V892" s="15"/>
      <c r="W892" s="14"/>
      <c r="X892" s="15"/>
      <c r="Y892" s="14"/>
      <c r="Z892" s="15"/>
    </row>
    <row r="893" spans="1:26" x14ac:dyDescent="0.25">
      <c r="Q893" s="14"/>
      <c r="R893" s="15"/>
      <c r="S893" s="14"/>
      <c r="T893" s="15"/>
      <c r="U893" s="14"/>
      <c r="V893" s="15"/>
      <c r="W893" s="14"/>
      <c r="X893" s="15"/>
      <c r="Y893" s="14"/>
      <c r="Z893" s="15"/>
    </row>
    <row r="894" spans="1:26" x14ac:dyDescent="0.25">
      <c r="Q894" s="14"/>
      <c r="R894" s="15"/>
      <c r="S894" s="14"/>
      <c r="T894" s="15"/>
      <c r="U894" s="14"/>
      <c r="V894" s="15"/>
      <c r="W894" s="14"/>
      <c r="X894" s="15"/>
      <c r="Y894" s="14"/>
      <c r="Z894" s="15"/>
    </row>
    <row r="895" spans="1:26" x14ac:dyDescent="0.25">
      <c r="Q895" s="14"/>
      <c r="R895" s="15"/>
      <c r="S895" s="14"/>
      <c r="T895" s="15"/>
      <c r="U895" s="14"/>
      <c r="V895" s="15"/>
      <c r="W895" s="14"/>
      <c r="X895" s="15"/>
      <c r="Y895" s="14"/>
      <c r="Z895" s="15"/>
    </row>
    <row r="896" spans="1:26" x14ac:dyDescent="0.25">
      <c r="Q896" s="14"/>
      <c r="R896" s="15"/>
      <c r="S896" s="14"/>
      <c r="T896" s="15"/>
      <c r="U896" s="14"/>
      <c r="V896" s="15"/>
      <c r="W896" s="14"/>
      <c r="X896" s="15"/>
      <c r="Y896" s="14"/>
      <c r="Z896" s="15"/>
    </row>
    <row r="897" spans="1:26" x14ac:dyDescent="0.25">
      <c r="Q897" s="14"/>
      <c r="R897" s="15"/>
      <c r="S897" s="14"/>
      <c r="T897" s="15"/>
      <c r="U897" s="14"/>
      <c r="V897" s="15"/>
      <c r="W897" s="14"/>
      <c r="X897" s="15"/>
      <c r="Y897" s="14"/>
      <c r="Z897" s="15"/>
    </row>
    <row r="898" spans="1:26" x14ac:dyDescent="0.25">
      <c r="Q898" s="14"/>
      <c r="R898" s="15"/>
      <c r="S898" s="14"/>
      <c r="T898" s="15"/>
      <c r="U898" s="14"/>
      <c r="V898" s="15"/>
      <c r="W898" s="14"/>
      <c r="X898" s="15"/>
      <c r="Y898" s="14"/>
      <c r="Z898" s="15"/>
    </row>
    <row r="899" spans="1:26" x14ac:dyDescent="0.25">
      <c r="Q899" s="14"/>
      <c r="R899" s="15"/>
      <c r="S899" s="14"/>
      <c r="T899" s="15"/>
      <c r="U899" s="14"/>
      <c r="V899" s="15"/>
      <c r="W899" s="14"/>
      <c r="X899" s="15"/>
      <c r="Y899" s="14"/>
      <c r="Z899" s="15"/>
    </row>
    <row r="900" spans="1:26" x14ac:dyDescent="0.25">
      <c r="Q900" s="14"/>
      <c r="R900" s="15"/>
      <c r="S900" s="14"/>
      <c r="T900" s="15"/>
      <c r="U900" s="14"/>
      <c r="V900" s="15"/>
      <c r="W900" s="14"/>
      <c r="X900" s="15"/>
      <c r="Y900" s="14"/>
      <c r="Z900" s="15"/>
    </row>
    <row r="901" spans="1:26" x14ac:dyDescent="0.25">
      <c r="Q901" s="14"/>
      <c r="R901" s="15"/>
      <c r="S901" s="14"/>
      <c r="T901" s="15"/>
      <c r="U901" s="14"/>
      <c r="V901" s="15"/>
      <c r="W901" s="14"/>
      <c r="X901" s="15"/>
      <c r="Y901" s="14"/>
      <c r="Z901" s="15"/>
    </row>
    <row r="902" spans="1:26" x14ac:dyDescent="0.25">
      <c r="Q902" s="14"/>
      <c r="R902" s="15"/>
      <c r="S902" s="14"/>
      <c r="T902" s="15"/>
      <c r="U902" s="14"/>
      <c r="V902" s="15"/>
      <c r="W902" s="14"/>
      <c r="X902" s="15"/>
      <c r="Y902" s="14"/>
      <c r="Z902" s="15"/>
    </row>
    <row r="903" spans="1:26" x14ac:dyDescent="0.25">
      <c r="Q903" s="14"/>
      <c r="R903" s="15"/>
      <c r="S903" s="14"/>
      <c r="T903" s="15"/>
      <c r="U903" s="14"/>
      <c r="V903" s="15"/>
      <c r="W903" s="14"/>
      <c r="X903" s="15"/>
      <c r="Y903" s="14"/>
      <c r="Z903" s="15"/>
    </row>
    <row r="904" spans="1:26" x14ac:dyDescent="0.25">
      <c r="Q904" s="14"/>
      <c r="R904" s="15"/>
      <c r="S904" s="14"/>
      <c r="T904" s="15"/>
      <c r="U904" s="14"/>
      <c r="V904" s="15"/>
      <c r="W904" s="14"/>
      <c r="X904" s="15"/>
      <c r="Y904" s="14"/>
      <c r="Z904" s="15"/>
    </row>
    <row r="905" spans="1:26" x14ac:dyDescent="0.25">
      <c r="Q905" s="14"/>
      <c r="R905" s="15"/>
      <c r="S905" s="14"/>
      <c r="T905" s="15"/>
      <c r="U905" s="14"/>
      <c r="V905" s="15"/>
      <c r="W905" s="14"/>
      <c r="X905" s="15"/>
      <c r="Y905" s="14"/>
      <c r="Z905" s="15"/>
    </row>
    <row r="906" spans="1:26" x14ac:dyDescent="0.25">
      <c r="Q906" s="14"/>
      <c r="R906" s="15"/>
      <c r="S906" s="14"/>
      <c r="T906" s="15"/>
      <c r="U906" s="14"/>
      <c r="V906" s="15"/>
      <c r="W906" s="14"/>
      <c r="X906" s="15"/>
      <c r="Y906" s="14"/>
      <c r="Z906" s="15"/>
    </row>
    <row r="907" spans="1:26" x14ac:dyDescent="0.25">
      <c r="Q907" s="14"/>
      <c r="R907" s="15"/>
      <c r="S907" s="14"/>
      <c r="T907" s="15"/>
      <c r="U907" s="14"/>
      <c r="V907" s="15"/>
      <c r="W907" s="14"/>
      <c r="X907" s="15"/>
      <c r="Y907" s="14"/>
      <c r="Z907" s="15"/>
    </row>
    <row r="908" spans="1:26" x14ac:dyDescent="0.25">
      <c r="Q908" s="14"/>
      <c r="R908" s="15"/>
      <c r="S908" s="14"/>
      <c r="T908" s="15"/>
      <c r="U908" s="14"/>
      <c r="V908" s="15"/>
      <c r="W908" s="14"/>
      <c r="X908" s="15"/>
      <c r="Y908" s="14"/>
      <c r="Z908" s="15"/>
    </row>
    <row r="909" spans="1:26" x14ac:dyDescent="0.25">
      <c r="Q909" s="14"/>
      <c r="R909" s="15"/>
      <c r="S909" s="14"/>
      <c r="T909" s="15"/>
      <c r="U909" s="14"/>
      <c r="V909" s="15"/>
      <c r="W909" s="14"/>
      <c r="X909" s="15"/>
      <c r="Y909" s="14"/>
      <c r="Z909" s="15"/>
    </row>
    <row r="910" spans="1:26" x14ac:dyDescent="0.25">
      <c r="Q910" s="14"/>
      <c r="R910" s="15"/>
      <c r="S910" s="14"/>
      <c r="T910" s="15"/>
      <c r="U910" s="14"/>
      <c r="V910" s="15"/>
      <c r="W910" s="14"/>
      <c r="X910" s="15"/>
      <c r="Y910" s="14"/>
      <c r="Z910" s="15"/>
    </row>
    <row r="911" spans="1:26" x14ac:dyDescent="0.25">
      <c r="Q911" s="14"/>
      <c r="R911" s="15"/>
      <c r="S911" s="14"/>
      <c r="T911" s="15"/>
      <c r="U911" s="14"/>
      <c r="V911" s="15"/>
      <c r="W911" s="14"/>
      <c r="X911" s="15"/>
      <c r="Y911" s="14"/>
      <c r="Z911" s="15"/>
    </row>
    <row r="912" spans="1:26" x14ac:dyDescent="0.25">
      <c r="Q912" s="14"/>
      <c r="R912" s="15"/>
      <c r="S912" s="14"/>
      <c r="T912" s="15"/>
      <c r="U912" s="14"/>
      <c r="V912" s="15"/>
      <c r="W912" s="14"/>
      <c r="X912" s="15"/>
      <c r="Y912" s="14"/>
      <c r="Z912" s="15"/>
    </row>
    <row r="913" spans="1:26" x14ac:dyDescent="0.25">
      <c r="Q913" s="14"/>
      <c r="R913" s="15"/>
      <c r="S913" s="14"/>
      <c r="T913" s="15"/>
      <c r="U913" s="14"/>
      <c r="V913" s="15"/>
      <c r="W913" s="14"/>
      <c r="X913" s="15"/>
      <c r="Y913" s="14"/>
      <c r="Z913" s="15"/>
    </row>
    <row r="914" spans="1:26" x14ac:dyDescent="0.25">
      <c r="Q914" s="14"/>
      <c r="R914" s="15"/>
      <c r="S914" s="14"/>
      <c r="T914" s="15"/>
      <c r="U914" s="14"/>
      <c r="V914" s="15"/>
      <c r="W914" s="14"/>
      <c r="X914" s="15"/>
      <c r="Y914" s="14"/>
      <c r="Z914" s="15"/>
    </row>
    <row r="915" spans="1:26" x14ac:dyDescent="0.25">
      <c r="Q915" s="14"/>
      <c r="R915" s="15"/>
      <c r="S915" s="14"/>
      <c r="T915" s="15"/>
      <c r="U915" s="14"/>
      <c r="V915" s="15"/>
      <c r="W915" s="14"/>
      <c r="X915" s="15"/>
      <c r="Y915" s="14"/>
      <c r="Z915" s="15"/>
    </row>
    <row r="916" spans="1:26" x14ac:dyDescent="0.25">
      <c r="Q916" s="14"/>
      <c r="R916" s="15"/>
      <c r="S916" s="14"/>
      <c r="T916" s="15"/>
      <c r="U916" s="14"/>
      <c r="V916" s="15"/>
      <c r="W916" s="14"/>
      <c r="X916" s="15"/>
      <c r="Y916" s="14"/>
      <c r="Z916" s="15"/>
    </row>
    <row r="917" spans="1:26" x14ac:dyDescent="0.25">
      <c r="Q917" s="14"/>
      <c r="R917" s="15"/>
      <c r="S917" s="14"/>
      <c r="T917" s="15"/>
      <c r="U917" s="14"/>
      <c r="V917" s="15"/>
      <c r="W917" s="14"/>
      <c r="X917" s="15"/>
      <c r="Y917" s="14"/>
      <c r="Z917" s="15"/>
    </row>
    <row r="918" spans="1:26" x14ac:dyDescent="0.25">
      <c r="Q918" s="14"/>
      <c r="R918" s="15"/>
      <c r="S918" s="14"/>
      <c r="T918" s="15"/>
      <c r="U918" s="14"/>
      <c r="V918" s="15"/>
      <c r="W918" s="14"/>
      <c r="X918" s="15"/>
      <c r="Y918" s="14"/>
      <c r="Z918" s="15"/>
    </row>
    <row r="919" spans="1:26" x14ac:dyDescent="0.25">
      <c r="Q919" s="14"/>
      <c r="R919" s="15"/>
      <c r="S919" s="14"/>
      <c r="T919" s="15"/>
      <c r="U919" s="14"/>
      <c r="V919" s="15"/>
      <c r="W919" s="14"/>
      <c r="X919" s="15"/>
      <c r="Y919" s="14"/>
      <c r="Z919" s="15"/>
    </row>
    <row r="920" spans="1:26" x14ac:dyDescent="0.25">
      <c r="Q920" s="14"/>
      <c r="R920" s="15"/>
      <c r="S920" s="14"/>
      <c r="T920" s="15"/>
      <c r="U920" s="14"/>
      <c r="V920" s="15"/>
      <c r="W920" s="14"/>
      <c r="X920" s="15"/>
      <c r="Y920" s="14"/>
      <c r="Z920" s="15"/>
    </row>
    <row r="921" spans="1:26" x14ac:dyDescent="0.25">
      <c r="Q921" s="14"/>
      <c r="R921" s="15"/>
      <c r="S921" s="14"/>
      <c r="T921" s="15"/>
      <c r="U921" s="14"/>
      <c r="V921" s="15"/>
      <c r="W921" s="14"/>
      <c r="X921" s="15"/>
      <c r="Y921" s="14"/>
      <c r="Z921" s="15"/>
    </row>
    <row r="922" spans="1:26" x14ac:dyDescent="0.25">
      <c r="Q922" s="14"/>
      <c r="R922" s="15"/>
      <c r="S922" s="14"/>
      <c r="T922" s="15"/>
      <c r="U922" s="14"/>
      <c r="V922" s="15"/>
      <c r="W922" s="14"/>
      <c r="X922" s="15"/>
      <c r="Y922" s="14"/>
      <c r="Z922" s="15"/>
    </row>
    <row r="923" spans="1:26" x14ac:dyDescent="0.25">
      <c r="Q923" s="14"/>
      <c r="R923" s="15"/>
      <c r="S923" s="14"/>
      <c r="T923" s="15"/>
      <c r="U923" s="14"/>
      <c r="V923" s="15"/>
      <c r="W923" s="14"/>
      <c r="X923" s="15"/>
      <c r="Y923" s="14"/>
      <c r="Z923" s="15"/>
    </row>
    <row r="924" spans="1:26" x14ac:dyDescent="0.25">
      <c r="Q924" s="14"/>
      <c r="R924" s="15"/>
      <c r="S924" s="14"/>
      <c r="T924" s="15"/>
      <c r="U924" s="14"/>
      <c r="V924" s="15"/>
      <c r="W924" s="14"/>
      <c r="X924" s="15"/>
      <c r="Y924" s="14"/>
      <c r="Z924" s="15"/>
    </row>
    <row r="925" spans="1:26" x14ac:dyDescent="0.25">
      <c r="Q925" s="14"/>
      <c r="R925" s="15"/>
      <c r="S925" s="14"/>
      <c r="T925" s="15"/>
      <c r="U925" s="14"/>
      <c r="V925" s="15"/>
      <c r="W925" s="14"/>
      <c r="X925" s="15"/>
      <c r="Y925" s="14"/>
      <c r="Z925" s="15"/>
    </row>
    <row r="926" spans="1:26" x14ac:dyDescent="0.25">
      <c r="Q926" s="14"/>
      <c r="R926" s="15"/>
      <c r="S926" s="14"/>
      <c r="T926" s="15"/>
      <c r="U926" s="14"/>
      <c r="V926" s="15"/>
      <c r="W926" s="14"/>
      <c r="X926" s="15"/>
      <c r="Y926" s="14"/>
      <c r="Z926" s="15"/>
    </row>
    <row r="927" spans="1:26" x14ac:dyDescent="0.25">
      <c r="Q927" s="14"/>
      <c r="R927" s="15"/>
      <c r="S927" s="14"/>
      <c r="T927" s="15"/>
      <c r="U927" s="14"/>
      <c r="V927" s="15"/>
      <c r="W927" s="14"/>
      <c r="X927" s="15"/>
      <c r="Y927" s="14"/>
      <c r="Z927" s="15"/>
    </row>
    <row r="928" spans="1:26" x14ac:dyDescent="0.25">
      <c r="Q928" s="14"/>
      <c r="R928" s="15"/>
      <c r="S928" s="14"/>
      <c r="T928" s="15"/>
      <c r="U928" s="14"/>
      <c r="V928" s="15"/>
      <c r="W928" s="14"/>
      <c r="X928" s="15"/>
      <c r="Y928" s="14"/>
      <c r="Z928" s="15"/>
    </row>
    <row r="929" spans="1:26" x14ac:dyDescent="0.25">
      <c r="Q929" s="14"/>
      <c r="R929" s="15"/>
      <c r="S929" s="14"/>
      <c r="T929" s="15"/>
      <c r="U929" s="14"/>
      <c r="V929" s="15"/>
      <c r="W929" s="14"/>
      <c r="X929" s="15"/>
      <c r="Y929" s="14"/>
      <c r="Z929" s="15"/>
    </row>
    <row r="930" spans="1:26" x14ac:dyDescent="0.25">
      <c r="Q930" s="14"/>
      <c r="R930" s="15"/>
      <c r="S930" s="14"/>
      <c r="T930" s="15"/>
      <c r="U930" s="14"/>
      <c r="V930" s="15"/>
      <c r="W930" s="14"/>
      <c r="X930" s="15"/>
      <c r="Y930" s="14"/>
      <c r="Z930" s="15"/>
    </row>
    <row r="931" spans="1:26" x14ac:dyDescent="0.25">
      <c r="Q931" s="14"/>
      <c r="R931" s="15"/>
      <c r="S931" s="14"/>
      <c r="T931" s="15"/>
      <c r="U931" s="14"/>
      <c r="V931" s="15"/>
      <c r="W931" s="14"/>
      <c r="X931" s="15"/>
      <c r="Y931" s="14"/>
      <c r="Z931" s="15"/>
    </row>
    <row r="932" spans="1:26" x14ac:dyDescent="0.25">
      <c r="Q932" s="14"/>
      <c r="R932" s="15"/>
      <c r="S932" s="14"/>
      <c r="T932" s="15"/>
      <c r="U932" s="14"/>
      <c r="V932" s="15"/>
      <c r="W932" s="14"/>
      <c r="X932" s="15"/>
      <c r="Y932" s="14"/>
      <c r="Z932" s="15"/>
    </row>
    <row r="933" spans="1:26" x14ac:dyDescent="0.25">
      <c r="Q933" s="14"/>
      <c r="R933" s="15"/>
      <c r="S933" s="14"/>
      <c r="T933" s="15"/>
      <c r="U933" s="14"/>
      <c r="V933" s="15"/>
      <c r="W933" s="14"/>
      <c r="X933" s="15"/>
      <c r="Y933" s="14"/>
      <c r="Z933" s="15"/>
    </row>
    <row r="934" spans="1:26" x14ac:dyDescent="0.25">
      <c r="Q934" s="14"/>
      <c r="R934" s="15"/>
      <c r="S934" s="14"/>
      <c r="T934" s="15"/>
      <c r="U934" s="14"/>
      <c r="V934" s="15"/>
      <c r="W934" s="14"/>
      <c r="X934" s="15"/>
      <c r="Y934" s="14"/>
      <c r="Z934" s="15"/>
    </row>
    <row r="935" spans="1:26" x14ac:dyDescent="0.25">
      <c r="Q935" s="14"/>
      <c r="R935" s="15"/>
      <c r="S935" s="14"/>
      <c r="T935" s="15"/>
      <c r="U935" s="14"/>
      <c r="V935" s="15"/>
      <c r="W935" s="14"/>
      <c r="X935" s="15"/>
      <c r="Y935" s="14"/>
      <c r="Z935" s="15"/>
    </row>
    <row r="936" spans="1:26" x14ac:dyDescent="0.25">
      <c r="Q936" s="14"/>
      <c r="R936" s="15"/>
      <c r="S936" s="14"/>
      <c r="T936" s="15"/>
      <c r="U936" s="14"/>
      <c r="V936" s="15"/>
      <c r="W936" s="14"/>
      <c r="X936" s="15"/>
      <c r="Y936" s="14"/>
      <c r="Z936" s="15"/>
    </row>
    <row r="937" spans="1:26" x14ac:dyDescent="0.25">
      <c r="Q937" s="14"/>
      <c r="R937" s="15"/>
      <c r="S937" s="14"/>
      <c r="T937" s="15"/>
      <c r="U937" s="14"/>
      <c r="V937" s="15"/>
      <c r="W937" s="14"/>
      <c r="X937" s="15"/>
      <c r="Y937" s="14"/>
      <c r="Z937" s="15"/>
    </row>
    <row r="938" spans="1:26" x14ac:dyDescent="0.25">
      <c r="Q938" s="14"/>
      <c r="R938" s="15"/>
      <c r="S938" s="14"/>
      <c r="T938" s="15"/>
      <c r="U938" s="14"/>
      <c r="V938" s="15"/>
      <c r="W938" s="14"/>
      <c r="X938" s="15"/>
      <c r="Y938" s="14"/>
      <c r="Z938" s="15"/>
    </row>
    <row r="939" spans="1:26" x14ac:dyDescent="0.25">
      <c r="Q939" s="14"/>
      <c r="R939" s="15"/>
      <c r="S939" s="14"/>
      <c r="T939" s="15"/>
      <c r="U939" s="14"/>
      <c r="V939" s="15"/>
      <c r="W939" s="14"/>
      <c r="X939" s="15"/>
      <c r="Y939" s="14"/>
      <c r="Z939" s="15"/>
    </row>
    <row r="940" spans="1:26" x14ac:dyDescent="0.25">
      <c r="Q940" s="14"/>
      <c r="R940" s="15"/>
      <c r="S940" s="14"/>
      <c r="T940" s="15"/>
      <c r="U940" s="14"/>
      <c r="V940" s="15"/>
      <c r="W940" s="14"/>
      <c r="X940" s="15"/>
      <c r="Y940" s="14"/>
      <c r="Z940" s="15"/>
    </row>
    <row r="941" spans="1:26" x14ac:dyDescent="0.25">
      <c r="Q941" s="14"/>
      <c r="R941" s="15"/>
      <c r="S941" s="14"/>
      <c r="T941" s="15"/>
      <c r="U941" s="14"/>
      <c r="V941" s="15"/>
      <c r="W941" s="14"/>
      <c r="X941" s="15"/>
      <c r="Y941" s="14"/>
      <c r="Z941" s="15"/>
    </row>
    <row r="942" spans="1:26" x14ac:dyDescent="0.25">
      <c r="Q942" s="14"/>
      <c r="R942" s="15"/>
      <c r="S942" s="14"/>
      <c r="T942" s="15"/>
      <c r="U942" s="14"/>
      <c r="V942" s="15"/>
      <c r="W942" s="14"/>
      <c r="X942" s="15"/>
      <c r="Y942" s="14"/>
      <c r="Z942" s="15"/>
    </row>
    <row r="943" spans="1:26" x14ac:dyDescent="0.25">
      <c r="Q943" s="14"/>
      <c r="R943" s="15"/>
      <c r="S943" s="14"/>
      <c r="T943" s="15"/>
      <c r="U943" s="14"/>
      <c r="V943" s="15"/>
      <c r="W943" s="14"/>
      <c r="X943" s="15"/>
      <c r="Y943" s="14"/>
      <c r="Z943" s="15"/>
    </row>
    <row r="944" spans="1:26" x14ac:dyDescent="0.25">
      <c r="Q944" s="14"/>
      <c r="R944" s="15"/>
      <c r="S944" s="14"/>
      <c r="T944" s="15"/>
      <c r="U944" s="14"/>
      <c r="V944" s="15"/>
      <c r="W944" s="14"/>
      <c r="X944" s="15"/>
      <c r="Y944" s="14"/>
      <c r="Z944" s="15"/>
    </row>
    <row r="945" spans="1:26" x14ac:dyDescent="0.25">
      <c r="Q945" s="14"/>
      <c r="R945" s="15"/>
      <c r="S945" s="14"/>
      <c r="T945" s="15"/>
      <c r="U945" s="14"/>
      <c r="V945" s="15"/>
      <c r="W945" s="14"/>
      <c r="X945" s="15"/>
      <c r="Y945" s="14"/>
      <c r="Z945" s="15"/>
    </row>
    <row r="946" spans="1:26" x14ac:dyDescent="0.25">
      <c r="Q946" s="14"/>
      <c r="R946" s="15"/>
      <c r="S946" s="14"/>
      <c r="T946" s="15"/>
      <c r="U946" s="14"/>
      <c r="V946" s="15"/>
      <c r="W946" s="14"/>
      <c r="X946" s="15"/>
      <c r="Y946" s="14"/>
      <c r="Z946" s="15"/>
    </row>
    <row r="947" spans="1:26" x14ac:dyDescent="0.25">
      <c r="Q947" s="14"/>
      <c r="R947" s="15"/>
      <c r="S947" s="14"/>
      <c r="T947" s="15"/>
      <c r="U947" s="14"/>
      <c r="V947" s="15"/>
      <c r="W947" s="14"/>
      <c r="X947" s="15"/>
      <c r="Y947" s="14"/>
      <c r="Z947" s="15"/>
    </row>
    <row r="948" spans="1:26" x14ac:dyDescent="0.25">
      <c r="Q948" s="14"/>
      <c r="R948" s="15"/>
      <c r="S948" s="14"/>
      <c r="T948" s="15"/>
      <c r="U948" s="14"/>
      <c r="V948" s="15"/>
      <c r="W948" s="14"/>
      <c r="X948" s="15"/>
      <c r="Y948" s="14"/>
      <c r="Z948" s="15"/>
    </row>
    <row r="949" spans="1:26" x14ac:dyDescent="0.25">
      <c r="Q949" s="14"/>
      <c r="R949" s="15"/>
      <c r="S949" s="14"/>
      <c r="T949" s="15"/>
      <c r="U949" s="14"/>
      <c r="V949" s="15"/>
      <c r="W949" s="14"/>
      <c r="X949" s="15"/>
      <c r="Y949" s="14"/>
      <c r="Z949" s="15"/>
    </row>
    <row r="950" spans="1:26" x14ac:dyDescent="0.25">
      <c r="Q950" s="14"/>
      <c r="R950" s="15"/>
      <c r="S950" s="14"/>
      <c r="T950" s="15"/>
      <c r="U950" s="14"/>
      <c r="V950" s="15"/>
      <c r="W950" s="14"/>
      <c r="X950" s="15"/>
      <c r="Y950" s="14"/>
      <c r="Z950" s="15"/>
    </row>
    <row r="951" spans="1:26" x14ac:dyDescent="0.25">
      <c r="Q951" s="14"/>
      <c r="R951" s="15"/>
      <c r="S951" s="14"/>
      <c r="T951" s="15"/>
      <c r="U951" s="14"/>
      <c r="V951" s="15"/>
      <c r="W951" s="14"/>
      <c r="X951" s="15"/>
      <c r="Y951" s="14"/>
      <c r="Z951" s="15"/>
    </row>
    <row r="952" spans="1:26" x14ac:dyDescent="0.25">
      <c r="Q952" s="14"/>
      <c r="R952" s="15"/>
      <c r="S952" s="14"/>
      <c r="T952" s="15"/>
      <c r="U952" s="14"/>
      <c r="V952" s="15"/>
      <c r="W952" s="14"/>
      <c r="X952" s="15"/>
      <c r="Y952" s="14"/>
      <c r="Z952" s="15"/>
    </row>
    <row r="953" spans="1:26" x14ac:dyDescent="0.25">
      <c r="Q953" s="14"/>
      <c r="R953" s="15"/>
      <c r="S953" s="14"/>
      <c r="T953" s="15"/>
      <c r="U953" s="14"/>
      <c r="V953" s="15"/>
      <c r="W953" s="14"/>
      <c r="X953" s="15"/>
      <c r="Y953" s="14"/>
      <c r="Z953" s="15"/>
    </row>
    <row r="954" spans="1:26" x14ac:dyDescent="0.25">
      <c r="Q954" s="14"/>
      <c r="R954" s="15"/>
      <c r="S954" s="14"/>
      <c r="T954" s="15"/>
      <c r="U954" s="14"/>
      <c r="V954" s="15"/>
      <c r="W954" s="14"/>
      <c r="X954" s="15"/>
      <c r="Y954" s="14"/>
      <c r="Z954" s="15"/>
    </row>
    <row r="955" spans="1:26" x14ac:dyDescent="0.25">
      <c r="Q955" s="14"/>
      <c r="R955" s="15"/>
      <c r="S955" s="14"/>
      <c r="T955" s="15"/>
      <c r="U955" s="14"/>
      <c r="V955" s="15"/>
      <c r="W955" s="14"/>
      <c r="X955" s="15"/>
      <c r="Y955" s="14"/>
      <c r="Z955" s="15"/>
    </row>
    <row r="956" spans="1:26" x14ac:dyDescent="0.25">
      <c r="Q956" s="14"/>
      <c r="R956" s="15"/>
      <c r="S956" s="14"/>
      <c r="T956" s="15"/>
      <c r="U956" s="14"/>
      <c r="V956" s="15"/>
      <c r="W956" s="14"/>
      <c r="X956" s="15"/>
      <c r="Y956" s="14"/>
      <c r="Z956" s="15"/>
    </row>
    <row r="957" spans="1:26" x14ac:dyDescent="0.25">
      <c r="Q957" s="14"/>
      <c r="R957" s="15"/>
      <c r="S957" s="14"/>
      <c r="T957" s="15"/>
      <c r="U957" s="14"/>
      <c r="V957" s="15"/>
      <c r="W957" s="14"/>
      <c r="X957" s="15"/>
      <c r="Y957" s="14"/>
      <c r="Z957" s="15"/>
    </row>
    <row r="958" spans="1:26" x14ac:dyDescent="0.25">
      <c r="Q958" s="14"/>
      <c r="R958" s="15"/>
      <c r="S958" s="14"/>
      <c r="T958" s="15"/>
      <c r="U958" s="14"/>
      <c r="V958" s="15"/>
      <c r="W958" s="14"/>
      <c r="X958" s="15"/>
      <c r="Y958" s="14"/>
      <c r="Z958" s="15"/>
    </row>
    <row r="959" spans="1:26" x14ac:dyDescent="0.25">
      <c r="Q959" s="14"/>
      <c r="R959" s="15"/>
      <c r="S959" s="14"/>
      <c r="T959" s="15"/>
      <c r="U959" s="14"/>
      <c r="V959" s="15"/>
      <c r="W959" s="14"/>
      <c r="X959" s="15"/>
      <c r="Y959" s="14"/>
      <c r="Z959" s="15"/>
    </row>
    <row r="960" spans="1:26" x14ac:dyDescent="0.25">
      <c r="Q960" s="14"/>
      <c r="R960" s="15"/>
      <c r="S960" s="14"/>
      <c r="T960" s="15"/>
      <c r="U960" s="14"/>
      <c r="V960" s="15"/>
      <c r="W960" s="14"/>
      <c r="X960" s="15"/>
      <c r="Y960" s="14"/>
      <c r="Z960" s="15"/>
    </row>
    <row r="961" spans="1:26" x14ac:dyDescent="0.25">
      <c r="Q961" s="14"/>
      <c r="R961" s="15"/>
      <c r="S961" s="14"/>
      <c r="T961" s="15"/>
      <c r="U961" s="14"/>
      <c r="V961" s="15"/>
      <c r="W961" s="14"/>
      <c r="X961" s="15"/>
      <c r="Y961" s="14"/>
      <c r="Z961" s="15"/>
    </row>
    <row r="962" spans="1:26" x14ac:dyDescent="0.25">
      <c r="Q962" s="14"/>
      <c r="R962" s="15"/>
      <c r="S962" s="14"/>
      <c r="T962" s="15"/>
      <c r="U962" s="14"/>
      <c r="V962" s="15"/>
      <c r="W962" s="14"/>
      <c r="X962" s="15"/>
      <c r="Y962" s="14"/>
      <c r="Z962" s="15"/>
    </row>
    <row r="963" spans="1:26" x14ac:dyDescent="0.25">
      <c r="Q963" s="14"/>
      <c r="R963" s="15"/>
      <c r="S963" s="14"/>
      <c r="T963" s="15"/>
      <c r="U963" s="14"/>
      <c r="V963" s="15"/>
      <c r="W963" s="14"/>
      <c r="X963" s="15"/>
      <c r="Y963" s="14"/>
      <c r="Z963" s="15"/>
    </row>
    <row r="964" spans="1:26" x14ac:dyDescent="0.25">
      <c r="Q964" s="14"/>
      <c r="R964" s="15"/>
      <c r="S964" s="14"/>
      <c r="T964" s="15"/>
      <c r="U964" s="14"/>
      <c r="V964" s="15"/>
      <c r="W964" s="14"/>
      <c r="X964" s="15"/>
      <c r="Y964" s="14"/>
      <c r="Z964" s="15"/>
    </row>
    <row r="965" spans="1:26" x14ac:dyDescent="0.25">
      <c r="Q965" s="14"/>
      <c r="R965" s="15"/>
      <c r="S965" s="14"/>
      <c r="T965" s="15"/>
      <c r="U965" s="14"/>
      <c r="V965" s="15"/>
      <c r="W965" s="14"/>
      <c r="X965" s="15"/>
      <c r="Y965" s="14"/>
      <c r="Z965" s="15"/>
    </row>
    <row r="966" spans="1:26" x14ac:dyDescent="0.25">
      <c r="Q966" s="14"/>
      <c r="R966" s="15"/>
      <c r="S966" s="14"/>
      <c r="T966" s="15"/>
      <c r="U966" s="14"/>
      <c r="V966" s="15"/>
      <c r="W966" s="14"/>
      <c r="X966" s="15"/>
      <c r="Y966" s="14"/>
      <c r="Z966" s="15"/>
    </row>
    <row r="967" spans="1:26" x14ac:dyDescent="0.25">
      <c r="Q967" s="14"/>
      <c r="R967" s="15"/>
      <c r="S967" s="14"/>
      <c r="T967" s="15"/>
      <c r="U967" s="14"/>
      <c r="V967" s="15"/>
      <c r="W967" s="14"/>
      <c r="X967" s="15"/>
      <c r="Y967" s="14"/>
      <c r="Z967" s="15"/>
    </row>
    <row r="968" spans="1:26" x14ac:dyDescent="0.25">
      <c r="Q968" s="14"/>
      <c r="R968" s="15"/>
      <c r="S968" s="14"/>
      <c r="T968" s="15"/>
      <c r="U968" s="14"/>
      <c r="V968" s="15"/>
      <c r="W968" s="14"/>
      <c r="X968" s="15"/>
      <c r="Y968" s="14"/>
      <c r="Z968" s="15"/>
    </row>
    <row r="969" spans="1:26" x14ac:dyDescent="0.25">
      <c r="Q969" s="14"/>
      <c r="R969" s="15"/>
      <c r="S969" s="14"/>
      <c r="T969" s="15"/>
      <c r="U969" s="14"/>
      <c r="V969" s="15"/>
      <c r="W969" s="14"/>
      <c r="X969" s="15"/>
      <c r="Y969" s="14"/>
      <c r="Z969" s="15"/>
    </row>
    <row r="970" spans="1:26" x14ac:dyDescent="0.25">
      <c r="Q970" s="14"/>
      <c r="R970" s="15"/>
      <c r="S970" s="14"/>
      <c r="T970" s="15"/>
      <c r="U970" s="14"/>
      <c r="V970" s="15"/>
      <c r="W970" s="14"/>
      <c r="X970" s="15"/>
      <c r="Y970" s="14"/>
      <c r="Z970" s="15"/>
    </row>
    <row r="971" spans="1:26" x14ac:dyDescent="0.25">
      <c r="Q971" s="14"/>
      <c r="R971" s="15"/>
      <c r="S971" s="14"/>
      <c r="T971" s="15"/>
      <c r="U971" s="14"/>
      <c r="V971" s="15"/>
      <c r="W971" s="14"/>
      <c r="X971" s="15"/>
      <c r="Y971" s="14"/>
      <c r="Z971" s="15"/>
    </row>
    <row r="972" spans="1:26" x14ac:dyDescent="0.25">
      <c r="Q972" s="14"/>
      <c r="R972" s="15"/>
      <c r="S972" s="14"/>
      <c r="T972" s="15"/>
      <c r="U972" s="14"/>
      <c r="V972" s="15"/>
      <c r="W972" s="14"/>
      <c r="X972" s="15"/>
      <c r="Y972" s="14"/>
      <c r="Z972" s="15"/>
    </row>
    <row r="973" spans="1:26" x14ac:dyDescent="0.25">
      <c r="Q973" s="14"/>
      <c r="R973" s="15"/>
      <c r="S973" s="14"/>
      <c r="T973" s="15"/>
      <c r="U973" s="14"/>
      <c r="V973" s="15"/>
      <c r="W973" s="14"/>
      <c r="X973" s="15"/>
      <c r="Y973" s="14"/>
      <c r="Z973" s="15"/>
    </row>
    <row r="974" spans="1:26" x14ac:dyDescent="0.25">
      <c r="Q974" s="14"/>
      <c r="R974" s="15"/>
      <c r="S974" s="14"/>
      <c r="T974" s="15"/>
      <c r="U974" s="14"/>
      <c r="V974" s="15"/>
      <c r="W974" s="14"/>
      <c r="X974" s="15"/>
      <c r="Y974" s="14"/>
      <c r="Z974" s="15"/>
    </row>
    <row r="975" spans="1:26" x14ac:dyDescent="0.25">
      <c r="Q975" s="14"/>
      <c r="R975" s="15"/>
      <c r="S975" s="14"/>
      <c r="T975" s="15"/>
      <c r="U975" s="14"/>
      <c r="V975" s="15"/>
      <c r="W975" s="14"/>
      <c r="X975" s="15"/>
      <c r="Y975" s="14"/>
      <c r="Z975" s="15"/>
    </row>
    <row r="976" spans="1:26" x14ac:dyDescent="0.25">
      <c r="Q976" s="14"/>
      <c r="R976" s="15"/>
      <c r="S976" s="14"/>
      <c r="T976" s="15"/>
      <c r="U976" s="14"/>
      <c r="V976" s="15"/>
      <c r="W976" s="14"/>
      <c r="X976" s="15"/>
      <c r="Y976" s="14"/>
      <c r="Z976" s="15"/>
    </row>
    <row r="977" spans="1:26" x14ac:dyDescent="0.25">
      <c r="Q977" s="14"/>
      <c r="R977" s="15"/>
      <c r="S977" s="14"/>
      <c r="T977" s="15"/>
      <c r="U977" s="14"/>
      <c r="V977" s="15"/>
      <c r="W977" s="14"/>
      <c r="X977" s="15"/>
      <c r="Y977" s="14"/>
      <c r="Z977" s="15"/>
    </row>
    <row r="978" spans="1:26" x14ac:dyDescent="0.25">
      <c r="Q978" s="14"/>
      <c r="R978" s="15"/>
      <c r="S978" s="14"/>
      <c r="T978" s="15"/>
      <c r="U978" s="14"/>
      <c r="V978" s="15"/>
      <c r="W978" s="14"/>
      <c r="X978" s="15"/>
      <c r="Y978" s="14"/>
      <c r="Z978" s="15"/>
    </row>
    <row r="979" spans="1:26" x14ac:dyDescent="0.25">
      <c r="Q979" s="14"/>
      <c r="R979" s="15"/>
      <c r="S979" s="14"/>
      <c r="T979" s="15"/>
      <c r="U979" s="14"/>
      <c r="V979" s="15"/>
      <c r="W979" s="14"/>
      <c r="X979" s="15"/>
      <c r="Y979" s="14"/>
      <c r="Z979" s="15"/>
    </row>
    <row r="980" spans="1:26" x14ac:dyDescent="0.25">
      <c r="Q980" s="14"/>
      <c r="R980" s="15"/>
      <c r="S980" s="14"/>
      <c r="T980" s="15"/>
      <c r="U980" s="14"/>
      <c r="V980" s="15"/>
      <c r="W980" s="14"/>
      <c r="X980" s="15"/>
      <c r="Y980" s="14"/>
      <c r="Z980" s="15"/>
    </row>
    <row r="981" spans="1:26" x14ac:dyDescent="0.25">
      <c r="Q981" s="14"/>
      <c r="R981" s="15"/>
      <c r="S981" s="14"/>
      <c r="T981" s="15"/>
      <c r="U981" s="14"/>
      <c r="V981" s="15"/>
      <c r="W981" s="14"/>
      <c r="X981" s="15"/>
      <c r="Y981" s="14"/>
      <c r="Z981" s="15"/>
    </row>
    <row r="982" spans="1:26" x14ac:dyDescent="0.25">
      <c r="Q982" s="14"/>
      <c r="R982" s="15"/>
      <c r="S982" s="14"/>
      <c r="T982" s="15"/>
      <c r="U982" s="14"/>
      <c r="V982" s="15"/>
      <c r="W982" s="14"/>
      <c r="X982" s="15"/>
      <c r="Y982" s="14"/>
      <c r="Z982" s="15"/>
    </row>
    <row r="983" spans="1:26" x14ac:dyDescent="0.25">
      <c r="Q983" s="14"/>
      <c r="R983" s="15"/>
      <c r="S983" s="14"/>
      <c r="T983" s="15"/>
      <c r="U983" s="14"/>
      <c r="V983" s="15"/>
      <c r="W983" s="14"/>
      <c r="X983" s="15"/>
      <c r="Y983" s="14"/>
      <c r="Z983" s="15"/>
    </row>
    <row r="984" spans="1:26" x14ac:dyDescent="0.25">
      <c r="Q984" s="14"/>
      <c r="R984" s="15"/>
      <c r="S984" s="14"/>
      <c r="T984" s="15"/>
      <c r="U984" s="14"/>
      <c r="V984" s="15"/>
      <c r="W984" s="14"/>
      <c r="X984" s="15"/>
      <c r="Y984" s="14"/>
      <c r="Z984" s="15"/>
    </row>
    <row r="985" spans="1:26" x14ac:dyDescent="0.25">
      <c r="Q985" s="14"/>
      <c r="R985" s="15"/>
      <c r="S985" s="14"/>
      <c r="T985" s="15"/>
      <c r="U985" s="14"/>
      <c r="V985" s="15"/>
      <c r="W985" s="14"/>
      <c r="X985" s="15"/>
      <c r="Y985" s="14"/>
      <c r="Z985" s="15"/>
    </row>
    <row r="986" spans="1:26" x14ac:dyDescent="0.25">
      <c r="Q986" s="14"/>
      <c r="R986" s="15"/>
      <c r="S986" s="14"/>
      <c r="T986" s="15"/>
      <c r="U986" s="14"/>
      <c r="V986" s="15"/>
      <c r="W986" s="14"/>
      <c r="X986" s="15"/>
      <c r="Y986" s="14"/>
      <c r="Z986" s="15"/>
    </row>
    <row r="987" spans="1:26" x14ac:dyDescent="0.25">
      <c r="Q987" s="14"/>
      <c r="R987" s="15"/>
      <c r="S987" s="14"/>
      <c r="T987" s="15"/>
      <c r="U987" s="14"/>
      <c r="V987" s="15"/>
      <c r="W987" s="14"/>
      <c r="X987" s="15"/>
      <c r="Y987" s="14"/>
      <c r="Z987" s="15"/>
    </row>
    <row r="988" spans="1:26" x14ac:dyDescent="0.25">
      <c r="Q988" s="14"/>
      <c r="R988" s="15"/>
      <c r="S988" s="14"/>
      <c r="T988" s="15"/>
      <c r="U988" s="14"/>
      <c r="V988" s="15"/>
      <c r="W988" s="14"/>
      <c r="X988" s="15"/>
      <c r="Y988" s="14"/>
      <c r="Z988" s="15"/>
    </row>
    <row r="989" spans="1:26" x14ac:dyDescent="0.25">
      <c r="Q989" s="14"/>
      <c r="R989" s="15"/>
      <c r="S989" s="14"/>
      <c r="T989" s="15"/>
      <c r="U989" s="14"/>
      <c r="V989" s="15"/>
      <c r="W989" s="14"/>
      <c r="X989" s="15"/>
      <c r="Y989" s="14"/>
      <c r="Z989" s="15"/>
    </row>
    <row r="990" spans="1:26" x14ac:dyDescent="0.25">
      <c r="Q990" s="14"/>
      <c r="R990" s="15"/>
      <c r="S990" s="14"/>
      <c r="T990" s="15"/>
      <c r="U990" s="14"/>
      <c r="V990" s="15"/>
      <c r="W990" s="14"/>
      <c r="X990" s="15"/>
      <c r="Y990" s="14"/>
      <c r="Z990" s="15"/>
    </row>
    <row r="991" spans="1:26" x14ac:dyDescent="0.25">
      <c r="Q991" s="14"/>
      <c r="R991" s="15"/>
      <c r="S991" s="14"/>
      <c r="T991" s="15"/>
      <c r="U991" s="14"/>
      <c r="V991" s="15"/>
      <c r="W991" s="14"/>
      <c r="X991" s="15"/>
      <c r="Y991" s="14"/>
      <c r="Z991" s="15"/>
    </row>
    <row r="992" spans="1:26" x14ac:dyDescent="0.25">
      <c r="Q992" s="14"/>
      <c r="R992" s="15"/>
      <c r="S992" s="14"/>
      <c r="T992" s="15"/>
      <c r="U992" s="14"/>
      <c r="V992" s="15"/>
      <c r="W992" s="14"/>
      <c r="X992" s="15"/>
      <c r="Y992" s="14"/>
      <c r="Z992" s="15"/>
    </row>
    <row r="993" spans="1:26" x14ac:dyDescent="0.25">
      <c r="Q993" s="14"/>
      <c r="R993" s="15"/>
      <c r="S993" s="14"/>
      <c r="T993" s="15"/>
      <c r="U993" s="14"/>
      <c r="V993" s="15"/>
      <c r="W993" s="14"/>
      <c r="X993" s="15"/>
      <c r="Y993" s="14"/>
      <c r="Z993" s="15"/>
    </row>
    <row r="994" spans="1:26" x14ac:dyDescent="0.25">
      <c r="Q994" s="14"/>
      <c r="R994" s="15"/>
      <c r="S994" s="14"/>
      <c r="T994" s="15"/>
      <c r="U994" s="14"/>
      <c r="V994" s="15"/>
      <c r="W994" s="14"/>
      <c r="X994" s="15"/>
      <c r="Y994" s="14"/>
      <c r="Z994" s="15"/>
    </row>
    <row r="995" spans="1:26" x14ac:dyDescent="0.25">
      <c r="Q995" s="14"/>
      <c r="R995" s="15"/>
      <c r="S995" s="14"/>
      <c r="T995" s="15"/>
      <c r="U995" s="14"/>
      <c r="V995" s="15"/>
      <c r="W995" s="14"/>
      <c r="X995" s="15"/>
      <c r="Y995" s="14"/>
      <c r="Z995" s="15"/>
    </row>
    <row r="996" spans="1:26" x14ac:dyDescent="0.25">
      <c r="Q996" s="14"/>
      <c r="R996" s="15"/>
      <c r="S996" s="14"/>
      <c r="T996" s="15"/>
      <c r="U996" s="14"/>
      <c r="V996" s="15"/>
      <c r="W996" s="14"/>
      <c r="X996" s="15"/>
      <c r="Y996" s="14"/>
      <c r="Z996" s="15"/>
    </row>
    <row r="997" spans="1:26" x14ac:dyDescent="0.25">
      <c r="Q997" s="14"/>
      <c r="R997" s="15"/>
      <c r="S997" s="14"/>
      <c r="T997" s="15"/>
      <c r="U997" s="14"/>
      <c r="V997" s="15"/>
      <c r="W997" s="14"/>
      <c r="X997" s="15"/>
      <c r="Y997" s="14"/>
      <c r="Z997" s="15"/>
    </row>
    <row r="998" spans="1:26" x14ac:dyDescent="0.25">
      <c r="Q998" s="14"/>
      <c r="R998" s="15"/>
      <c r="S998" s="14"/>
      <c r="T998" s="15"/>
      <c r="U998" s="14"/>
      <c r="V998" s="15"/>
      <c r="W998" s="14"/>
      <c r="X998" s="15"/>
      <c r="Y998" s="14"/>
      <c r="Z998" s="15"/>
    </row>
    <row r="999" spans="1:26" x14ac:dyDescent="0.25">
      <c r="Q999" s="14"/>
      <c r="R999" s="15"/>
      <c r="S999" s="14"/>
      <c r="T999" s="15"/>
      <c r="U999" s="14"/>
      <c r="V999" s="15"/>
      <c r="W999" s="14"/>
      <c r="X999" s="15"/>
      <c r="Y999" s="14"/>
      <c r="Z999" s="15"/>
    </row>
    <row r="1000" spans="1:26" x14ac:dyDescent="0.25">
      <c r="Q1000" s="14"/>
      <c r="R1000" s="15"/>
      <c r="S1000" s="14"/>
      <c r="T1000" s="15"/>
      <c r="U1000" s="14"/>
      <c r="V1000" s="15"/>
      <c r="W1000" s="14"/>
      <c r="X1000" s="15"/>
      <c r="Y1000" s="14"/>
      <c r="Z1000" s="15"/>
    </row>
    <row r="1001" spans="1:26" x14ac:dyDescent="0.25">
      <c r="Q1001" s="14"/>
      <c r="R1001" s="15"/>
      <c r="S1001" s="14"/>
      <c r="T1001" s="15"/>
      <c r="U1001" s="14"/>
      <c r="V1001" s="15"/>
      <c r="W1001" s="14"/>
      <c r="X1001" s="15"/>
      <c r="Y1001" s="14"/>
      <c r="Z1001" s="15"/>
    </row>
    <row r="1002" spans="1:26" x14ac:dyDescent="0.25">
      <c r="Q1002" s="14"/>
      <c r="R1002" s="15"/>
      <c r="S1002" s="14"/>
      <c r="T1002" s="15"/>
      <c r="U1002" s="14"/>
      <c r="V1002" s="15"/>
      <c r="W1002" s="14"/>
      <c r="X1002" s="15"/>
      <c r="Y1002" s="14"/>
      <c r="Z1002" s="15"/>
    </row>
    <row r="1003" spans="1:26" x14ac:dyDescent="0.25">
      <c r="Q1003" s="14"/>
      <c r="R1003" s="15"/>
      <c r="S1003" s="14"/>
      <c r="T1003" s="15"/>
      <c r="U1003" s="14"/>
      <c r="V1003" s="15"/>
      <c r="W1003" s="14"/>
      <c r="X1003" s="15"/>
      <c r="Y1003" s="14"/>
      <c r="Z1003" s="15"/>
    </row>
    <row r="1004" spans="1:26" x14ac:dyDescent="0.25">
      <c r="Q1004" s="14"/>
      <c r="R1004" s="15"/>
      <c r="S1004" s="14"/>
      <c r="T1004" s="15"/>
      <c r="U1004" s="14"/>
      <c r="V1004" s="15"/>
      <c r="W1004" s="14"/>
      <c r="X1004" s="15"/>
      <c r="Y1004" s="14"/>
      <c r="Z1004" s="15"/>
    </row>
    <row r="1005" spans="1:26" x14ac:dyDescent="0.25">
      <c r="Q1005" s="14"/>
      <c r="R1005" s="15"/>
      <c r="S1005" s="14"/>
      <c r="T1005" s="15"/>
      <c r="U1005" s="14"/>
      <c r="V1005" s="15"/>
      <c r="W1005" s="14"/>
      <c r="X1005" s="15"/>
      <c r="Y1005" s="14"/>
      <c r="Z1005" s="15"/>
    </row>
    <row r="1006" spans="1:26" x14ac:dyDescent="0.25">
      <c r="Q1006" s="14"/>
      <c r="R1006" s="15"/>
      <c r="S1006" s="14"/>
      <c r="T1006" s="15"/>
      <c r="U1006" s="14"/>
      <c r="V1006" s="15"/>
      <c r="W1006" s="14"/>
      <c r="X1006" s="15"/>
      <c r="Y1006" s="14"/>
      <c r="Z1006" s="15"/>
    </row>
    <row r="1007" spans="1:26" x14ac:dyDescent="0.25">
      <c r="Q1007" s="14"/>
      <c r="R1007" s="15"/>
      <c r="S1007" s="14"/>
      <c r="T1007" s="15"/>
      <c r="U1007" s="14"/>
      <c r="V1007" s="15"/>
      <c r="W1007" s="14"/>
      <c r="X1007" s="15"/>
      <c r="Y1007" s="14"/>
      <c r="Z1007" s="15"/>
    </row>
    <row r="1008" spans="1:26" x14ac:dyDescent="0.25">
      <c r="Q1008" s="14"/>
      <c r="R1008" s="15"/>
      <c r="S1008" s="14"/>
      <c r="T1008" s="15"/>
      <c r="U1008" s="14"/>
      <c r="V1008" s="15"/>
      <c r="W1008" s="14"/>
      <c r="X1008" s="15"/>
      <c r="Y1008" s="14"/>
      <c r="Z1008" s="15"/>
    </row>
    <row r="1009" spans="1:26" x14ac:dyDescent="0.25">
      <c r="Q1009" s="14"/>
      <c r="R1009" s="15"/>
      <c r="S1009" s="14"/>
      <c r="T1009" s="15"/>
      <c r="U1009" s="14"/>
      <c r="V1009" s="15"/>
      <c r="W1009" s="14"/>
      <c r="X1009" s="15"/>
      <c r="Y1009" s="14"/>
      <c r="Z1009" s="15"/>
    </row>
    <row r="1010" spans="1:26" x14ac:dyDescent="0.25">
      <c r="Q1010" s="14"/>
      <c r="R1010" s="15"/>
      <c r="S1010" s="14"/>
      <c r="T1010" s="15"/>
      <c r="U1010" s="14"/>
      <c r="V1010" s="15"/>
      <c r="W1010" s="14"/>
      <c r="X1010" s="15"/>
      <c r="Y1010" s="14"/>
      <c r="Z1010" s="15"/>
    </row>
    <row r="1011" spans="1:26" x14ac:dyDescent="0.25">
      <c r="Q1011" s="14"/>
      <c r="R1011" s="15"/>
      <c r="S1011" s="14"/>
      <c r="T1011" s="15"/>
      <c r="U1011" s="14"/>
      <c r="V1011" s="15"/>
      <c r="W1011" s="14"/>
      <c r="X1011" s="15"/>
      <c r="Y1011" s="14"/>
      <c r="Z1011" s="15"/>
    </row>
    <row r="1012" spans="1:26" x14ac:dyDescent="0.25">
      <c r="Q1012" s="14"/>
      <c r="R1012" s="15"/>
      <c r="S1012" s="14"/>
      <c r="T1012" s="15"/>
      <c r="U1012" s="14"/>
      <c r="V1012" s="15"/>
      <c r="W1012" s="14"/>
      <c r="X1012" s="15"/>
      <c r="Y1012" s="14"/>
      <c r="Z1012" s="15"/>
    </row>
    <row r="1013" spans="1:26" x14ac:dyDescent="0.25">
      <c r="Q1013" s="14"/>
      <c r="R1013" s="15"/>
      <c r="S1013" s="14"/>
      <c r="T1013" s="15"/>
      <c r="U1013" s="14"/>
      <c r="V1013" s="15"/>
      <c r="W1013" s="14"/>
      <c r="X1013" s="15"/>
      <c r="Y1013" s="14"/>
      <c r="Z1013" s="15"/>
    </row>
    <row r="1014" spans="1:26" x14ac:dyDescent="0.25">
      <c r="Q1014" s="14"/>
      <c r="R1014" s="15"/>
      <c r="S1014" s="14"/>
      <c r="T1014" s="15"/>
      <c r="U1014" s="14"/>
      <c r="V1014" s="15"/>
      <c r="W1014" s="14"/>
      <c r="X1014" s="15"/>
      <c r="Y1014" s="14"/>
      <c r="Z1014" s="15"/>
    </row>
    <row r="1015" spans="1:26" x14ac:dyDescent="0.25">
      <c r="Q1015" s="14"/>
      <c r="R1015" s="15"/>
      <c r="S1015" s="14"/>
      <c r="T1015" s="15"/>
      <c r="U1015" s="14"/>
      <c r="V1015" s="15"/>
      <c r="W1015" s="14"/>
      <c r="X1015" s="15"/>
      <c r="Y1015" s="14"/>
      <c r="Z1015" s="15"/>
    </row>
    <row r="1016" spans="1:26" x14ac:dyDescent="0.25">
      <c r="Q1016" s="14"/>
      <c r="R1016" s="15"/>
      <c r="S1016" s="14"/>
      <c r="T1016" s="15"/>
      <c r="U1016" s="14"/>
      <c r="V1016" s="15"/>
      <c r="W1016" s="14"/>
      <c r="X1016" s="15"/>
      <c r="Y1016" s="14"/>
      <c r="Z1016" s="15"/>
    </row>
    <row r="1017" spans="1:26" x14ac:dyDescent="0.25">
      <c r="Q1017" s="14"/>
      <c r="R1017" s="15"/>
      <c r="S1017" s="14"/>
      <c r="T1017" s="15"/>
      <c r="U1017" s="14"/>
      <c r="V1017" s="15"/>
      <c r="W1017" s="14"/>
      <c r="X1017" s="15"/>
      <c r="Y1017" s="14"/>
      <c r="Z1017" s="15"/>
    </row>
    <row r="1018" spans="1:26" x14ac:dyDescent="0.25">
      <c r="Q1018" s="14"/>
      <c r="R1018" s="15"/>
      <c r="S1018" s="14"/>
      <c r="T1018" s="15"/>
      <c r="U1018" s="14"/>
      <c r="V1018" s="15"/>
      <c r="W1018" s="14"/>
      <c r="X1018" s="15"/>
      <c r="Y1018" s="14"/>
      <c r="Z1018" s="15"/>
    </row>
    <row r="1019" spans="1:26" x14ac:dyDescent="0.25">
      <c r="Q1019" s="14"/>
      <c r="R1019" s="15"/>
      <c r="S1019" s="14"/>
      <c r="T1019" s="15"/>
      <c r="U1019" s="14"/>
      <c r="V1019" s="15"/>
      <c r="W1019" s="14"/>
      <c r="X1019" s="15"/>
      <c r="Y1019" s="14"/>
      <c r="Z1019" s="15"/>
    </row>
    <row r="1020" spans="1:26" x14ac:dyDescent="0.25">
      <c r="Q1020" s="14"/>
      <c r="R1020" s="15"/>
      <c r="S1020" s="14"/>
      <c r="T1020" s="15"/>
      <c r="U1020" s="14"/>
      <c r="V1020" s="15"/>
      <c r="W1020" s="14"/>
      <c r="X1020" s="15"/>
      <c r="Y1020" s="14"/>
      <c r="Z1020" s="15"/>
    </row>
    <row r="1021" spans="1:26" x14ac:dyDescent="0.25">
      <c r="Q1021" s="14"/>
      <c r="R1021" s="15"/>
      <c r="S1021" s="14"/>
      <c r="T1021" s="15"/>
      <c r="U1021" s="14"/>
      <c r="V1021" s="15"/>
      <c r="W1021" s="14"/>
      <c r="X1021" s="15"/>
      <c r="Y1021" s="14"/>
      <c r="Z1021" s="15"/>
    </row>
    <row r="1022" spans="1:26" x14ac:dyDescent="0.25">
      <c r="Q1022" s="14"/>
      <c r="R1022" s="15"/>
      <c r="S1022" s="14"/>
      <c r="T1022" s="15"/>
      <c r="U1022" s="14"/>
      <c r="V1022" s="15"/>
      <c r="W1022" s="14"/>
      <c r="X1022" s="15"/>
      <c r="Y1022" s="14"/>
      <c r="Z1022" s="15"/>
    </row>
    <row r="1023" spans="1:26" x14ac:dyDescent="0.25">
      <c r="Q1023" s="14"/>
      <c r="R1023" s="15"/>
      <c r="S1023" s="14"/>
      <c r="T1023" s="15"/>
      <c r="U1023" s="14"/>
      <c r="V1023" s="15"/>
      <c r="W1023" s="14"/>
      <c r="X1023" s="15"/>
      <c r="Y1023" s="14"/>
      <c r="Z1023" s="15"/>
    </row>
    <row r="1024" spans="1:26" x14ac:dyDescent="0.25">
      <c r="Q1024" s="14"/>
      <c r="R1024" s="15"/>
      <c r="S1024" s="14"/>
      <c r="T1024" s="15"/>
      <c r="U1024" s="14"/>
      <c r="V1024" s="15"/>
      <c r="W1024" s="14"/>
      <c r="X1024" s="15"/>
      <c r="Y1024" s="14"/>
      <c r="Z1024" s="15"/>
    </row>
    <row r="1025" spans="1:26" x14ac:dyDescent="0.25">
      <c r="Q1025" s="14"/>
      <c r="R1025" s="15"/>
      <c r="S1025" s="14"/>
      <c r="T1025" s="15"/>
      <c r="U1025" s="14"/>
      <c r="V1025" s="15"/>
      <c r="W1025" s="14"/>
      <c r="X1025" s="15"/>
      <c r="Y1025" s="14"/>
      <c r="Z1025" s="15"/>
    </row>
    <row r="1026" spans="1:26" x14ac:dyDescent="0.25">
      <c r="Q1026" s="14"/>
      <c r="R1026" s="15"/>
      <c r="S1026" s="14"/>
      <c r="T1026" s="15"/>
      <c r="U1026" s="14"/>
      <c r="V1026" s="15"/>
      <c r="W1026" s="14"/>
      <c r="X1026" s="15"/>
      <c r="Y1026" s="14"/>
      <c r="Z1026" s="15"/>
    </row>
    <row r="1027" spans="1:26" x14ac:dyDescent="0.25">
      <c r="Q1027" s="14"/>
      <c r="R1027" s="15"/>
      <c r="S1027" s="14"/>
      <c r="T1027" s="15"/>
      <c r="U1027" s="14"/>
      <c r="V1027" s="15"/>
      <c r="W1027" s="14"/>
      <c r="X1027" s="15"/>
      <c r="Y1027" s="14"/>
      <c r="Z1027" s="15"/>
    </row>
    <row r="1028" spans="1:26" x14ac:dyDescent="0.25">
      <c r="Q1028" s="14"/>
      <c r="R1028" s="15"/>
      <c r="S1028" s="14"/>
      <c r="T1028" s="15"/>
      <c r="U1028" s="14"/>
      <c r="V1028" s="15"/>
      <c r="W1028" s="14"/>
      <c r="X1028" s="15"/>
      <c r="Y1028" s="14"/>
      <c r="Z1028" s="15"/>
    </row>
    <row r="1029" spans="1:26" x14ac:dyDescent="0.25">
      <c r="Q1029" s="14"/>
      <c r="R1029" s="15"/>
      <c r="S1029" s="14"/>
      <c r="T1029" s="15"/>
      <c r="U1029" s="14"/>
      <c r="V1029" s="15"/>
      <c r="W1029" s="14"/>
      <c r="X1029" s="15"/>
      <c r="Y1029" s="14"/>
      <c r="Z1029" s="15"/>
    </row>
    <row r="1030" spans="1:26" x14ac:dyDescent="0.25">
      <c r="Q1030" s="14"/>
      <c r="R1030" s="15"/>
      <c r="S1030" s="14"/>
      <c r="T1030" s="15"/>
      <c r="U1030" s="14"/>
      <c r="V1030" s="15"/>
      <c r="W1030" s="14"/>
      <c r="X1030" s="15"/>
      <c r="Y1030" s="14"/>
      <c r="Z1030" s="15"/>
    </row>
    <row r="1031" spans="1:26" x14ac:dyDescent="0.25">
      <c r="Q1031" s="14"/>
      <c r="R1031" s="15"/>
      <c r="S1031" s="14"/>
      <c r="T1031" s="15"/>
      <c r="U1031" s="14"/>
      <c r="V1031" s="15"/>
      <c r="W1031" s="14"/>
      <c r="X1031" s="15"/>
      <c r="Y1031" s="14"/>
      <c r="Z1031" s="15"/>
    </row>
    <row r="1032" spans="1:26" x14ac:dyDescent="0.25">
      <c r="Q1032" s="14"/>
      <c r="R1032" s="15"/>
      <c r="S1032" s="14"/>
      <c r="T1032" s="15"/>
      <c r="U1032" s="14"/>
      <c r="V1032" s="15"/>
      <c r="W1032" s="14"/>
      <c r="X1032" s="15"/>
      <c r="Y1032" s="14"/>
      <c r="Z1032" s="15"/>
    </row>
    <row r="1033" spans="1:26" x14ac:dyDescent="0.25">
      <c r="Q1033" s="14"/>
      <c r="R1033" s="15"/>
      <c r="S1033" s="14"/>
      <c r="T1033" s="15"/>
      <c r="U1033" s="14"/>
      <c r="V1033" s="15"/>
      <c r="W1033" s="14"/>
      <c r="X1033" s="15"/>
      <c r="Y1033" s="14"/>
      <c r="Z1033" s="15"/>
    </row>
    <row r="1034" spans="1:26" x14ac:dyDescent="0.25">
      <c r="Q1034" s="14"/>
      <c r="R1034" s="15"/>
      <c r="S1034" s="14"/>
      <c r="T1034" s="15"/>
      <c r="U1034" s="14"/>
      <c r="V1034" s="15"/>
      <c r="W1034" s="14"/>
      <c r="X1034" s="15"/>
      <c r="Y1034" s="14"/>
      <c r="Z1034" s="15"/>
    </row>
    <row r="1035" spans="1:26" x14ac:dyDescent="0.25">
      <c r="Q1035" s="14"/>
      <c r="R1035" s="15"/>
      <c r="S1035" s="14"/>
      <c r="T1035" s="15"/>
      <c r="U1035" s="14"/>
      <c r="V1035" s="15"/>
      <c r="W1035" s="14"/>
      <c r="X1035" s="15"/>
      <c r="Y1035" s="14"/>
      <c r="Z1035" s="15"/>
    </row>
    <row r="1036" spans="1:26" x14ac:dyDescent="0.25">
      <c r="Q1036" s="14"/>
      <c r="R1036" s="15"/>
      <c r="S1036" s="14"/>
      <c r="T1036" s="15"/>
      <c r="U1036" s="14"/>
      <c r="V1036" s="15"/>
      <c r="W1036" s="14"/>
      <c r="X1036" s="15"/>
      <c r="Y1036" s="14"/>
      <c r="Z1036" s="15"/>
    </row>
    <row r="1037" spans="1:26" x14ac:dyDescent="0.25">
      <c r="Q1037" s="14"/>
      <c r="R1037" s="15"/>
      <c r="S1037" s="14"/>
      <c r="T1037" s="15"/>
      <c r="U1037" s="14"/>
      <c r="V1037" s="15"/>
      <c r="W1037" s="14"/>
      <c r="X1037" s="15"/>
      <c r="Y1037" s="14"/>
      <c r="Z1037" s="15"/>
    </row>
    <row r="1038" spans="1:26" x14ac:dyDescent="0.25">
      <c r="Q1038" s="14"/>
      <c r="R1038" s="15"/>
      <c r="S1038" s="14"/>
      <c r="T1038" s="15"/>
      <c r="U1038" s="14"/>
      <c r="V1038" s="15"/>
      <c r="W1038" s="14"/>
      <c r="X1038" s="15"/>
      <c r="Y1038" s="14"/>
      <c r="Z1038" s="15"/>
    </row>
    <row r="1039" spans="1:26" x14ac:dyDescent="0.25">
      <c r="Q1039" s="14"/>
      <c r="R1039" s="15"/>
      <c r="S1039" s="14"/>
      <c r="T1039" s="15"/>
      <c r="U1039" s="14"/>
      <c r="V1039" s="15"/>
      <c r="W1039" s="14"/>
      <c r="X1039" s="15"/>
      <c r="Y1039" s="14"/>
      <c r="Z1039" s="15"/>
    </row>
    <row r="1040" spans="1:26" x14ac:dyDescent="0.25">
      <c r="Q1040" s="14"/>
      <c r="R1040" s="15"/>
      <c r="S1040" s="14"/>
      <c r="T1040" s="15"/>
      <c r="U1040" s="14"/>
      <c r="V1040" s="15"/>
      <c r="W1040" s="14"/>
      <c r="X1040" s="15"/>
      <c r="Y1040" s="14"/>
      <c r="Z1040" s="15"/>
    </row>
    <row r="1041" spans="1:26" x14ac:dyDescent="0.25">
      <c r="Q1041" s="14"/>
      <c r="R1041" s="15"/>
      <c r="S1041" s="14"/>
      <c r="T1041" s="15"/>
      <c r="U1041" s="14"/>
      <c r="V1041" s="15"/>
      <c r="W1041" s="14"/>
      <c r="X1041" s="15"/>
      <c r="Y1041" s="14"/>
      <c r="Z1041" s="15"/>
    </row>
    <row r="1042" spans="1:26" x14ac:dyDescent="0.25">
      <c r="Q1042" s="14"/>
      <c r="R1042" s="15"/>
      <c r="S1042" s="14"/>
      <c r="T1042" s="15"/>
      <c r="U1042" s="14"/>
      <c r="V1042" s="15"/>
      <c r="W1042" s="14"/>
      <c r="X1042" s="15"/>
      <c r="Y1042" s="14"/>
      <c r="Z1042" s="15"/>
    </row>
    <row r="1043" spans="1:26" x14ac:dyDescent="0.25">
      <c r="Q1043" s="14"/>
      <c r="R1043" s="15"/>
      <c r="S1043" s="14"/>
      <c r="T1043" s="15"/>
      <c r="U1043" s="14"/>
      <c r="V1043" s="15"/>
      <c r="W1043" s="14"/>
      <c r="X1043" s="15"/>
      <c r="Y1043" s="14"/>
      <c r="Z1043" s="15"/>
    </row>
    <row r="1044" spans="1:26" x14ac:dyDescent="0.25">
      <c r="Q1044" s="14"/>
      <c r="R1044" s="15"/>
      <c r="S1044" s="14"/>
      <c r="T1044" s="15"/>
      <c r="U1044" s="14"/>
      <c r="V1044" s="15"/>
      <c r="W1044" s="14"/>
      <c r="X1044" s="15"/>
      <c r="Y1044" s="14"/>
      <c r="Z1044" s="15"/>
    </row>
    <row r="1045" spans="1:26" x14ac:dyDescent="0.25">
      <c r="Q1045" s="14"/>
      <c r="R1045" s="15"/>
      <c r="S1045" s="14"/>
      <c r="T1045" s="15"/>
      <c r="U1045" s="14"/>
      <c r="V1045" s="15"/>
      <c r="W1045" s="14"/>
      <c r="X1045" s="15"/>
      <c r="Y1045" s="14"/>
      <c r="Z1045" s="15"/>
    </row>
    <row r="1046" spans="1:26" x14ac:dyDescent="0.25">
      <c r="Q1046" s="14"/>
      <c r="R1046" s="15"/>
      <c r="S1046" s="14"/>
      <c r="T1046" s="15"/>
      <c r="U1046" s="14"/>
      <c r="V1046" s="15"/>
      <c r="W1046" s="14"/>
      <c r="X1046" s="15"/>
      <c r="Y1046" s="14"/>
      <c r="Z1046" s="15"/>
    </row>
    <row r="1047" spans="1:26" x14ac:dyDescent="0.25">
      <c r="Q1047" s="14"/>
      <c r="R1047" s="15"/>
      <c r="S1047" s="14"/>
      <c r="T1047" s="15"/>
      <c r="U1047" s="14"/>
      <c r="V1047" s="15"/>
      <c r="W1047" s="14"/>
      <c r="X1047" s="15"/>
      <c r="Y1047" s="14"/>
      <c r="Z1047" s="15"/>
    </row>
    <row r="1048" spans="1:26" x14ac:dyDescent="0.25">
      <c r="Q1048" s="14"/>
      <c r="R1048" s="15"/>
      <c r="S1048" s="14"/>
      <c r="T1048" s="15"/>
      <c r="U1048" s="14"/>
      <c r="V1048" s="15"/>
      <c r="W1048" s="14"/>
      <c r="X1048" s="15"/>
      <c r="Y1048" s="14"/>
      <c r="Z1048" s="15"/>
    </row>
    <row r="1049" spans="1:26" x14ac:dyDescent="0.25">
      <c r="Q1049" s="14"/>
      <c r="R1049" s="15"/>
      <c r="S1049" s="14"/>
      <c r="T1049" s="15"/>
      <c r="U1049" s="14"/>
      <c r="V1049" s="15"/>
      <c r="W1049" s="14"/>
      <c r="X1049" s="15"/>
      <c r="Y1049" s="14"/>
      <c r="Z1049" s="15"/>
    </row>
    <row r="1050" spans="1:26" x14ac:dyDescent="0.25">
      <c r="Q1050" s="14"/>
      <c r="R1050" s="15"/>
      <c r="S1050" s="14"/>
      <c r="T1050" s="15"/>
      <c r="U1050" s="14"/>
      <c r="V1050" s="15"/>
      <c r="W1050" s="14"/>
      <c r="X1050" s="15"/>
      <c r="Y1050" s="14"/>
      <c r="Z1050" s="15"/>
    </row>
    <row r="1051" spans="1:26" x14ac:dyDescent="0.25">
      <c r="Q1051" s="14"/>
      <c r="R1051" s="15"/>
      <c r="S1051" s="14"/>
      <c r="T1051" s="15"/>
      <c r="U1051" s="14"/>
      <c r="V1051" s="15"/>
      <c r="W1051" s="14"/>
      <c r="X1051" s="15"/>
      <c r="Y1051" s="14"/>
      <c r="Z1051" s="15"/>
    </row>
    <row r="1052" spans="1:26" x14ac:dyDescent="0.25">
      <c r="Q1052" s="14"/>
      <c r="R1052" s="15"/>
      <c r="S1052" s="14"/>
      <c r="T1052" s="15"/>
      <c r="U1052" s="14"/>
      <c r="V1052" s="15"/>
      <c r="W1052" s="14"/>
      <c r="X1052" s="15"/>
      <c r="Y1052" s="14"/>
      <c r="Z1052" s="15"/>
    </row>
    <row r="1053" spans="1:26" x14ac:dyDescent="0.25">
      <c r="Q1053" s="14"/>
      <c r="R1053" s="15"/>
      <c r="S1053" s="14"/>
      <c r="T1053" s="15"/>
      <c r="U1053" s="14"/>
      <c r="V1053" s="15"/>
      <c r="W1053" s="14"/>
      <c r="X1053" s="15"/>
      <c r="Y1053" s="14"/>
      <c r="Z1053" s="15"/>
    </row>
    <row r="1054" spans="1:26" x14ac:dyDescent="0.25">
      <c r="Q1054" s="14"/>
      <c r="R1054" s="15"/>
      <c r="S1054" s="14"/>
      <c r="T1054" s="15"/>
      <c r="U1054" s="14"/>
      <c r="V1054" s="15"/>
      <c r="W1054" s="14"/>
      <c r="X1054" s="15"/>
      <c r="Y1054" s="14"/>
      <c r="Z1054" s="15"/>
    </row>
    <row r="1055" spans="1:26" x14ac:dyDescent="0.25">
      <c r="Q1055" s="14"/>
      <c r="R1055" s="15"/>
      <c r="S1055" s="14"/>
      <c r="T1055" s="15"/>
      <c r="U1055" s="14"/>
      <c r="V1055" s="15"/>
      <c r="W1055" s="14"/>
      <c r="X1055" s="15"/>
      <c r="Y1055" s="14"/>
      <c r="Z1055" s="15"/>
    </row>
    <row r="1056" spans="1:26" x14ac:dyDescent="0.25">
      <c r="Q1056" s="14"/>
      <c r="R1056" s="15"/>
      <c r="S1056" s="14"/>
      <c r="T1056" s="15"/>
      <c r="U1056" s="14"/>
      <c r="V1056" s="15"/>
      <c r="W1056" s="14"/>
      <c r="X1056" s="15"/>
      <c r="Y1056" s="14"/>
      <c r="Z1056" s="15"/>
    </row>
    <row r="1057" spans="1:26" x14ac:dyDescent="0.25">
      <c r="Q1057" s="14"/>
      <c r="R1057" s="15"/>
      <c r="S1057" s="14"/>
      <c r="T1057" s="15"/>
      <c r="U1057" s="14"/>
      <c r="V1057" s="15"/>
      <c r="W1057" s="14"/>
      <c r="X1057" s="15"/>
      <c r="Y1057" s="14"/>
      <c r="Z1057" s="15"/>
    </row>
    <row r="1058" spans="1:26" x14ac:dyDescent="0.25">
      <c r="Q1058" s="14"/>
      <c r="R1058" s="15"/>
      <c r="S1058" s="14"/>
      <c r="T1058" s="15"/>
      <c r="U1058" s="14"/>
      <c r="V1058" s="15"/>
      <c r="W1058" s="14"/>
      <c r="X1058" s="15"/>
      <c r="Y1058" s="14"/>
      <c r="Z1058" s="15"/>
    </row>
    <row r="1059" spans="1:26" x14ac:dyDescent="0.25">
      <c r="Q1059" s="14"/>
      <c r="R1059" s="15"/>
      <c r="S1059" s="14"/>
      <c r="T1059" s="15"/>
      <c r="U1059" s="14"/>
      <c r="V1059" s="15"/>
      <c r="W1059" s="14"/>
      <c r="X1059" s="15"/>
      <c r="Y1059" s="14"/>
      <c r="Z1059" s="15"/>
    </row>
    <row r="1060" spans="1:26" x14ac:dyDescent="0.25">
      <c r="Q1060" s="14"/>
      <c r="R1060" s="15"/>
      <c r="S1060" s="14"/>
      <c r="T1060" s="15"/>
      <c r="U1060" s="14"/>
      <c r="V1060" s="15"/>
      <c r="W1060" s="14"/>
      <c r="X1060" s="15"/>
      <c r="Y1060" s="14"/>
      <c r="Z1060" s="15"/>
    </row>
    <row r="1061" spans="1:26" x14ac:dyDescent="0.25">
      <c r="Q1061" s="14"/>
      <c r="R1061" s="15"/>
      <c r="S1061" s="14"/>
      <c r="T1061" s="15"/>
      <c r="U1061" s="14"/>
      <c r="V1061" s="15"/>
      <c r="W1061" s="14"/>
      <c r="X1061" s="15"/>
      <c r="Y1061" s="14"/>
      <c r="Z1061" s="15"/>
    </row>
    <row r="1062" spans="1:26" x14ac:dyDescent="0.25">
      <c r="Q1062" s="14"/>
      <c r="R1062" s="15"/>
      <c r="S1062" s="14"/>
      <c r="T1062" s="15"/>
      <c r="U1062" s="14"/>
      <c r="V1062" s="15"/>
      <c r="W1062" s="14"/>
      <c r="X1062" s="15"/>
      <c r="Y1062" s="14"/>
      <c r="Z1062" s="15"/>
    </row>
    <row r="1063" spans="1:26" x14ac:dyDescent="0.25">
      <c r="Q1063" s="14"/>
      <c r="R1063" s="15"/>
      <c r="S1063" s="14"/>
      <c r="T1063" s="15"/>
      <c r="U1063" s="14"/>
      <c r="V1063" s="15"/>
      <c r="W1063" s="14"/>
      <c r="X1063" s="15"/>
      <c r="Y1063" s="14"/>
      <c r="Z1063" s="15"/>
    </row>
    <row r="1064" spans="1:26" x14ac:dyDescent="0.25">
      <c r="Q1064" s="14"/>
      <c r="R1064" s="15"/>
      <c r="S1064" s="14"/>
      <c r="T1064" s="15"/>
      <c r="U1064" s="14"/>
      <c r="V1064" s="15"/>
      <c r="W1064" s="14"/>
      <c r="X1064" s="15"/>
      <c r="Y1064" s="14"/>
      <c r="Z1064" s="15"/>
    </row>
    <row r="1065" spans="1:26" x14ac:dyDescent="0.25">
      <c r="Q1065" s="14"/>
      <c r="R1065" s="15"/>
      <c r="S1065" s="14"/>
      <c r="T1065" s="15"/>
      <c r="U1065" s="14"/>
      <c r="V1065" s="15"/>
      <c r="W1065" s="14"/>
      <c r="X1065" s="15"/>
      <c r="Y1065" s="14"/>
      <c r="Z1065" s="15"/>
    </row>
    <row r="1066" spans="1:26" x14ac:dyDescent="0.25">
      <c r="Q1066" s="14"/>
      <c r="R1066" s="15"/>
      <c r="S1066" s="14"/>
      <c r="T1066" s="15"/>
      <c r="U1066" s="14"/>
      <c r="V1066" s="15"/>
      <c r="W1066" s="14"/>
      <c r="X1066" s="15"/>
      <c r="Y1066" s="14"/>
      <c r="Z1066" s="15"/>
    </row>
    <row r="1067" spans="1:26" x14ac:dyDescent="0.25">
      <c r="Q1067" s="14"/>
      <c r="R1067" s="15"/>
      <c r="S1067" s="14"/>
      <c r="T1067" s="15"/>
      <c r="U1067" s="14"/>
      <c r="V1067" s="15"/>
      <c r="W1067" s="14"/>
      <c r="X1067" s="15"/>
      <c r="Y1067" s="14"/>
      <c r="Z1067" s="15"/>
    </row>
    <row r="1068" spans="1:26" x14ac:dyDescent="0.25">
      <c r="Q1068" s="14"/>
      <c r="R1068" s="15"/>
      <c r="S1068" s="14"/>
      <c r="T1068" s="15"/>
      <c r="U1068" s="14"/>
      <c r="V1068" s="15"/>
      <c r="W1068" s="14"/>
      <c r="X1068" s="15"/>
      <c r="Y1068" s="14"/>
      <c r="Z1068" s="15"/>
    </row>
    <row r="1069" spans="1:26" x14ac:dyDescent="0.25">
      <c r="Q1069" s="14"/>
      <c r="R1069" s="15"/>
      <c r="S1069" s="14"/>
      <c r="T1069" s="15"/>
      <c r="U1069" s="14"/>
      <c r="V1069" s="15"/>
      <c r="W1069" s="14"/>
      <c r="X1069" s="15"/>
      <c r="Y1069" s="14"/>
      <c r="Z1069" s="15"/>
    </row>
    <row r="1070" spans="1:26" x14ac:dyDescent="0.25">
      <c r="Q1070" s="14"/>
      <c r="R1070" s="15"/>
      <c r="S1070" s="14"/>
      <c r="T1070" s="15"/>
      <c r="U1070" s="14"/>
      <c r="V1070" s="15"/>
      <c r="W1070" s="14"/>
      <c r="X1070" s="15"/>
      <c r="Y1070" s="14"/>
      <c r="Z1070" s="15"/>
    </row>
    <row r="1071" spans="1:26" x14ac:dyDescent="0.25">
      <c r="Q1071" s="14"/>
      <c r="R1071" s="15"/>
      <c r="S1071" s="14"/>
      <c r="T1071" s="15"/>
      <c r="U1071" s="14"/>
      <c r="V1071" s="15"/>
      <c r="W1071" s="14"/>
      <c r="X1071" s="15"/>
      <c r="Y1071" s="14"/>
      <c r="Z1071" s="15"/>
    </row>
    <row r="1072" spans="1:26" x14ac:dyDescent="0.25">
      <c r="Q1072" s="14"/>
      <c r="R1072" s="15"/>
      <c r="S1072" s="14"/>
      <c r="T1072" s="15"/>
      <c r="U1072" s="14"/>
      <c r="V1072" s="15"/>
      <c r="W1072" s="14"/>
      <c r="X1072" s="15"/>
      <c r="Y1072" s="14"/>
      <c r="Z1072" s="15"/>
    </row>
    <row r="1073" spans="1:26" x14ac:dyDescent="0.25">
      <c r="Q1073" s="14"/>
      <c r="R1073" s="15"/>
      <c r="S1073" s="14"/>
      <c r="T1073" s="15"/>
      <c r="U1073" s="14"/>
      <c r="V1073" s="15"/>
      <c r="W1073" s="14"/>
      <c r="X1073" s="15"/>
      <c r="Y1073" s="14"/>
      <c r="Z1073" s="15"/>
    </row>
    <row r="1074" spans="1:26" x14ac:dyDescent="0.25">
      <c r="Q1074" s="14"/>
      <c r="R1074" s="15"/>
      <c r="S1074" s="14"/>
      <c r="T1074" s="15"/>
      <c r="U1074" s="14"/>
      <c r="V1074" s="15"/>
      <c r="W1074" s="14"/>
      <c r="X1074" s="15"/>
      <c r="Y1074" s="14"/>
      <c r="Z1074" s="15"/>
    </row>
    <row r="1075" spans="1:26" x14ac:dyDescent="0.25">
      <c r="Q1075" s="14"/>
      <c r="R1075" s="15"/>
      <c r="S1075" s="14"/>
      <c r="T1075" s="15"/>
      <c r="U1075" s="14"/>
      <c r="V1075" s="15"/>
      <c r="W1075" s="14"/>
      <c r="X1075" s="15"/>
      <c r="Y1075" s="14"/>
      <c r="Z1075" s="15"/>
    </row>
    <row r="1076" spans="1:26" x14ac:dyDescent="0.25">
      <c r="Q1076" s="14"/>
      <c r="R1076" s="15"/>
      <c r="S1076" s="14"/>
      <c r="T1076" s="15"/>
      <c r="U1076" s="14"/>
      <c r="V1076" s="15"/>
      <c r="W1076" s="14"/>
      <c r="X1076" s="15"/>
      <c r="Y1076" s="14"/>
      <c r="Z1076" s="15"/>
    </row>
    <row r="1077" spans="1:26" x14ac:dyDescent="0.25">
      <c r="Q1077" s="14"/>
      <c r="R1077" s="15"/>
      <c r="S1077" s="14"/>
      <c r="T1077" s="15"/>
      <c r="U1077" s="14"/>
      <c r="V1077" s="15"/>
      <c r="W1077" s="14"/>
      <c r="X1077" s="15"/>
      <c r="Y1077" s="14"/>
      <c r="Z1077" s="15"/>
    </row>
    <row r="1078" spans="1:26" x14ac:dyDescent="0.25">
      <c r="Q1078" s="14"/>
      <c r="R1078" s="15"/>
      <c r="S1078" s="14"/>
      <c r="T1078" s="15"/>
      <c r="U1078" s="14"/>
      <c r="V1078" s="15"/>
      <c r="W1078" s="14"/>
      <c r="X1078" s="15"/>
      <c r="Y1078" s="14"/>
      <c r="Z1078" s="15"/>
    </row>
    <row r="1079" spans="1:26" x14ac:dyDescent="0.25">
      <c r="Q1079" s="14"/>
      <c r="R1079" s="15"/>
      <c r="S1079" s="14"/>
      <c r="T1079" s="15"/>
      <c r="U1079" s="14"/>
      <c r="V1079" s="15"/>
      <c r="W1079" s="14"/>
      <c r="X1079" s="15"/>
      <c r="Y1079" s="14"/>
      <c r="Z1079" s="15"/>
    </row>
    <row r="1080" spans="1:26" x14ac:dyDescent="0.25">
      <c r="Q1080" s="14"/>
      <c r="R1080" s="15"/>
      <c r="S1080" s="14"/>
      <c r="T1080" s="15"/>
      <c r="U1080" s="14"/>
      <c r="V1080" s="15"/>
      <c r="W1080" s="14"/>
      <c r="X1080" s="15"/>
      <c r="Y1080" s="14"/>
      <c r="Z1080" s="15"/>
    </row>
    <row r="1081" spans="1:26" x14ac:dyDescent="0.25">
      <c r="Q1081" s="14"/>
      <c r="R1081" s="15"/>
      <c r="S1081" s="14"/>
      <c r="T1081" s="15"/>
      <c r="U1081" s="14"/>
      <c r="V1081" s="15"/>
      <c r="W1081" s="14"/>
      <c r="X1081" s="15"/>
      <c r="Y1081" s="14"/>
      <c r="Z1081" s="15"/>
    </row>
    <row r="1082" spans="1:26" x14ac:dyDescent="0.25">
      <c r="Q1082" s="14"/>
      <c r="R1082" s="15"/>
      <c r="S1082" s="14"/>
      <c r="T1082" s="15"/>
      <c r="U1082" s="14"/>
      <c r="V1082" s="15"/>
      <c r="W1082" s="14"/>
      <c r="X1082" s="15"/>
      <c r="Y1082" s="14"/>
      <c r="Z1082" s="15"/>
    </row>
    <row r="1083" spans="1:26" x14ac:dyDescent="0.25">
      <c r="Q1083" s="14"/>
      <c r="R1083" s="15"/>
      <c r="S1083" s="14"/>
      <c r="T1083" s="15"/>
      <c r="U1083" s="14"/>
      <c r="V1083" s="15"/>
      <c r="W1083" s="14"/>
      <c r="X1083" s="15"/>
      <c r="Y1083" s="14"/>
      <c r="Z1083" s="15"/>
    </row>
    <row r="1084" spans="1:26" x14ac:dyDescent="0.25">
      <c r="Q1084" s="14"/>
      <c r="R1084" s="15"/>
      <c r="S1084" s="14"/>
      <c r="T1084" s="15"/>
      <c r="U1084" s="14"/>
      <c r="V1084" s="15"/>
      <c r="W1084" s="14"/>
      <c r="X1084" s="15"/>
      <c r="Y1084" s="14"/>
      <c r="Z1084" s="15"/>
    </row>
    <row r="1085" spans="1:26" x14ac:dyDescent="0.25">
      <c r="Q1085" s="14"/>
      <c r="R1085" s="15"/>
      <c r="S1085" s="14"/>
      <c r="T1085" s="15"/>
      <c r="U1085" s="14"/>
      <c r="V1085" s="15"/>
      <c r="W1085" s="14"/>
      <c r="X1085" s="15"/>
      <c r="Y1085" s="14"/>
      <c r="Z1085" s="15"/>
    </row>
    <row r="1086" spans="1:26" x14ac:dyDescent="0.25">
      <c r="Q1086" s="14"/>
      <c r="R1086" s="15"/>
      <c r="S1086" s="14"/>
      <c r="T1086" s="15"/>
      <c r="U1086" s="14"/>
      <c r="V1086" s="15"/>
      <c r="W1086" s="14"/>
      <c r="X1086" s="15"/>
      <c r="Y1086" s="14"/>
      <c r="Z1086" s="15"/>
    </row>
    <row r="1087" spans="1:26" x14ac:dyDescent="0.25">
      <c r="Q1087" s="14"/>
      <c r="R1087" s="15"/>
      <c r="S1087" s="14"/>
      <c r="T1087" s="15"/>
      <c r="U1087" s="14"/>
      <c r="V1087" s="15"/>
      <c r="W1087" s="14"/>
      <c r="X1087" s="15"/>
      <c r="Y1087" s="14"/>
      <c r="Z1087" s="15"/>
    </row>
    <row r="1088" spans="1:26" x14ac:dyDescent="0.25">
      <c r="Q1088" s="14"/>
      <c r="R1088" s="15"/>
      <c r="S1088" s="14"/>
      <c r="T1088" s="15"/>
      <c r="U1088" s="14"/>
      <c r="V1088" s="15"/>
      <c r="W1088" s="14"/>
      <c r="X1088" s="15"/>
      <c r="Y1088" s="14"/>
      <c r="Z1088" s="15"/>
    </row>
    <row r="1089" spans="1:26" x14ac:dyDescent="0.25">
      <c r="Q1089" s="14"/>
      <c r="R1089" s="15"/>
      <c r="S1089" s="14"/>
      <c r="T1089" s="15"/>
      <c r="U1089" s="14"/>
      <c r="V1089" s="15"/>
      <c r="W1089" s="14"/>
      <c r="X1089" s="15"/>
      <c r="Y1089" s="14"/>
      <c r="Z1089" s="15"/>
    </row>
    <row r="1090" spans="1:26" x14ac:dyDescent="0.25">
      <c r="Q1090" s="14"/>
      <c r="R1090" s="15"/>
      <c r="S1090" s="14"/>
      <c r="T1090" s="15"/>
      <c r="U1090" s="14"/>
      <c r="V1090" s="15"/>
      <c r="W1090" s="14"/>
      <c r="X1090" s="15"/>
      <c r="Y1090" s="14"/>
      <c r="Z1090" s="15"/>
    </row>
    <row r="1091" spans="1:26" x14ac:dyDescent="0.25">
      <c r="Q1091" s="14"/>
      <c r="R1091" s="15"/>
      <c r="S1091" s="14"/>
      <c r="T1091" s="15"/>
      <c r="U1091" s="14"/>
      <c r="V1091" s="15"/>
      <c r="W1091" s="14"/>
      <c r="X1091" s="15"/>
      <c r="Y1091" s="14"/>
      <c r="Z1091" s="15"/>
    </row>
    <row r="1092" spans="1:26" x14ac:dyDescent="0.25">
      <c r="Q1092" s="14"/>
      <c r="R1092" s="15"/>
      <c r="S1092" s="14"/>
      <c r="T1092" s="15"/>
      <c r="U1092" s="14"/>
      <c r="V1092" s="15"/>
      <c r="W1092" s="14"/>
      <c r="X1092" s="15"/>
      <c r="Y1092" s="14"/>
      <c r="Z1092" s="15"/>
    </row>
    <row r="1093" spans="1:26" x14ac:dyDescent="0.25">
      <c r="Q1093" s="14"/>
      <c r="R1093" s="15"/>
      <c r="S1093" s="14"/>
      <c r="T1093" s="15"/>
      <c r="U1093" s="14"/>
      <c r="V1093" s="15"/>
      <c r="W1093" s="14"/>
      <c r="X1093" s="15"/>
      <c r="Y1093" s="14"/>
      <c r="Z1093" s="15"/>
    </row>
    <row r="1094" spans="1:26" x14ac:dyDescent="0.25">
      <c r="Q1094" s="14"/>
      <c r="R1094" s="15"/>
      <c r="S1094" s="14"/>
      <c r="T1094" s="15"/>
      <c r="U1094" s="14"/>
      <c r="V1094" s="15"/>
      <c r="W1094" s="14"/>
      <c r="X1094" s="15"/>
      <c r="Y1094" s="14"/>
      <c r="Z1094" s="15"/>
    </row>
    <row r="1095" spans="1:26" x14ac:dyDescent="0.25">
      <c r="Q1095" s="14"/>
      <c r="R1095" s="15"/>
      <c r="S1095" s="14"/>
      <c r="T1095" s="15"/>
      <c r="U1095" s="14"/>
      <c r="V1095" s="15"/>
      <c r="W1095" s="14"/>
      <c r="X1095" s="15"/>
      <c r="Y1095" s="14"/>
      <c r="Z1095" s="15"/>
    </row>
    <row r="1096" spans="1:26" x14ac:dyDescent="0.25">
      <c r="Q1096" s="14"/>
      <c r="R1096" s="15"/>
      <c r="S1096" s="14"/>
      <c r="T1096" s="15"/>
      <c r="U1096" s="14"/>
      <c r="V1096" s="15"/>
      <c r="W1096" s="14"/>
      <c r="X1096" s="15"/>
      <c r="Y1096" s="14"/>
      <c r="Z1096" s="15"/>
    </row>
    <row r="1097" spans="1:26" x14ac:dyDescent="0.25">
      <c r="Q1097" s="14"/>
      <c r="R1097" s="15"/>
      <c r="S1097" s="14"/>
      <c r="T1097" s="15"/>
      <c r="U1097" s="14"/>
      <c r="V1097" s="15"/>
      <c r="W1097" s="14"/>
      <c r="X1097" s="15"/>
      <c r="Y1097" s="14"/>
      <c r="Z1097" s="15"/>
    </row>
    <row r="1098" spans="1:26" x14ac:dyDescent="0.25">
      <c r="Q1098" s="14"/>
      <c r="R1098" s="15"/>
      <c r="S1098" s="14"/>
      <c r="T1098" s="15"/>
      <c r="U1098" s="14"/>
      <c r="V1098" s="15"/>
      <c r="W1098" s="14"/>
      <c r="X1098" s="15"/>
      <c r="Y1098" s="14"/>
      <c r="Z1098" s="15"/>
    </row>
    <row r="1099" spans="1:26" x14ac:dyDescent="0.25">
      <c r="Q1099" s="14"/>
      <c r="R1099" s="15"/>
      <c r="S1099" s="14"/>
      <c r="T1099" s="15"/>
      <c r="U1099" s="14"/>
      <c r="V1099" s="15"/>
      <c r="W1099" s="14"/>
      <c r="X1099" s="15"/>
      <c r="Y1099" s="14"/>
      <c r="Z1099" s="15"/>
    </row>
    <row r="1100" spans="1:26" x14ac:dyDescent="0.25">
      <c r="Q1100" s="14"/>
      <c r="R1100" s="15"/>
      <c r="S1100" s="14"/>
      <c r="T1100" s="15"/>
      <c r="U1100" s="14"/>
      <c r="V1100" s="15"/>
      <c r="W1100" s="14"/>
      <c r="X1100" s="15"/>
      <c r="Y1100" s="14"/>
      <c r="Z1100" s="15"/>
    </row>
    <row r="1101" spans="1:26" x14ac:dyDescent="0.25">
      <c r="Q1101" s="14"/>
      <c r="R1101" s="15"/>
      <c r="S1101" s="14"/>
      <c r="T1101" s="15"/>
      <c r="U1101" s="14"/>
      <c r="V1101" s="15"/>
      <c r="W1101" s="14"/>
      <c r="X1101" s="15"/>
      <c r="Y1101" s="14"/>
      <c r="Z1101" s="15"/>
    </row>
    <row r="1102" spans="1:26" x14ac:dyDescent="0.25">
      <c r="Q1102" s="14"/>
      <c r="R1102" s="15"/>
      <c r="S1102" s="14"/>
      <c r="T1102" s="15"/>
      <c r="U1102" s="14"/>
      <c r="V1102" s="15"/>
      <c r="W1102" s="14"/>
      <c r="X1102" s="15"/>
      <c r="Y1102" s="14"/>
      <c r="Z1102" s="15"/>
    </row>
    <row r="1103" spans="1:26" x14ac:dyDescent="0.25">
      <c r="Q1103" s="14"/>
      <c r="R1103" s="15"/>
      <c r="S1103" s="14"/>
      <c r="T1103" s="15"/>
      <c r="U1103" s="14"/>
      <c r="V1103" s="15"/>
      <c r="W1103" s="14"/>
      <c r="X1103" s="15"/>
      <c r="Y1103" s="14"/>
      <c r="Z1103" s="15"/>
    </row>
    <row r="1104" spans="1:26" x14ac:dyDescent="0.25">
      <c r="Q1104" s="14"/>
      <c r="R1104" s="15"/>
      <c r="S1104" s="14"/>
      <c r="T1104" s="15"/>
      <c r="U1104" s="14"/>
      <c r="V1104" s="15"/>
      <c r="W1104" s="14"/>
      <c r="X1104" s="15"/>
      <c r="Y1104" s="14"/>
      <c r="Z1104" s="15"/>
    </row>
    <row r="1105" spans="1:26" x14ac:dyDescent="0.25">
      <c r="Q1105" s="14"/>
      <c r="R1105" s="15"/>
      <c r="S1105" s="14"/>
      <c r="T1105" s="15"/>
      <c r="U1105" s="14"/>
      <c r="V1105" s="15"/>
      <c r="W1105" s="14"/>
      <c r="X1105" s="15"/>
      <c r="Y1105" s="14"/>
      <c r="Z1105" s="15"/>
    </row>
    <row r="1106" spans="1:26" x14ac:dyDescent="0.25">
      <c r="Q1106" s="14"/>
      <c r="R1106" s="15"/>
      <c r="S1106" s="14"/>
      <c r="T1106" s="15"/>
      <c r="U1106" s="14"/>
      <c r="V1106" s="15"/>
      <c r="W1106" s="14"/>
      <c r="X1106" s="15"/>
      <c r="Y1106" s="14"/>
      <c r="Z1106" s="15"/>
    </row>
    <row r="1107" spans="1:26" x14ac:dyDescent="0.25">
      <c r="Q1107" s="14"/>
      <c r="R1107" s="15"/>
      <c r="S1107" s="14"/>
      <c r="T1107" s="15"/>
      <c r="U1107" s="14"/>
      <c r="V1107" s="15"/>
      <c r="W1107" s="14"/>
      <c r="X1107" s="15"/>
      <c r="Y1107" s="14"/>
      <c r="Z1107" s="15"/>
    </row>
    <row r="1108" spans="1:26" x14ac:dyDescent="0.25">
      <c r="Q1108" s="14"/>
      <c r="R1108" s="15"/>
      <c r="S1108" s="14"/>
      <c r="T1108" s="15"/>
      <c r="U1108" s="14"/>
      <c r="V1108" s="15"/>
      <c r="W1108" s="14"/>
      <c r="X1108" s="15"/>
      <c r="Y1108" s="14"/>
      <c r="Z1108" s="15"/>
    </row>
    <row r="1109" spans="1:26" x14ac:dyDescent="0.25">
      <c r="Q1109" s="14"/>
      <c r="R1109" s="15"/>
      <c r="S1109" s="14"/>
      <c r="T1109" s="15"/>
      <c r="U1109" s="14"/>
      <c r="V1109" s="15"/>
      <c r="W1109" s="14"/>
      <c r="X1109" s="15"/>
      <c r="Y1109" s="14"/>
      <c r="Z1109" s="15"/>
    </row>
    <row r="1110" spans="1:26" x14ac:dyDescent="0.25">
      <c r="Q1110" s="14"/>
      <c r="R1110" s="15"/>
      <c r="S1110" s="14"/>
      <c r="T1110" s="15"/>
      <c r="U1110" s="14"/>
      <c r="V1110" s="15"/>
      <c r="W1110" s="14"/>
      <c r="X1110" s="15"/>
      <c r="Y1110" s="14"/>
      <c r="Z1110" s="15"/>
    </row>
    <row r="1111" spans="1:26" x14ac:dyDescent="0.25">
      <c r="Q1111" s="14"/>
      <c r="R1111" s="15"/>
      <c r="S1111" s="14"/>
      <c r="T1111" s="15"/>
      <c r="U1111" s="14"/>
      <c r="V1111" s="15"/>
      <c r="W1111" s="14"/>
      <c r="X1111" s="15"/>
      <c r="Y1111" s="14"/>
      <c r="Z1111" s="15"/>
    </row>
    <row r="1112" spans="1:26" x14ac:dyDescent="0.25">
      <c r="Q1112" s="14"/>
      <c r="R1112" s="15"/>
      <c r="S1112" s="14"/>
      <c r="T1112" s="15"/>
      <c r="U1112" s="14"/>
      <c r="V1112" s="15"/>
      <c r="W1112" s="14"/>
      <c r="X1112" s="15"/>
      <c r="Y1112" s="14"/>
      <c r="Z1112" s="15"/>
    </row>
    <row r="1113" spans="1:26" x14ac:dyDescent="0.25">
      <c r="Q1113" s="14"/>
      <c r="R1113" s="15"/>
      <c r="S1113" s="14"/>
      <c r="T1113" s="15"/>
      <c r="U1113" s="14"/>
      <c r="V1113" s="15"/>
      <c r="W1113" s="14"/>
      <c r="X1113" s="15"/>
      <c r="Y1113" s="14"/>
      <c r="Z1113" s="15"/>
    </row>
    <row r="1114" spans="1:26" x14ac:dyDescent="0.25">
      <c r="Q1114" s="14"/>
      <c r="R1114" s="15"/>
      <c r="S1114" s="14"/>
      <c r="T1114" s="15"/>
      <c r="U1114" s="14"/>
      <c r="V1114" s="15"/>
      <c r="W1114" s="14"/>
      <c r="X1114" s="15"/>
      <c r="Y1114" s="14"/>
      <c r="Z1114" s="15"/>
    </row>
    <row r="1115" spans="1:26" x14ac:dyDescent="0.25">
      <c r="Q1115" s="14"/>
      <c r="R1115" s="15"/>
      <c r="S1115" s="14"/>
      <c r="T1115" s="15"/>
      <c r="U1115" s="14"/>
      <c r="V1115" s="15"/>
      <c r="W1115" s="14"/>
      <c r="X1115" s="15"/>
      <c r="Y1115" s="14"/>
      <c r="Z1115" s="15"/>
    </row>
    <row r="1116" spans="1:26" x14ac:dyDescent="0.25">
      <c r="Q1116" s="14"/>
      <c r="R1116" s="15"/>
      <c r="S1116" s="14"/>
      <c r="T1116" s="15"/>
      <c r="U1116" s="14"/>
      <c r="V1116" s="15"/>
      <c r="W1116" s="14"/>
      <c r="X1116" s="15"/>
      <c r="Y1116" s="14"/>
      <c r="Z1116" s="15"/>
    </row>
    <row r="1117" spans="1:26" x14ac:dyDescent="0.25">
      <c r="Q1117" s="14"/>
      <c r="R1117" s="15"/>
      <c r="S1117" s="14"/>
      <c r="T1117" s="15"/>
      <c r="U1117" s="14"/>
      <c r="V1117" s="15"/>
      <c r="W1117" s="14"/>
      <c r="X1117" s="15"/>
      <c r="Y1117" s="14"/>
      <c r="Z1117" s="15"/>
    </row>
    <row r="1118" spans="1:26" x14ac:dyDescent="0.25">
      <c r="Q1118" s="14"/>
      <c r="R1118" s="15"/>
      <c r="S1118" s="14"/>
      <c r="T1118" s="15"/>
      <c r="U1118" s="14"/>
      <c r="V1118" s="15"/>
      <c r="W1118" s="14"/>
      <c r="X1118" s="15"/>
      <c r="Y1118" s="14"/>
      <c r="Z1118" s="15"/>
    </row>
    <row r="1119" spans="1:26" x14ac:dyDescent="0.25">
      <c r="Q1119" s="14"/>
      <c r="R1119" s="15"/>
      <c r="S1119" s="14"/>
      <c r="T1119" s="15"/>
      <c r="U1119" s="14"/>
      <c r="V1119" s="15"/>
      <c r="W1119" s="14"/>
      <c r="X1119" s="15"/>
      <c r="Y1119" s="14"/>
      <c r="Z1119" s="15"/>
    </row>
    <row r="1120" spans="1:26" x14ac:dyDescent="0.25">
      <c r="Q1120" s="14"/>
      <c r="R1120" s="15"/>
      <c r="S1120" s="14"/>
      <c r="T1120" s="15"/>
      <c r="U1120" s="14"/>
      <c r="V1120" s="15"/>
      <c r="W1120" s="14"/>
      <c r="X1120" s="15"/>
      <c r="Y1120" s="14"/>
      <c r="Z1120" s="15"/>
    </row>
    <row r="1121" spans="1:26" x14ac:dyDescent="0.25">
      <c r="Q1121" s="14"/>
      <c r="R1121" s="15"/>
      <c r="S1121" s="14"/>
      <c r="T1121" s="15"/>
      <c r="U1121" s="14"/>
      <c r="V1121" s="15"/>
      <c r="W1121" s="14"/>
      <c r="X1121" s="15"/>
      <c r="Y1121" s="14"/>
      <c r="Z1121" s="15"/>
    </row>
    <row r="1122" spans="1:26" x14ac:dyDescent="0.25">
      <c r="Q1122" s="14"/>
      <c r="R1122" s="15"/>
      <c r="S1122" s="14"/>
      <c r="T1122" s="15"/>
      <c r="U1122" s="14"/>
      <c r="V1122" s="15"/>
      <c r="W1122" s="14"/>
      <c r="X1122" s="15"/>
      <c r="Y1122" s="14"/>
      <c r="Z1122" s="15"/>
    </row>
    <row r="1123" spans="1:26" x14ac:dyDescent="0.25">
      <c r="Q1123" s="14"/>
      <c r="R1123" s="15"/>
      <c r="S1123" s="14"/>
      <c r="T1123" s="15"/>
      <c r="U1123" s="14"/>
      <c r="V1123" s="15"/>
      <c r="W1123" s="14"/>
      <c r="X1123" s="15"/>
      <c r="Y1123" s="14"/>
      <c r="Z1123" s="15"/>
    </row>
    <row r="1124" spans="1:26" x14ac:dyDescent="0.25">
      <c r="Q1124" s="14"/>
      <c r="R1124" s="15"/>
      <c r="S1124" s="14"/>
      <c r="T1124" s="15"/>
      <c r="U1124" s="14"/>
      <c r="V1124" s="15"/>
      <c r="W1124" s="14"/>
      <c r="X1124" s="15"/>
      <c r="Y1124" s="14"/>
      <c r="Z1124" s="15"/>
    </row>
    <row r="1125" spans="1:26" x14ac:dyDescent="0.25">
      <c r="Q1125" s="14"/>
      <c r="R1125" s="15"/>
      <c r="S1125" s="14"/>
      <c r="T1125" s="15"/>
      <c r="U1125" s="14"/>
      <c r="V1125" s="15"/>
      <c r="W1125" s="14"/>
      <c r="X1125" s="15"/>
      <c r="Y1125" s="14"/>
      <c r="Z1125" s="15"/>
    </row>
    <row r="1126" spans="1:26" x14ac:dyDescent="0.25">
      <c r="Q1126" s="14"/>
      <c r="R1126" s="15"/>
      <c r="S1126" s="14"/>
      <c r="T1126" s="15"/>
      <c r="U1126" s="14"/>
      <c r="V1126" s="15"/>
      <c r="W1126" s="14"/>
      <c r="X1126" s="15"/>
      <c r="Y1126" s="14"/>
      <c r="Z1126" s="15"/>
    </row>
    <row r="1127" spans="1:26" x14ac:dyDescent="0.25">
      <c r="Q1127" s="14"/>
      <c r="R1127" s="15"/>
      <c r="S1127" s="14"/>
      <c r="T1127" s="15"/>
      <c r="U1127" s="14"/>
      <c r="V1127" s="15"/>
      <c r="W1127" s="14"/>
      <c r="X1127" s="15"/>
      <c r="Y1127" s="14"/>
      <c r="Z1127" s="15"/>
    </row>
    <row r="1128" spans="1:26" x14ac:dyDescent="0.25">
      <c r="Q1128" s="14"/>
      <c r="R1128" s="15"/>
      <c r="S1128" s="14"/>
      <c r="T1128" s="15"/>
      <c r="U1128" s="14"/>
      <c r="V1128" s="15"/>
      <c r="W1128" s="14"/>
      <c r="X1128" s="15"/>
      <c r="Y1128" s="14"/>
      <c r="Z1128" s="15"/>
    </row>
  </sheetData>
  <dataValidations count="41">
    <dataValidation type="list" allowBlank="1" sqref="L10:L1064">
      <formula1>"Must Have,Should Have,Could Have,Will not Have"</formula1>
    </dataValidation>
    <dataValidation type="list" allowBlank="1" sqref="L2:L1064">
      <formula1>"Must Have,Should Have,Could Have,Will not Have"</formula1>
    </dataValidation>
    <dataValidation type="list" allowBlank="1" sqref="Q100:Q1064">
      <formula1>"0,1,2,3,5,8,13,21,34,55,89"</formula1>
    </dataValidation>
    <dataValidation type="list" allowBlank="1" sqref="Q13:Q14">
      <formula1>"0,1,2,3,5,8,13,21,34,55,89"</formula1>
    </dataValidation>
    <dataValidation type="list" allowBlank="1" sqref="Q16">
      <formula1>"0,1,2,3,5,8,13,21,34,55,89"</formula1>
    </dataValidation>
    <dataValidation type="list" allowBlank="1" sqref="Q18:Q19">
      <formula1>"0,1,2,3,5,8,13,21,34,55,89"</formula1>
    </dataValidation>
    <dataValidation type="list" allowBlank="1" sqref="Q22">
      <formula1>"0,1,2,3,5,8,13,21,34,55,89"</formula1>
    </dataValidation>
    <dataValidation type="list" allowBlank="1" sqref="Q25">
      <formula1>"0,1,2,3,5,8,13,21,34,55,89"</formula1>
    </dataValidation>
    <dataValidation type="list" allowBlank="1" sqref="Q29">
      <formula1>"0,1,2,3,5,8,13,21,34,55,89"</formula1>
    </dataValidation>
    <dataValidation type="list" allowBlank="1" sqref="Q39">
      <formula1>"0,1,2,3,5,8,13,21,34,55,89"</formula1>
    </dataValidation>
    <dataValidation type="list" allowBlank="1" sqref="Q4">
      <formula1>"0,1,2,3,5,8,13,21,34,55,89"</formula1>
    </dataValidation>
    <dataValidation type="list" allowBlank="1" sqref="Q41:Q46">
      <formula1>"0,1,2,3,5,8,13,21,34,55,89"</formula1>
    </dataValidation>
    <dataValidation type="list" allowBlank="1" sqref="Q51:Q54">
      <formula1>"0,1,2,3,5,8,13,21,34,55,89"</formula1>
    </dataValidation>
    <dataValidation type="list" allowBlank="1" sqref="Q56:Q58">
      <formula1>"0,1,2,3,5,8,13,21,34,55,89"</formula1>
    </dataValidation>
    <dataValidation type="list" allowBlank="1" sqref="Q60:Q63">
      <formula1>"0,1,2,3,5,8,13,21,34,55,89"</formula1>
    </dataValidation>
    <dataValidation type="list" allowBlank="1" sqref="Q65:Q1064">
      <formula1>"0,1,2,3,5,8,13,21,34,55,89"</formula1>
    </dataValidation>
    <dataValidation type="list" allowBlank="1" sqref="S100:S1064">
      <formula1>"0,1,2,3,5,8,13,21,34,55,89"</formula1>
    </dataValidation>
    <dataValidation type="list" allowBlank="1" sqref="S13:S14">
      <formula1>"0,1,2,3,5,8,13,21,34,55,89"</formula1>
    </dataValidation>
    <dataValidation type="list" allowBlank="1" sqref="S16">
      <formula1>"0,1,2,3,5,8,13,21,34,55,89"</formula1>
    </dataValidation>
    <dataValidation type="list" allowBlank="1" sqref="S18:S19">
      <formula1>"0,1,2,3,5,8,13,21,34,55,89"</formula1>
    </dataValidation>
    <dataValidation type="list" allowBlank="1" sqref="S22">
      <formula1>"0,1,2,3,5,8,13,21,34,55,89"</formula1>
    </dataValidation>
    <dataValidation type="list" allowBlank="1" sqref="S25">
      <formula1>"0,1,2,3,5,8,13,21,34,55,89"</formula1>
    </dataValidation>
    <dataValidation type="list" allowBlank="1" sqref="S29">
      <formula1>"0,1,2,3,5,8,13,21,34,55,89"</formula1>
    </dataValidation>
    <dataValidation type="list" allowBlank="1" sqref="S39">
      <formula1>"0,1,2,3,5,8,13,21,34,55,89"</formula1>
    </dataValidation>
    <dataValidation type="list" allowBlank="1" sqref="S4">
      <formula1>"0,1,2,3,5,8,13,21,34,55,89"</formula1>
    </dataValidation>
    <dataValidation type="list" allowBlank="1" sqref="S41:S46">
      <formula1>"0,1,2,3,5,8,13,21,34,55,89"</formula1>
    </dataValidation>
    <dataValidation type="list" allowBlank="1" sqref="S51:S54">
      <formula1>"0,1,2,3,5,8,13,21,34,55,89"</formula1>
    </dataValidation>
    <dataValidation type="list" allowBlank="1" sqref="S56:S58">
      <formula1>"0,1,2,3,5,8,13,21,34,55,89"</formula1>
    </dataValidation>
    <dataValidation type="list" allowBlank="1" sqref="S64:S1064">
      <formula1>"0,1,2,3,5,8,13,21,34,55,89"</formula1>
    </dataValidation>
    <dataValidation type="list" allowBlank="1" sqref="U10:U58">
      <formula1>"0,1,2,3,5,8,13,21,34,55,89"</formula1>
    </dataValidation>
    <dataValidation type="list" allowBlank="1" sqref="U100:U1064">
      <formula1>"0,1,2,3,5,8,13,21,34,55,89"</formula1>
    </dataValidation>
    <dataValidation type="list" allowBlank="1" sqref="U2:U58">
      <formula1>"0,1,2,3,5,8,13,21,34,55,89"</formula1>
    </dataValidation>
    <dataValidation type="list" allowBlank="1" sqref="U60:U1064">
      <formula1>"0,1,2,3,5,8,13,21,34,55,89"</formula1>
    </dataValidation>
    <dataValidation type="list" allowBlank="1" sqref="W10:W58">
      <formula1>"0,1,2,3,5,8,13,21,34,55,89"</formula1>
    </dataValidation>
    <dataValidation type="list" allowBlank="1" sqref="W100:W1064">
      <formula1>"0,1,2,3,5,8,13,21,34,55,89"</formula1>
    </dataValidation>
    <dataValidation type="list" allowBlank="1" sqref="W2:W58">
      <formula1>"0,1,2,3,5,8,13,21,34,55,89"</formula1>
    </dataValidation>
    <dataValidation type="list" allowBlank="1" sqref="W60:W1064">
      <formula1>"0,1,2,3,5,8,13,21,34,55,89"</formula1>
    </dataValidation>
    <dataValidation type="list" allowBlank="1" sqref="Y10:Y58">
      <formula1>"0,1,2,3,5,8,13,21,34,55,89"</formula1>
    </dataValidation>
    <dataValidation type="list" allowBlank="1" sqref="Y100:Y1064">
      <formula1>"0,1,2,3,5,8,13,21,34,55,89"</formula1>
    </dataValidation>
    <dataValidation type="list" allowBlank="1" sqref="Y2:Y58">
      <formula1>"0,1,2,3,5,8,13,21,34,55,89"</formula1>
    </dataValidation>
    <dataValidation type="list" allowBlank="1" sqref="Y60:Y1064">
      <formula1>"0,1,2,3,5,8,13,21,34,55,89"</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430"/>
  <sheetFormatPr defaultRowHeight="25" outlineLevelRow="0" outlineLevelCol="0" x14ac:dyDescent="55" defaultColWidth="20" customHeight="1"/>
  <cols>
    <col min="1" max="31" width="30" customWidth="1"/>
  </cols>
  <sheetData>
    <row r="1" spans="1:31" s="10" customFormat="1" x14ac:dyDescent="0.25">
      <c r="A1" s="2" t="s">
        <v>57</v>
      </c>
      <c r="B1" s="2" t="s">
        <v>58</v>
      </c>
      <c r="C1" s="2" t="s">
        <v>59</v>
      </c>
      <c r="D1" s="2" t="s">
        <v>60</v>
      </c>
      <c r="E1" s="2" t="s">
        <v>61</v>
      </c>
      <c r="F1" s="2" t="s">
        <v>62</v>
      </c>
      <c r="G1" s="2" t="s">
        <v>63</v>
      </c>
      <c r="H1" s="2" t="s">
        <v>64</v>
      </c>
      <c r="I1" s="2" t="s">
        <v>65</v>
      </c>
      <c r="J1" s="2" t="s">
        <v>66</v>
      </c>
      <c r="K1" s="2" t="s">
        <v>67</v>
      </c>
      <c r="L1" s="2" t="s">
        <v>68</v>
      </c>
      <c r="M1" s="2" t="s">
        <v>69</v>
      </c>
      <c r="N1" s="2" t="s">
        <v>70</v>
      </c>
      <c r="O1" s="2" t="s">
        <v>71</v>
      </c>
      <c r="P1" s="2" t="s">
        <v>72</v>
      </c>
      <c r="Q1" s="2" t="s">
        <v>73</v>
      </c>
      <c r="R1" s="10">
        <f>SUM(R2:R1006)</f>
      </c>
      <c r="S1" s="2" t="s">
        <v>74</v>
      </c>
      <c r="T1" s="10">
        <f>SUM(T2:T1006)</f>
      </c>
      <c r="U1" s="2" t="s">
        <v>75</v>
      </c>
      <c r="V1" s="10">
        <f>SUM(V2:V1006)</f>
      </c>
      <c r="W1" s="2" t="s">
        <v>76</v>
      </c>
      <c r="X1" s="10">
        <f>SUM(X2:X1006)</f>
      </c>
      <c r="Y1" s="2" t="s">
        <v>77</v>
      </c>
      <c r="Z1" s="10">
        <f>SUM(Z2:Z1006)</f>
      </c>
      <c r="AA1" s="10">
        <f>SUM(AA2:AA1006)</f>
      </c>
      <c r="AB1" s="2" t="s">
        <v>78</v>
      </c>
      <c r="AC1" s="2" t="s">
        <v>79</v>
      </c>
      <c r="AD1" s="2" t="s">
        <v>80</v>
      </c>
      <c r="AE1" s="2" t="s">
        <v>81</v>
      </c>
    </row>
    <row r="2" spans="1:31" s="13" customFormat="1" x14ac:dyDescent="0.25">
      <c r="A2" s="13" t="s">
        <v>88</v>
      </c>
      <c r="B2" s="13" t="s">
        <v>180</v>
      </c>
      <c r="D2" s="13"/>
      <c r="E2" s="13"/>
      <c r="F2" s="13"/>
      <c r="G2" s="13"/>
      <c r="H2" s="13"/>
      <c r="I2" s="13"/>
      <c r="J2" s="13"/>
      <c r="K2" s="13" t="s">
        <v>84</v>
      </c>
      <c r="L2" s="13" t="s">
        <v>85</v>
      </c>
      <c r="M2" s="13"/>
      <c r="N2" s="13"/>
      <c r="O2" s="13"/>
      <c r="P2" s="13"/>
      <c r="Q2" s="13">
        <v>2</v>
      </c>
      <c r="R2" s="13">
        <f>
              Ifs(
                (Q2 = 'Points-Table'!$A$4), 'Points-Table'!$C$4,
                (Q2 = 'Points-Table'!$A$5), 'Points-Table'!$C$5,
                (Q2 = 'Points-Table'!$A$6), 'Points-Table'!$C$6,
                (Q2 = 'Points-Table'!$A$7), 'Points-Table'!$C$7,
                (Q2 = 'Points-Table'!$A$8), 'Points-Table'!$C$8,
                (Q2 = 'Points-Table'!$A$9), 'Points-Table'!$C$9,
                (Q2 = 'Points-Table'!$A$10), 'Points-Table'!$C$10,
                (Q2 = 'Points-Table'!$A$11), 'Points-Table'!$C$11,
                (Q2 = 'Points-Table'!$A$12), 'Points-Table'!$C$12,
                (Q2 = 'Points-Table'!$A$13), 'Points-Table'!$C$13,
                true, 0
              )
            </f>
      </c>
      <c r="S2" s="13">
        <v>2</v>
      </c>
      <c r="T2" s="13">
        <f>
              Ifs(
                (S2 = 'Points-Table'!$A$4), 'Points-Table'!$C$4,
                (S2 = 'Points-Table'!$A$5), 'Points-Table'!$C$5,
                (S2 = 'Points-Table'!$A$6), 'Points-Table'!$C$6,
                (S2 = 'Points-Table'!$A$7), 'Points-Table'!$C$7,
                (S2 = 'Points-Table'!$A$8), 'Points-Table'!$C$8,
                (S2 = 'Points-Table'!$A$9), 'Points-Table'!$C$9,
                (S2 = 'Points-Table'!$A$10), 'Points-Table'!$C$10,
                (S2 = 'Points-Table'!$A$11), 'Points-Table'!$C$11,
                (S2 = 'Points-Table'!$A$12), 'Points-Table'!$C$12,
                (S2 = 'Points-Table'!$A$13), 'Points-Table'!$C$13,
                true, 0
              )
            </f>
      </c>
      <c r="U2" s="13">
        <v>2</v>
      </c>
      <c r="V2" s="13">
        <f>
              Ifs(
                (U2 = 'Points-Table'!$A$4), 'Points-Table'!$C$4,
                (U2 = 'Points-Table'!$A$5), 'Points-Table'!$C$5,
                (U2 = 'Points-Table'!$A$6), 'Points-Table'!$C$6,
                (U2 = 'Points-Table'!$A$7), 'Points-Table'!$C$7,
                (U2 = 'Points-Table'!$A$8), 'Points-Table'!$C$8,
                (U2 = 'Points-Table'!$A$9), 'Points-Table'!$C$9,
                (U2 = 'Points-Table'!$A$10), 'Points-Table'!$C$10,
                (U2 = 'Points-Table'!$A$11), 'Points-Table'!$C$11,
                (U2 = 'Points-Table'!$A$12), 'Points-Table'!$C$12,
                (U2 = 'Points-Table'!$A$13), 'Points-Table'!$C$13,
                true, 0
              )
            </f>
      </c>
      <c r="W2" s="13">
        <v>2</v>
      </c>
      <c r="X2" s="13">
        <f>
              Ifs(
                (W2 = 'Points-Table'!$A$4), 'Points-Table'!$C$4,
                (W2 = 'Points-Table'!$A$5), 'Points-Table'!$C$5,
                (W2 = 'Points-Table'!$A$6), 'Points-Table'!$C$6,
                (W2 = 'Points-Table'!$A$7), 'Points-Table'!$C$7,
                (W2 = 'Points-Table'!$A$8), 'Points-Table'!$C$8,
                (W2 = 'Points-Table'!$A$9), 'Points-Table'!$C$9,
                (W2 = 'Points-Table'!$A$10), 'Points-Table'!$C$10,
                (W2 = 'Points-Table'!$A$11), 'Points-Table'!$C$11,
                (W2 = 'Points-Table'!$A$12), 'Points-Table'!$C$12,
                (W2 = 'Points-Table'!$A$13), 'Points-Table'!$C$13,
                true, 0
              )
            </f>
      </c>
      <c r="Y2" s="13">
        <v>3</v>
      </c>
      <c r="Z2" s="13">
        <f>
              Ifs(
                (Y2 = 'Points-Table'!$A$4), 'Points-Table'!$C$4,
                (Y2 = 'Points-Table'!$A$5), 'Points-Table'!$C$5,
                (Y2 = 'Points-Table'!$A$6), 'Points-Table'!$C$6,
                (Y2 = 'Points-Table'!$A$7), 'Points-Table'!$C$7,
                (Y2 = 'Points-Table'!$A$8), 'Points-Table'!$C$8,
                (Y2 = 'Points-Table'!$A$9), 'Points-Table'!$C$9,
                (Y2 = 'Points-Table'!$A$10), 'Points-Table'!$C$10,
                (Y2 = 'Points-Table'!$A$11), 'Points-Table'!$C$11,
                (Y2 = 'Points-Table'!$A$12), 'Points-Table'!$C$12,
                (Y2 = 'Points-Table'!$A$13), 'Points-Table'!$C$13,
                true, 0
              )
            </f>
      </c>
      <c r="AA2" s="13">
        <f>SUM(V2,X2,Z2)</f>
      </c>
      <c r="AB2" s="13">
        <f>
      Ifs( 
        ISBETWEEN(AA2, 0, 'Points-Table'!C$20, TRUE, False), 'Points-Table'!A$20,
        ISBETWEEN(AA2, 'Points-Table'!C$20, 'Points-Table'!C$21, TRUE, False), 'Points-Table'!A$21,
        ISBETWEEN(AA2, 'Points-Table'!C$22, 10000, TRUE, TRUE), 'Points-Table'!A$22,
        true, 
        0)
      </f>
      </c>
      <c r="AC2" s="13" t="s">
        <v>56</v>
      </c>
      <c r="AD2" s="13" t="s">
        <v>56</v>
      </c>
      <c r="AE2" s="13" t="s">
        <v>56</v>
      </c>
    </row>
    <row r="3" spans="1:31" s="13" customFormat="1" x14ac:dyDescent="0.25">
      <c r="A3" s="13" t="s">
        <v>88</v>
      </c>
      <c r="B3" s="13" t="s">
        <v>181</v>
      </c>
      <c r="D3" s="13"/>
      <c r="E3" s="13"/>
      <c r="F3" s="13"/>
      <c r="G3" s="13"/>
      <c r="H3" s="13"/>
      <c r="I3" s="13"/>
      <c r="J3" s="13"/>
      <c r="K3" s="13" t="s">
        <v>84</v>
      </c>
      <c r="L3" s="13" t="s">
        <v>85</v>
      </c>
      <c r="M3" s="13"/>
      <c r="N3" s="13"/>
      <c r="O3" s="13"/>
      <c r="P3" s="13"/>
      <c r="Q3" s="13">
        <v>0</v>
      </c>
      <c r="R3" s="13">
        <f>
              Ifs(
                (Q3 = 'Points-Table'!$A$4), 'Points-Table'!$C$4,
                (Q3 = 'Points-Table'!$A$5), 'Points-Table'!$C$5,
                (Q3 = 'Points-Table'!$A$6), 'Points-Table'!$C$6,
                (Q3 = 'Points-Table'!$A$7), 'Points-Table'!$C$7,
                (Q3 = 'Points-Table'!$A$8), 'Points-Table'!$C$8,
                (Q3 = 'Points-Table'!$A$9), 'Points-Table'!$C$9,
                (Q3 = 'Points-Table'!$A$10), 'Points-Table'!$C$10,
                (Q3 = 'Points-Table'!$A$11), 'Points-Table'!$C$11,
                (Q3 = 'Points-Table'!$A$12), 'Points-Table'!$C$12,
                (Q3 = 'Points-Table'!$A$13), 'Points-Table'!$C$13,
                true, 0
              )
            </f>
      </c>
      <c r="S3" s="13">
        <v>0</v>
      </c>
      <c r="T3" s="13">
        <f>
              Ifs(
                (S3 = 'Points-Table'!$A$4), 'Points-Table'!$C$4,
                (S3 = 'Points-Table'!$A$5), 'Points-Table'!$C$5,
                (S3 = 'Points-Table'!$A$6), 'Points-Table'!$C$6,
                (S3 = 'Points-Table'!$A$7), 'Points-Table'!$C$7,
                (S3 = 'Points-Table'!$A$8), 'Points-Table'!$C$8,
                (S3 = 'Points-Table'!$A$9), 'Points-Table'!$C$9,
                (S3 = 'Points-Table'!$A$10), 'Points-Table'!$C$10,
                (S3 = 'Points-Table'!$A$11), 'Points-Table'!$C$11,
                (S3 = 'Points-Table'!$A$12), 'Points-Table'!$C$12,
                (S3 = 'Points-Table'!$A$13), 'Points-Table'!$C$13,
                true, 0
              )
            </f>
      </c>
      <c r="U3" s="13">
        <v>2</v>
      </c>
      <c r="V3" s="13">
        <f>
              Ifs(
                (U3 = 'Points-Table'!$A$4), 'Points-Table'!$C$4,
                (U3 = 'Points-Table'!$A$5), 'Points-Table'!$C$5,
                (U3 = 'Points-Table'!$A$6), 'Points-Table'!$C$6,
                (U3 = 'Points-Table'!$A$7), 'Points-Table'!$C$7,
                (U3 = 'Points-Table'!$A$8), 'Points-Table'!$C$8,
                (U3 = 'Points-Table'!$A$9), 'Points-Table'!$C$9,
                (U3 = 'Points-Table'!$A$10), 'Points-Table'!$C$10,
                (U3 = 'Points-Table'!$A$11), 'Points-Table'!$C$11,
                (U3 = 'Points-Table'!$A$12), 'Points-Table'!$C$12,
                (U3 = 'Points-Table'!$A$13), 'Points-Table'!$C$13,
                true, 0
              )
            </f>
      </c>
      <c r="W3" s="13">
        <v>1</v>
      </c>
      <c r="X3" s="13">
        <f>
              Ifs(
                (W3 = 'Points-Table'!$A$4), 'Points-Table'!$C$4,
                (W3 = 'Points-Table'!$A$5), 'Points-Table'!$C$5,
                (W3 = 'Points-Table'!$A$6), 'Points-Table'!$C$6,
                (W3 = 'Points-Table'!$A$7), 'Points-Table'!$C$7,
                (W3 = 'Points-Table'!$A$8), 'Points-Table'!$C$8,
                (W3 = 'Points-Table'!$A$9), 'Points-Table'!$C$9,
                (W3 = 'Points-Table'!$A$10), 'Points-Table'!$C$10,
                (W3 = 'Points-Table'!$A$11), 'Points-Table'!$C$11,
                (W3 = 'Points-Table'!$A$12), 'Points-Table'!$C$12,
                (W3 = 'Points-Table'!$A$13), 'Points-Table'!$C$13,
                true, 0
              )
            </f>
      </c>
      <c r="Y3" s="13">
        <v>2</v>
      </c>
      <c r="Z3" s="13">
        <f>
              Ifs(
                (Y3 = 'Points-Table'!$A$4), 'Points-Table'!$C$4,
                (Y3 = 'Points-Table'!$A$5), 'Points-Table'!$C$5,
                (Y3 = 'Points-Table'!$A$6), 'Points-Table'!$C$6,
                (Y3 = 'Points-Table'!$A$7), 'Points-Table'!$C$7,
                (Y3 = 'Points-Table'!$A$8), 'Points-Table'!$C$8,
                (Y3 = 'Points-Table'!$A$9), 'Points-Table'!$C$9,
                (Y3 = 'Points-Table'!$A$10), 'Points-Table'!$C$10,
                (Y3 = 'Points-Table'!$A$11), 'Points-Table'!$C$11,
                (Y3 = 'Points-Table'!$A$12), 'Points-Table'!$C$12,
                (Y3 = 'Points-Table'!$A$13), 'Points-Table'!$C$13,
                true, 0
              )
            </f>
      </c>
      <c r="AA3" s="13">
        <f>SUM(V3,X3,Z3)</f>
      </c>
      <c r="AB3" s="13">
        <f>
      Ifs( 
        ISBETWEEN(AA3, 0, 'Points-Table'!C$20, TRUE, False), 'Points-Table'!A$20,
        ISBETWEEN(AA3, 'Points-Table'!C$20, 'Points-Table'!C$21, TRUE, False), 'Points-Table'!A$21,
        ISBETWEEN(AA3, 'Points-Table'!C$22, 10000, TRUE, TRUE), 'Points-Table'!A$22,
        true, 
        0)
      </f>
      </c>
      <c r="AC3" s="13" t="s">
        <v>56</v>
      </c>
      <c r="AD3" s="13" t="s">
        <v>56</v>
      </c>
      <c r="AE3" s="13" t="s">
        <v>56</v>
      </c>
    </row>
    <row r="4" spans="1:31" s="13" customFormat="1" x14ac:dyDescent="0.25">
      <c r="A4" s="13" t="s">
        <v>88</v>
      </c>
      <c r="B4" s="13" t="s">
        <v>182</v>
      </c>
      <c r="D4" s="13"/>
      <c r="E4" s="13"/>
      <c r="F4" s="13"/>
      <c r="G4" s="13"/>
      <c r="H4" s="13"/>
      <c r="I4" s="13"/>
      <c r="J4" s="13"/>
      <c r="K4" s="13" t="s">
        <v>84</v>
      </c>
      <c r="L4" s="13" t="s">
        <v>85</v>
      </c>
      <c r="M4" s="13"/>
      <c r="N4" s="13"/>
      <c r="O4" s="13"/>
      <c r="P4" s="13"/>
      <c r="Q4" s="13"/>
      <c r="R4" s="13">
        <f>
              Ifs(
                (Q4 = 'Points-Table'!$A$4), 'Points-Table'!$C$4,
                (Q4 = 'Points-Table'!$A$5), 'Points-Table'!$C$5,
                (Q4 = 'Points-Table'!$A$6), 'Points-Table'!$C$6,
                (Q4 = 'Points-Table'!$A$7), 'Points-Table'!$C$7,
                (Q4 = 'Points-Table'!$A$8), 'Points-Table'!$C$8,
                (Q4 = 'Points-Table'!$A$9), 'Points-Table'!$C$9,
                (Q4 = 'Points-Table'!$A$10), 'Points-Table'!$C$10,
                (Q4 = 'Points-Table'!$A$11), 'Points-Table'!$C$11,
                (Q4 = 'Points-Table'!$A$12), 'Points-Table'!$C$12,
                (Q4 = 'Points-Table'!$A$13), 'Points-Table'!$C$13,
                true, 0
              )
            </f>
      </c>
      <c r="S4" s="13"/>
      <c r="T4" s="13">
        <f>
              Ifs(
                (S4 = 'Points-Table'!$A$4), 'Points-Table'!$C$4,
                (S4 = 'Points-Table'!$A$5), 'Points-Table'!$C$5,
                (S4 = 'Points-Table'!$A$6), 'Points-Table'!$C$6,
                (S4 = 'Points-Table'!$A$7), 'Points-Table'!$C$7,
                (S4 = 'Points-Table'!$A$8), 'Points-Table'!$C$8,
                (S4 = 'Points-Table'!$A$9), 'Points-Table'!$C$9,
                (S4 = 'Points-Table'!$A$10), 'Points-Table'!$C$10,
                (S4 = 'Points-Table'!$A$11), 'Points-Table'!$C$11,
                (S4 = 'Points-Table'!$A$12), 'Points-Table'!$C$12,
                (S4 = 'Points-Table'!$A$13), 'Points-Table'!$C$13,
                true, 0
              )
            </f>
      </c>
      <c r="U4" s="13">
        <v>0</v>
      </c>
      <c r="V4" s="13">
        <f>
              Ifs(
                (U4 = 'Points-Table'!$A$4), 'Points-Table'!$C$4,
                (U4 = 'Points-Table'!$A$5), 'Points-Table'!$C$5,
                (U4 = 'Points-Table'!$A$6), 'Points-Table'!$C$6,
                (U4 = 'Points-Table'!$A$7), 'Points-Table'!$C$7,
                (U4 = 'Points-Table'!$A$8), 'Points-Table'!$C$8,
                (U4 = 'Points-Table'!$A$9), 'Points-Table'!$C$9,
                (U4 = 'Points-Table'!$A$10), 'Points-Table'!$C$10,
                (U4 = 'Points-Table'!$A$11), 'Points-Table'!$C$11,
                (U4 = 'Points-Table'!$A$12), 'Points-Table'!$C$12,
                (U4 = 'Points-Table'!$A$13), 'Points-Table'!$C$13,
                true, 0
              )
            </f>
      </c>
      <c r="W4" s="13">
        <v>0</v>
      </c>
      <c r="X4" s="13">
        <f>
              Ifs(
                (W4 = 'Points-Table'!$A$4), 'Points-Table'!$C$4,
                (W4 = 'Points-Table'!$A$5), 'Points-Table'!$C$5,
                (W4 = 'Points-Table'!$A$6), 'Points-Table'!$C$6,
                (W4 = 'Points-Table'!$A$7), 'Points-Table'!$C$7,
                (W4 = 'Points-Table'!$A$8), 'Points-Table'!$C$8,
                (W4 = 'Points-Table'!$A$9), 'Points-Table'!$C$9,
                (W4 = 'Points-Table'!$A$10), 'Points-Table'!$C$10,
                (W4 = 'Points-Table'!$A$11), 'Points-Table'!$C$11,
                (W4 = 'Points-Table'!$A$12), 'Points-Table'!$C$12,
                (W4 = 'Points-Table'!$A$13), 'Points-Table'!$C$13,
                true, 0
              )
            </f>
      </c>
      <c r="Y4" s="13">
        <v>2</v>
      </c>
      <c r="Z4" s="13">
        <f>
              Ifs(
                (Y4 = 'Points-Table'!$A$4), 'Points-Table'!$C$4,
                (Y4 = 'Points-Table'!$A$5), 'Points-Table'!$C$5,
                (Y4 = 'Points-Table'!$A$6), 'Points-Table'!$C$6,
                (Y4 = 'Points-Table'!$A$7), 'Points-Table'!$C$7,
                (Y4 = 'Points-Table'!$A$8), 'Points-Table'!$C$8,
                (Y4 = 'Points-Table'!$A$9), 'Points-Table'!$C$9,
                (Y4 = 'Points-Table'!$A$10), 'Points-Table'!$C$10,
                (Y4 = 'Points-Table'!$A$11), 'Points-Table'!$C$11,
                (Y4 = 'Points-Table'!$A$12), 'Points-Table'!$C$12,
                (Y4 = 'Points-Table'!$A$13), 'Points-Table'!$C$13,
                true, 0
              )
            </f>
      </c>
      <c r="AA4" s="13">
        <f>SUM(V4,X4,Z4)</f>
      </c>
      <c r="AB4" s="13">
        <f>
      Ifs( 
        ISBETWEEN(AA4, 0, 'Points-Table'!C$20, TRUE, False), 'Points-Table'!A$20,
        ISBETWEEN(AA4, 'Points-Table'!C$20, 'Points-Table'!C$21, TRUE, False), 'Points-Table'!A$21,
        ISBETWEEN(AA4, 'Points-Table'!C$22, 10000, TRUE, TRUE), 'Points-Table'!A$22,
        true, 
        0)
      </f>
      </c>
      <c r="AC4" s="13" t="s">
        <v>56</v>
      </c>
      <c r="AD4" s="13" t="s">
        <v>56</v>
      </c>
      <c r="AE4" s="13" t="s">
        <v>56</v>
      </c>
    </row>
    <row r="5" spans="1:31" s="13" customFormat="1" x14ac:dyDescent="0.25">
      <c r="A5" s="13" t="s">
        <v>88</v>
      </c>
      <c r="B5" s="13" t="s">
        <v>183</v>
      </c>
      <c r="D5" s="13"/>
      <c r="E5" s="13"/>
      <c r="F5" s="13"/>
      <c r="G5" s="13"/>
      <c r="H5" s="13"/>
      <c r="I5" s="13"/>
      <c r="J5" s="13"/>
      <c r="K5" s="13" t="s">
        <v>84</v>
      </c>
      <c r="L5" s="13" t="s">
        <v>85</v>
      </c>
      <c r="M5" s="13"/>
      <c r="N5" s="13"/>
      <c r="O5" s="13"/>
      <c r="P5" s="13"/>
      <c r="Q5" s="13"/>
      <c r="R5" s="13">
        <f>
              Ifs(
                (Q5 = 'Points-Table'!$A$4), 'Points-Table'!$C$4,
                (Q5 = 'Points-Table'!$A$5), 'Points-Table'!$C$5,
                (Q5 = 'Points-Table'!$A$6), 'Points-Table'!$C$6,
                (Q5 = 'Points-Table'!$A$7), 'Points-Table'!$C$7,
                (Q5 = 'Points-Table'!$A$8), 'Points-Table'!$C$8,
                (Q5 = 'Points-Table'!$A$9), 'Points-Table'!$C$9,
                (Q5 = 'Points-Table'!$A$10), 'Points-Table'!$C$10,
                (Q5 = 'Points-Table'!$A$11), 'Points-Table'!$C$11,
                (Q5 = 'Points-Table'!$A$12), 'Points-Table'!$C$12,
                (Q5 = 'Points-Table'!$A$13), 'Points-Table'!$C$13,
                true, 0
              )
            </f>
      </c>
      <c r="S5" s="13"/>
      <c r="T5" s="13">
        <f>
              Ifs(
                (S5 = 'Points-Table'!$A$4), 'Points-Table'!$C$4,
                (S5 = 'Points-Table'!$A$5), 'Points-Table'!$C$5,
                (S5 = 'Points-Table'!$A$6), 'Points-Table'!$C$6,
                (S5 = 'Points-Table'!$A$7), 'Points-Table'!$C$7,
                (S5 = 'Points-Table'!$A$8), 'Points-Table'!$C$8,
                (S5 = 'Points-Table'!$A$9), 'Points-Table'!$C$9,
                (S5 = 'Points-Table'!$A$10), 'Points-Table'!$C$10,
                (S5 = 'Points-Table'!$A$11), 'Points-Table'!$C$11,
                (S5 = 'Points-Table'!$A$12), 'Points-Table'!$C$12,
                (S5 = 'Points-Table'!$A$13), 'Points-Table'!$C$13,
                true, 0
              )
            </f>
      </c>
      <c r="U5" s="13">
        <v>2</v>
      </c>
      <c r="V5" s="13">
        <f>
              Ifs(
                (U5 = 'Points-Table'!$A$4), 'Points-Table'!$C$4,
                (U5 = 'Points-Table'!$A$5), 'Points-Table'!$C$5,
                (U5 = 'Points-Table'!$A$6), 'Points-Table'!$C$6,
                (U5 = 'Points-Table'!$A$7), 'Points-Table'!$C$7,
                (U5 = 'Points-Table'!$A$8), 'Points-Table'!$C$8,
                (U5 = 'Points-Table'!$A$9), 'Points-Table'!$C$9,
                (U5 = 'Points-Table'!$A$10), 'Points-Table'!$C$10,
                (U5 = 'Points-Table'!$A$11), 'Points-Table'!$C$11,
                (U5 = 'Points-Table'!$A$12), 'Points-Table'!$C$12,
                (U5 = 'Points-Table'!$A$13), 'Points-Table'!$C$13,
                true, 0
              )
            </f>
      </c>
      <c r="W5" s="13">
        <v>1</v>
      </c>
      <c r="X5" s="13">
        <f>
              Ifs(
                (W5 = 'Points-Table'!$A$4), 'Points-Table'!$C$4,
                (W5 = 'Points-Table'!$A$5), 'Points-Table'!$C$5,
                (W5 = 'Points-Table'!$A$6), 'Points-Table'!$C$6,
                (W5 = 'Points-Table'!$A$7), 'Points-Table'!$C$7,
                (W5 = 'Points-Table'!$A$8), 'Points-Table'!$C$8,
                (W5 = 'Points-Table'!$A$9), 'Points-Table'!$C$9,
                (W5 = 'Points-Table'!$A$10), 'Points-Table'!$C$10,
                (W5 = 'Points-Table'!$A$11), 'Points-Table'!$C$11,
                (W5 = 'Points-Table'!$A$12), 'Points-Table'!$C$12,
                (W5 = 'Points-Table'!$A$13), 'Points-Table'!$C$13,
                true, 0
              )
            </f>
      </c>
      <c r="Y5" s="13">
        <v>1</v>
      </c>
      <c r="Z5" s="13">
        <f>
              Ifs(
                (Y5 = 'Points-Table'!$A$4), 'Points-Table'!$C$4,
                (Y5 = 'Points-Table'!$A$5), 'Points-Table'!$C$5,
                (Y5 = 'Points-Table'!$A$6), 'Points-Table'!$C$6,
                (Y5 = 'Points-Table'!$A$7), 'Points-Table'!$C$7,
                (Y5 = 'Points-Table'!$A$8), 'Points-Table'!$C$8,
                (Y5 = 'Points-Table'!$A$9), 'Points-Table'!$C$9,
                (Y5 = 'Points-Table'!$A$10), 'Points-Table'!$C$10,
                (Y5 = 'Points-Table'!$A$11), 'Points-Table'!$C$11,
                (Y5 = 'Points-Table'!$A$12), 'Points-Table'!$C$12,
                (Y5 = 'Points-Table'!$A$13), 'Points-Table'!$C$13,
                true, 0
              )
            </f>
      </c>
      <c r="AA5" s="13">
        <f>SUM(V5,X5,Z5)</f>
      </c>
      <c r="AB5" s="13">
        <f>
      Ifs( 
        ISBETWEEN(AA5, 0, 'Points-Table'!C$20, TRUE, False), 'Points-Table'!A$20,
        ISBETWEEN(AA5, 'Points-Table'!C$20, 'Points-Table'!C$21, TRUE, False), 'Points-Table'!A$21,
        ISBETWEEN(AA5, 'Points-Table'!C$22, 10000, TRUE, TRUE), 'Points-Table'!A$22,
        true, 
        0)
      </f>
      </c>
      <c r="AC5" s="13" t="s">
        <v>56</v>
      </c>
      <c r="AD5" s="13" t="s">
        <v>56</v>
      </c>
      <c r="AE5" s="13" t="s">
        <v>56</v>
      </c>
    </row>
    <row r="6" spans="1:31" s="6" customFormat="1" x14ac:dyDescent="0.25">
      <c r="A6" s="6" t="s">
        <v>88</v>
      </c>
      <c r="B6" s="6" t="s">
        <v>184</v>
      </c>
      <c r="D6" s="6"/>
      <c r="E6" s="6"/>
      <c r="F6" s="6" t="s">
        <v>185</v>
      </c>
      <c r="G6" s="6"/>
      <c r="H6" s="6"/>
      <c r="I6" s="6"/>
      <c r="J6" s="6"/>
      <c r="K6" s="6" t="s">
        <v>84</v>
      </c>
      <c r="L6" s="6" t="s">
        <v>85</v>
      </c>
      <c r="M6" s="6"/>
      <c r="N6" s="6"/>
      <c r="O6" s="6"/>
      <c r="P6" s="6"/>
      <c r="Q6" s="11"/>
      <c r="R6" s="12">
        <f>
              Ifs(
                (Q6 = 'Points-Table'!$A$4), 'Points-Table'!$C$4,
                (Q6 = 'Points-Table'!$A$5), 'Points-Table'!$C$5,
                (Q6 = 'Points-Table'!$A$6), 'Points-Table'!$C$6,
                (Q6 = 'Points-Table'!$A$7), 'Points-Table'!$C$7,
                (Q6 = 'Points-Table'!$A$8), 'Points-Table'!$C$8,
                (Q6 = 'Points-Table'!$A$9), 'Points-Table'!$C$9,
                (Q6 = 'Points-Table'!$A$10), 'Points-Table'!$C$10,
                (Q6 = 'Points-Table'!$A$11), 'Points-Table'!$C$11,
                (Q6 = 'Points-Table'!$A$12), 'Points-Table'!$C$12,
                (Q6 = 'Points-Table'!$A$13), 'Points-Table'!$C$13,
                true, 0
              )
            </f>
      </c>
      <c r="S6" s="11"/>
      <c r="T6" s="12">
        <f>
              Ifs(
                (S6 = 'Points-Table'!$A$4), 'Points-Table'!$C$4,
                (S6 = 'Points-Table'!$A$5), 'Points-Table'!$C$5,
                (S6 = 'Points-Table'!$A$6), 'Points-Table'!$C$6,
                (S6 = 'Points-Table'!$A$7), 'Points-Table'!$C$7,
                (S6 = 'Points-Table'!$A$8), 'Points-Table'!$C$8,
                (S6 = 'Points-Table'!$A$9), 'Points-Table'!$C$9,
                (S6 = 'Points-Table'!$A$10), 'Points-Table'!$C$10,
                (S6 = 'Points-Table'!$A$11), 'Points-Table'!$C$11,
                (S6 = 'Points-Table'!$A$12), 'Points-Table'!$C$12,
                (S6 = 'Points-Table'!$A$13), 'Points-Table'!$C$13,
                true, 0
              )
            </f>
      </c>
      <c r="U6" s="11">
        <v>3</v>
      </c>
      <c r="V6" s="12">
        <f>
              Ifs(
                (U6 = 'Points-Table'!$A$4), 'Points-Table'!$C$4,
                (U6 = 'Points-Table'!$A$5), 'Points-Table'!$C$5,
                (U6 = 'Points-Table'!$A$6), 'Points-Table'!$C$6,
                (U6 = 'Points-Table'!$A$7), 'Points-Table'!$C$7,
                (U6 = 'Points-Table'!$A$8), 'Points-Table'!$C$8,
                (U6 = 'Points-Table'!$A$9), 'Points-Table'!$C$9,
                (U6 = 'Points-Table'!$A$10), 'Points-Table'!$C$10,
                (U6 = 'Points-Table'!$A$11), 'Points-Table'!$C$11,
                (U6 = 'Points-Table'!$A$12), 'Points-Table'!$C$12,
                (U6 = 'Points-Table'!$A$13), 'Points-Table'!$C$13,
                true, 0
              )
            </f>
      </c>
      <c r="W6" s="11">
        <v>1</v>
      </c>
      <c r="X6" s="12">
        <f>
              Ifs(
                (W6 = 'Points-Table'!$A$4), 'Points-Table'!$C$4,
                (W6 = 'Points-Table'!$A$5), 'Points-Table'!$C$5,
                (W6 = 'Points-Table'!$A$6), 'Points-Table'!$C$6,
                (W6 = 'Points-Table'!$A$7), 'Points-Table'!$C$7,
                (W6 = 'Points-Table'!$A$8), 'Points-Table'!$C$8,
                (W6 = 'Points-Table'!$A$9), 'Points-Table'!$C$9,
                (W6 = 'Points-Table'!$A$10), 'Points-Table'!$C$10,
                (W6 = 'Points-Table'!$A$11), 'Points-Table'!$C$11,
                (W6 = 'Points-Table'!$A$12), 'Points-Table'!$C$12,
                (W6 = 'Points-Table'!$A$13), 'Points-Table'!$C$13,
                true, 0
              )
            </f>
      </c>
      <c r="Y6" s="11">
        <v>8</v>
      </c>
      <c r="Z6" s="12">
        <f>
              Ifs(
                (Y6 = 'Points-Table'!$A$4), 'Points-Table'!$C$4,
                (Y6 = 'Points-Table'!$A$5), 'Points-Table'!$C$5,
                (Y6 = 'Points-Table'!$A$6), 'Points-Table'!$C$6,
                (Y6 = 'Points-Table'!$A$7), 'Points-Table'!$C$7,
                (Y6 = 'Points-Table'!$A$8), 'Points-Table'!$C$8,
                (Y6 = 'Points-Table'!$A$9), 'Points-Table'!$C$9,
                (Y6 = 'Points-Table'!$A$10), 'Points-Table'!$C$10,
                (Y6 = 'Points-Table'!$A$11), 'Points-Table'!$C$11,
                (Y6 = 'Points-Table'!$A$12), 'Points-Table'!$C$12,
                (Y6 = 'Points-Table'!$A$13), 'Points-Table'!$C$13,
                true, 0
              )
            </f>
      </c>
      <c r="AA6" s="6">
        <f>SUM(V6,X6,Z6)</f>
      </c>
      <c r="AB6" s="6">
        <f>
      Ifs( 
        ISBETWEEN(AA6, 0, 'Points-Table'!C$20, TRUE, False), 'Points-Table'!A$20,
        ISBETWEEN(AA6, 'Points-Table'!C$20, 'Points-Table'!C$21, TRUE, False), 'Points-Table'!A$21,
        ISBETWEEN(AA6, 'Points-Table'!C$22, 10000, TRUE, TRUE), 'Points-Table'!A$22,
        true, 
        0)
      </f>
      </c>
      <c r="AC6" s="6" t="s">
        <v>56</v>
      </c>
      <c r="AD6" s="6" t="s">
        <v>56</v>
      </c>
      <c r="AE6" s="6" t="s">
        <v>56</v>
      </c>
    </row>
    <row r="7" spans="1:31" s="6" customFormat="1" x14ac:dyDescent="0.25">
      <c r="A7" s="6" t="s">
        <v>88</v>
      </c>
      <c r="B7" s="6" t="s">
        <v>186</v>
      </c>
      <c r="D7" s="6"/>
      <c r="E7" s="6"/>
      <c r="F7" s="6"/>
      <c r="G7" s="6"/>
      <c r="H7" s="6"/>
      <c r="I7" s="6"/>
      <c r="J7" s="6"/>
      <c r="K7" s="6" t="s">
        <v>84</v>
      </c>
      <c r="L7" s="6" t="s">
        <v>85</v>
      </c>
      <c r="M7" s="6"/>
      <c r="N7" s="6"/>
      <c r="O7" s="6"/>
      <c r="P7" s="6"/>
      <c r="Q7" s="11"/>
      <c r="R7" s="12">
        <f>
              Ifs(
                (Q7 = 'Points-Table'!$A$4), 'Points-Table'!$C$4,
                (Q7 = 'Points-Table'!$A$5), 'Points-Table'!$C$5,
                (Q7 = 'Points-Table'!$A$6), 'Points-Table'!$C$6,
                (Q7 = 'Points-Table'!$A$7), 'Points-Table'!$C$7,
                (Q7 = 'Points-Table'!$A$8), 'Points-Table'!$C$8,
                (Q7 = 'Points-Table'!$A$9), 'Points-Table'!$C$9,
                (Q7 = 'Points-Table'!$A$10), 'Points-Table'!$C$10,
                (Q7 = 'Points-Table'!$A$11), 'Points-Table'!$C$11,
                (Q7 = 'Points-Table'!$A$12), 'Points-Table'!$C$12,
                (Q7 = 'Points-Table'!$A$13), 'Points-Table'!$C$13,
                true, 0
              )
            </f>
      </c>
      <c r="S7" s="11"/>
      <c r="T7" s="12">
        <f>
              Ifs(
                (S7 = 'Points-Table'!$A$4), 'Points-Table'!$C$4,
                (S7 = 'Points-Table'!$A$5), 'Points-Table'!$C$5,
                (S7 = 'Points-Table'!$A$6), 'Points-Table'!$C$6,
                (S7 = 'Points-Table'!$A$7), 'Points-Table'!$C$7,
                (S7 = 'Points-Table'!$A$8), 'Points-Table'!$C$8,
                (S7 = 'Points-Table'!$A$9), 'Points-Table'!$C$9,
                (S7 = 'Points-Table'!$A$10), 'Points-Table'!$C$10,
                (S7 = 'Points-Table'!$A$11), 'Points-Table'!$C$11,
                (S7 = 'Points-Table'!$A$12), 'Points-Table'!$C$12,
                (S7 = 'Points-Table'!$A$13), 'Points-Table'!$C$13,
                true, 0
              )
            </f>
      </c>
      <c r="U7" s="11">
        <v>1</v>
      </c>
      <c r="V7" s="12">
        <f>
              Ifs(
                (U7 = 'Points-Table'!$A$4), 'Points-Table'!$C$4,
                (U7 = 'Points-Table'!$A$5), 'Points-Table'!$C$5,
                (U7 = 'Points-Table'!$A$6), 'Points-Table'!$C$6,
                (U7 = 'Points-Table'!$A$7), 'Points-Table'!$C$7,
                (U7 = 'Points-Table'!$A$8), 'Points-Table'!$C$8,
                (U7 = 'Points-Table'!$A$9), 'Points-Table'!$C$9,
                (U7 = 'Points-Table'!$A$10), 'Points-Table'!$C$10,
                (U7 = 'Points-Table'!$A$11), 'Points-Table'!$C$11,
                (U7 = 'Points-Table'!$A$12), 'Points-Table'!$C$12,
                (U7 = 'Points-Table'!$A$13), 'Points-Table'!$C$13,
                true, 0
              )
            </f>
      </c>
      <c r="W7" s="11">
        <v>1</v>
      </c>
      <c r="X7" s="12">
        <f>
              Ifs(
                (W7 = 'Points-Table'!$A$4), 'Points-Table'!$C$4,
                (W7 = 'Points-Table'!$A$5), 'Points-Table'!$C$5,
                (W7 = 'Points-Table'!$A$6), 'Points-Table'!$C$6,
                (W7 = 'Points-Table'!$A$7), 'Points-Table'!$C$7,
                (W7 = 'Points-Table'!$A$8), 'Points-Table'!$C$8,
                (W7 = 'Points-Table'!$A$9), 'Points-Table'!$C$9,
                (W7 = 'Points-Table'!$A$10), 'Points-Table'!$C$10,
                (W7 = 'Points-Table'!$A$11), 'Points-Table'!$C$11,
                (W7 = 'Points-Table'!$A$12), 'Points-Table'!$C$12,
                (W7 = 'Points-Table'!$A$13), 'Points-Table'!$C$13,
                true, 0
              )
            </f>
      </c>
      <c r="Y7" s="11">
        <v>3</v>
      </c>
      <c r="Z7" s="12">
        <f>
              Ifs(
                (Y7 = 'Points-Table'!$A$4), 'Points-Table'!$C$4,
                (Y7 = 'Points-Table'!$A$5), 'Points-Table'!$C$5,
                (Y7 = 'Points-Table'!$A$6), 'Points-Table'!$C$6,
                (Y7 = 'Points-Table'!$A$7), 'Points-Table'!$C$7,
                (Y7 = 'Points-Table'!$A$8), 'Points-Table'!$C$8,
                (Y7 = 'Points-Table'!$A$9), 'Points-Table'!$C$9,
                (Y7 = 'Points-Table'!$A$10), 'Points-Table'!$C$10,
                (Y7 = 'Points-Table'!$A$11), 'Points-Table'!$C$11,
                (Y7 = 'Points-Table'!$A$12), 'Points-Table'!$C$12,
                (Y7 = 'Points-Table'!$A$13), 'Points-Table'!$C$13,
                true, 0
              )
            </f>
      </c>
      <c r="AA7" s="6">
        <f>SUM(V7,X7,Z7)</f>
      </c>
      <c r="AB7" s="6">
        <f>
      Ifs( 
        ISBETWEEN(AA7, 0, 'Points-Table'!C$20, TRUE, False), 'Points-Table'!A$20,
        ISBETWEEN(AA7, 'Points-Table'!C$20, 'Points-Table'!C$21, TRUE, False), 'Points-Table'!A$21,
        ISBETWEEN(AA7, 'Points-Table'!C$22, 10000, TRUE, TRUE), 'Points-Table'!A$22,
        true, 
        0)
      </f>
      </c>
      <c r="AC7" s="6" t="s">
        <v>56</v>
      </c>
      <c r="AD7" s="6" t="s">
        <v>56</v>
      </c>
      <c r="AE7" s="6" t="s">
        <v>56</v>
      </c>
    </row>
    <row r="8" spans="1:31" s="6" customFormat="1" x14ac:dyDescent="0.25">
      <c r="A8" s="6" t="s">
        <v>88</v>
      </c>
      <c r="B8" s="6" t="s">
        <v>187</v>
      </c>
      <c r="D8" s="6"/>
      <c r="E8" s="6"/>
      <c r="F8" s="6" t="s">
        <v>188</v>
      </c>
      <c r="G8" s="6"/>
      <c r="H8" s="6"/>
      <c r="I8" s="6"/>
      <c r="J8" s="6"/>
      <c r="K8" s="6" t="s">
        <v>84</v>
      </c>
      <c r="L8" s="6" t="s">
        <v>85</v>
      </c>
      <c r="M8" s="6"/>
      <c r="N8" s="6"/>
      <c r="O8" s="6"/>
      <c r="P8" s="6"/>
      <c r="Q8" s="11"/>
      <c r="R8" s="12">
        <f>
              Ifs(
                (Q8 = 'Points-Table'!$A$4), 'Points-Table'!$C$4,
                (Q8 = 'Points-Table'!$A$5), 'Points-Table'!$C$5,
                (Q8 = 'Points-Table'!$A$6), 'Points-Table'!$C$6,
                (Q8 = 'Points-Table'!$A$7), 'Points-Table'!$C$7,
                (Q8 = 'Points-Table'!$A$8), 'Points-Table'!$C$8,
                (Q8 = 'Points-Table'!$A$9), 'Points-Table'!$C$9,
                (Q8 = 'Points-Table'!$A$10), 'Points-Table'!$C$10,
                (Q8 = 'Points-Table'!$A$11), 'Points-Table'!$C$11,
                (Q8 = 'Points-Table'!$A$12), 'Points-Table'!$C$12,
                (Q8 = 'Points-Table'!$A$13), 'Points-Table'!$C$13,
                true, 0
              )
            </f>
      </c>
      <c r="S8" s="11"/>
      <c r="T8" s="12">
        <f>
              Ifs(
                (S8 = 'Points-Table'!$A$4), 'Points-Table'!$C$4,
                (S8 = 'Points-Table'!$A$5), 'Points-Table'!$C$5,
                (S8 = 'Points-Table'!$A$6), 'Points-Table'!$C$6,
                (S8 = 'Points-Table'!$A$7), 'Points-Table'!$C$7,
                (S8 = 'Points-Table'!$A$8), 'Points-Table'!$C$8,
                (S8 = 'Points-Table'!$A$9), 'Points-Table'!$C$9,
                (S8 = 'Points-Table'!$A$10), 'Points-Table'!$C$10,
                (S8 = 'Points-Table'!$A$11), 'Points-Table'!$C$11,
                (S8 = 'Points-Table'!$A$12), 'Points-Table'!$C$12,
                (S8 = 'Points-Table'!$A$13), 'Points-Table'!$C$13,
                true, 0
              )
            </f>
      </c>
      <c r="U8" s="11">
        <v>3</v>
      </c>
      <c r="V8" s="12">
        <f>
              Ifs(
                (U8 = 'Points-Table'!$A$4), 'Points-Table'!$C$4,
                (U8 = 'Points-Table'!$A$5), 'Points-Table'!$C$5,
                (U8 = 'Points-Table'!$A$6), 'Points-Table'!$C$6,
                (U8 = 'Points-Table'!$A$7), 'Points-Table'!$C$7,
                (U8 = 'Points-Table'!$A$8), 'Points-Table'!$C$8,
                (U8 = 'Points-Table'!$A$9), 'Points-Table'!$C$9,
                (U8 = 'Points-Table'!$A$10), 'Points-Table'!$C$10,
                (U8 = 'Points-Table'!$A$11), 'Points-Table'!$C$11,
                (U8 = 'Points-Table'!$A$12), 'Points-Table'!$C$12,
                (U8 = 'Points-Table'!$A$13), 'Points-Table'!$C$13,
                true, 0
              )
            </f>
      </c>
      <c r="W8" s="11">
        <v>13</v>
      </c>
      <c r="X8" s="12">
        <f>
              Ifs(
                (W8 = 'Points-Table'!$A$4), 'Points-Table'!$C$4,
                (W8 = 'Points-Table'!$A$5), 'Points-Table'!$C$5,
                (W8 = 'Points-Table'!$A$6), 'Points-Table'!$C$6,
                (W8 = 'Points-Table'!$A$7), 'Points-Table'!$C$7,
                (W8 = 'Points-Table'!$A$8), 'Points-Table'!$C$8,
                (W8 = 'Points-Table'!$A$9), 'Points-Table'!$C$9,
                (W8 = 'Points-Table'!$A$10), 'Points-Table'!$C$10,
                (W8 = 'Points-Table'!$A$11), 'Points-Table'!$C$11,
                (W8 = 'Points-Table'!$A$12), 'Points-Table'!$C$12,
                (W8 = 'Points-Table'!$A$13), 'Points-Table'!$C$13,
                true, 0
              )
            </f>
      </c>
      <c r="Y8" s="11">
        <v>21</v>
      </c>
      <c r="Z8" s="12">
        <f>
              Ifs(
                (Y8 = 'Points-Table'!$A$4), 'Points-Table'!$C$4,
                (Y8 = 'Points-Table'!$A$5), 'Points-Table'!$C$5,
                (Y8 = 'Points-Table'!$A$6), 'Points-Table'!$C$6,
                (Y8 = 'Points-Table'!$A$7), 'Points-Table'!$C$7,
                (Y8 = 'Points-Table'!$A$8), 'Points-Table'!$C$8,
                (Y8 = 'Points-Table'!$A$9), 'Points-Table'!$C$9,
                (Y8 = 'Points-Table'!$A$10), 'Points-Table'!$C$10,
                (Y8 = 'Points-Table'!$A$11), 'Points-Table'!$C$11,
                (Y8 = 'Points-Table'!$A$12), 'Points-Table'!$C$12,
                (Y8 = 'Points-Table'!$A$13), 'Points-Table'!$C$13,
                true, 0
              )
            </f>
      </c>
      <c r="AA8" s="6">
        <f>SUM(V8,X8,Z8)</f>
      </c>
      <c r="AB8" s="6">
        <f>
      Ifs( 
        ISBETWEEN(AA8, 0, 'Points-Table'!C$20, TRUE, False), 'Points-Table'!A$20,
        ISBETWEEN(AA8, 'Points-Table'!C$20, 'Points-Table'!C$21, TRUE, False), 'Points-Table'!A$21,
        ISBETWEEN(AA8, 'Points-Table'!C$22, 10000, TRUE, TRUE), 'Points-Table'!A$22,
        true, 
        0)
      </f>
      </c>
      <c r="AC8" s="6" t="s">
        <v>56</v>
      </c>
      <c r="AD8" s="6" t="s">
        <v>56</v>
      </c>
      <c r="AE8" s="6" t="s">
        <v>56</v>
      </c>
    </row>
    <row r="9" spans="1:31" s="6" customFormat="1" x14ac:dyDescent="0.25">
      <c r="A9" s="6" t="s">
        <v>189</v>
      </c>
      <c r="B9" s="6" t="s">
        <v>190</v>
      </c>
      <c r="C9" s="6" t="s">
        <v>191</v>
      </c>
      <c r="D9" s="6"/>
      <c r="E9" s="6"/>
      <c r="F9" s="6"/>
      <c r="G9" s="6"/>
      <c r="H9" s="6"/>
      <c r="I9" s="6"/>
      <c r="J9" s="6"/>
      <c r="K9" s="6" t="s">
        <v>84</v>
      </c>
      <c r="L9" s="6" t="s">
        <v>85</v>
      </c>
      <c r="M9" s="6"/>
      <c r="N9" s="6"/>
      <c r="O9" s="6"/>
      <c r="P9" s="6"/>
      <c r="Q9" s="11"/>
      <c r="R9" s="12">
        <f>
              Ifs(
                (Q9 = 'Points-Table'!$A$4), 'Points-Table'!$C$4,
                (Q9 = 'Points-Table'!$A$5), 'Points-Table'!$C$5,
                (Q9 = 'Points-Table'!$A$6), 'Points-Table'!$C$6,
                (Q9 = 'Points-Table'!$A$7), 'Points-Table'!$C$7,
                (Q9 = 'Points-Table'!$A$8), 'Points-Table'!$C$8,
                (Q9 = 'Points-Table'!$A$9), 'Points-Table'!$C$9,
                (Q9 = 'Points-Table'!$A$10), 'Points-Table'!$C$10,
                (Q9 = 'Points-Table'!$A$11), 'Points-Table'!$C$11,
                (Q9 = 'Points-Table'!$A$12), 'Points-Table'!$C$12,
                (Q9 = 'Points-Table'!$A$13), 'Points-Table'!$C$13,
                true, 0
              )
            </f>
      </c>
      <c r="S9" s="11"/>
      <c r="T9" s="12">
        <f>
              Ifs(
                (S9 = 'Points-Table'!$A$4), 'Points-Table'!$C$4,
                (S9 = 'Points-Table'!$A$5), 'Points-Table'!$C$5,
                (S9 = 'Points-Table'!$A$6), 'Points-Table'!$C$6,
                (S9 = 'Points-Table'!$A$7), 'Points-Table'!$C$7,
                (S9 = 'Points-Table'!$A$8), 'Points-Table'!$C$8,
                (S9 = 'Points-Table'!$A$9), 'Points-Table'!$C$9,
                (S9 = 'Points-Table'!$A$10), 'Points-Table'!$C$10,
                (S9 = 'Points-Table'!$A$11), 'Points-Table'!$C$11,
                (S9 = 'Points-Table'!$A$12), 'Points-Table'!$C$12,
                (S9 = 'Points-Table'!$A$13), 'Points-Table'!$C$13,
                true, 0
              )
            </f>
      </c>
      <c r="U9" s="11">
        <v>2</v>
      </c>
      <c r="V9" s="12">
        <f>
              Ifs(
                (U9 = 'Points-Table'!$A$4), 'Points-Table'!$C$4,
                (U9 = 'Points-Table'!$A$5), 'Points-Table'!$C$5,
                (U9 = 'Points-Table'!$A$6), 'Points-Table'!$C$6,
                (U9 = 'Points-Table'!$A$7), 'Points-Table'!$C$7,
                (U9 = 'Points-Table'!$A$8), 'Points-Table'!$C$8,
                (U9 = 'Points-Table'!$A$9), 'Points-Table'!$C$9,
                (U9 = 'Points-Table'!$A$10), 'Points-Table'!$C$10,
                (U9 = 'Points-Table'!$A$11), 'Points-Table'!$C$11,
                (U9 = 'Points-Table'!$A$12), 'Points-Table'!$C$12,
                (U9 = 'Points-Table'!$A$13), 'Points-Table'!$C$13,
                true, 0
              )
            </f>
      </c>
      <c r="W9" s="11">
        <v>0</v>
      </c>
      <c r="X9" s="12">
        <f>
              Ifs(
                (W9 = 'Points-Table'!$A$4), 'Points-Table'!$C$4,
                (W9 = 'Points-Table'!$A$5), 'Points-Table'!$C$5,
                (W9 = 'Points-Table'!$A$6), 'Points-Table'!$C$6,
                (W9 = 'Points-Table'!$A$7), 'Points-Table'!$C$7,
                (W9 = 'Points-Table'!$A$8), 'Points-Table'!$C$8,
                (W9 = 'Points-Table'!$A$9), 'Points-Table'!$C$9,
                (W9 = 'Points-Table'!$A$10), 'Points-Table'!$C$10,
                (W9 = 'Points-Table'!$A$11), 'Points-Table'!$C$11,
                (W9 = 'Points-Table'!$A$12), 'Points-Table'!$C$12,
                (W9 = 'Points-Table'!$A$13), 'Points-Table'!$C$13,
                true, 0
              )
            </f>
      </c>
      <c r="Y9" s="11">
        <v>0</v>
      </c>
      <c r="Z9" s="12">
        <f>
              Ifs(
                (Y9 = 'Points-Table'!$A$4), 'Points-Table'!$C$4,
                (Y9 = 'Points-Table'!$A$5), 'Points-Table'!$C$5,
                (Y9 = 'Points-Table'!$A$6), 'Points-Table'!$C$6,
                (Y9 = 'Points-Table'!$A$7), 'Points-Table'!$C$7,
                (Y9 = 'Points-Table'!$A$8), 'Points-Table'!$C$8,
                (Y9 = 'Points-Table'!$A$9), 'Points-Table'!$C$9,
                (Y9 = 'Points-Table'!$A$10), 'Points-Table'!$C$10,
                (Y9 = 'Points-Table'!$A$11), 'Points-Table'!$C$11,
                (Y9 = 'Points-Table'!$A$12), 'Points-Table'!$C$12,
                (Y9 = 'Points-Table'!$A$13), 'Points-Table'!$C$13,
                true, 0
              )
            </f>
      </c>
      <c r="AA9" s="6">
        <f>SUM(V9,X9,Z9)</f>
      </c>
      <c r="AB9" s="6">
        <f>
      Ifs( 
        ISBETWEEN(AA9, 0, 'Points-Table'!C$20, TRUE, False), 'Points-Table'!A$20,
        ISBETWEEN(AA9, 'Points-Table'!C$20, 'Points-Table'!C$21, TRUE, False), 'Points-Table'!A$21,
        ISBETWEEN(AA9, 'Points-Table'!C$22, 10000, TRUE, TRUE), 'Points-Table'!A$22,
        true, 
        0)
      </f>
      </c>
      <c r="AC9" s="6" t="s">
        <v>56</v>
      </c>
      <c r="AD9" s="6" t="s">
        <v>56</v>
      </c>
      <c r="AE9" s="6" t="s">
        <v>56</v>
      </c>
    </row>
    <row r="10" spans="1:31" s="6" customFormat="1" x14ac:dyDescent="0.25">
      <c r="A10" s="6" t="s">
        <v>189</v>
      </c>
      <c r="B10" s="6" t="s">
        <v>190</v>
      </c>
      <c r="C10" s="6" t="s">
        <v>192</v>
      </c>
      <c r="D10" s="6" t="s">
        <v>193</v>
      </c>
      <c r="E10" s="6"/>
      <c r="F10" s="6" t="s">
        <v>194</v>
      </c>
      <c r="G10" s="6"/>
      <c r="H10" s="6"/>
      <c r="I10" s="6"/>
      <c r="J10" s="6"/>
      <c r="K10" s="6" t="s">
        <v>84</v>
      </c>
      <c r="L10" s="6" t="s">
        <v>85</v>
      </c>
      <c r="M10" s="6"/>
      <c r="N10" s="6"/>
      <c r="O10" s="6"/>
      <c r="P10" s="6"/>
      <c r="Q10" s="11"/>
      <c r="R10" s="12">
        <f>
              Ifs(
                (Q10 = 'Points-Table'!$A$4), 'Points-Table'!$C$4,
                (Q10 = 'Points-Table'!$A$5), 'Points-Table'!$C$5,
                (Q10 = 'Points-Table'!$A$6), 'Points-Table'!$C$6,
                (Q10 = 'Points-Table'!$A$7), 'Points-Table'!$C$7,
                (Q10 = 'Points-Table'!$A$8), 'Points-Table'!$C$8,
                (Q10 = 'Points-Table'!$A$9), 'Points-Table'!$C$9,
                (Q10 = 'Points-Table'!$A$10), 'Points-Table'!$C$10,
                (Q10 = 'Points-Table'!$A$11), 'Points-Table'!$C$11,
                (Q10 = 'Points-Table'!$A$12), 'Points-Table'!$C$12,
                (Q10 = 'Points-Table'!$A$13), 'Points-Table'!$C$13,
                true, 0
              )
            </f>
      </c>
      <c r="S10" s="11"/>
      <c r="T10" s="12">
        <f>
              Ifs(
                (S10 = 'Points-Table'!$A$4), 'Points-Table'!$C$4,
                (S10 = 'Points-Table'!$A$5), 'Points-Table'!$C$5,
                (S10 = 'Points-Table'!$A$6), 'Points-Table'!$C$6,
                (S10 = 'Points-Table'!$A$7), 'Points-Table'!$C$7,
                (S10 = 'Points-Table'!$A$8), 'Points-Table'!$C$8,
                (S10 = 'Points-Table'!$A$9), 'Points-Table'!$C$9,
                (S10 = 'Points-Table'!$A$10), 'Points-Table'!$C$10,
                (S10 = 'Points-Table'!$A$11), 'Points-Table'!$C$11,
                (S10 = 'Points-Table'!$A$12), 'Points-Table'!$C$12,
                (S10 = 'Points-Table'!$A$13), 'Points-Table'!$C$13,
                true, 0
              )
            </f>
      </c>
      <c r="U10" s="11">
        <v>3</v>
      </c>
      <c r="V10" s="12">
        <f>
              Ifs(
                (U10 = 'Points-Table'!$A$4), 'Points-Table'!$C$4,
                (U10 = 'Points-Table'!$A$5), 'Points-Table'!$C$5,
                (U10 = 'Points-Table'!$A$6), 'Points-Table'!$C$6,
                (U10 = 'Points-Table'!$A$7), 'Points-Table'!$C$7,
                (U10 = 'Points-Table'!$A$8), 'Points-Table'!$C$8,
                (U10 = 'Points-Table'!$A$9), 'Points-Table'!$C$9,
                (U10 = 'Points-Table'!$A$10), 'Points-Table'!$C$10,
                (U10 = 'Points-Table'!$A$11), 'Points-Table'!$C$11,
                (U10 = 'Points-Table'!$A$12), 'Points-Table'!$C$12,
                (U10 = 'Points-Table'!$A$13), 'Points-Table'!$C$13,
                true, 0
              )
            </f>
      </c>
      <c r="W10" s="11">
        <v>2</v>
      </c>
      <c r="X10" s="12">
        <f>
              Ifs(
                (W10 = 'Points-Table'!$A$4), 'Points-Table'!$C$4,
                (W10 = 'Points-Table'!$A$5), 'Points-Table'!$C$5,
                (W10 = 'Points-Table'!$A$6), 'Points-Table'!$C$6,
                (W10 = 'Points-Table'!$A$7), 'Points-Table'!$C$7,
                (W10 = 'Points-Table'!$A$8), 'Points-Table'!$C$8,
                (W10 = 'Points-Table'!$A$9), 'Points-Table'!$C$9,
                (W10 = 'Points-Table'!$A$10), 'Points-Table'!$C$10,
                (W10 = 'Points-Table'!$A$11), 'Points-Table'!$C$11,
                (W10 = 'Points-Table'!$A$12), 'Points-Table'!$C$12,
                (W10 = 'Points-Table'!$A$13), 'Points-Table'!$C$13,
                true, 0
              )
            </f>
      </c>
      <c r="Y10" s="11">
        <v>5</v>
      </c>
      <c r="Z10" s="12">
        <f>
              Ifs(
                (Y10 = 'Points-Table'!$A$4), 'Points-Table'!$C$4,
                (Y10 = 'Points-Table'!$A$5), 'Points-Table'!$C$5,
                (Y10 = 'Points-Table'!$A$6), 'Points-Table'!$C$6,
                (Y10 = 'Points-Table'!$A$7), 'Points-Table'!$C$7,
                (Y10 = 'Points-Table'!$A$8), 'Points-Table'!$C$8,
                (Y10 = 'Points-Table'!$A$9), 'Points-Table'!$C$9,
                (Y10 = 'Points-Table'!$A$10), 'Points-Table'!$C$10,
                (Y10 = 'Points-Table'!$A$11), 'Points-Table'!$C$11,
                (Y10 = 'Points-Table'!$A$12), 'Points-Table'!$C$12,
                (Y10 = 'Points-Table'!$A$13), 'Points-Table'!$C$13,
                true, 0
              )
            </f>
      </c>
      <c r="AA10" s="6">
        <f>SUM(V10,X10,Z10)</f>
      </c>
      <c r="AB10" s="6">
        <f>
      Ifs( 
        ISBETWEEN(AA10, 0, 'Points-Table'!C$20, TRUE, False), 'Points-Table'!A$20,
        ISBETWEEN(AA10, 'Points-Table'!C$20, 'Points-Table'!C$21, TRUE, False), 'Points-Table'!A$21,
        ISBETWEEN(AA10, 'Points-Table'!C$22, 10000, TRUE, TRUE), 'Points-Table'!A$22,
        true, 
        0)
      </f>
      </c>
      <c r="AC10" s="6" t="s">
        <v>56</v>
      </c>
      <c r="AD10" s="6" t="s">
        <v>56</v>
      </c>
      <c r="AE10" s="6" t="s">
        <v>56</v>
      </c>
    </row>
    <row r="11" spans="1:31" s="6" customFormat="1" x14ac:dyDescent="0.25">
      <c r="A11" s="6" t="s">
        <v>189</v>
      </c>
      <c r="B11" s="6" t="s">
        <v>190</v>
      </c>
      <c r="C11" s="6" t="s">
        <v>195</v>
      </c>
      <c r="D11" s="6" t="s">
        <v>196</v>
      </c>
      <c r="E11" s="6"/>
      <c r="F11" s="6" t="s">
        <v>197</v>
      </c>
      <c r="G11" s="6"/>
      <c r="H11" s="6"/>
      <c r="I11" s="6"/>
      <c r="J11" s="6"/>
      <c r="K11" s="6" t="s">
        <v>84</v>
      </c>
      <c r="L11" s="6" t="s">
        <v>85</v>
      </c>
      <c r="M11" s="6"/>
      <c r="N11" s="6"/>
      <c r="O11" s="6"/>
      <c r="P11" s="6"/>
      <c r="Q11" s="11"/>
      <c r="R11" s="12">
        <f>
              Ifs(
                (Q11 = 'Points-Table'!$A$4), 'Points-Table'!$C$4,
                (Q11 = 'Points-Table'!$A$5), 'Points-Table'!$C$5,
                (Q11 = 'Points-Table'!$A$6), 'Points-Table'!$C$6,
                (Q11 = 'Points-Table'!$A$7), 'Points-Table'!$C$7,
                (Q11 = 'Points-Table'!$A$8), 'Points-Table'!$C$8,
                (Q11 = 'Points-Table'!$A$9), 'Points-Table'!$C$9,
                (Q11 = 'Points-Table'!$A$10), 'Points-Table'!$C$10,
                (Q11 = 'Points-Table'!$A$11), 'Points-Table'!$C$11,
                (Q11 = 'Points-Table'!$A$12), 'Points-Table'!$C$12,
                (Q11 = 'Points-Table'!$A$13), 'Points-Table'!$C$13,
                true, 0
              )
            </f>
      </c>
      <c r="S11" s="11"/>
      <c r="T11" s="12">
        <f>
              Ifs(
                (S11 = 'Points-Table'!$A$4), 'Points-Table'!$C$4,
                (S11 = 'Points-Table'!$A$5), 'Points-Table'!$C$5,
                (S11 = 'Points-Table'!$A$6), 'Points-Table'!$C$6,
                (S11 = 'Points-Table'!$A$7), 'Points-Table'!$C$7,
                (S11 = 'Points-Table'!$A$8), 'Points-Table'!$C$8,
                (S11 = 'Points-Table'!$A$9), 'Points-Table'!$C$9,
                (S11 = 'Points-Table'!$A$10), 'Points-Table'!$C$10,
                (S11 = 'Points-Table'!$A$11), 'Points-Table'!$C$11,
                (S11 = 'Points-Table'!$A$12), 'Points-Table'!$C$12,
                (S11 = 'Points-Table'!$A$13), 'Points-Table'!$C$13,
                true, 0
              )
            </f>
      </c>
      <c r="U11" s="11">
        <v>3</v>
      </c>
      <c r="V11" s="12">
        <f>
              Ifs(
                (U11 = 'Points-Table'!$A$4), 'Points-Table'!$C$4,
                (U11 = 'Points-Table'!$A$5), 'Points-Table'!$C$5,
                (U11 = 'Points-Table'!$A$6), 'Points-Table'!$C$6,
                (U11 = 'Points-Table'!$A$7), 'Points-Table'!$C$7,
                (U11 = 'Points-Table'!$A$8), 'Points-Table'!$C$8,
                (U11 = 'Points-Table'!$A$9), 'Points-Table'!$C$9,
                (U11 = 'Points-Table'!$A$10), 'Points-Table'!$C$10,
                (U11 = 'Points-Table'!$A$11), 'Points-Table'!$C$11,
                (U11 = 'Points-Table'!$A$12), 'Points-Table'!$C$12,
                (U11 = 'Points-Table'!$A$13), 'Points-Table'!$C$13,
                true, 0
              )
            </f>
      </c>
      <c r="W11" s="11">
        <v>2</v>
      </c>
      <c r="X11" s="12">
        <f>
              Ifs(
                (W11 = 'Points-Table'!$A$4), 'Points-Table'!$C$4,
                (W11 = 'Points-Table'!$A$5), 'Points-Table'!$C$5,
                (W11 = 'Points-Table'!$A$6), 'Points-Table'!$C$6,
                (W11 = 'Points-Table'!$A$7), 'Points-Table'!$C$7,
                (W11 = 'Points-Table'!$A$8), 'Points-Table'!$C$8,
                (W11 = 'Points-Table'!$A$9), 'Points-Table'!$C$9,
                (W11 = 'Points-Table'!$A$10), 'Points-Table'!$C$10,
                (W11 = 'Points-Table'!$A$11), 'Points-Table'!$C$11,
                (W11 = 'Points-Table'!$A$12), 'Points-Table'!$C$12,
                (W11 = 'Points-Table'!$A$13), 'Points-Table'!$C$13,
                true, 0
              )
            </f>
      </c>
      <c r="Y11" s="11">
        <v>5</v>
      </c>
      <c r="Z11" s="12">
        <f>
              Ifs(
                (Y11 = 'Points-Table'!$A$4), 'Points-Table'!$C$4,
                (Y11 = 'Points-Table'!$A$5), 'Points-Table'!$C$5,
                (Y11 = 'Points-Table'!$A$6), 'Points-Table'!$C$6,
                (Y11 = 'Points-Table'!$A$7), 'Points-Table'!$C$7,
                (Y11 = 'Points-Table'!$A$8), 'Points-Table'!$C$8,
                (Y11 = 'Points-Table'!$A$9), 'Points-Table'!$C$9,
                (Y11 = 'Points-Table'!$A$10), 'Points-Table'!$C$10,
                (Y11 = 'Points-Table'!$A$11), 'Points-Table'!$C$11,
                (Y11 = 'Points-Table'!$A$12), 'Points-Table'!$C$12,
                (Y11 = 'Points-Table'!$A$13), 'Points-Table'!$C$13,
                true, 0
              )
            </f>
      </c>
      <c r="AA11" s="6">
        <f>SUM(V11,X11,Z11)</f>
      </c>
      <c r="AB11" s="6">
        <f>
      Ifs( 
        ISBETWEEN(AA11, 0, 'Points-Table'!C$20, TRUE, False), 'Points-Table'!A$20,
        ISBETWEEN(AA11, 'Points-Table'!C$20, 'Points-Table'!C$21, TRUE, False), 'Points-Table'!A$21,
        ISBETWEEN(AA11, 'Points-Table'!C$22, 10000, TRUE, TRUE), 'Points-Table'!A$22,
        true, 
        0)
      </f>
      </c>
      <c r="AC11" s="6" t="s">
        <v>56</v>
      </c>
      <c r="AD11" s="6" t="s">
        <v>56</v>
      </c>
      <c r="AE11" s="6" t="s">
        <v>56</v>
      </c>
    </row>
    <row r="12" spans="1:31" s="6" customFormat="1" x14ac:dyDescent="0.25">
      <c r="A12" s="6" t="s">
        <v>189</v>
      </c>
      <c r="B12" s="6" t="s">
        <v>190</v>
      </c>
      <c r="C12" s="6" t="s">
        <v>198</v>
      </c>
      <c r="D12" s="6"/>
      <c r="E12" s="6"/>
      <c r="F12" s="6" t="s">
        <v>199</v>
      </c>
      <c r="G12" s="6"/>
      <c r="H12" s="6"/>
      <c r="I12" s="6"/>
      <c r="J12" s="6"/>
      <c r="K12" s="6" t="s">
        <v>84</v>
      </c>
      <c r="L12" s="6" t="s">
        <v>85</v>
      </c>
      <c r="M12" s="6"/>
      <c r="N12" s="6"/>
      <c r="O12" s="6"/>
      <c r="P12" s="6"/>
      <c r="Q12" s="11"/>
      <c r="R12" s="12">
        <f>
              Ifs(
                (Q12 = 'Points-Table'!$A$4), 'Points-Table'!$C$4,
                (Q12 = 'Points-Table'!$A$5), 'Points-Table'!$C$5,
                (Q12 = 'Points-Table'!$A$6), 'Points-Table'!$C$6,
                (Q12 = 'Points-Table'!$A$7), 'Points-Table'!$C$7,
                (Q12 = 'Points-Table'!$A$8), 'Points-Table'!$C$8,
                (Q12 = 'Points-Table'!$A$9), 'Points-Table'!$C$9,
                (Q12 = 'Points-Table'!$A$10), 'Points-Table'!$C$10,
                (Q12 = 'Points-Table'!$A$11), 'Points-Table'!$C$11,
                (Q12 = 'Points-Table'!$A$12), 'Points-Table'!$C$12,
                (Q12 = 'Points-Table'!$A$13), 'Points-Table'!$C$13,
                true, 0
              )
            </f>
      </c>
      <c r="S12" s="11"/>
      <c r="T12" s="12">
        <f>
              Ifs(
                (S12 = 'Points-Table'!$A$4), 'Points-Table'!$C$4,
                (S12 = 'Points-Table'!$A$5), 'Points-Table'!$C$5,
                (S12 = 'Points-Table'!$A$6), 'Points-Table'!$C$6,
                (S12 = 'Points-Table'!$A$7), 'Points-Table'!$C$7,
                (S12 = 'Points-Table'!$A$8), 'Points-Table'!$C$8,
                (S12 = 'Points-Table'!$A$9), 'Points-Table'!$C$9,
                (S12 = 'Points-Table'!$A$10), 'Points-Table'!$C$10,
                (S12 = 'Points-Table'!$A$11), 'Points-Table'!$C$11,
                (S12 = 'Points-Table'!$A$12), 'Points-Table'!$C$12,
                (S12 = 'Points-Table'!$A$13), 'Points-Table'!$C$13,
                true, 0
              )
            </f>
      </c>
      <c r="U12" s="11">
        <v>8</v>
      </c>
      <c r="V12" s="12">
        <f>
              Ifs(
                (U12 = 'Points-Table'!$A$4), 'Points-Table'!$C$4,
                (U12 = 'Points-Table'!$A$5), 'Points-Table'!$C$5,
                (U12 = 'Points-Table'!$A$6), 'Points-Table'!$C$6,
                (U12 = 'Points-Table'!$A$7), 'Points-Table'!$C$7,
                (U12 = 'Points-Table'!$A$8), 'Points-Table'!$C$8,
                (U12 = 'Points-Table'!$A$9), 'Points-Table'!$C$9,
                (U12 = 'Points-Table'!$A$10), 'Points-Table'!$C$10,
                (U12 = 'Points-Table'!$A$11), 'Points-Table'!$C$11,
                (U12 = 'Points-Table'!$A$12), 'Points-Table'!$C$12,
                (U12 = 'Points-Table'!$A$13), 'Points-Table'!$C$13,
                true, 0
              )
            </f>
      </c>
      <c r="W12" s="11">
        <v>5</v>
      </c>
      <c r="X12" s="12">
        <f>
              Ifs(
                (W12 = 'Points-Table'!$A$4), 'Points-Table'!$C$4,
                (W12 = 'Points-Table'!$A$5), 'Points-Table'!$C$5,
                (W12 = 'Points-Table'!$A$6), 'Points-Table'!$C$6,
                (W12 = 'Points-Table'!$A$7), 'Points-Table'!$C$7,
                (W12 = 'Points-Table'!$A$8), 'Points-Table'!$C$8,
                (W12 = 'Points-Table'!$A$9), 'Points-Table'!$C$9,
                (W12 = 'Points-Table'!$A$10), 'Points-Table'!$C$10,
                (W12 = 'Points-Table'!$A$11), 'Points-Table'!$C$11,
                (W12 = 'Points-Table'!$A$12), 'Points-Table'!$C$12,
                (W12 = 'Points-Table'!$A$13), 'Points-Table'!$C$13,
                true, 0
              )
            </f>
      </c>
      <c r="Y12" s="11">
        <v>13</v>
      </c>
      <c r="Z12" s="12">
        <f>
              Ifs(
                (Y12 = 'Points-Table'!$A$4), 'Points-Table'!$C$4,
                (Y12 = 'Points-Table'!$A$5), 'Points-Table'!$C$5,
                (Y12 = 'Points-Table'!$A$6), 'Points-Table'!$C$6,
                (Y12 = 'Points-Table'!$A$7), 'Points-Table'!$C$7,
                (Y12 = 'Points-Table'!$A$8), 'Points-Table'!$C$8,
                (Y12 = 'Points-Table'!$A$9), 'Points-Table'!$C$9,
                (Y12 = 'Points-Table'!$A$10), 'Points-Table'!$C$10,
                (Y12 = 'Points-Table'!$A$11), 'Points-Table'!$C$11,
                (Y12 = 'Points-Table'!$A$12), 'Points-Table'!$C$12,
                (Y12 = 'Points-Table'!$A$13), 'Points-Table'!$C$13,
                true, 0
              )
            </f>
      </c>
      <c r="AA12" s="6">
        <f>SUM(V12,X12,Z12)</f>
      </c>
      <c r="AB12" s="6">
        <f>
      Ifs( 
        ISBETWEEN(AA12, 0, 'Points-Table'!C$20, TRUE, False), 'Points-Table'!A$20,
        ISBETWEEN(AA12, 'Points-Table'!C$20, 'Points-Table'!C$21, TRUE, False), 'Points-Table'!A$21,
        ISBETWEEN(AA12, 'Points-Table'!C$22, 10000, TRUE, TRUE), 'Points-Table'!A$22,
        true, 
        0)
      </f>
      </c>
      <c r="AC12" s="6" t="s">
        <v>56</v>
      </c>
      <c r="AD12" s="6" t="s">
        <v>56</v>
      </c>
      <c r="AE12" s="6" t="s">
        <v>56</v>
      </c>
    </row>
    <row r="13" spans="1:31" s="6" customFormat="1" x14ac:dyDescent="0.25">
      <c r="A13" s="6" t="s">
        <v>189</v>
      </c>
      <c r="B13" s="6" t="s">
        <v>190</v>
      </c>
      <c r="C13" s="6" t="s">
        <v>200</v>
      </c>
      <c r="D13" s="6"/>
      <c r="E13" s="6"/>
      <c r="F13" s="6" t="s">
        <v>201</v>
      </c>
      <c r="G13" s="6"/>
      <c r="H13" s="6"/>
      <c r="I13" s="6"/>
      <c r="J13" s="6"/>
      <c r="K13" s="6" t="s">
        <v>84</v>
      </c>
      <c r="L13" s="6" t="s">
        <v>85</v>
      </c>
      <c r="M13" s="6"/>
      <c r="N13" s="6"/>
      <c r="O13" s="6"/>
      <c r="P13" s="6"/>
      <c r="Q13" s="11"/>
      <c r="R13" s="12">
        <f>
              Ifs(
                (Q13 = 'Points-Table'!$A$4), 'Points-Table'!$C$4,
                (Q13 = 'Points-Table'!$A$5), 'Points-Table'!$C$5,
                (Q13 = 'Points-Table'!$A$6), 'Points-Table'!$C$6,
                (Q13 = 'Points-Table'!$A$7), 'Points-Table'!$C$7,
                (Q13 = 'Points-Table'!$A$8), 'Points-Table'!$C$8,
                (Q13 = 'Points-Table'!$A$9), 'Points-Table'!$C$9,
                (Q13 = 'Points-Table'!$A$10), 'Points-Table'!$C$10,
                (Q13 = 'Points-Table'!$A$11), 'Points-Table'!$C$11,
                (Q13 = 'Points-Table'!$A$12), 'Points-Table'!$C$12,
                (Q13 = 'Points-Table'!$A$13), 'Points-Table'!$C$13,
                true, 0
              )
            </f>
      </c>
      <c r="S13" s="11"/>
      <c r="T13" s="12">
        <f>
              Ifs(
                (S13 = 'Points-Table'!$A$4), 'Points-Table'!$C$4,
                (S13 = 'Points-Table'!$A$5), 'Points-Table'!$C$5,
                (S13 = 'Points-Table'!$A$6), 'Points-Table'!$C$6,
                (S13 = 'Points-Table'!$A$7), 'Points-Table'!$C$7,
                (S13 = 'Points-Table'!$A$8), 'Points-Table'!$C$8,
                (S13 = 'Points-Table'!$A$9), 'Points-Table'!$C$9,
                (S13 = 'Points-Table'!$A$10), 'Points-Table'!$C$10,
                (S13 = 'Points-Table'!$A$11), 'Points-Table'!$C$11,
                (S13 = 'Points-Table'!$A$12), 'Points-Table'!$C$12,
                (S13 = 'Points-Table'!$A$13), 'Points-Table'!$C$13,
                true, 0
              )
            </f>
      </c>
      <c r="U13" s="11">
        <v>5</v>
      </c>
      <c r="V13" s="12">
        <f>
              Ifs(
                (U13 = 'Points-Table'!$A$4), 'Points-Table'!$C$4,
                (U13 = 'Points-Table'!$A$5), 'Points-Table'!$C$5,
                (U13 = 'Points-Table'!$A$6), 'Points-Table'!$C$6,
                (U13 = 'Points-Table'!$A$7), 'Points-Table'!$C$7,
                (U13 = 'Points-Table'!$A$8), 'Points-Table'!$C$8,
                (U13 = 'Points-Table'!$A$9), 'Points-Table'!$C$9,
                (U13 = 'Points-Table'!$A$10), 'Points-Table'!$C$10,
                (U13 = 'Points-Table'!$A$11), 'Points-Table'!$C$11,
                (U13 = 'Points-Table'!$A$12), 'Points-Table'!$C$12,
                (U13 = 'Points-Table'!$A$13), 'Points-Table'!$C$13,
                true, 0
              )
            </f>
      </c>
      <c r="W13" s="11">
        <v>3</v>
      </c>
      <c r="X13" s="12">
        <f>
              Ifs(
                (W13 = 'Points-Table'!$A$4), 'Points-Table'!$C$4,
                (W13 = 'Points-Table'!$A$5), 'Points-Table'!$C$5,
                (W13 = 'Points-Table'!$A$6), 'Points-Table'!$C$6,
                (W13 = 'Points-Table'!$A$7), 'Points-Table'!$C$7,
                (W13 = 'Points-Table'!$A$8), 'Points-Table'!$C$8,
                (W13 = 'Points-Table'!$A$9), 'Points-Table'!$C$9,
                (W13 = 'Points-Table'!$A$10), 'Points-Table'!$C$10,
                (W13 = 'Points-Table'!$A$11), 'Points-Table'!$C$11,
                (W13 = 'Points-Table'!$A$12), 'Points-Table'!$C$12,
                (W13 = 'Points-Table'!$A$13), 'Points-Table'!$C$13,
                true, 0
              )
            </f>
      </c>
      <c r="Y13" s="11">
        <v>5</v>
      </c>
      <c r="Z13" s="12">
        <f>
              Ifs(
                (Y13 = 'Points-Table'!$A$4), 'Points-Table'!$C$4,
                (Y13 = 'Points-Table'!$A$5), 'Points-Table'!$C$5,
                (Y13 = 'Points-Table'!$A$6), 'Points-Table'!$C$6,
                (Y13 = 'Points-Table'!$A$7), 'Points-Table'!$C$7,
                (Y13 = 'Points-Table'!$A$8), 'Points-Table'!$C$8,
                (Y13 = 'Points-Table'!$A$9), 'Points-Table'!$C$9,
                (Y13 = 'Points-Table'!$A$10), 'Points-Table'!$C$10,
                (Y13 = 'Points-Table'!$A$11), 'Points-Table'!$C$11,
                (Y13 = 'Points-Table'!$A$12), 'Points-Table'!$C$12,
                (Y13 = 'Points-Table'!$A$13), 'Points-Table'!$C$13,
                true, 0
              )
            </f>
      </c>
      <c r="AA13" s="6">
        <f>SUM(V13,X13,Z13)</f>
      </c>
      <c r="AB13" s="6">
        <f>
      Ifs( 
        ISBETWEEN(AA13, 0, 'Points-Table'!C$20, TRUE, False), 'Points-Table'!A$20,
        ISBETWEEN(AA13, 'Points-Table'!C$20, 'Points-Table'!C$21, TRUE, False), 'Points-Table'!A$21,
        ISBETWEEN(AA13, 'Points-Table'!C$22, 10000, TRUE, TRUE), 'Points-Table'!A$22,
        true, 
        0)
      </f>
      </c>
      <c r="AC13" s="6" t="s">
        <v>56</v>
      </c>
      <c r="AD13" s="6" t="s">
        <v>56</v>
      </c>
      <c r="AE13" s="6" t="s">
        <v>56</v>
      </c>
    </row>
    <row r="14" spans="1:31" s="6" customFormat="1" x14ac:dyDescent="0.25">
      <c r="A14" s="6" t="s">
        <v>189</v>
      </c>
      <c r="B14" s="6" t="s">
        <v>202</v>
      </c>
      <c r="D14" s="6"/>
      <c r="E14" s="6"/>
      <c r="F14" s="6" t="s">
        <v>203</v>
      </c>
      <c r="G14" s="6"/>
      <c r="H14" s="6"/>
      <c r="I14" s="6"/>
      <c r="J14" s="6"/>
      <c r="K14" s="6" t="s">
        <v>84</v>
      </c>
      <c r="L14" s="6" t="s">
        <v>85</v>
      </c>
      <c r="M14" s="6"/>
      <c r="N14" s="6"/>
      <c r="O14" s="6"/>
      <c r="P14" s="6"/>
      <c r="Q14" s="11"/>
      <c r="R14" s="12">
        <f>
              Ifs(
                (Q14 = 'Points-Table'!$A$4), 'Points-Table'!$C$4,
                (Q14 = 'Points-Table'!$A$5), 'Points-Table'!$C$5,
                (Q14 = 'Points-Table'!$A$6), 'Points-Table'!$C$6,
                (Q14 = 'Points-Table'!$A$7), 'Points-Table'!$C$7,
                (Q14 = 'Points-Table'!$A$8), 'Points-Table'!$C$8,
                (Q14 = 'Points-Table'!$A$9), 'Points-Table'!$C$9,
                (Q14 = 'Points-Table'!$A$10), 'Points-Table'!$C$10,
                (Q14 = 'Points-Table'!$A$11), 'Points-Table'!$C$11,
                (Q14 = 'Points-Table'!$A$12), 'Points-Table'!$C$12,
                (Q14 = 'Points-Table'!$A$13), 'Points-Table'!$C$13,
                true, 0
              )
            </f>
      </c>
      <c r="S14" s="11"/>
      <c r="T14" s="12">
        <f>
              Ifs(
                (S14 = 'Points-Table'!$A$4), 'Points-Table'!$C$4,
                (S14 = 'Points-Table'!$A$5), 'Points-Table'!$C$5,
                (S14 = 'Points-Table'!$A$6), 'Points-Table'!$C$6,
                (S14 = 'Points-Table'!$A$7), 'Points-Table'!$C$7,
                (S14 = 'Points-Table'!$A$8), 'Points-Table'!$C$8,
                (S14 = 'Points-Table'!$A$9), 'Points-Table'!$C$9,
                (S14 = 'Points-Table'!$A$10), 'Points-Table'!$C$10,
                (S14 = 'Points-Table'!$A$11), 'Points-Table'!$C$11,
                (S14 = 'Points-Table'!$A$12), 'Points-Table'!$C$12,
                (S14 = 'Points-Table'!$A$13), 'Points-Table'!$C$13,
                true, 0
              )
            </f>
      </c>
      <c r="U14" s="11">
        <v>5</v>
      </c>
      <c r="V14" s="12">
        <f>
              Ifs(
                (U14 = 'Points-Table'!$A$4), 'Points-Table'!$C$4,
                (U14 = 'Points-Table'!$A$5), 'Points-Table'!$C$5,
                (U14 = 'Points-Table'!$A$6), 'Points-Table'!$C$6,
                (U14 = 'Points-Table'!$A$7), 'Points-Table'!$C$7,
                (U14 = 'Points-Table'!$A$8), 'Points-Table'!$C$8,
                (U14 = 'Points-Table'!$A$9), 'Points-Table'!$C$9,
                (U14 = 'Points-Table'!$A$10), 'Points-Table'!$C$10,
                (U14 = 'Points-Table'!$A$11), 'Points-Table'!$C$11,
                (U14 = 'Points-Table'!$A$12), 'Points-Table'!$C$12,
                (U14 = 'Points-Table'!$A$13), 'Points-Table'!$C$13,
                true, 0
              )
            </f>
      </c>
      <c r="W14" s="11">
        <v>3</v>
      </c>
      <c r="X14" s="12">
        <f>
              Ifs(
                (W14 = 'Points-Table'!$A$4), 'Points-Table'!$C$4,
                (W14 = 'Points-Table'!$A$5), 'Points-Table'!$C$5,
                (W14 = 'Points-Table'!$A$6), 'Points-Table'!$C$6,
                (W14 = 'Points-Table'!$A$7), 'Points-Table'!$C$7,
                (W14 = 'Points-Table'!$A$8), 'Points-Table'!$C$8,
                (W14 = 'Points-Table'!$A$9), 'Points-Table'!$C$9,
                (W14 = 'Points-Table'!$A$10), 'Points-Table'!$C$10,
                (W14 = 'Points-Table'!$A$11), 'Points-Table'!$C$11,
                (W14 = 'Points-Table'!$A$12), 'Points-Table'!$C$12,
                (W14 = 'Points-Table'!$A$13), 'Points-Table'!$C$13,
                true, 0
              )
            </f>
      </c>
      <c r="Y14" s="11">
        <v>5</v>
      </c>
      <c r="Z14" s="12">
        <f>
              Ifs(
                (Y14 = 'Points-Table'!$A$4), 'Points-Table'!$C$4,
                (Y14 = 'Points-Table'!$A$5), 'Points-Table'!$C$5,
                (Y14 = 'Points-Table'!$A$6), 'Points-Table'!$C$6,
                (Y14 = 'Points-Table'!$A$7), 'Points-Table'!$C$7,
                (Y14 = 'Points-Table'!$A$8), 'Points-Table'!$C$8,
                (Y14 = 'Points-Table'!$A$9), 'Points-Table'!$C$9,
                (Y14 = 'Points-Table'!$A$10), 'Points-Table'!$C$10,
                (Y14 = 'Points-Table'!$A$11), 'Points-Table'!$C$11,
                (Y14 = 'Points-Table'!$A$12), 'Points-Table'!$C$12,
                (Y14 = 'Points-Table'!$A$13), 'Points-Table'!$C$13,
                true, 0
              )
            </f>
      </c>
      <c r="AA14" s="6">
        <f>SUM(V14,X14,Z14)</f>
      </c>
      <c r="AB14" s="6">
        <f>
      Ifs( 
        ISBETWEEN(AA14, 0, 'Points-Table'!C$20, TRUE, False), 'Points-Table'!A$20,
        ISBETWEEN(AA14, 'Points-Table'!C$20, 'Points-Table'!C$21, TRUE, False), 'Points-Table'!A$21,
        ISBETWEEN(AA14, 'Points-Table'!C$22, 10000, TRUE, TRUE), 'Points-Table'!A$22,
        true, 
        0)
      </f>
      </c>
      <c r="AC14" s="6" t="s">
        <v>56</v>
      </c>
      <c r="AD14" s="6" t="s">
        <v>56</v>
      </c>
      <c r="AE14" s="6" t="s">
        <v>56</v>
      </c>
    </row>
    <row r="15" spans="1:31" s="6" customFormat="1" x14ac:dyDescent="0.25">
      <c r="A15" s="6" t="s">
        <v>189</v>
      </c>
      <c r="B15" s="6" t="s">
        <v>204</v>
      </c>
      <c r="C15" s="6" t="s">
        <v>205</v>
      </c>
      <c r="D15" s="6"/>
      <c r="E15" s="6"/>
      <c r="F15" s="6"/>
      <c r="G15" s="6"/>
      <c r="H15" s="6"/>
      <c r="I15" s="6"/>
      <c r="J15" s="6"/>
      <c r="K15" s="6" t="s">
        <v>84</v>
      </c>
      <c r="L15" s="6" t="s">
        <v>85</v>
      </c>
      <c r="M15" s="6"/>
      <c r="N15" s="6"/>
      <c r="O15" s="6"/>
      <c r="P15" s="6"/>
      <c r="Q15" s="11"/>
      <c r="R15" s="12">
        <f>
              Ifs(
                (Q15 = 'Points-Table'!$A$4), 'Points-Table'!$C$4,
                (Q15 = 'Points-Table'!$A$5), 'Points-Table'!$C$5,
                (Q15 = 'Points-Table'!$A$6), 'Points-Table'!$C$6,
                (Q15 = 'Points-Table'!$A$7), 'Points-Table'!$C$7,
                (Q15 = 'Points-Table'!$A$8), 'Points-Table'!$C$8,
                (Q15 = 'Points-Table'!$A$9), 'Points-Table'!$C$9,
                (Q15 = 'Points-Table'!$A$10), 'Points-Table'!$C$10,
                (Q15 = 'Points-Table'!$A$11), 'Points-Table'!$C$11,
                (Q15 = 'Points-Table'!$A$12), 'Points-Table'!$C$12,
                (Q15 = 'Points-Table'!$A$13), 'Points-Table'!$C$13,
                true, 0
              )
            </f>
      </c>
      <c r="S15" s="11"/>
      <c r="T15" s="12">
        <f>
              Ifs(
                (S15 = 'Points-Table'!$A$4), 'Points-Table'!$C$4,
                (S15 = 'Points-Table'!$A$5), 'Points-Table'!$C$5,
                (S15 = 'Points-Table'!$A$6), 'Points-Table'!$C$6,
                (S15 = 'Points-Table'!$A$7), 'Points-Table'!$C$7,
                (S15 = 'Points-Table'!$A$8), 'Points-Table'!$C$8,
                (S15 = 'Points-Table'!$A$9), 'Points-Table'!$C$9,
                (S15 = 'Points-Table'!$A$10), 'Points-Table'!$C$10,
                (S15 = 'Points-Table'!$A$11), 'Points-Table'!$C$11,
                (S15 = 'Points-Table'!$A$12), 'Points-Table'!$C$12,
                (S15 = 'Points-Table'!$A$13), 'Points-Table'!$C$13,
                true, 0
              )
            </f>
      </c>
      <c r="U15" s="11">
        <v>2</v>
      </c>
      <c r="V15" s="12">
        <f>
              Ifs(
                (U15 = 'Points-Table'!$A$4), 'Points-Table'!$C$4,
                (U15 = 'Points-Table'!$A$5), 'Points-Table'!$C$5,
                (U15 = 'Points-Table'!$A$6), 'Points-Table'!$C$6,
                (U15 = 'Points-Table'!$A$7), 'Points-Table'!$C$7,
                (U15 = 'Points-Table'!$A$8), 'Points-Table'!$C$8,
                (U15 = 'Points-Table'!$A$9), 'Points-Table'!$C$9,
                (U15 = 'Points-Table'!$A$10), 'Points-Table'!$C$10,
                (U15 = 'Points-Table'!$A$11), 'Points-Table'!$C$11,
                (U15 = 'Points-Table'!$A$12), 'Points-Table'!$C$12,
                (U15 = 'Points-Table'!$A$13), 'Points-Table'!$C$13,
                true, 0
              )
            </f>
      </c>
      <c r="W15" s="11">
        <v>0</v>
      </c>
      <c r="X15" s="12">
        <f>
              Ifs(
                (W15 = 'Points-Table'!$A$4), 'Points-Table'!$C$4,
                (W15 = 'Points-Table'!$A$5), 'Points-Table'!$C$5,
                (W15 = 'Points-Table'!$A$6), 'Points-Table'!$C$6,
                (W15 = 'Points-Table'!$A$7), 'Points-Table'!$C$7,
                (W15 = 'Points-Table'!$A$8), 'Points-Table'!$C$8,
                (W15 = 'Points-Table'!$A$9), 'Points-Table'!$C$9,
                (W15 = 'Points-Table'!$A$10), 'Points-Table'!$C$10,
                (W15 = 'Points-Table'!$A$11), 'Points-Table'!$C$11,
                (W15 = 'Points-Table'!$A$12), 'Points-Table'!$C$12,
                (W15 = 'Points-Table'!$A$13), 'Points-Table'!$C$13,
                true, 0
              )
            </f>
      </c>
      <c r="Y15" s="11">
        <v>2</v>
      </c>
      <c r="Z15" s="12">
        <f>
              Ifs(
                (Y15 = 'Points-Table'!$A$4), 'Points-Table'!$C$4,
                (Y15 = 'Points-Table'!$A$5), 'Points-Table'!$C$5,
                (Y15 = 'Points-Table'!$A$6), 'Points-Table'!$C$6,
                (Y15 = 'Points-Table'!$A$7), 'Points-Table'!$C$7,
                (Y15 = 'Points-Table'!$A$8), 'Points-Table'!$C$8,
                (Y15 = 'Points-Table'!$A$9), 'Points-Table'!$C$9,
                (Y15 = 'Points-Table'!$A$10), 'Points-Table'!$C$10,
                (Y15 = 'Points-Table'!$A$11), 'Points-Table'!$C$11,
                (Y15 = 'Points-Table'!$A$12), 'Points-Table'!$C$12,
                (Y15 = 'Points-Table'!$A$13), 'Points-Table'!$C$13,
                true, 0
              )
            </f>
      </c>
      <c r="AA15" s="6">
        <f>SUM(V15,X15,Z15)</f>
      </c>
      <c r="AB15" s="6">
        <f>
      Ifs( 
        ISBETWEEN(AA15, 0, 'Points-Table'!C$20, TRUE, False), 'Points-Table'!A$20,
        ISBETWEEN(AA15, 'Points-Table'!C$20, 'Points-Table'!C$21, TRUE, False), 'Points-Table'!A$21,
        ISBETWEEN(AA15, 'Points-Table'!C$22, 10000, TRUE, TRUE), 'Points-Table'!A$22,
        true, 
        0)
      </f>
      </c>
      <c r="AC15" s="6" t="s">
        <v>56</v>
      </c>
      <c r="AD15" s="6" t="s">
        <v>56</v>
      </c>
      <c r="AE15" s="6" t="s">
        <v>56</v>
      </c>
    </row>
    <row r="16" spans="1:31" s="6" customFormat="1" x14ac:dyDescent="0.25">
      <c r="A16" s="6" t="s">
        <v>189</v>
      </c>
      <c r="B16" s="6" t="s">
        <v>204</v>
      </c>
      <c r="C16" s="6" t="s">
        <v>206</v>
      </c>
      <c r="D16" s="6"/>
      <c r="E16" s="6"/>
      <c r="F16" s="6"/>
      <c r="G16" s="6"/>
      <c r="H16" s="6"/>
      <c r="I16" s="6"/>
      <c r="J16" s="6"/>
      <c r="K16" s="6" t="s">
        <v>84</v>
      </c>
      <c r="L16" s="6" t="s">
        <v>85</v>
      </c>
      <c r="M16" s="6"/>
      <c r="N16" s="6"/>
      <c r="O16" s="6"/>
      <c r="P16" s="6"/>
      <c r="Q16" s="11"/>
      <c r="R16" s="12">
        <f>
              Ifs(
                (Q16 = 'Points-Table'!$A$4), 'Points-Table'!$C$4,
                (Q16 = 'Points-Table'!$A$5), 'Points-Table'!$C$5,
                (Q16 = 'Points-Table'!$A$6), 'Points-Table'!$C$6,
                (Q16 = 'Points-Table'!$A$7), 'Points-Table'!$C$7,
                (Q16 = 'Points-Table'!$A$8), 'Points-Table'!$C$8,
                (Q16 = 'Points-Table'!$A$9), 'Points-Table'!$C$9,
                (Q16 = 'Points-Table'!$A$10), 'Points-Table'!$C$10,
                (Q16 = 'Points-Table'!$A$11), 'Points-Table'!$C$11,
                (Q16 = 'Points-Table'!$A$12), 'Points-Table'!$C$12,
                (Q16 = 'Points-Table'!$A$13), 'Points-Table'!$C$13,
                true, 0
              )
            </f>
      </c>
      <c r="S16" s="11"/>
      <c r="T16" s="12">
        <f>
              Ifs(
                (S16 = 'Points-Table'!$A$4), 'Points-Table'!$C$4,
                (S16 = 'Points-Table'!$A$5), 'Points-Table'!$C$5,
                (S16 = 'Points-Table'!$A$6), 'Points-Table'!$C$6,
                (S16 = 'Points-Table'!$A$7), 'Points-Table'!$C$7,
                (S16 = 'Points-Table'!$A$8), 'Points-Table'!$C$8,
                (S16 = 'Points-Table'!$A$9), 'Points-Table'!$C$9,
                (S16 = 'Points-Table'!$A$10), 'Points-Table'!$C$10,
                (S16 = 'Points-Table'!$A$11), 'Points-Table'!$C$11,
                (S16 = 'Points-Table'!$A$12), 'Points-Table'!$C$12,
                (S16 = 'Points-Table'!$A$13), 'Points-Table'!$C$13,
                true, 0
              )
            </f>
      </c>
      <c r="U16" s="11">
        <v>0</v>
      </c>
      <c r="V16" s="12">
        <f>
              Ifs(
                (U16 = 'Points-Table'!$A$4), 'Points-Table'!$C$4,
                (U16 = 'Points-Table'!$A$5), 'Points-Table'!$C$5,
                (U16 = 'Points-Table'!$A$6), 'Points-Table'!$C$6,
                (U16 = 'Points-Table'!$A$7), 'Points-Table'!$C$7,
                (U16 = 'Points-Table'!$A$8), 'Points-Table'!$C$8,
                (U16 = 'Points-Table'!$A$9), 'Points-Table'!$C$9,
                (U16 = 'Points-Table'!$A$10), 'Points-Table'!$C$10,
                (U16 = 'Points-Table'!$A$11), 'Points-Table'!$C$11,
                (U16 = 'Points-Table'!$A$12), 'Points-Table'!$C$12,
                (U16 = 'Points-Table'!$A$13), 'Points-Table'!$C$13,
                true, 0
              )
            </f>
      </c>
      <c r="W16" s="11">
        <v>0</v>
      </c>
      <c r="X16" s="12">
        <f>
              Ifs(
                (W16 = 'Points-Table'!$A$4), 'Points-Table'!$C$4,
                (W16 = 'Points-Table'!$A$5), 'Points-Table'!$C$5,
                (W16 = 'Points-Table'!$A$6), 'Points-Table'!$C$6,
                (W16 = 'Points-Table'!$A$7), 'Points-Table'!$C$7,
                (W16 = 'Points-Table'!$A$8), 'Points-Table'!$C$8,
                (W16 = 'Points-Table'!$A$9), 'Points-Table'!$C$9,
                (W16 = 'Points-Table'!$A$10), 'Points-Table'!$C$10,
                (W16 = 'Points-Table'!$A$11), 'Points-Table'!$C$11,
                (W16 = 'Points-Table'!$A$12), 'Points-Table'!$C$12,
                (W16 = 'Points-Table'!$A$13), 'Points-Table'!$C$13,
                true, 0
              )
            </f>
      </c>
      <c r="Y16" s="11">
        <v>2</v>
      </c>
      <c r="Z16" s="12">
        <f>
              Ifs(
                (Y16 = 'Points-Table'!$A$4), 'Points-Table'!$C$4,
                (Y16 = 'Points-Table'!$A$5), 'Points-Table'!$C$5,
                (Y16 = 'Points-Table'!$A$6), 'Points-Table'!$C$6,
                (Y16 = 'Points-Table'!$A$7), 'Points-Table'!$C$7,
                (Y16 = 'Points-Table'!$A$8), 'Points-Table'!$C$8,
                (Y16 = 'Points-Table'!$A$9), 'Points-Table'!$C$9,
                (Y16 = 'Points-Table'!$A$10), 'Points-Table'!$C$10,
                (Y16 = 'Points-Table'!$A$11), 'Points-Table'!$C$11,
                (Y16 = 'Points-Table'!$A$12), 'Points-Table'!$C$12,
                (Y16 = 'Points-Table'!$A$13), 'Points-Table'!$C$13,
                true, 0
              )
            </f>
      </c>
      <c r="AA16" s="6">
        <f>SUM(V16,X16,Z16)</f>
      </c>
      <c r="AB16" s="6">
        <f>
      Ifs( 
        ISBETWEEN(AA16, 0, 'Points-Table'!C$20, TRUE, False), 'Points-Table'!A$20,
        ISBETWEEN(AA16, 'Points-Table'!C$20, 'Points-Table'!C$21, TRUE, False), 'Points-Table'!A$21,
        ISBETWEEN(AA16, 'Points-Table'!C$22, 10000, TRUE, TRUE), 'Points-Table'!A$22,
        true, 
        0)
      </f>
      </c>
      <c r="AC16" s="6" t="s">
        <v>56</v>
      </c>
      <c r="AD16" s="6" t="s">
        <v>56</v>
      </c>
      <c r="AE16" s="6" t="s">
        <v>56</v>
      </c>
    </row>
    <row r="17" spans="1:31" s="6" customFormat="1" x14ac:dyDescent="0.25">
      <c r="A17" s="6" t="s">
        <v>189</v>
      </c>
      <c r="B17" s="6" t="s">
        <v>204</v>
      </c>
      <c r="C17" s="6" t="s">
        <v>207</v>
      </c>
      <c r="D17" s="6"/>
      <c r="E17" s="6"/>
      <c r="F17" s="6"/>
      <c r="G17" s="6"/>
      <c r="H17" s="6"/>
      <c r="I17" s="6"/>
      <c r="J17" s="6"/>
      <c r="K17" s="6" t="s">
        <v>84</v>
      </c>
      <c r="L17" s="6" t="s">
        <v>85</v>
      </c>
      <c r="M17" s="6"/>
      <c r="N17" s="6"/>
      <c r="O17" s="6"/>
      <c r="P17" s="6"/>
      <c r="Q17" s="11"/>
      <c r="R17" s="12">
        <f>
              Ifs(
                (Q17 = 'Points-Table'!$A$4), 'Points-Table'!$C$4,
                (Q17 = 'Points-Table'!$A$5), 'Points-Table'!$C$5,
                (Q17 = 'Points-Table'!$A$6), 'Points-Table'!$C$6,
                (Q17 = 'Points-Table'!$A$7), 'Points-Table'!$C$7,
                (Q17 = 'Points-Table'!$A$8), 'Points-Table'!$C$8,
                (Q17 = 'Points-Table'!$A$9), 'Points-Table'!$C$9,
                (Q17 = 'Points-Table'!$A$10), 'Points-Table'!$C$10,
                (Q17 = 'Points-Table'!$A$11), 'Points-Table'!$C$11,
                (Q17 = 'Points-Table'!$A$12), 'Points-Table'!$C$12,
                (Q17 = 'Points-Table'!$A$13), 'Points-Table'!$C$13,
                true, 0
              )
            </f>
      </c>
      <c r="S17" s="11"/>
      <c r="T17" s="12">
        <f>
              Ifs(
                (S17 = 'Points-Table'!$A$4), 'Points-Table'!$C$4,
                (S17 = 'Points-Table'!$A$5), 'Points-Table'!$C$5,
                (S17 = 'Points-Table'!$A$6), 'Points-Table'!$C$6,
                (S17 = 'Points-Table'!$A$7), 'Points-Table'!$C$7,
                (S17 = 'Points-Table'!$A$8), 'Points-Table'!$C$8,
                (S17 = 'Points-Table'!$A$9), 'Points-Table'!$C$9,
                (S17 = 'Points-Table'!$A$10), 'Points-Table'!$C$10,
                (S17 = 'Points-Table'!$A$11), 'Points-Table'!$C$11,
                (S17 = 'Points-Table'!$A$12), 'Points-Table'!$C$12,
                (S17 = 'Points-Table'!$A$13), 'Points-Table'!$C$13,
                true, 0
              )
            </f>
      </c>
      <c r="U17" s="11">
        <v>0</v>
      </c>
      <c r="V17" s="12">
        <f>
              Ifs(
                (U17 = 'Points-Table'!$A$4), 'Points-Table'!$C$4,
                (U17 = 'Points-Table'!$A$5), 'Points-Table'!$C$5,
                (U17 = 'Points-Table'!$A$6), 'Points-Table'!$C$6,
                (U17 = 'Points-Table'!$A$7), 'Points-Table'!$C$7,
                (U17 = 'Points-Table'!$A$8), 'Points-Table'!$C$8,
                (U17 = 'Points-Table'!$A$9), 'Points-Table'!$C$9,
                (U17 = 'Points-Table'!$A$10), 'Points-Table'!$C$10,
                (U17 = 'Points-Table'!$A$11), 'Points-Table'!$C$11,
                (U17 = 'Points-Table'!$A$12), 'Points-Table'!$C$12,
                (U17 = 'Points-Table'!$A$13), 'Points-Table'!$C$13,
                true, 0
              )
            </f>
      </c>
      <c r="W17" s="11">
        <v>0</v>
      </c>
      <c r="X17" s="12">
        <f>
              Ifs(
                (W17 = 'Points-Table'!$A$4), 'Points-Table'!$C$4,
                (W17 = 'Points-Table'!$A$5), 'Points-Table'!$C$5,
                (W17 = 'Points-Table'!$A$6), 'Points-Table'!$C$6,
                (W17 = 'Points-Table'!$A$7), 'Points-Table'!$C$7,
                (W17 = 'Points-Table'!$A$8), 'Points-Table'!$C$8,
                (W17 = 'Points-Table'!$A$9), 'Points-Table'!$C$9,
                (W17 = 'Points-Table'!$A$10), 'Points-Table'!$C$10,
                (W17 = 'Points-Table'!$A$11), 'Points-Table'!$C$11,
                (W17 = 'Points-Table'!$A$12), 'Points-Table'!$C$12,
                (W17 = 'Points-Table'!$A$13), 'Points-Table'!$C$13,
                true, 0
              )
            </f>
      </c>
      <c r="Y17" s="11">
        <v>1</v>
      </c>
      <c r="Z17" s="12">
        <f>
              Ifs(
                (Y17 = 'Points-Table'!$A$4), 'Points-Table'!$C$4,
                (Y17 = 'Points-Table'!$A$5), 'Points-Table'!$C$5,
                (Y17 = 'Points-Table'!$A$6), 'Points-Table'!$C$6,
                (Y17 = 'Points-Table'!$A$7), 'Points-Table'!$C$7,
                (Y17 = 'Points-Table'!$A$8), 'Points-Table'!$C$8,
                (Y17 = 'Points-Table'!$A$9), 'Points-Table'!$C$9,
                (Y17 = 'Points-Table'!$A$10), 'Points-Table'!$C$10,
                (Y17 = 'Points-Table'!$A$11), 'Points-Table'!$C$11,
                (Y17 = 'Points-Table'!$A$12), 'Points-Table'!$C$12,
                (Y17 = 'Points-Table'!$A$13), 'Points-Table'!$C$13,
                true, 0
              )
            </f>
      </c>
      <c r="AA17" s="6">
        <f>SUM(V17,X17,Z17)</f>
      </c>
      <c r="AB17" s="6">
        <f>
      Ifs( 
        ISBETWEEN(AA17, 0, 'Points-Table'!C$20, TRUE, False), 'Points-Table'!A$20,
        ISBETWEEN(AA17, 'Points-Table'!C$20, 'Points-Table'!C$21, TRUE, False), 'Points-Table'!A$21,
        ISBETWEEN(AA17, 'Points-Table'!C$22, 10000, TRUE, TRUE), 'Points-Table'!A$22,
        true, 
        0)
      </f>
      </c>
      <c r="AC17" s="6" t="s">
        <v>56</v>
      </c>
      <c r="AD17" s="6" t="s">
        <v>56</v>
      </c>
      <c r="AE17" s="6" t="s">
        <v>56</v>
      </c>
    </row>
    <row r="18" spans="1:31" s="6" customFormat="1" x14ac:dyDescent="0.25">
      <c r="A18" s="6" t="s">
        <v>189</v>
      </c>
      <c r="B18" s="6" t="s">
        <v>204</v>
      </c>
      <c r="C18" s="6" t="s">
        <v>208</v>
      </c>
      <c r="D18" s="6"/>
      <c r="E18" s="6"/>
      <c r="F18" s="6"/>
      <c r="G18" s="6"/>
      <c r="H18" s="6"/>
      <c r="I18" s="6"/>
      <c r="J18" s="6"/>
      <c r="K18" s="6" t="s">
        <v>84</v>
      </c>
      <c r="L18" s="6" t="s">
        <v>85</v>
      </c>
      <c r="M18" s="6"/>
      <c r="N18" s="6"/>
      <c r="O18" s="6"/>
      <c r="P18" s="6"/>
      <c r="Q18" s="11"/>
      <c r="R18" s="12">
        <f>
              Ifs(
                (Q18 = 'Points-Table'!$A$4), 'Points-Table'!$C$4,
                (Q18 = 'Points-Table'!$A$5), 'Points-Table'!$C$5,
                (Q18 = 'Points-Table'!$A$6), 'Points-Table'!$C$6,
                (Q18 = 'Points-Table'!$A$7), 'Points-Table'!$C$7,
                (Q18 = 'Points-Table'!$A$8), 'Points-Table'!$C$8,
                (Q18 = 'Points-Table'!$A$9), 'Points-Table'!$C$9,
                (Q18 = 'Points-Table'!$A$10), 'Points-Table'!$C$10,
                (Q18 = 'Points-Table'!$A$11), 'Points-Table'!$C$11,
                (Q18 = 'Points-Table'!$A$12), 'Points-Table'!$C$12,
                (Q18 = 'Points-Table'!$A$13), 'Points-Table'!$C$13,
                true, 0
              )
            </f>
      </c>
      <c r="S18" s="11"/>
      <c r="T18" s="12">
        <f>
              Ifs(
                (S18 = 'Points-Table'!$A$4), 'Points-Table'!$C$4,
                (S18 = 'Points-Table'!$A$5), 'Points-Table'!$C$5,
                (S18 = 'Points-Table'!$A$6), 'Points-Table'!$C$6,
                (S18 = 'Points-Table'!$A$7), 'Points-Table'!$C$7,
                (S18 = 'Points-Table'!$A$8), 'Points-Table'!$C$8,
                (S18 = 'Points-Table'!$A$9), 'Points-Table'!$C$9,
                (S18 = 'Points-Table'!$A$10), 'Points-Table'!$C$10,
                (S18 = 'Points-Table'!$A$11), 'Points-Table'!$C$11,
                (S18 = 'Points-Table'!$A$12), 'Points-Table'!$C$12,
                (S18 = 'Points-Table'!$A$13), 'Points-Table'!$C$13,
                true, 0
              )
            </f>
      </c>
      <c r="U18" s="11">
        <v>0</v>
      </c>
      <c r="V18" s="12">
        <f>
              Ifs(
                (U18 = 'Points-Table'!$A$4), 'Points-Table'!$C$4,
                (U18 = 'Points-Table'!$A$5), 'Points-Table'!$C$5,
                (U18 = 'Points-Table'!$A$6), 'Points-Table'!$C$6,
                (U18 = 'Points-Table'!$A$7), 'Points-Table'!$C$7,
                (U18 = 'Points-Table'!$A$8), 'Points-Table'!$C$8,
                (U18 = 'Points-Table'!$A$9), 'Points-Table'!$C$9,
                (U18 = 'Points-Table'!$A$10), 'Points-Table'!$C$10,
                (U18 = 'Points-Table'!$A$11), 'Points-Table'!$C$11,
                (U18 = 'Points-Table'!$A$12), 'Points-Table'!$C$12,
                (U18 = 'Points-Table'!$A$13), 'Points-Table'!$C$13,
                true, 0
              )
            </f>
      </c>
      <c r="W18" s="11">
        <v>0</v>
      </c>
      <c r="X18" s="12">
        <f>
              Ifs(
                (W18 = 'Points-Table'!$A$4), 'Points-Table'!$C$4,
                (W18 = 'Points-Table'!$A$5), 'Points-Table'!$C$5,
                (W18 = 'Points-Table'!$A$6), 'Points-Table'!$C$6,
                (W18 = 'Points-Table'!$A$7), 'Points-Table'!$C$7,
                (W18 = 'Points-Table'!$A$8), 'Points-Table'!$C$8,
                (W18 = 'Points-Table'!$A$9), 'Points-Table'!$C$9,
                (W18 = 'Points-Table'!$A$10), 'Points-Table'!$C$10,
                (W18 = 'Points-Table'!$A$11), 'Points-Table'!$C$11,
                (W18 = 'Points-Table'!$A$12), 'Points-Table'!$C$12,
                (W18 = 'Points-Table'!$A$13), 'Points-Table'!$C$13,
                true, 0
              )
            </f>
      </c>
      <c r="Y18" s="11">
        <v>1</v>
      </c>
      <c r="Z18" s="12">
        <f>
              Ifs(
                (Y18 = 'Points-Table'!$A$4), 'Points-Table'!$C$4,
                (Y18 = 'Points-Table'!$A$5), 'Points-Table'!$C$5,
                (Y18 = 'Points-Table'!$A$6), 'Points-Table'!$C$6,
                (Y18 = 'Points-Table'!$A$7), 'Points-Table'!$C$7,
                (Y18 = 'Points-Table'!$A$8), 'Points-Table'!$C$8,
                (Y18 = 'Points-Table'!$A$9), 'Points-Table'!$C$9,
                (Y18 = 'Points-Table'!$A$10), 'Points-Table'!$C$10,
                (Y18 = 'Points-Table'!$A$11), 'Points-Table'!$C$11,
                (Y18 = 'Points-Table'!$A$12), 'Points-Table'!$C$12,
                (Y18 = 'Points-Table'!$A$13), 'Points-Table'!$C$13,
                true, 0
              )
            </f>
      </c>
      <c r="AA18" s="6">
        <f>SUM(V18,X18,Z18)</f>
      </c>
      <c r="AB18" s="6">
        <f>
      Ifs( 
        ISBETWEEN(AA18, 0, 'Points-Table'!C$20, TRUE, False), 'Points-Table'!A$20,
        ISBETWEEN(AA18, 'Points-Table'!C$20, 'Points-Table'!C$21, TRUE, False), 'Points-Table'!A$21,
        ISBETWEEN(AA18, 'Points-Table'!C$22, 10000, TRUE, TRUE), 'Points-Table'!A$22,
        true, 
        0)
      </f>
      </c>
      <c r="AC18" s="6" t="s">
        <v>56</v>
      </c>
      <c r="AD18" s="6" t="s">
        <v>56</v>
      </c>
      <c r="AE18" s="6" t="s">
        <v>56</v>
      </c>
    </row>
    <row r="19" spans="1:31" s="6" customFormat="1" x14ac:dyDescent="0.25">
      <c r="A19" s="6" t="s">
        <v>189</v>
      </c>
      <c r="B19" s="6" t="s">
        <v>204</v>
      </c>
      <c r="C19" s="6" t="s">
        <v>209</v>
      </c>
      <c r="D19" s="6"/>
      <c r="E19" s="6"/>
      <c r="F19" s="6" t="s">
        <v>210</v>
      </c>
      <c r="G19" s="6"/>
      <c r="H19" s="6"/>
      <c r="I19" s="6"/>
      <c r="J19" s="6"/>
      <c r="K19" s="6" t="s">
        <v>84</v>
      </c>
      <c r="L19" s="6" t="s">
        <v>85</v>
      </c>
      <c r="M19" s="6"/>
      <c r="N19" s="6"/>
      <c r="O19" s="6"/>
      <c r="P19" s="6"/>
      <c r="Q19" s="11"/>
      <c r="R19" s="12">
        <f>
              Ifs(
                (Q19 = 'Points-Table'!$A$4), 'Points-Table'!$C$4,
                (Q19 = 'Points-Table'!$A$5), 'Points-Table'!$C$5,
                (Q19 = 'Points-Table'!$A$6), 'Points-Table'!$C$6,
                (Q19 = 'Points-Table'!$A$7), 'Points-Table'!$C$7,
                (Q19 = 'Points-Table'!$A$8), 'Points-Table'!$C$8,
                (Q19 = 'Points-Table'!$A$9), 'Points-Table'!$C$9,
                (Q19 = 'Points-Table'!$A$10), 'Points-Table'!$C$10,
                (Q19 = 'Points-Table'!$A$11), 'Points-Table'!$C$11,
                (Q19 = 'Points-Table'!$A$12), 'Points-Table'!$C$12,
                (Q19 = 'Points-Table'!$A$13), 'Points-Table'!$C$13,
                true, 0
              )
            </f>
      </c>
      <c r="S19" s="11"/>
      <c r="T19" s="12">
        <f>
              Ifs(
                (S19 = 'Points-Table'!$A$4), 'Points-Table'!$C$4,
                (S19 = 'Points-Table'!$A$5), 'Points-Table'!$C$5,
                (S19 = 'Points-Table'!$A$6), 'Points-Table'!$C$6,
                (S19 = 'Points-Table'!$A$7), 'Points-Table'!$C$7,
                (S19 = 'Points-Table'!$A$8), 'Points-Table'!$C$8,
                (S19 = 'Points-Table'!$A$9), 'Points-Table'!$C$9,
                (S19 = 'Points-Table'!$A$10), 'Points-Table'!$C$10,
                (S19 = 'Points-Table'!$A$11), 'Points-Table'!$C$11,
                (S19 = 'Points-Table'!$A$12), 'Points-Table'!$C$12,
                (S19 = 'Points-Table'!$A$13), 'Points-Table'!$C$13,
                true, 0
              )
            </f>
      </c>
      <c r="U19" s="11">
        <v>5</v>
      </c>
      <c r="V19" s="12">
        <f>
              Ifs(
                (U19 = 'Points-Table'!$A$4), 'Points-Table'!$C$4,
                (U19 = 'Points-Table'!$A$5), 'Points-Table'!$C$5,
                (U19 = 'Points-Table'!$A$6), 'Points-Table'!$C$6,
                (U19 = 'Points-Table'!$A$7), 'Points-Table'!$C$7,
                (U19 = 'Points-Table'!$A$8), 'Points-Table'!$C$8,
                (U19 = 'Points-Table'!$A$9), 'Points-Table'!$C$9,
                (U19 = 'Points-Table'!$A$10), 'Points-Table'!$C$10,
                (U19 = 'Points-Table'!$A$11), 'Points-Table'!$C$11,
                (U19 = 'Points-Table'!$A$12), 'Points-Table'!$C$12,
                (U19 = 'Points-Table'!$A$13), 'Points-Table'!$C$13,
                true, 0
              )
            </f>
      </c>
      <c r="W19" s="11">
        <v>3</v>
      </c>
      <c r="X19" s="12">
        <f>
              Ifs(
                (W19 = 'Points-Table'!$A$4), 'Points-Table'!$C$4,
                (W19 = 'Points-Table'!$A$5), 'Points-Table'!$C$5,
                (W19 = 'Points-Table'!$A$6), 'Points-Table'!$C$6,
                (W19 = 'Points-Table'!$A$7), 'Points-Table'!$C$7,
                (W19 = 'Points-Table'!$A$8), 'Points-Table'!$C$8,
                (W19 = 'Points-Table'!$A$9), 'Points-Table'!$C$9,
                (W19 = 'Points-Table'!$A$10), 'Points-Table'!$C$10,
                (W19 = 'Points-Table'!$A$11), 'Points-Table'!$C$11,
                (W19 = 'Points-Table'!$A$12), 'Points-Table'!$C$12,
                (W19 = 'Points-Table'!$A$13), 'Points-Table'!$C$13,
                true, 0
              )
            </f>
      </c>
      <c r="Y19" s="11">
        <v>5</v>
      </c>
      <c r="Z19" s="12">
        <f>
              Ifs(
                (Y19 = 'Points-Table'!$A$4), 'Points-Table'!$C$4,
                (Y19 = 'Points-Table'!$A$5), 'Points-Table'!$C$5,
                (Y19 = 'Points-Table'!$A$6), 'Points-Table'!$C$6,
                (Y19 = 'Points-Table'!$A$7), 'Points-Table'!$C$7,
                (Y19 = 'Points-Table'!$A$8), 'Points-Table'!$C$8,
                (Y19 = 'Points-Table'!$A$9), 'Points-Table'!$C$9,
                (Y19 = 'Points-Table'!$A$10), 'Points-Table'!$C$10,
                (Y19 = 'Points-Table'!$A$11), 'Points-Table'!$C$11,
                (Y19 = 'Points-Table'!$A$12), 'Points-Table'!$C$12,
                (Y19 = 'Points-Table'!$A$13), 'Points-Table'!$C$13,
                true, 0
              )
            </f>
      </c>
      <c r="AA19" s="6">
        <f>SUM(V19,X19,Z19)</f>
      </c>
      <c r="AB19" s="6">
        <f>
      Ifs( 
        ISBETWEEN(AA19, 0, 'Points-Table'!C$20, TRUE, False), 'Points-Table'!A$20,
        ISBETWEEN(AA19, 'Points-Table'!C$20, 'Points-Table'!C$21, TRUE, False), 'Points-Table'!A$21,
        ISBETWEEN(AA19, 'Points-Table'!C$22, 10000, TRUE, TRUE), 'Points-Table'!A$22,
        true, 
        0)
      </f>
      </c>
      <c r="AC19" s="6" t="s">
        <v>56</v>
      </c>
      <c r="AD19" s="6" t="s">
        <v>56</v>
      </c>
      <c r="AE19" s="6" t="s">
        <v>56</v>
      </c>
    </row>
    <row r="20" spans="1:31" s="6" customFormat="1" x14ac:dyDescent="0.25">
      <c r="A20" s="6" t="s">
        <v>189</v>
      </c>
      <c r="B20" s="6" t="s">
        <v>211</v>
      </c>
      <c r="D20" s="6"/>
      <c r="E20" s="6"/>
      <c r="F20" s="6" t="s">
        <v>212</v>
      </c>
      <c r="G20" s="6"/>
      <c r="H20" s="6"/>
      <c r="I20" s="6"/>
      <c r="J20" s="6"/>
      <c r="K20" s="6" t="s">
        <v>84</v>
      </c>
      <c r="L20" s="6" t="s">
        <v>85</v>
      </c>
      <c r="M20" s="6"/>
      <c r="N20" s="6"/>
      <c r="O20" s="6"/>
      <c r="P20" s="6"/>
      <c r="Q20" s="11"/>
      <c r="R20" s="12">
        <f>
              Ifs(
                (Q20 = 'Points-Table'!$A$4), 'Points-Table'!$C$4,
                (Q20 = 'Points-Table'!$A$5), 'Points-Table'!$C$5,
                (Q20 = 'Points-Table'!$A$6), 'Points-Table'!$C$6,
                (Q20 = 'Points-Table'!$A$7), 'Points-Table'!$C$7,
                (Q20 = 'Points-Table'!$A$8), 'Points-Table'!$C$8,
                (Q20 = 'Points-Table'!$A$9), 'Points-Table'!$C$9,
                (Q20 = 'Points-Table'!$A$10), 'Points-Table'!$C$10,
                (Q20 = 'Points-Table'!$A$11), 'Points-Table'!$C$11,
                (Q20 = 'Points-Table'!$A$12), 'Points-Table'!$C$12,
                (Q20 = 'Points-Table'!$A$13), 'Points-Table'!$C$13,
                true, 0
              )
            </f>
      </c>
      <c r="S20" s="11"/>
      <c r="T20" s="12">
        <f>
              Ifs(
                (S20 = 'Points-Table'!$A$4), 'Points-Table'!$C$4,
                (S20 = 'Points-Table'!$A$5), 'Points-Table'!$C$5,
                (S20 = 'Points-Table'!$A$6), 'Points-Table'!$C$6,
                (S20 = 'Points-Table'!$A$7), 'Points-Table'!$C$7,
                (S20 = 'Points-Table'!$A$8), 'Points-Table'!$C$8,
                (S20 = 'Points-Table'!$A$9), 'Points-Table'!$C$9,
                (S20 = 'Points-Table'!$A$10), 'Points-Table'!$C$10,
                (S20 = 'Points-Table'!$A$11), 'Points-Table'!$C$11,
                (S20 = 'Points-Table'!$A$12), 'Points-Table'!$C$12,
                (S20 = 'Points-Table'!$A$13), 'Points-Table'!$C$13,
                true, 0
              )
            </f>
      </c>
      <c r="U20" s="11">
        <v>3</v>
      </c>
      <c r="V20" s="12">
        <f>
              Ifs(
                (U20 = 'Points-Table'!$A$4), 'Points-Table'!$C$4,
                (U20 = 'Points-Table'!$A$5), 'Points-Table'!$C$5,
                (U20 = 'Points-Table'!$A$6), 'Points-Table'!$C$6,
                (U20 = 'Points-Table'!$A$7), 'Points-Table'!$C$7,
                (U20 = 'Points-Table'!$A$8), 'Points-Table'!$C$8,
                (U20 = 'Points-Table'!$A$9), 'Points-Table'!$C$9,
                (U20 = 'Points-Table'!$A$10), 'Points-Table'!$C$10,
                (U20 = 'Points-Table'!$A$11), 'Points-Table'!$C$11,
                (U20 = 'Points-Table'!$A$12), 'Points-Table'!$C$12,
                (U20 = 'Points-Table'!$A$13), 'Points-Table'!$C$13,
                true, 0
              )
            </f>
      </c>
      <c r="W20" s="11">
        <v>0</v>
      </c>
      <c r="X20" s="12">
        <f>
              Ifs(
                (W20 = 'Points-Table'!$A$4), 'Points-Table'!$C$4,
                (W20 = 'Points-Table'!$A$5), 'Points-Table'!$C$5,
                (W20 = 'Points-Table'!$A$6), 'Points-Table'!$C$6,
                (W20 = 'Points-Table'!$A$7), 'Points-Table'!$C$7,
                (W20 = 'Points-Table'!$A$8), 'Points-Table'!$C$8,
                (W20 = 'Points-Table'!$A$9), 'Points-Table'!$C$9,
                (W20 = 'Points-Table'!$A$10), 'Points-Table'!$C$10,
                (W20 = 'Points-Table'!$A$11), 'Points-Table'!$C$11,
                (W20 = 'Points-Table'!$A$12), 'Points-Table'!$C$12,
                (W20 = 'Points-Table'!$A$13), 'Points-Table'!$C$13,
                true, 0
              )
            </f>
      </c>
      <c r="Y20" s="11">
        <v>5</v>
      </c>
      <c r="Z20" s="12">
        <f>
              Ifs(
                (Y20 = 'Points-Table'!$A$4), 'Points-Table'!$C$4,
                (Y20 = 'Points-Table'!$A$5), 'Points-Table'!$C$5,
                (Y20 = 'Points-Table'!$A$6), 'Points-Table'!$C$6,
                (Y20 = 'Points-Table'!$A$7), 'Points-Table'!$C$7,
                (Y20 = 'Points-Table'!$A$8), 'Points-Table'!$C$8,
                (Y20 = 'Points-Table'!$A$9), 'Points-Table'!$C$9,
                (Y20 = 'Points-Table'!$A$10), 'Points-Table'!$C$10,
                (Y20 = 'Points-Table'!$A$11), 'Points-Table'!$C$11,
                (Y20 = 'Points-Table'!$A$12), 'Points-Table'!$C$12,
                (Y20 = 'Points-Table'!$A$13), 'Points-Table'!$C$13,
                true, 0
              )
            </f>
      </c>
      <c r="AA20" s="6">
        <f>SUM(V20,X20,Z20)</f>
      </c>
      <c r="AB20" s="6">
        <f>
      Ifs( 
        ISBETWEEN(AA20, 0, 'Points-Table'!C$20, TRUE, False), 'Points-Table'!A$20,
        ISBETWEEN(AA20, 'Points-Table'!C$20, 'Points-Table'!C$21, TRUE, False), 'Points-Table'!A$21,
        ISBETWEEN(AA20, 'Points-Table'!C$22, 10000, TRUE, TRUE), 'Points-Table'!A$22,
        true, 
        0)
      </f>
      </c>
      <c r="AC20" s="6" t="s">
        <v>56</v>
      </c>
      <c r="AD20" s="6" t="s">
        <v>56</v>
      </c>
      <c r="AE20" s="6" t="s">
        <v>56</v>
      </c>
    </row>
    <row r="21" spans="1:31" s="6" customFormat="1" x14ac:dyDescent="0.25">
      <c r="A21" s="6" t="s">
        <v>189</v>
      </c>
      <c r="B21" s="6" t="s">
        <v>213</v>
      </c>
      <c r="C21" s="6" t="s">
        <v>214</v>
      </c>
      <c r="D21" s="6" t="s">
        <v>215</v>
      </c>
      <c r="E21" s="6"/>
      <c r="F21" s="6" t="s">
        <v>216</v>
      </c>
      <c r="G21" s="6"/>
      <c r="H21" s="6"/>
      <c r="I21" s="6"/>
      <c r="J21" s="6"/>
      <c r="K21" s="6" t="s">
        <v>84</v>
      </c>
      <c r="L21" s="6" t="s">
        <v>85</v>
      </c>
      <c r="M21" s="6"/>
      <c r="N21" s="6"/>
      <c r="O21" s="6"/>
      <c r="P21" s="6"/>
      <c r="Q21" s="11"/>
      <c r="R21" s="12">
        <f>
              Ifs(
                (Q21 = 'Points-Table'!$A$4), 'Points-Table'!$C$4,
                (Q21 = 'Points-Table'!$A$5), 'Points-Table'!$C$5,
                (Q21 = 'Points-Table'!$A$6), 'Points-Table'!$C$6,
                (Q21 = 'Points-Table'!$A$7), 'Points-Table'!$C$7,
                (Q21 = 'Points-Table'!$A$8), 'Points-Table'!$C$8,
                (Q21 = 'Points-Table'!$A$9), 'Points-Table'!$C$9,
                (Q21 = 'Points-Table'!$A$10), 'Points-Table'!$C$10,
                (Q21 = 'Points-Table'!$A$11), 'Points-Table'!$C$11,
                (Q21 = 'Points-Table'!$A$12), 'Points-Table'!$C$12,
                (Q21 = 'Points-Table'!$A$13), 'Points-Table'!$C$13,
                true, 0
              )
            </f>
      </c>
      <c r="S21" s="11"/>
      <c r="T21" s="12">
        <f>
              Ifs(
                (S21 = 'Points-Table'!$A$4), 'Points-Table'!$C$4,
                (S21 = 'Points-Table'!$A$5), 'Points-Table'!$C$5,
                (S21 = 'Points-Table'!$A$6), 'Points-Table'!$C$6,
                (S21 = 'Points-Table'!$A$7), 'Points-Table'!$C$7,
                (S21 = 'Points-Table'!$A$8), 'Points-Table'!$C$8,
                (S21 = 'Points-Table'!$A$9), 'Points-Table'!$C$9,
                (S21 = 'Points-Table'!$A$10), 'Points-Table'!$C$10,
                (S21 = 'Points-Table'!$A$11), 'Points-Table'!$C$11,
                (S21 = 'Points-Table'!$A$12), 'Points-Table'!$C$12,
                (S21 = 'Points-Table'!$A$13), 'Points-Table'!$C$13,
                true, 0
              )
            </f>
      </c>
      <c r="U21" s="11">
        <v>13</v>
      </c>
      <c r="V21" s="12">
        <f>
              Ifs(
                (U21 = 'Points-Table'!$A$4), 'Points-Table'!$C$4,
                (U21 = 'Points-Table'!$A$5), 'Points-Table'!$C$5,
                (U21 = 'Points-Table'!$A$6), 'Points-Table'!$C$6,
                (U21 = 'Points-Table'!$A$7), 'Points-Table'!$C$7,
                (U21 = 'Points-Table'!$A$8), 'Points-Table'!$C$8,
                (U21 = 'Points-Table'!$A$9), 'Points-Table'!$C$9,
                (U21 = 'Points-Table'!$A$10), 'Points-Table'!$C$10,
                (U21 = 'Points-Table'!$A$11), 'Points-Table'!$C$11,
                (U21 = 'Points-Table'!$A$12), 'Points-Table'!$C$12,
                (U21 = 'Points-Table'!$A$13), 'Points-Table'!$C$13,
                true, 0
              )
            </f>
      </c>
      <c r="W21" s="11">
        <v>3</v>
      </c>
      <c r="X21" s="12">
        <f>
              Ifs(
                (W21 = 'Points-Table'!$A$4), 'Points-Table'!$C$4,
                (W21 = 'Points-Table'!$A$5), 'Points-Table'!$C$5,
                (W21 = 'Points-Table'!$A$6), 'Points-Table'!$C$6,
                (W21 = 'Points-Table'!$A$7), 'Points-Table'!$C$7,
                (W21 = 'Points-Table'!$A$8), 'Points-Table'!$C$8,
                (W21 = 'Points-Table'!$A$9), 'Points-Table'!$C$9,
                (W21 = 'Points-Table'!$A$10), 'Points-Table'!$C$10,
                (W21 = 'Points-Table'!$A$11), 'Points-Table'!$C$11,
                (W21 = 'Points-Table'!$A$12), 'Points-Table'!$C$12,
                (W21 = 'Points-Table'!$A$13), 'Points-Table'!$C$13,
                true, 0
              )
            </f>
      </c>
      <c r="Y21" s="11">
        <v>13</v>
      </c>
      <c r="Z21" s="12">
        <f>
              Ifs(
                (Y21 = 'Points-Table'!$A$4), 'Points-Table'!$C$4,
                (Y21 = 'Points-Table'!$A$5), 'Points-Table'!$C$5,
                (Y21 = 'Points-Table'!$A$6), 'Points-Table'!$C$6,
                (Y21 = 'Points-Table'!$A$7), 'Points-Table'!$C$7,
                (Y21 = 'Points-Table'!$A$8), 'Points-Table'!$C$8,
                (Y21 = 'Points-Table'!$A$9), 'Points-Table'!$C$9,
                (Y21 = 'Points-Table'!$A$10), 'Points-Table'!$C$10,
                (Y21 = 'Points-Table'!$A$11), 'Points-Table'!$C$11,
                (Y21 = 'Points-Table'!$A$12), 'Points-Table'!$C$12,
                (Y21 = 'Points-Table'!$A$13), 'Points-Table'!$C$13,
                true, 0
              )
            </f>
      </c>
      <c r="AA21" s="6">
        <f>SUM(V21,X21,Z21)</f>
      </c>
      <c r="AB21" s="6">
        <f>
      Ifs( 
        ISBETWEEN(AA21, 0, 'Points-Table'!C$20, TRUE, False), 'Points-Table'!A$20,
        ISBETWEEN(AA21, 'Points-Table'!C$20, 'Points-Table'!C$21, TRUE, False), 'Points-Table'!A$21,
        ISBETWEEN(AA21, 'Points-Table'!C$22, 10000, TRUE, TRUE), 'Points-Table'!A$22,
        true, 
        0)
      </f>
      </c>
      <c r="AC21" s="6" t="s">
        <v>56</v>
      </c>
      <c r="AD21" s="6" t="s">
        <v>56</v>
      </c>
      <c r="AE21" s="6" t="s">
        <v>56</v>
      </c>
    </row>
    <row r="22" spans="1:31" s="6" customFormat="1" x14ac:dyDescent="0.25">
      <c r="A22" s="6" t="s">
        <v>189</v>
      </c>
      <c r="B22" s="6" t="s">
        <v>213</v>
      </c>
      <c r="C22" s="6" t="s">
        <v>217</v>
      </c>
      <c r="D22" s="6"/>
      <c r="E22" s="6"/>
      <c r="F22" s="6" t="s">
        <v>218</v>
      </c>
      <c r="G22" s="6"/>
      <c r="H22" s="6"/>
      <c r="I22" s="6"/>
      <c r="J22" s="6"/>
      <c r="K22" s="6" t="s">
        <v>84</v>
      </c>
      <c r="L22" s="6" t="s">
        <v>85</v>
      </c>
      <c r="M22" s="6"/>
      <c r="N22" s="6"/>
      <c r="O22" s="6"/>
      <c r="P22" s="6"/>
      <c r="Q22" s="11"/>
      <c r="R22" s="12">
        <f>
              Ifs(
                (Q22 = 'Points-Table'!$A$4), 'Points-Table'!$C$4,
                (Q22 = 'Points-Table'!$A$5), 'Points-Table'!$C$5,
                (Q22 = 'Points-Table'!$A$6), 'Points-Table'!$C$6,
                (Q22 = 'Points-Table'!$A$7), 'Points-Table'!$C$7,
                (Q22 = 'Points-Table'!$A$8), 'Points-Table'!$C$8,
                (Q22 = 'Points-Table'!$A$9), 'Points-Table'!$C$9,
                (Q22 = 'Points-Table'!$A$10), 'Points-Table'!$C$10,
                (Q22 = 'Points-Table'!$A$11), 'Points-Table'!$C$11,
                (Q22 = 'Points-Table'!$A$12), 'Points-Table'!$C$12,
                (Q22 = 'Points-Table'!$A$13), 'Points-Table'!$C$13,
                true, 0
              )
            </f>
      </c>
      <c r="S22" s="11"/>
      <c r="T22" s="12">
        <f>
              Ifs(
                (S22 = 'Points-Table'!$A$4), 'Points-Table'!$C$4,
                (S22 = 'Points-Table'!$A$5), 'Points-Table'!$C$5,
                (S22 = 'Points-Table'!$A$6), 'Points-Table'!$C$6,
                (S22 = 'Points-Table'!$A$7), 'Points-Table'!$C$7,
                (S22 = 'Points-Table'!$A$8), 'Points-Table'!$C$8,
                (S22 = 'Points-Table'!$A$9), 'Points-Table'!$C$9,
                (S22 = 'Points-Table'!$A$10), 'Points-Table'!$C$10,
                (S22 = 'Points-Table'!$A$11), 'Points-Table'!$C$11,
                (S22 = 'Points-Table'!$A$12), 'Points-Table'!$C$12,
                (S22 = 'Points-Table'!$A$13), 'Points-Table'!$C$13,
                true, 0
              )
            </f>
      </c>
      <c r="U22" s="11">
        <v>8</v>
      </c>
      <c r="V22" s="12">
        <f>
              Ifs(
                (U22 = 'Points-Table'!$A$4), 'Points-Table'!$C$4,
                (U22 = 'Points-Table'!$A$5), 'Points-Table'!$C$5,
                (U22 = 'Points-Table'!$A$6), 'Points-Table'!$C$6,
                (U22 = 'Points-Table'!$A$7), 'Points-Table'!$C$7,
                (U22 = 'Points-Table'!$A$8), 'Points-Table'!$C$8,
                (U22 = 'Points-Table'!$A$9), 'Points-Table'!$C$9,
                (U22 = 'Points-Table'!$A$10), 'Points-Table'!$C$10,
                (U22 = 'Points-Table'!$A$11), 'Points-Table'!$C$11,
                (U22 = 'Points-Table'!$A$12), 'Points-Table'!$C$12,
                (U22 = 'Points-Table'!$A$13), 'Points-Table'!$C$13,
                true, 0
              )
            </f>
      </c>
      <c r="W22" s="11">
        <v>3</v>
      </c>
      <c r="X22" s="12">
        <f>
              Ifs(
                (W22 = 'Points-Table'!$A$4), 'Points-Table'!$C$4,
                (W22 = 'Points-Table'!$A$5), 'Points-Table'!$C$5,
                (W22 = 'Points-Table'!$A$6), 'Points-Table'!$C$6,
                (W22 = 'Points-Table'!$A$7), 'Points-Table'!$C$7,
                (W22 = 'Points-Table'!$A$8), 'Points-Table'!$C$8,
                (W22 = 'Points-Table'!$A$9), 'Points-Table'!$C$9,
                (W22 = 'Points-Table'!$A$10), 'Points-Table'!$C$10,
                (W22 = 'Points-Table'!$A$11), 'Points-Table'!$C$11,
                (W22 = 'Points-Table'!$A$12), 'Points-Table'!$C$12,
                (W22 = 'Points-Table'!$A$13), 'Points-Table'!$C$13,
                true, 0
              )
            </f>
      </c>
      <c r="Y22" s="11">
        <v>8</v>
      </c>
      <c r="Z22" s="12">
        <f>
              Ifs(
                (Y22 = 'Points-Table'!$A$4), 'Points-Table'!$C$4,
                (Y22 = 'Points-Table'!$A$5), 'Points-Table'!$C$5,
                (Y22 = 'Points-Table'!$A$6), 'Points-Table'!$C$6,
                (Y22 = 'Points-Table'!$A$7), 'Points-Table'!$C$7,
                (Y22 = 'Points-Table'!$A$8), 'Points-Table'!$C$8,
                (Y22 = 'Points-Table'!$A$9), 'Points-Table'!$C$9,
                (Y22 = 'Points-Table'!$A$10), 'Points-Table'!$C$10,
                (Y22 = 'Points-Table'!$A$11), 'Points-Table'!$C$11,
                (Y22 = 'Points-Table'!$A$12), 'Points-Table'!$C$12,
                (Y22 = 'Points-Table'!$A$13), 'Points-Table'!$C$13,
                true, 0
              )
            </f>
      </c>
      <c r="AA22" s="6">
        <f>SUM(V22,X22,Z22)</f>
      </c>
      <c r="AB22" s="6">
        <f>
      Ifs( 
        ISBETWEEN(AA22, 0, 'Points-Table'!C$20, TRUE, False), 'Points-Table'!A$20,
        ISBETWEEN(AA22, 'Points-Table'!C$20, 'Points-Table'!C$21, TRUE, False), 'Points-Table'!A$21,
        ISBETWEEN(AA22, 'Points-Table'!C$22, 10000, TRUE, TRUE), 'Points-Table'!A$22,
        true, 
        0)
      </f>
      </c>
      <c r="AC22" s="6" t="s">
        <v>56</v>
      </c>
      <c r="AD22" s="6" t="s">
        <v>56</v>
      </c>
      <c r="AE22" s="6" t="s">
        <v>56</v>
      </c>
    </row>
    <row r="23" spans="1:31" s="6" customFormat="1" x14ac:dyDescent="0.25">
      <c r="A23" s="6" t="s">
        <v>189</v>
      </c>
      <c r="B23" s="6" t="s">
        <v>213</v>
      </c>
      <c r="C23" s="6" t="s">
        <v>219</v>
      </c>
      <c r="D23" s="6"/>
      <c r="E23" s="6"/>
      <c r="F23" s="6"/>
      <c r="G23" s="6"/>
      <c r="H23" s="6"/>
      <c r="I23" s="6"/>
      <c r="J23" s="6"/>
      <c r="K23" s="6" t="s">
        <v>84</v>
      </c>
      <c r="L23" s="6" t="s">
        <v>85</v>
      </c>
      <c r="M23" s="6"/>
      <c r="N23" s="6"/>
      <c r="O23" s="6"/>
      <c r="P23" s="6"/>
      <c r="Q23" s="11"/>
      <c r="R23" s="12">
        <f>
              Ifs(
                (Q23 = 'Points-Table'!$A$4), 'Points-Table'!$C$4,
                (Q23 = 'Points-Table'!$A$5), 'Points-Table'!$C$5,
                (Q23 = 'Points-Table'!$A$6), 'Points-Table'!$C$6,
                (Q23 = 'Points-Table'!$A$7), 'Points-Table'!$C$7,
                (Q23 = 'Points-Table'!$A$8), 'Points-Table'!$C$8,
                (Q23 = 'Points-Table'!$A$9), 'Points-Table'!$C$9,
                (Q23 = 'Points-Table'!$A$10), 'Points-Table'!$C$10,
                (Q23 = 'Points-Table'!$A$11), 'Points-Table'!$C$11,
                (Q23 = 'Points-Table'!$A$12), 'Points-Table'!$C$12,
                (Q23 = 'Points-Table'!$A$13), 'Points-Table'!$C$13,
                true, 0
              )
            </f>
      </c>
      <c r="S23" s="11"/>
      <c r="T23" s="12">
        <f>
              Ifs(
                (S23 = 'Points-Table'!$A$4), 'Points-Table'!$C$4,
                (S23 = 'Points-Table'!$A$5), 'Points-Table'!$C$5,
                (S23 = 'Points-Table'!$A$6), 'Points-Table'!$C$6,
                (S23 = 'Points-Table'!$A$7), 'Points-Table'!$C$7,
                (S23 = 'Points-Table'!$A$8), 'Points-Table'!$C$8,
                (S23 = 'Points-Table'!$A$9), 'Points-Table'!$C$9,
                (S23 = 'Points-Table'!$A$10), 'Points-Table'!$C$10,
                (S23 = 'Points-Table'!$A$11), 'Points-Table'!$C$11,
                (S23 = 'Points-Table'!$A$12), 'Points-Table'!$C$12,
                (S23 = 'Points-Table'!$A$13), 'Points-Table'!$C$13,
                true, 0
              )
            </f>
      </c>
      <c r="U23" s="11">
        <v>2</v>
      </c>
      <c r="V23" s="12">
        <f>
              Ifs(
                (U23 = 'Points-Table'!$A$4), 'Points-Table'!$C$4,
                (U23 = 'Points-Table'!$A$5), 'Points-Table'!$C$5,
                (U23 = 'Points-Table'!$A$6), 'Points-Table'!$C$6,
                (U23 = 'Points-Table'!$A$7), 'Points-Table'!$C$7,
                (U23 = 'Points-Table'!$A$8), 'Points-Table'!$C$8,
                (U23 = 'Points-Table'!$A$9), 'Points-Table'!$C$9,
                (U23 = 'Points-Table'!$A$10), 'Points-Table'!$C$10,
                (U23 = 'Points-Table'!$A$11), 'Points-Table'!$C$11,
                (U23 = 'Points-Table'!$A$12), 'Points-Table'!$C$12,
                (U23 = 'Points-Table'!$A$13), 'Points-Table'!$C$13,
                true, 0
              )
            </f>
      </c>
      <c r="W23" s="11">
        <v>1</v>
      </c>
      <c r="X23" s="12">
        <f>
              Ifs(
                (W23 = 'Points-Table'!$A$4), 'Points-Table'!$C$4,
                (W23 = 'Points-Table'!$A$5), 'Points-Table'!$C$5,
                (W23 = 'Points-Table'!$A$6), 'Points-Table'!$C$6,
                (W23 = 'Points-Table'!$A$7), 'Points-Table'!$C$7,
                (W23 = 'Points-Table'!$A$8), 'Points-Table'!$C$8,
                (W23 = 'Points-Table'!$A$9), 'Points-Table'!$C$9,
                (W23 = 'Points-Table'!$A$10), 'Points-Table'!$C$10,
                (W23 = 'Points-Table'!$A$11), 'Points-Table'!$C$11,
                (W23 = 'Points-Table'!$A$12), 'Points-Table'!$C$12,
                (W23 = 'Points-Table'!$A$13), 'Points-Table'!$C$13,
                true, 0
              )
            </f>
      </c>
      <c r="Y23" s="11">
        <v>3</v>
      </c>
      <c r="Z23" s="12">
        <f>
              Ifs(
                (Y23 = 'Points-Table'!$A$4), 'Points-Table'!$C$4,
                (Y23 = 'Points-Table'!$A$5), 'Points-Table'!$C$5,
                (Y23 = 'Points-Table'!$A$6), 'Points-Table'!$C$6,
                (Y23 = 'Points-Table'!$A$7), 'Points-Table'!$C$7,
                (Y23 = 'Points-Table'!$A$8), 'Points-Table'!$C$8,
                (Y23 = 'Points-Table'!$A$9), 'Points-Table'!$C$9,
                (Y23 = 'Points-Table'!$A$10), 'Points-Table'!$C$10,
                (Y23 = 'Points-Table'!$A$11), 'Points-Table'!$C$11,
                (Y23 = 'Points-Table'!$A$12), 'Points-Table'!$C$12,
                (Y23 = 'Points-Table'!$A$13), 'Points-Table'!$C$13,
                true, 0
              )
            </f>
      </c>
      <c r="AA23" s="6">
        <f>SUM(V23,X23,Z23)</f>
      </c>
      <c r="AB23" s="6">
        <f>
      Ifs( 
        ISBETWEEN(AA23, 0, 'Points-Table'!C$20, TRUE, False), 'Points-Table'!A$20,
        ISBETWEEN(AA23, 'Points-Table'!C$20, 'Points-Table'!C$21, TRUE, False), 'Points-Table'!A$21,
        ISBETWEEN(AA23, 'Points-Table'!C$22, 10000, TRUE, TRUE), 'Points-Table'!A$22,
        true, 
        0)
      </f>
      </c>
      <c r="AC23" s="6" t="s">
        <v>56</v>
      </c>
      <c r="AD23" s="6" t="s">
        <v>56</v>
      </c>
      <c r="AE23" s="6" t="s">
        <v>56</v>
      </c>
    </row>
    <row r="24" spans="1:31" s="6" customFormat="1" x14ac:dyDescent="0.25">
      <c r="A24" s="6" t="s">
        <v>189</v>
      </c>
      <c r="B24" s="6" t="s">
        <v>213</v>
      </c>
      <c r="C24" s="6" t="s">
        <v>220</v>
      </c>
      <c r="D24" s="6" t="s">
        <v>221</v>
      </c>
      <c r="E24" s="6"/>
      <c r="F24" s="6" t="s">
        <v>222</v>
      </c>
      <c r="G24" s="6"/>
      <c r="H24" s="6"/>
      <c r="I24" s="6"/>
      <c r="J24" s="6"/>
      <c r="K24" s="6" t="s">
        <v>84</v>
      </c>
      <c r="L24" s="6" t="s">
        <v>85</v>
      </c>
      <c r="M24" s="6"/>
      <c r="N24" s="6"/>
      <c r="O24" s="6"/>
      <c r="P24" s="6"/>
      <c r="Q24" s="11"/>
      <c r="R24" s="12">
        <f>
              Ifs(
                (Q24 = 'Points-Table'!$A$4), 'Points-Table'!$C$4,
                (Q24 = 'Points-Table'!$A$5), 'Points-Table'!$C$5,
                (Q24 = 'Points-Table'!$A$6), 'Points-Table'!$C$6,
                (Q24 = 'Points-Table'!$A$7), 'Points-Table'!$C$7,
                (Q24 = 'Points-Table'!$A$8), 'Points-Table'!$C$8,
                (Q24 = 'Points-Table'!$A$9), 'Points-Table'!$C$9,
                (Q24 = 'Points-Table'!$A$10), 'Points-Table'!$C$10,
                (Q24 = 'Points-Table'!$A$11), 'Points-Table'!$C$11,
                (Q24 = 'Points-Table'!$A$12), 'Points-Table'!$C$12,
                (Q24 = 'Points-Table'!$A$13), 'Points-Table'!$C$13,
                true, 0
              )
            </f>
      </c>
      <c r="S24" s="11"/>
      <c r="T24" s="12">
        <f>
              Ifs(
                (S24 = 'Points-Table'!$A$4), 'Points-Table'!$C$4,
                (S24 = 'Points-Table'!$A$5), 'Points-Table'!$C$5,
                (S24 = 'Points-Table'!$A$6), 'Points-Table'!$C$6,
                (S24 = 'Points-Table'!$A$7), 'Points-Table'!$C$7,
                (S24 = 'Points-Table'!$A$8), 'Points-Table'!$C$8,
                (S24 = 'Points-Table'!$A$9), 'Points-Table'!$C$9,
                (S24 = 'Points-Table'!$A$10), 'Points-Table'!$C$10,
                (S24 = 'Points-Table'!$A$11), 'Points-Table'!$C$11,
                (S24 = 'Points-Table'!$A$12), 'Points-Table'!$C$12,
                (S24 = 'Points-Table'!$A$13), 'Points-Table'!$C$13,
                true, 0
              )
            </f>
      </c>
      <c r="U24" s="11">
        <v>21</v>
      </c>
      <c r="V24" s="12">
        <f>
              Ifs(
                (U24 = 'Points-Table'!$A$4), 'Points-Table'!$C$4,
                (U24 = 'Points-Table'!$A$5), 'Points-Table'!$C$5,
                (U24 = 'Points-Table'!$A$6), 'Points-Table'!$C$6,
                (U24 = 'Points-Table'!$A$7), 'Points-Table'!$C$7,
                (U24 = 'Points-Table'!$A$8), 'Points-Table'!$C$8,
                (U24 = 'Points-Table'!$A$9), 'Points-Table'!$C$9,
                (U24 = 'Points-Table'!$A$10), 'Points-Table'!$C$10,
                (U24 = 'Points-Table'!$A$11), 'Points-Table'!$C$11,
                (U24 = 'Points-Table'!$A$12), 'Points-Table'!$C$12,
                (U24 = 'Points-Table'!$A$13), 'Points-Table'!$C$13,
                true, 0
              )
            </f>
      </c>
      <c r="W24" s="11">
        <v>8</v>
      </c>
      <c r="X24" s="12">
        <f>
              Ifs(
                (W24 = 'Points-Table'!$A$4), 'Points-Table'!$C$4,
                (W24 = 'Points-Table'!$A$5), 'Points-Table'!$C$5,
                (W24 = 'Points-Table'!$A$6), 'Points-Table'!$C$6,
                (W24 = 'Points-Table'!$A$7), 'Points-Table'!$C$7,
                (W24 = 'Points-Table'!$A$8), 'Points-Table'!$C$8,
                (W24 = 'Points-Table'!$A$9), 'Points-Table'!$C$9,
                (W24 = 'Points-Table'!$A$10), 'Points-Table'!$C$10,
                (W24 = 'Points-Table'!$A$11), 'Points-Table'!$C$11,
                (W24 = 'Points-Table'!$A$12), 'Points-Table'!$C$12,
                (W24 = 'Points-Table'!$A$13), 'Points-Table'!$C$13,
                true, 0
              )
            </f>
      </c>
      <c r="Y24" s="11">
        <v>21</v>
      </c>
      <c r="Z24" s="12">
        <f>
              Ifs(
                (Y24 = 'Points-Table'!$A$4), 'Points-Table'!$C$4,
                (Y24 = 'Points-Table'!$A$5), 'Points-Table'!$C$5,
                (Y24 = 'Points-Table'!$A$6), 'Points-Table'!$C$6,
                (Y24 = 'Points-Table'!$A$7), 'Points-Table'!$C$7,
                (Y24 = 'Points-Table'!$A$8), 'Points-Table'!$C$8,
                (Y24 = 'Points-Table'!$A$9), 'Points-Table'!$C$9,
                (Y24 = 'Points-Table'!$A$10), 'Points-Table'!$C$10,
                (Y24 = 'Points-Table'!$A$11), 'Points-Table'!$C$11,
                (Y24 = 'Points-Table'!$A$12), 'Points-Table'!$C$12,
                (Y24 = 'Points-Table'!$A$13), 'Points-Table'!$C$13,
                true, 0
              )
            </f>
      </c>
      <c r="AA24" s="6">
        <f>SUM(V24,X24,Z24)</f>
      </c>
      <c r="AB24" s="6">
        <f>
      Ifs( 
        ISBETWEEN(AA24, 0, 'Points-Table'!C$20, TRUE, False), 'Points-Table'!A$20,
        ISBETWEEN(AA24, 'Points-Table'!C$20, 'Points-Table'!C$21, TRUE, False), 'Points-Table'!A$21,
        ISBETWEEN(AA24, 'Points-Table'!C$22, 10000, TRUE, TRUE), 'Points-Table'!A$22,
        true, 
        0)
      </f>
      </c>
      <c r="AC24" s="6" t="s">
        <v>56</v>
      </c>
      <c r="AD24" s="6" t="s">
        <v>56</v>
      </c>
      <c r="AE24" s="6" t="s">
        <v>56</v>
      </c>
    </row>
    <row r="25" spans="1:31" s="6" customFormat="1" x14ac:dyDescent="0.25">
      <c r="A25" s="6" t="s">
        <v>189</v>
      </c>
      <c r="B25" s="6" t="s">
        <v>223</v>
      </c>
      <c r="D25" s="6"/>
      <c r="E25" s="6"/>
      <c r="F25" s="6"/>
      <c r="G25" s="6"/>
      <c r="H25" s="6"/>
      <c r="I25" s="6"/>
      <c r="J25" s="6"/>
      <c r="K25" s="6" t="s">
        <v>84</v>
      </c>
      <c r="L25" s="6" t="s">
        <v>85</v>
      </c>
      <c r="M25" s="6"/>
      <c r="N25" s="6"/>
      <c r="O25" s="6"/>
      <c r="P25" s="6"/>
      <c r="Q25" s="11"/>
      <c r="R25" s="12">
        <f>
              Ifs(
                (Q25 = 'Points-Table'!$A$4), 'Points-Table'!$C$4,
                (Q25 = 'Points-Table'!$A$5), 'Points-Table'!$C$5,
                (Q25 = 'Points-Table'!$A$6), 'Points-Table'!$C$6,
                (Q25 = 'Points-Table'!$A$7), 'Points-Table'!$C$7,
                (Q25 = 'Points-Table'!$A$8), 'Points-Table'!$C$8,
                (Q25 = 'Points-Table'!$A$9), 'Points-Table'!$C$9,
                (Q25 = 'Points-Table'!$A$10), 'Points-Table'!$C$10,
                (Q25 = 'Points-Table'!$A$11), 'Points-Table'!$C$11,
                (Q25 = 'Points-Table'!$A$12), 'Points-Table'!$C$12,
                (Q25 = 'Points-Table'!$A$13), 'Points-Table'!$C$13,
                true, 0
              )
            </f>
      </c>
      <c r="S25" s="11"/>
      <c r="T25" s="12">
        <f>
              Ifs(
                (S25 = 'Points-Table'!$A$4), 'Points-Table'!$C$4,
                (S25 = 'Points-Table'!$A$5), 'Points-Table'!$C$5,
                (S25 = 'Points-Table'!$A$6), 'Points-Table'!$C$6,
                (S25 = 'Points-Table'!$A$7), 'Points-Table'!$C$7,
                (S25 = 'Points-Table'!$A$8), 'Points-Table'!$C$8,
                (S25 = 'Points-Table'!$A$9), 'Points-Table'!$C$9,
                (S25 = 'Points-Table'!$A$10), 'Points-Table'!$C$10,
                (S25 = 'Points-Table'!$A$11), 'Points-Table'!$C$11,
                (S25 = 'Points-Table'!$A$12), 'Points-Table'!$C$12,
                (S25 = 'Points-Table'!$A$13), 'Points-Table'!$C$13,
                true, 0
              )
            </f>
      </c>
      <c r="U25" s="11">
        <v>5</v>
      </c>
      <c r="V25" s="12">
        <f>
              Ifs(
                (U25 = 'Points-Table'!$A$4), 'Points-Table'!$C$4,
                (U25 = 'Points-Table'!$A$5), 'Points-Table'!$C$5,
                (U25 = 'Points-Table'!$A$6), 'Points-Table'!$C$6,
                (U25 = 'Points-Table'!$A$7), 'Points-Table'!$C$7,
                (U25 = 'Points-Table'!$A$8), 'Points-Table'!$C$8,
                (U25 = 'Points-Table'!$A$9), 'Points-Table'!$C$9,
                (U25 = 'Points-Table'!$A$10), 'Points-Table'!$C$10,
                (U25 = 'Points-Table'!$A$11), 'Points-Table'!$C$11,
                (U25 = 'Points-Table'!$A$12), 'Points-Table'!$C$12,
                (U25 = 'Points-Table'!$A$13), 'Points-Table'!$C$13,
                true, 0
              )
            </f>
      </c>
      <c r="W25" s="11">
        <v>3</v>
      </c>
      <c r="X25" s="12">
        <f>
              Ifs(
                (W25 = 'Points-Table'!$A$4), 'Points-Table'!$C$4,
                (W25 = 'Points-Table'!$A$5), 'Points-Table'!$C$5,
                (W25 = 'Points-Table'!$A$6), 'Points-Table'!$C$6,
                (W25 = 'Points-Table'!$A$7), 'Points-Table'!$C$7,
                (W25 = 'Points-Table'!$A$8), 'Points-Table'!$C$8,
                (W25 = 'Points-Table'!$A$9), 'Points-Table'!$C$9,
                (W25 = 'Points-Table'!$A$10), 'Points-Table'!$C$10,
                (W25 = 'Points-Table'!$A$11), 'Points-Table'!$C$11,
                (W25 = 'Points-Table'!$A$12), 'Points-Table'!$C$12,
                (W25 = 'Points-Table'!$A$13), 'Points-Table'!$C$13,
                true, 0
              )
            </f>
      </c>
      <c r="Y25" s="11">
        <v>5</v>
      </c>
      <c r="Z25" s="12">
        <f>
              Ifs(
                (Y25 = 'Points-Table'!$A$4), 'Points-Table'!$C$4,
                (Y25 = 'Points-Table'!$A$5), 'Points-Table'!$C$5,
                (Y25 = 'Points-Table'!$A$6), 'Points-Table'!$C$6,
                (Y25 = 'Points-Table'!$A$7), 'Points-Table'!$C$7,
                (Y25 = 'Points-Table'!$A$8), 'Points-Table'!$C$8,
                (Y25 = 'Points-Table'!$A$9), 'Points-Table'!$C$9,
                (Y25 = 'Points-Table'!$A$10), 'Points-Table'!$C$10,
                (Y25 = 'Points-Table'!$A$11), 'Points-Table'!$C$11,
                (Y25 = 'Points-Table'!$A$12), 'Points-Table'!$C$12,
                (Y25 = 'Points-Table'!$A$13), 'Points-Table'!$C$13,
                true, 0
              )
            </f>
      </c>
      <c r="AA25" s="6">
        <f>SUM(V25,X25,Z25)</f>
      </c>
      <c r="AB25" s="6">
        <f>
      Ifs( 
        ISBETWEEN(AA25, 0, 'Points-Table'!C$20, TRUE, False), 'Points-Table'!A$20,
        ISBETWEEN(AA25, 'Points-Table'!C$20, 'Points-Table'!C$21, TRUE, False), 'Points-Table'!A$21,
        ISBETWEEN(AA25, 'Points-Table'!C$22, 10000, TRUE, TRUE), 'Points-Table'!A$22,
        true, 
        0)
      </f>
      </c>
      <c r="AC25" s="6" t="s">
        <v>56</v>
      </c>
      <c r="AD25" s="6" t="s">
        <v>56</v>
      </c>
      <c r="AE25" s="6" t="s">
        <v>56</v>
      </c>
    </row>
    <row r="26" spans="1:31" s="6" customFormat="1" x14ac:dyDescent="0.25">
      <c r="A26" s="6" t="s">
        <v>189</v>
      </c>
      <c r="B26" s="6" t="s">
        <v>224</v>
      </c>
      <c r="C26" s="6" t="s">
        <v>225</v>
      </c>
      <c r="D26" s="6" t="s">
        <v>226</v>
      </c>
      <c r="E26" s="6"/>
      <c r="F26" s="6" t="s">
        <v>227</v>
      </c>
      <c r="G26" s="6"/>
      <c r="H26" s="6"/>
      <c r="I26" s="6"/>
      <c r="J26" s="6"/>
      <c r="K26" s="6" t="s">
        <v>84</v>
      </c>
      <c r="L26" s="6" t="s">
        <v>85</v>
      </c>
      <c r="M26" s="6"/>
      <c r="N26" s="6"/>
      <c r="O26" s="6"/>
      <c r="P26" s="6"/>
      <c r="Q26" s="11"/>
      <c r="R26" s="12">
        <f>
              Ifs(
                (Q26 = 'Points-Table'!$A$4), 'Points-Table'!$C$4,
                (Q26 = 'Points-Table'!$A$5), 'Points-Table'!$C$5,
                (Q26 = 'Points-Table'!$A$6), 'Points-Table'!$C$6,
                (Q26 = 'Points-Table'!$A$7), 'Points-Table'!$C$7,
                (Q26 = 'Points-Table'!$A$8), 'Points-Table'!$C$8,
                (Q26 = 'Points-Table'!$A$9), 'Points-Table'!$C$9,
                (Q26 = 'Points-Table'!$A$10), 'Points-Table'!$C$10,
                (Q26 = 'Points-Table'!$A$11), 'Points-Table'!$C$11,
                (Q26 = 'Points-Table'!$A$12), 'Points-Table'!$C$12,
                (Q26 = 'Points-Table'!$A$13), 'Points-Table'!$C$13,
                true, 0
              )
            </f>
      </c>
      <c r="S26" s="11"/>
      <c r="T26" s="12">
        <f>
              Ifs(
                (S26 = 'Points-Table'!$A$4), 'Points-Table'!$C$4,
                (S26 = 'Points-Table'!$A$5), 'Points-Table'!$C$5,
                (S26 = 'Points-Table'!$A$6), 'Points-Table'!$C$6,
                (S26 = 'Points-Table'!$A$7), 'Points-Table'!$C$7,
                (S26 = 'Points-Table'!$A$8), 'Points-Table'!$C$8,
                (S26 = 'Points-Table'!$A$9), 'Points-Table'!$C$9,
                (S26 = 'Points-Table'!$A$10), 'Points-Table'!$C$10,
                (S26 = 'Points-Table'!$A$11), 'Points-Table'!$C$11,
                (S26 = 'Points-Table'!$A$12), 'Points-Table'!$C$12,
                (S26 = 'Points-Table'!$A$13), 'Points-Table'!$C$13,
                true, 0
              )
            </f>
      </c>
      <c r="U26" s="11">
        <v>2</v>
      </c>
      <c r="V26" s="12">
        <f>
              Ifs(
                (U26 = 'Points-Table'!$A$4), 'Points-Table'!$C$4,
                (U26 = 'Points-Table'!$A$5), 'Points-Table'!$C$5,
                (U26 = 'Points-Table'!$A$6), 'Points-Table'!$C$6,
                (U26 = 'Points-Table'!$A$7), 'Points-Table'!$C$7,
                (U26 = 'Points-Table'!$A$8), 'Points-Table'!$C$8,
                (U26 = 'Points-Table'!$A$9), 'Points-Table'!$C$9,
                (U26 = 'Points-Table'!$A$10), 'Points-Table'!$C$10,
                (U26 = 'Points-Table'!$A$11), 'Points-Table'!$C$11,
                (U26 = 'Points-Table'!$A$12), 'Points-Table'!$C$12,
                (U26 = 'Points-Table'!$A$13), 'Points-Table'!$C$13,
                true, 0
              )
            </f>
      </c>
      <c r="W26" s="11">
        <v>0</v>
      </c>
      <c r="X26" s="12">
        <f>
              Ifs(
                (W26 = 'Points-Table'!$A$4), 'Points-Table'!$C$4,
                (W26 = 'Points-Table'!$A$5), 'Points-Table'!$C$5,
                (W26 = 'Points-Table'!$A$6), 'Points-Table'!$C$6,
                (W26 = 'Points-Table'!$A$7), 'Points-Table'!$C$7,
                (W26 = 'Points-Table'!$A$8), 'Points-Table'!$C$8,
                (W26 = 'Points-Table'!$A$9), 'Points-Table'!$C$9,
                (W26 = 'Points-Table'!$A$10), 'Points-Table'!$C$10,
                (W26 = 'Points-Table'!$A$11), 'Points-Table'!$C$11,
                (W26 = 'Points-Table'!$A$12), 'Points-Table'!$C$12,
                (W26 = 'Points-Table'!$A$13), 'Points-Table'!$C$13,
                true, 0
              )
            </f>
      </c>
      <c r="Y26" s="11">
        <v>0</v>
      </c>
      <c r="Z26" s="12">
        <f>
              Ifs(
                (Y26 = 'Points-Table'!$A$4), 'Points-Table'!$C$4,
                (Y26 = 'Points-Table'!$A$5), 'Points-Table'!$C$5,
                (Y26 = 'Points-Table'!$A$6), 'Points-Table'!$C$6,
                (Y26 = 'Points-Table'!$A$7), 'Points-Table'!$C$7,
                (Y26 = 'Points-Table'!$A$8), 'Points-Table'!$C$8,
                (Y26 = 'Points-Table'!$A$9), 'Points-Table'!$C$9,
                (Y26 = 'Points-Table'!$A$10), 'Points-Table'!$C$10,
                (Y26 = 'Points-Table'!$A$11), 'Points-Table'!$C$11,
                (Y26 = 'Points-Table'!$A$12), 'Points-Table'!$C$12,
                (Y26 = 'Points-Table'!$A$13), 'Points-Table'!$C$13,
                true, 0
              )
            </f>
      </c>
      <c r="AA26" s="6">
        <f>SUM(V26,X26,Z26)</f>
      </c>
      <c r="AB26" s="6">
        <f>
      Ifs( 
        ISBETWEEN(AA26, 0, 'Points-Table'!C$20, TRUE, False), 'Points-Table'!A$20,
        ISBETWEEN(AA26, 'Points-Table'!C$20, 'Points-Table'!C$21, TRUE, False), 'Points-Table'!A$21,
        ISBETWEEN(AA26, 'Points-Table'!C$22, 10000, TRUE, TRUE), 'Points-Table'!A$22,
        true, 
        0)
      </f>
      </c>
      <c r="AC26" s="6" t="s">
        <v>56</v>
      </c>
      <c r="AD26" s="6" t="s">
        <v>56</v>
      </c>
      <c r="AE26" s="6" t="s">
        <v>56</v>
      </c>
    </row>
    <row r="27" spans="1:31" s="6" customFormat="1" x14ac:dyDescent="0.25">
      <c r="A27" s="6" t="s">
        <v>189</v>
      </c>
      <c r="B27" s="6" t="s">
        <v>224</v>
      </c>
      <c r="C27" s="6" t="s">
        <v>228</v>
      </c>
      <c r="D27" s="6"/>
      <c r="E27" s="6"/>
      <c r="F27" s="6" t="s">
        <v>229</v>
      </c>
      <c r="G27" s="6"/>
      <c r="H27" s="6"/>
      <c r="I27" s="6"/>
      <c r="J27" s="6"/>
      <c r="K27" s="6" t="s">
        <v>84</v>
      </c>
      <c r="L27" s="6" t="s">
        <v>85</v>
      </c>
      <c r="M27" s="6"/>
      <c r="N27" s="6"/>
      <c r="O27" s="6"/>
      <c r="P27" s="6"/>
      <c r="Q27" s="11"/>
      <c r="R27" s="12">
        <f>
              Ifs(
                (Q27 = 'Points-Table'!$A$4), 'Points-Table'!$C$4,
                (Q27 = 'Points-Table'!$A$5), 'Points-Table'!$C$5,
                (Q27 = 'Points-Table'!$A$6), 'Points-Table'!$C$6,
                (Q27 = 'Points-Table'!$A$7), 'Points-Table'!$C$7,
                (Q27 = 'Points-Table'!$A$8), 'Points-Table'!$C$8,
                (Q27 = 'Points-Table'!$A$9), 'Points-Table'!$C$9,
                (Q27 = 'Points-Table'!$A$10), 'Points-Table'!$C$10,
                (Q27 = 'Points-Table'!$A$11), 'Points-Table'!$C$11,
                (Q27 = 'Points-Table'!$A$12), 'Points-Table'!$C$12,
                (Q27 = 'Points-Table'!$A$13), 'Points-Table'!$C$13,
                true, 0
              )
            </f>
      </c>
      <c r="S27" s="11"/>
      <c r="T27" s="12">
        <f>
              Ifs(
                (S27 = 'Points-Table'!$A$4), 'Points-Table'!$C$4,
                (S27 = 'Points-Table'!$A$5), 'Points-Table'!$C$5,
                (S27 = 'Points-Table'!$A$6), 'Points-Table'!$C$6,
                (S27 = 'Points-Table'!$A$7), 'Points-Table'!$C$7,
                (S27 = 'Points-Table'!$A$8), 'Points-Table'!$C$8,
                (S27 = 'Points-Table'!$A$9), 'Points-Table'!$C$9,
                (S27 = 'Points-Table'!$A$10), 'Points-Table'!$C$10,
                (S27 = 'Points-Table'!$A$11), 'Points-Table'!$C$11,
                (S27 = 'Points-Table'!$A$12), 'Points-Table'!$C$12,
                (S27 = 'Points-Table'!$A$13), 'Points-Table'!$C$13,
                true, 0
              )
            </f>
      </c>
      <c r="U27" s="11">
        <v>1</v>
      </c>
      <c r="V27" s="12">
        <f>
              Ifs(
                (U27 = 'Points-Table'!$A$4), 'Points-Table'!$C$4,
                (U27 = 'Points-Table'!$A$5), 'Points-Table'!$C$5,
                (U27 = 'Points-Table'!$A$6), 'Points-Table'!$C$6,
                (U27 = 'Points-Table'!$A$7), 'Points-Table'!$C$7,
                (U27 = 'Points-Table'!$A$8), 'Points-Table'!$C$8,
                (U27 = 'Points-Table'!$A$9), 'Points-Table'!$C$9,
                (U27 = 'Points-Table'!$A$10), 'Points-Table'!$C$10,
                (U27 = 'Points-Table'!$A$11), 'Points-Table'!$C$11,
                (U27 = 'Points-Table'!$A$12), 'Points-Table'!$C$12,
                (U27 = 'Points-Table'!$A$13), 'Points-Table'!$C$13,
                true, 0
              )
            </f>
      </c>
      <c r="W27" s="11">
        <v>0</v>
      </c>
      <c r="X27" s="12">
        <f>
              Ifs(
                (W27 = 'Points-Table'!$A$4), 'Points-Table'!$C$4,
                (W27 = 'Points-Table'!$A$5), 'Points-Table'!$C$5,
                (W27 = 'Points-Table'!$A$6), 'Points-Table'!$C$6,
                (W27 = 'Points-Table'!$A$7), 'Points-Table'!$C$7,
                (W27 = 'Points-Table'!$A$8), 'Points-Table'!$C$8,
                (W27 = 'Points-Table'!$A$9), 'Points-Table'!$C$9,
                (W27 = 'Points-Table'!$A$10), 'Points-Table'!$C$10,
                (W27 = 'Points-Table'!$A$11), 'Points-Table'!$C$11,
                (W27 = 'Points-Table'!$A$12), 'Points-Table'!$C$12,
                (W27 = 'Points-Table'!$A$13), 'Points-Table'!$C$13,
                true, 0
              )
            </f>
      </c>
      <c r="Y27" s="11">
        <v>3</v>
      </c>
      <c r="Z27" s="12">
        <f>
              Ifs(
                (Y27 = 'Points-Table'!$A$4), 'Points-Table'!$C$4,
                (Y27 = 'Points-Table'!$A$5), 'Points-Table'!$C$5,
                (Y27 = 'Points-Table'!$A$6), 'Points-Table'!$C$6,
                (Y27 = 'Points-Table'!$A$7), 'Points-Table'!$C$7,
                (Y27 = 'Points-Table'!$A$8), 'Points-Table'!$C$8,
                (Y27 = 'Points-Table'!$A$9), 'Points-Table'!$C$9,
                (Y27 = 'Points-Table'!$A$10), 'Points-Table'!$C$10,
                (Y27 = 'Points-Table'!$A$11), 'Points-Table'!$C$11,
                (Y27 = 'Points-Table'!$A$12), 'Points-Table'!$C$12,
                (Y27 = 'Points-Table'!$A$13), 'Points-Table'!$C$13,
                true, 0
              )
            </f>
      </c>
      <c r="AA27" s="6">
        <f>SUM(V27,X27,Z27)</f>
      </c>
      <c r="AB27" s="6">
        <f>
      Ifs( 
        ISBETWEEN(AA27, 0, 'Points-Table'!C$20, TRUE, False), 'Points-Table'!A$20,
        ISBETWEEN(AA27, 'Points-Table'!C$20, 'Points-Table'!C$21, TRUE, False), 'Points-Table'!A$21,
        ISBETWEEN(AA27, 'Points-Table'!C$22, 10000, TRUE, TRUE), 'Points-Table'!A$22,
        true, 
        0)
      </f>
      </c>
      <c r="AC27" s="6" t="s">
        <v>56</v>
      </c>
      <c r="AD27" s="6" t="s">
        <v>56</v>
      </c>
      <c r="AE27" s="6" t="s">
        <v>56</v>
      </c>
    </row>
    <row r="28" spans="1:31" s="6" customFormat="1" x14ac:dyDescent="0.25">
      <c r="A28" s="6" t="s">
        <v>189</v>
      </c>
      <c r="B28" s="6" t="s">
        <v>224</v>
      </c>
      <c r="C28" s="6" t="s">
        <v>230</v>
      </c>
      <c r="D28" s="6"/>
      <c r="E28" s="6"/>
      <c r="F28" s="6"/>
      <c r="G28" s="6"/>
      <c r="H28" s="6"/>
      <c r="I28" s="6"/>
      <c r="J28" s="6"/>
      <c r="K28" s="6" t="s">
        <v>84</v>
      </c>
      <c r="L28" s="6" t="s">
        <v>85</v>
      </c>
      <c r="M28" s="6"/>
      <c r="N28" s="6"/>
      <c r="O28" s="6"/>
      <c r="P28" s="6"/>
      <c r="Q28" s="11"/>
      <c r="R28" s="12">
        <f>
              Ifs(
                (Q28 = 'Points-Table'!$A$4), 'Points-Table'!$C$4,
                (Q28 = 'Points-Table'!$A$5), 'Points-Table'!$C$5,
                (Q28 = 'Points-Table'!$A$6), 'Points-Table'!$C$6,
                (Q28 = 'Points-Table'!$A$7), 'Points-Table'!$C$7,
                (Q28 = 'Points-Table'!$A$8), 'Points-Table'!$C$8,
                (Q28 = 'Points-Table'!$A$9), 'Points-Table'!$C$9,
                (Q28 = 'Points-Table'!$A$10), 'Points-Table'!$C$10,
                (Q28 = 'Points-Table'!$A$11), 'Points-Table'!$C$11,
                (Q28 = 'Points-Table'!$A$12), 'Points-Table'!$C$12,
                (Q28 = 'Points-Table'!$A$13), 'Points-Table'!$C$13,
                true, 0
              )
            </f>
      </c>
      <c r="S28" s="11"/>
      <c r="T28" s="12">
        <f>
              Ifs(
                (S28 = 'Points-Table'!$A$4), 'Points-Table'!$C$4,
                (S28 = 'Points-Table'!$A$5), 'Points-Table'!$C$5,
                (S28 = 'Points-Table'!$A$6), 'Points-Table'!$C$6,
                (S28 = 'Points-Table'!$A$7), 'Points-Table'!$C$7,
                (S28 = 'Points-Table'!$A$8), 'Points-Table'!$C$8,
                (S28 = 'Points-Table'!$A$9), 'Points-Table'!$C$9,
                (S28 = 'Points-Table'!$A$10), 'Points-Table'!$C$10,
                (S28 = 'Points-Table'!$A$11), 'Points-Table'!$C$11,
                (S28 = 'Points-Table'!$A$12), 'Points-Table'!$C$12,
                (S28 = 'Points-Table'!$A$13), 'Points-Table'!$C$13,
                true, 0
              )
            </f>
      </c>
      <c r="U28" s="11">
        <v>3</v>
      </c>
      <c r="V28" s="12">
        <f>
              Ifs(
                (U28 = 'Points-Table'!$A$4), 'Points-Table'!$C$4,
                (U28 = 'Points-Table'!$A$5), 'Points-Table'!$C$5,
                (U28 = 'Points-Table'!$A$6), 'Points-Table'!$C$6,
                (U28 = 'Points-Table'!$A$7), 'Points-Table'!$C$7,
                (U28 = 'Points-Table'!$A$8), 'Points-Table'!$C$8,
                (U28 = 'Points-Table'!$A$9), 'Points-Table'!$C$9,
                (U28 = 'Points-Table'!$A$10), 'Points-Table'!$C$10,
                (U28 = 'Points-Table'!$A$11), 'Points-Table'!$C$11,
                (U28 = 'Points-Table'!$A$12), 'Points-Table'!$C$12,
                (U28 = 'Points-Table'!$A$13), 'Points-Table'!$C$13,
                true, 0
              )
            </f>
      </c>
      <c r="W28" s="11">
        <v>0</v>
      </c>
      <c r="X28" s="12">
        <f>
              Ifs(
                (W28 = 'Points-Table'!$A$4), 'Points-Table'!$C$4,
                (W28 = 'Points-Table'!$A$5), 'Points-Table'!$C$5,
                (W28 = 'Points-Table'!$A$6), 'Points-Table'!$C$6,
                (W28 = 'Points-Table'!$A$7), 'Points-Table'!$C$7,
                (W28 = 'Points-Table'!$A$8), 'Points-Table'!$C$8,
                (W28 = 'Points-Table'!$A$9), 'Points-Table'!$C$9,
                (W28 = 'Points-Table'!$A$10), 'Points-Table'!$C$10,
                (W28 = 'Points-Table'!$A$11), 'Points-Table'!$C$11,
                (W28 = 'Points-Table'!$A$12), 'Points-Table'!$C$12,
                (W28 = 'Points-Table'!$A$13), 'Points-Table'!$C$13,
                true, 0
              )
            </f>
      </c>
      <c r="Y28" s="11">
        <v>0</v>
      </c>
      <c r="Z28" s="12">
        <f>
              Ifs(
                (Y28 = 'Points-Table'!$A$4), 'Points-Table'!$C$4,
                (Y28 = 'Points-Table'!$A$5), 'Points-Table'!$C$5,
                (Y28 = 'Points-Table'!$A$6), 'Points-Table'!$C$6,
                (Y28 = 'Points-Table'!$A$7), 'Points-Table'!$C$7,
                (Y28 = 'Points-Table'!$A$8), 'Points-Table'!$C$8,
                (Y28 = 'Points-Table'!$A$9), 'Points-Table'!$C$9,
                (Y28 = 'Points-Table'!$A$10), 'Points-Table'!$C$10,
                (Y28 = 'Points-Table'!$A$11), 'Points-Table'!$C$11,
                (Y28 = 'Points-Table'!$A$12), 'Points-Table'!$C$12,
                (Y28 = 'Points-Table'!$A$13), 'Points-Table'!$C$13,
                true, 0
              )
            </f>
      </c>
      <c r="AA28" s="6">
        <f>SUM(V28,X28,Z28)</f>
      </c>
      <c r="AB28" s="6">
        <f>
      Ifs( 
        ISBETWEEN(AA28, 0, 'Points-Table'!C$20, TRUE, False), 'Points-Table'!A$20,
        ISBETWEEN(AA28, 'Points-Table'!C$20, 'Points-Table'!C$21, TRUE, False), 'Points-Table'!A$21,
        ISBETWEEN(AA28, 'Points-Table'!C$22, 10000, TRUE, TRUE), 'Points-Table'!A$22,
        true, 
        0)
      </f>
      </c>
      <c r="AC28" s="6" t="s">
        <v>56</v>
      </c>
      <c r="AD28" s="6" t="s">
        <v>56</v>
      </c>
      <c r="AE28" s="6" t="s">
        <v>56</v>
      </c>
    </row>
    <row r="29" spans="1:31" s="6" customFormat="1" x14ac:dyDescent="0.25">
      <c r="A29" s="6" t="s">
        <v>189</v>
      </c>
      <c r="B29" s="6" t="s">
        <v>224</v>
      </c>
      <c r="C29" s="6" t="s">
        <v>231</v>
      </c>
      <c r="D29" s="6"/>
      <c r="E29" s="6"/>
      <c r="F29" s="6" t="s">
        <v>232</v>
      </c>
      <c r="G29" s="6"/>
      <c r="H29" s="6"/>
      <c r="I29" s="6"/>
      <c r="J29" s="6"/>
      <c r="K29" s="6" t="s">
        <v>84</v>
      </c>
      <c r="L29" s="6" t="s">
        <v>85</v>
      </c>
      <c r="M29" s="6"/>
      <c r="N29" s="6"/>
      <c r="O29" s="6"/>
      <c r="P29" s="6"/>
      <c r="Q29" s="11"/>
      <c r="R29" s="12">
        <f>
              Ifs(
                (Q29 = 'Points-Table'!$A$4), 'Points-Table'!$C$4,
                (Q29 = 'Points-Table'!$A$5), 'Points-Table'!$C$5,
                (Q29 = 'Points-Table'!$A$6), 'Points-Table'!$C$6,
                (Q29 = 'Points-Table'!$A$7), 'Points-Table'!$C$7,
                (Q29 = 'Points-Table'!$A$8), 'Points-Table'!$C$8,
                (Q29 = 'Points-Table'!$A$9), 'Points-Table'!$C$9,
                (Q29 = 'Points-Table'!$A$10), 'Points-Table'!$C$10,
                (Q29 = 'Points-Table'!$A$11), 'Points-Table'!$C$11,
                (Q29 = 'Points-Table'!$A$12), 'Points-Table'!$C$12,
                (Q29 = 'Points-Table'!$A$13), 'Points-Table'!$C$13,
                true, 0
              )
            </f>
      </c>
      <c r="S29" s="11"/>
      <c r="T29" s="12">
        <f>
              Ifs(
                (S29 = 'Points-Table'!$A$4), 'Points-Table'!$C$4,
                (S29 = 'Points-Table'!$A$5), 'Points-Table'!$C$5,
                (S29 = 'Points-Table'!$A$6), 'Points-Table'!$C$6,
                (S29 = 'Points-Table'!$A$7), 'Points-Table'!$C$7,
                (S29 = 'Points-Table'!$A$8), 'Points-Table'!$C$8,
                (S29 = 'Points-Table'!$A$9), 'Points-Table'!$C$9,
                (S29 = 'Points-Table'!$A$10), 'Points-Table'!$C$10,
                (S29 = 'Points-Table'!$A$11), 'Points-Table'!$C$11,
                (S29 = 'Points-Table'!$A$12), 'Points-Table'!$C$12,
                (S29 = 'Points-Table'!$A$13), 'Points-Table'!$C$13,
                true, 0
              )
            </f>
      </c>
      <c r="U29" s="11">
        <v>8</v>
      </c>
      <c r="V29" s="12">
        <f>
              Ifs(
                (U29 = 'Points-Table'!$A$4), 'Points-Table'!$C$4,
                (U29 = 'Points-Table'!$A$5), 'Points-Table'!$C$5,
                (U29 = 'Points-Table'!$A$6), 'Points-Table'!$C$6,
                (U29 = 'Points-Table'!$A$7), 'Points-Table'!$C$7,
                (U29 = 'Points-Table'!$A$8), 'Points-Table'!$C$8,
                (U29 = 'Points-Table'!$A$9), 'Points-Table'!$C$9,
                (U29 = 'Points-Table'!$A$10), 'Points-Table'!$C$10,
                (U29 = 'Points-Table'!$A$11), 'Points-Table'!$C$11,
                (U29 = 'Points-Table'!$A$12), 'Points-Table'!$C$12,
                (U29 = 'Points-Table'!$A$13), 'Points-Table'!$C$13,
                true, 0
              )
            </f>
      </c>
      <c r="W29" s="11">
        <v>2</v>
      </c>
      <c r="X29" s="12">
        <f>
              Ifs(
                (W29 = 'Points-Table'!$A$4), 'Points-Table'!$C$4,
                (W29 = 'Points-Table'!$A$5), 'Points-Table'!$C$5,
                (W29 = 'Points-Table'!$A$6), 'Points-Table'!$C$6,
                (W29 = 'Points-Table'!$A$7), 'Points-Table'!$C$7,
                (W29 = 'Points-Table'!$A$8), 'Points-Table'!$C$8,
                (W29 = 'Points-Table'!$A$9), 'Points-Table'!$C$9,
                (W29 = 'Points-Table'!$A$10), 'Points-Table'!$C$10,
                (W29 = 'Points-Table'!$A$11), 'Points-Table'!$C$11,
                (W29 = 'Points-Table'!$A$12), 'Points-Table'!$C$12,
                (W29 = 'Points-Table'!$A$13), 'Points-Table'!$C$13,
                true, 0
              )
            </f>
      </c>
      <c r="Y29" s="11">
        <v>13</v>
      </c>
      <c r="Z29" s="12">
        <f>
              Ifs(
                (Y29 = 'Points-Table'!$A$4), 'Points-Table'!$C$4,
                (Y29 = 'Points-Table'!$A$5), 'Points-Table'!$C$5,
                (Y29 = 'Points-Table'!$A$6), 'Points-Table'!$C$6,
                (Y29 = 'Points-Table'!$A$7), 'Points-Table'!$C$7,
                (Y29 = 'Points-Table'!$A$8), 'Points-Table'!$C$8,
                (Y29 = 'Points-Table'!$A$9), 'Points-Table'!$C$9,
                (Y29 = 'Points-Table'!$A$10), 'Points-Table'!$C$10,
                (Y29 = 'Points-Table'!$A$11), 'Points-Table'!$C$11,
                (Y29 = 'Points-Table'!$A$12), 'Points-Table'!$C$12,
                (Y29 = 'Points-Table'!$A$13), 'Points-Table'!$C$13,
                true, 0
              )
            </f>
      </c>
      <c r="AA29" s="6">
        <f>SUM(V29,X29,Z29)</f>
      </c>
      <c r="AB29" s="6">
        <f>
      Ifs( 
        ISBETWEEN(AA29, 0, 'Points-Table'!C$20, TRUE, False), 'Points-Table'!A$20,
        ISBETWEEN(AA29, 'Points-Table'!C$20, 'Points-Table'!C$21, TRUE, False), 'Points-Table'!A$21,
        ISBETWEEN(AA29, 'Points-Table'!C$22, 10000, TRUE, TRUE), 'Points-Table'!A$22,
        true, 
        0)
      </f>
      </c>
      <c r="AC29" s="6" t="s">
        <v>56</v>
      </c>
      <c r="AD29" s="6" t="s">
        <v>56</v>
      </c>
      <c r="AE29" s="6" t="s">
        <v>56</v>
      </c>
    </row>
    <row r="30" spans="1:31" s="6" customFormat="1" x14ac:dyDescent="0.25">
      <c r="A30" s="6" t="s">
        <v>189</v>
      </c>
      <c r="B30" s="6" t="s">
        <v>233</v>
      </c>
      <c r="D30" s="6"/>
      <c r="E30" s="6"/>
      <c r="F30" s="6"/>
      <c r="G30" s="6"/>
      <c r="H30" s="6"/>
      <c r="I30" s="6"/>
      <c r="J30" s="6"/>
      <c r="K30" s="6" t="s">
        <v>84</v>
      </c>
      <c r="L30" s="6" t="s">
        <v>85</v>
      </c>
      <c r="M30" s="6"/>
      <c r="N30" s="6"/>
      <c r="O30" s="6"/>
      <c r="P30" s="6"/>
      <c r="Q30" s="11"/>
      <c r="R30" s="12">
        <f>
              Ifs(
                (Q30 = 'Points-Table'!$A$4), 'Points-Table'!$C$4,
                (Q30 = 'Points-Table'!$A$5), 'Points-Table'!$C$5,
                (Q30 = 'Points-Table'!$A$6), 'Points-Table'!$C$6,
                (Q30 = 'Points-Table'!$A$7), 'Points-Table'!$C$7,
                (Q30 = 'Points-Table'!$A$8), 'Points-Table'!$C$8,
                (Q30 = 'Points-Table'!$A$9), 'Points-Table'!$C$9,
                (Q30 = 'Points-Table'!$A$10), 'Points-Table'!$C$10,
                (Q30 = 'Points-Table'!$A$11), 'Points-Table'!$C$11,
                (Q30 = 'Points-Table'!$A$12), 'Points-Table'!$C$12,
                (Q30 = 'Points-Table'!$A$13), 'Points-Table'!$C$13,
                true, 0
              )
            </f>
      </c>
      <c r="S30" s="11"/>
      <c r="T30" s="12">
        <f>
              Ifs(
                (S30 = 'Points-Table'!$A$4), 'Points-Table'!$C$4,
                (S30 = 'Points-Table'!$A$5), 'Points-Table'!$C$5,
                (S30 = 'Points-Table'!$A$6), 'Points-Table'!$C$6,
                (S30 = 'Points-Table'!$A$7), 'Points-Table'!$C$7,
                (S30 = 'Points-Table'!$A$8), 'Points-Table'!$C$8,
                (S30 = 'Points-Table'!$A$9), 'Points-Table'!$C$9,
                (S30 = 'Points-Table'!$A$10), 'Points-Table'!$C$10,
                (S30 = 'Points-Table'!$A$11), 'Points-Table'!$C$11,
                (S30 = 'Points-Table'!$A$12), 'Points-Table'!$C$12,
                (S30 = 'Points-Table'!$A$13), 'Points-Table'!$C$13,
                true, 0
              )
            </f>
      </c>
      <c r="U30" s="11">
        <v>3</v>
      </c>
      <c r="V30" s="12">
        <f>
              Ifs(
                (U30 = 'Points-Table'!$A$4), 'Points-Table'!$C$4,
                (U30 = 'Points-Table'!$A$5), 'Points-Table'!$C$5,
                (U30 = 'Points-Table'!$A$6), 'Points-Table'!$C$6,
                (U30 = 'Points-Table'!$A$7), 'Points-Table'!$C$7,
                (U30 = 'Points-Table'!$A$8), 'Points-Table'!$C$8,
                (U30 = 'Points-Table'!$A$9), 'Points-Table'!$C$9,
                (U30 = 'Points-Table'!$A$10), 'Points-Table'!$C$10,
                (U30 = 'Points-Table'!$A$11), 'Points-Table'!$C$11,
                (U30 = 'Points-Table'!$A$12), 'Points-Table'!$C$12,
                (U30 = 'Points-Table'!$A$13), 'Points-Table'!$C$13,
                true, 0
              )
            </f>
      </c>
      <c r="W30" s="11">
        <v>1</v>
      </c>
      <c r="X30" s="12">
        <f>
              Ifs(
                (W30 = 'Points-Table'!$A$4), 'Points-Table'!$C$4,
                (W30 = 'Points-Table'!$A$5), 'Points-Table'!$C$5,
                (W30 = 'Points-Table'!$A$6), 'Points-Table'!$C$6,
                (W30 = 'Points-Table'!$A$7), 'Points-Table'!$C$7,
                (W30 = 'Points-Table'!$A$8), 'Points-Table'!$C$8,
                (W30 = 'Points-Table'!$A$9), 'Points-Table'!$C$9,
                (W30 = 'Points-Table'!$A$10), 'Points-Table'!$C$10,
                (W30 = 'Points-Table'!$A$11), 'Points-Table'!$C$11,
                (W30 = 'Points-Table'!$A$12), 'Points-Table'!$C$12,
                (W30 = 'Points-Table'!$A$13), 'Points-Table'!$C$13,
                true, 0
              )
            </f>
      </c>
      <c r="Y30" s="11">
        <v>3</v>
      </c>
      <c r="Z30" s="12">
        <f>
              Ifs(
                (Y30 = 'Points-Table'!$A$4), 'Points-Table'!$C$4,
                (Y30 = 'Points-Table'!$A$5), 'Points-Table'!$C$5,
                (Y30 = 'Points-Table'!$A$6), 'Points-Table'!$C$6,
                (Y30 = 'Points-Table'!$A$7), 'Points-Table'!$C$7,
                (Y30 = 'Points-Table'!$A$8), 'Points-Table'!$C$8,
                (Y30 = 'Points-Table'!$A$9), 'Points-Table'!$C$9,
                (Y30 = 'Points-Table'!$A$10), 'Points-Table'!$C$10,
                (Y30 = 'Points-Table'!$A$11), 'Points-Table'!$C$11,
                (Y30 = 'Points-Table'!$A$12), 'Points-Table'!$C$12,
                (Y30 = 'Points-Table'!$A$13), 'Points-Table'!$C$13,
                true, 0
              )
            </f>
      </c>
      <c r="AA30" s="6">
        <f>SUM(V30,X30,Z30)</f>
      </c>
      <c r="AB30" s="6">
        <f>
      Ifs( 
        ISBETWEEN(AA30, 0, 'Points-Table'!C$20, TRUE, False), 'Points-Table'!A$20,
        ISBETWEEN(AA30, 'Points-Table'!C$20, 'Points-Table'!C$21, TRUE, False), 'Points-Table'!A$21,
        ISBETWEEN(AA30, 'Points-Table'!C$22, 10000, TRUE, TRUE), 'Points-Table'!A$22,
        true, 
        0)
      </f>
      </c>
      <c r="AC30" s="6" t="s">
        <v>56</v>
      </c>
      <c r="AD30" s="6" t="s">
        <v>56</v>
      </c>
      <c r="AE30" s="6" t="s">
        <v>56</v>
      </c>
    </row>
    <row r="31" spans="1:31" s="6" customFormat="1" x14ac:dyDescent="0.25">
      <c r="A31" s="6" t="s">
        <v>189</v>
      </c>
      <c r="B31" s="6" t="s">
        <v>234</v>
      </c>
      <c r="D31" s="6"/>
      <c r="E31" s="6"/>
      <c r="F31" s="6"/>
      <c r="G31" s="6"/>
      <c r="H31" s="6"/>
      <c r="I31" s="6"/>
      <c r="J31" s="6"/>
      <c r="K31" s="6" t="s">
        <v>84</v>
      </c>
      <c r="L31" s="6" t="s">
        <v>85</v>
      </c>
      <c r="M31" s="6"/>
      <c r="N31" s="6"/>
      <c r="O31" s="6"/>
      <c r="P31" s="6"/>
      <c r="Q31" s="11"/>
      <c r="R31" s="12">
        <f>
              Ifs(
                (Q31 = 'Points-Table'!$A$4), 'Points-Table'!$C$4,
                (Q31 = 'Points-Table'!$A$5), 'Points-Table'!$C$5,
                (Q31 = 'Points-Table'!$A$6), 'Points-Table'!$C$6,
                (Q31 = 'Points-Table'!$A$7), 'Points-Table'!$C$7,
                (Q31 = 'Points-Table'!$A$8), 'Points-Table'!$C$8,
                (Q31 = 'Points-Table'!$A$9), 'Points-Table'!$C$9,
                (Q31 = 'Points-Table'!$A$10), 'Points-Table'!$C$10,
                (Q31 = 'Points-Table'!$A$11), 'Points-Table'!$C$11,
                (Q31 = 'Points-Table'!$A$12), 'Points-Table'!$C$12,
                (Q31 = 'Points-Table'!$A$13), 'Points-Table'!$C$13,
                true, 0
              )
            </f>
      </c>
      <c r="S31" s="11"/>
      <c r="T31" s="12">
        <f>
              Ifs(
                (S31 = 'Points-Table'!$A$4), 'Points-Table'!$C$4,
                (S31 = 'Points-Table'!$A$5), 'Points-Table'!$C$5,
                (S31 = 'Points-Table'!$A$6), 'Points-Table'!$C$6,
                (S31 = 'Points-Table'!$A$7), 'Points-Table'!$C$7,
                (S31 = 'Points-Table'!$A$8), 'Points-Table'!$C$8,
                (S31 = 'Points-Table'!$A$9), 'Points-Table'!$C$9,
                (S31 = 'Points-Table'!$A$10), 'Points-Table'!$C$10,
                (S31 = 'Points-Table'!$A$11), 'Points-Table'!$C$11,
                (S31 = 'Points-Table'!$A$12), 'Points-Table'!$C$12,
                (S31 = 'Points-Table'!$A$13), 'Points-Table'!$C$13,
                true, 0
              )
            </f>
      </c>
      <c r="U31" s="11">
        <v>3</v>
      </c>
      <c r="V31" s="12">
        <f>
              Ifs(
                (U31 = 'Points-Table'!$A$4), 'Points-Table'!$C$4,
                (U31 = 'Points-Table'!$A$5), 'Points-Table'!$C$5,
                (U31 = 'Points-Table'!$A$6), 'Points-Table'!$C$6,
                (U31 = 'Points-Table'!$A$7), 'Points-Table'!$C$7,
                (U31 = 'Points-Table'!$A$8), 'Points-Table'!$C$8,
                (U31 = 'Points-Table'!$A$9), 'Points-Table'!$C$9,
                (U31 = 'Points-Table'!$A$10), 'Points-Table'!$C$10,
                (U31 = 'Points-Table'!$A$11), 'Points-Table'!$C$11,
                (U31 = 'Points-Table'!$A$12), 'Points-Table'!$C$12,
                (U31 = 'Points-Table'!$A$13), 'Points-Table'!$C$13,
                true, 0
              )
            </f>
      </c>
      <c r="W31" s="11">
        <v>1</v>
      </c>
      <c r="X31" s="12">
        <f>
              Ifs(
                (W31 = 'Points-Table'!$A$4), 'Points-Table'!$C$4,
                (W31 = 'Points-Table'!$A$5), 'Points-Table'!$C$5,
                (W31 = 'Points-Table'!$A$6), 'Points-Table'!$C$6,
                (W31 = 'Points-Table'!$A$7), 'Points-Table'!$C$7,
                (W31 = 'Points-Table'!$A$8), 'Points-Table'!$C$8,
                (W31 = 'Points-Table'!$A$9), 'Points-Table'!$C$9,
                (W31 = 'Points-Table'!$A$10), 'Points-Table'!$C$10,
                (W31 = 'Points-Table'!$A$11), 'Points-Table'!$C$11,
                (W31 = 'Points-Table'!$A$12), 'Points-Table'!$C$12,
                (W31 = 'Points-Table'!$A$13), 'Points-Table'!$C$13,
                true, 0
              )
            </f>
      </c>
      <c r="Y31" s="11">
        <v>3</v>
      </c>
      <c r="Z31" s="12">
        <f>
              Ifs(
                (Y31 = 'Points-Table'!$A$4), 'Points-Table'!$C$4,
                (Y31 = 'Points-Table'!$A$5), 'Points-Table'!$C$5,
                (Y31 = 'Points-Table'!$A$6), 'Points-Table'!$C$6,
                (Y31 = 'Points-Table'!$A$7), 'Points-Table'!$C$7,
                (Y31 = 'Points-Table'!$A$8), 'Points-Table'!$C$8,
                (Y31 = 'Points-Table'!$A$9), 'Points-Table'!$C$9,
                (Y31 = 'Points-Table'!$A$10), 'Points-Table'!$C$10,
                (Y31 = 'Points-Table'!$A$11), 'Points-Table'!$C$11,
                (Y31 = 'Points-Table'!$A$12), 'Points-Table'!$C$12,
                (Y31 = 'Points-Table'!$A$13), 'Points-Table'!$C$13,
                true, 0
              )
            </f>
      </c>
      <c r="AA31" s="6">
        <f>SUM(V31,X31,Z31)</f>
      </c>
      <c r="AB31" s="6">
        <f>
      Ifs( 
        ISBETWEEN(AA31, 0, 'Points-Table'!C$20, TRUE, False), 'Points-Table'!A$20,
        ISBETWEEN(AA31, 'Points-Table'!C$20, 'Points-Table'!C$21, TRUE, False), 'Points-Table'!A$21,
        ISBETWEEN(AA31, 'Points-Table'!C$22, 10000, TRUE, TRUE), 'Points-Table'!A$22,
        true, 
        0)
      </f>
      </c>
      <c r="AC31" s="6" t="s">
        <v>56</v>
      </c>
      <c r="AD31" s="6" t="s">
        <v>56</v>
      </c>
      <c r="AE31" s="6" t="s">
        <v>56</v>
      </c>
    </row>
    <row r="32" spans="1:31" s="6" customFormat="1" x14ac:dyDescent="0.25">
      <c r="A32" s="6" t="s">
        <v>189</v>
      </c>
      <c r="B32" s="6" t="s">
        <v>235</v>
      </c>
      <c r="C32" s="6" t="s">
        <v>236</v>
      </c>
      <c r="D32" s="6"/>
      <c r="E32" s="6"/>
      <c r="F32" s="6" t="s">
        <v>237</v>
      </c>
      <c r="G32" s="6"/>
      <c r="H32" s="6"/>
      <c r="I32" s="6"/>
      <c r="J32" s="6"/>
      <c r="K32" s="6" t="s">
        <v>84</v>
      </c>
      <c r="L32" s="6" t="s">
        <v>85</v>
      </c>
      <c r="M32" s="6"/>
      <c r="N32" s="6"/>
      <c r="O32" s="6"/>
      <c r="P32" s="6"/>
      <c r="Q32" s="11"/>
      <c r="R32" s="12">
        <f>
              Ifs(
                (Q32 = 'Points-Table'!$A$4), 'Points-Table'!$C$4,
                (Q32 = 'Points-Table'!$A$5), 'Points-Table'!$C$5,
                (Q32 = 'Points-Table'!$A$6), 'Points-Table'!$C$6,
                (Q32 = 'Points-Table'!$A$7), 'Points-Table'!$C$7,
                (Q32 = 'Points-Table'!$A$8), 'Points-Table'!$C$8,
                (Q32 = 'Points-Table'!$A$9), 'Points-Table'!$C$9,
                (Q32 = 'Points-Table'!$A$10), 'Points-Table'!$C$10,
                (Q32 = 'Points-Table'!$A$11), 'Points-Table'!$C$11,
                (Q32 = 'Points-Table'!$A$12), 'Points-Table'!$C$12,
                (Q32 = 'Points-Table'!$A$13), 'Points-Table'!$C$13,
                true, 0
              )
            </f>
      </c>
      <c r="S32" s="11"/>
      <c r="T32" s="12">
        <f>
              Ifs(
                (S32 = 'Points-Table'!$A$4), 'Points-Table'!$C$4,
                (S32 = 'Points-Table'!$A$5), 'Points-Table'!$C$5,
                (S32 = 'Points-Table'!$A$6), 'Points-Table'!$C$6,
                (S32 = 'Points-Table'!$A$7), 'Points-Table'!$C$7,
                (S32 = 'Points-Table'!$A$8), 'Points-Table'!$C$8,
                (S32 = 'Points-Table'!$A$9), 'Points-Table'!$C$9,
                (S32 = 'Points-Table'!$A$10), 'Points-Table'!$C$10,
                (S32 = 'Points-Table'!$A$11), 'Points-Table'!$C$11,
                (S32 = 'Points-Table'!$A$12), 'Points-Table'!$C$12,
                (S32 = 'Points-Table'!$A$13), 'Points-Table'!$C$13,
                true, 0
              )
            </f>
      </c>
      <c r="U32" s="11">
        <v>8</v>
      </c>
      <c r="V32" s="12">
        <f>
              Ifs(
                (U32 = 'Points-Table'!$A$4), 'Points-Table'!$C$4,
                (U32 = 'Points-Table'!$A$5), 'Points-Table'!$C$5,
                (U32 = 'Points-Table'!$A$6), 'Points-Table'!$C$6,
                (U32 = 'Points-Table'!$A$7), 'Points-Table'!$C$7,
                (U32 = 'Points-Table'!$A$8), 'Points-Table'!$C$8,
                (U32 = 'Points-Table'!$A$9), 'Points-Table'!$C$9,
                (U32 = 'Points-Table'!$A$10), 'Points-Table'!$C$10,
                (U32 = 'Points-Table'!$A$11), 'Points-Table'!$C$11,
                (U32 = 'Points-Table'!$A$12), 'Points-Table'!$C$12,
                (U32 = 'Points-Table'!$A$13), 'Points-Table'!$C$13,
                true, 0
              )
            </f>
      </c>
      <c r="W32" s="11">
        <v>2</v>
      </c>
      <c r="X32" s="12">
        <f>
              Ifs(
                (W32 = 'Points-Table'!$A$4), 'Points-Table'!$C$4,
                (W32 = 'Points-Table'!$A$5), 'Points-Table'!$C$5,
                (W32 = 'Points-Table'!$A$6), 'Points-Table'!$C$6,
                (W32 = 'Points-Table'!$A$7), 'Points-Table'!$C$7,
                (W32 = 'Points-Table'!$A$8), 'Points-Table'!$C$8,
                (W32 = 'Points-Table'!$A$9), 'Points-Table'!$C$9,
                (W32 = 'Points-Table'!$A$10), 'Points-Table'!$C$10,
                (W32 = 'Points-Table'!$A$11), 'Points-Table'!$C$11,
                (W32 = 'Points-Table'!$A$12), 'Points-Table'!$C$12,
                (W32 = 'Points-Table'!$A$13), 'Points-Table'!$C$13,
                true, 0
              )
            </f>
      </c>
      <c r="Y32" s="11">
        <v>8</v>
      </c>
      <c r="Z32" s="12">
        <f>
              Ifs(
                (Y32 = 'Points-Table'!$A$4), 'Points-Table'!$C$4,
                (Y32 = 'Points-Table'!$A$5), 'Points-Table'!$C$5,
                (Y32 = 'Points-Table'!$A$6), 'Points-Table'!$C$6,
                (Y32 = 'Points-Table'!$A$7), 'Points-Table'!$C$7,
                (Y32 = 'Points-Table'!$A$8), 'Points-Table'!$C$8,
                (Y32 = 'Points-Table'!$A$9), 'Points-Table'!$C$9,
                (Y32 = 'Points-Table'!$A$10), 'Points-Table'!$C$10,
                (Y32 = 'Points-Table'!$A$11), 'Points-Table'!$C$11,
                (Y32 = 'Points-Table'!$A$12), 'Points-Table'!$C$12,
                (Y32 = 'Points-Table'!$A$13), 'Points-Table'!$C$13,
                true, 0
              )
            </f>
      </c>
      <c r="AA32" s="6">
        <f>SUM(V32,X32,Z32)</f>
      </c>
      <c r="AB32" s="6">
        <f>
      Ifs( 
        ISBETWEEN(AA32, 0, 'Points-Table'!C$20, TRUE, False), 'Points-Table'!A$20,
        ISBETWEEN(AA32, 'Points-Table'!C$20, 'Points-Table'!C$21, TRUE, False), 'Points-Table'!A$21,
        ISBETWEEN(AA32, 'Points-Table'!C$22, 10000, TRUE, TRUE), 'Points-Table'!A$22,
        true, 
        0)
      </f>
      </c>
      <c r="AC32" s="6" t="s">
        <v>56</v>
      </c>
      <c r="AD32" s="6" t="s">
        <v>56</v>
      </c>
      <c r="AE32" s="6" t="s">
        <v>56</v>
      </c>
    </row>
    <row r="33" spans="1:31" s="6" customFormat="1" x14ac:dyDescent="0.25">
      <c r="A33" s="6" t="s">
        <v>189</v>
      </c>
      <c r="B33" s="6" t="s">
        <v>235</v>
      </c>
      <c r="C33" s="6" t="s">
        <v>238</v>
      </c>
      <c r="D33" s="6"/>
      <c r="E33" s="6"/>
      <c r="F33" s="6" t="s">
        <v>239</v>
      </c>
      <c r="G33" s="6"/>
      <c r="H33" s="6"/>
      <c r="I33" s="6"/>
      <c r="J33" s="6"/>
      <c r="K33" s="6" t="s">
        <v>84</v>
      </c>
      <c r="L33" s="6" t="s">
        <v>85</v>
      </c>
      <c r="M33" s="6"/>
      <c r="N33" s="6"/>
      <c r="O33" s="6"/>
      <c r="P33" s="6"/>
      <c r="Q33" s="11"/>
      <c r="R33" s="12">
        <f>
              Ifs(
                (Q33 = 'Points-Table'!$A$4), 'Points-Table'!$C$4,
                (Q33 = 'Points-Table'!$A$5), 'Points-Table'!$C$5,
                (Q33 = 'Points-Table'!$A$6), 'Points-Table'!$C$6,
                (Q33 = 'Points-Table'!$A$7), 'Points-Table'!$C$7,
                (Q33 = 'Points-Table'!$A$8), 'Points-Table'!$C$8,
                (Q33 = 'Points-Table'!$A$9), 'Points-Table'!$C$9,
                (Q33 = 'Points-Table'!$A$10), 'Points-Table'!$C$10,
                (Q33 = 'Points-Table'!$A$11), 'Points-Table'!$C$11,
                (Q33 = 'Points-Table'!$A$12), 'Points-Table'!$C$12,
                (Q33 = 'Points-Table'!$A$13), 'Points-Table'!$C$13,
                true, 0
              )
            </f>
      </c>
      <c r="S33" s="11"/>
      <c r="T33" s="12">
        <f>
              Ifs(
                (S33 = 'Points-Table'!$A$4), 'Points-Table'!$C$4,
                (S33 = 'Points-Table'!$A$5), 'Points-Table'!$C$5,
                (S33 = 'Points-Table'!$A$6), 'Points-Table'!$C$6,
                (S33 = 'Points-Table'!$A$7), 'Points-Table'!$C$7,
                (S33 = 'Points-Table'!$A$8), 'Points-Table'!$C$8,
                (S33 = 'Points-Table'!$A$9), 'Points-Table'!$C$9,
                (S33 = 'Points-Table'!$A$10), 'Points-Table'!$C$10,
                (S33 = 'Points-Table'!$A$11), 'Points-Table'!$C$11,
                (S33 = 'Points-Table'!$A$12), 'Points-Table'!$C$12,
                (S33 = 'Points-Table'!$A$13), 'Points-Table'!$C$13,
                true, 0
              )
            </f>
      </c>
      <c r="U33" s="11">
        <v>5</v>
      </c>
      <c r="V33" s="12">
        <f>
              Ifs(
                (U33 = 'Points-Table'!$A$4), 'Points-Table'!$C$4,
                (U33 = 'Points-Table'!$A$5), 'Points-Table'!$C$5,
                (U33 = 'Points-Table'!$A$6), 'Points-Table'!$C$6,
                (U33 = 'Points-Table'!$A$7), 'Points-Table'!$C$7,
                (U33 = 'Points-Table'!$A$8), 'Points-Table'!$C$8,
                (U33 = 'Points-Table'!$A$9), 'Points-Table'!$C$9,
                (U33 = 'Points-Table'!$A$10), 'Points-Table'!$C$10,
                (U33 = 'Points-Table'!$A$11), 'Points-Table'!$C$11,
                (U33 = 'Points-Table'!$A$12), 'Points-Table'!$C$12,
                (U33 = 'Points-Table'!$A$13), 'Points-Table'!$C$13,
                true, 0
              )
            </f>
      </c>
      <c r="W33" s="11">
        <v>2</v>
      </c>
      <c r="X33" s="12">
        <f>
              Ifs(
                (W33 = 'Points-Table'!$A$4), 'Points-Table'!$C$4,
                (W33 = 'Points-Table'!$A$5), 'Points-Table'!$C$5,
                (W33 = 'Points-Table'!$A$6), 'Points-Table'!$C$6,
                (W33 = 'Points-Table'!$A$7), 'Points-Table'!$C$7,
                (W33 = 'Points-Table'!$A$8), 'Points-Table'!$C$8,
                (W33 = 'Points-Table'!$A$9), 'Points-Table'!$C$9,
                (W33 = 'Points-Table'!$A$10), 'Points-Table'!$C$10,
                (W33 = 'Points-Table'!$A$11), 'Points-Table'!$C$11,
                (W33 = 'Points-Table'!$A$12), 'Points-Table'!$C$12,
                (W33 = 'Points-Table'!$A$13), 'Points-Table'!$C$13,
                true, 0
              )
            </f>
      </c>
      <c r="Y33" s="11">
        <v>8</v>
      </c>
      <c r="Z33" s="12">
        <f>
              Ifs(
                (Y33 = 'Points-Table'!$A$4), 'Points-Table'!$C$4,
                (Y33 = 'Points-Table'!$A$5), 'Points-Table'!$C$5,
                (Y33 = 'Points-Table'!$A$6), 'Points-Table'!$C$6,
                (Y33 = 'Points-Table'!$A$7), 'Points-Table'!$C$7,
                (Y33 = 'Points-Table'!$A$8), 'Points-Table'!$C$8,
                (Y33 = 'Points-Table'!$A$9), 'Points-Table'!$C$9,
                (Y33 = 'Points-Table'!$A$10), 'Points-Table'!$C$10,
                (Y33 = 'Points-Table'!$A$11), 'Points-Table'!$C$11,
                (Y33 = 'Points-Table'!$A$12), 'Points-Table'!$C$12,
                (Y33 = 'Points-Table'!$A$13), 'Points-Table'!$C$13,
                true, 0
              )
            </f>
      </c>
      <c r="AA33" s="6">
        <f>SUM(V33,X33,Z33)</f>
      </c>
      <c r="AB33" s="6">
        <f>
      Ifs( 
        ISBETWEEN(AA33, 0, 'Points-Table'!C$20, TRUE, False), 'Points-Table'!A$20,
        ISBETWEEN(AA33, 'Points-Table'!C$20, 'Points-Table'!C$21, TRUE, False), 'Points-Table'!A$21,
        ISBETWEEN(AA33, 'Points-Table'!C$22, 10000, TRUE, TRUE), 'Points-Table'!A$22,
        true, 
        0)
      </f>
      </c>
      <c r="AC33" s="6" t="s">
        <v>56</v>
      </c>
      <c r="AD33" s="6" t="s">
        <v>56</v>
      </c>
      <c r="AE33" s="6" t="s">
        <v>56</v>
      </c>
    </row>
    <row r="34" spans="1:31" s="6" customFormat="1" x14ac:dyDescent="0.25">
      <c r="A34" s="6" t="s">
        <v>240</v>
      </c>
      <c r="B34" s="6" t="s">
        <v>241</v>
      </c>
      <c r="D34" s="6" t="s">
        <v>242</v>
      </c>
      <c r="E34" s="6"/>
      <c r="F34" s="6" t="s">
        <v>56</v>
      </c>
      <c r="G34" s="6"/>
      <c r="H34" s="6"/>
      <c r="I34" s="6"/>
      <c r="J34" s="6"/>
      <c r="K34" s="6" t="s">
        <v>84</v>
      </c>
      <c r="L34" s="6" t="s">
        <v>85</v>
      </c>
      <c r="M34" s="6"/>
      <c r="N34" s="6"/>
      <c r="O34" s="6"/>
      <c r="P34" s="6"/>
      <c r="Q34" s="11">
        <v>3</v>
      </c>
      <c r="R34" s="12">
        <f>
              Ifs(
                (Q34 = 'Points-Table'!$A$4), 'Points-Table'!$C$4,
                (Q34 = 'Points-Table'!$A$5), 'Points-Table'!$C$5,
                (Q34 = 'Points-Table'!$A$6), 'Points-Table'!$C$6,
                (Q34 = 'Points-Table'!$A$7), 'Points-Table'!$C$7,
                (Q34 = 'Points-Table'!$A$8), 'Points-Table'!$C$8,
                (Q34 = 'Points-Table'!$A$9), 'Points-Table'!$C$9,
                (Q34 = 'Points-Table'!$A$10), 'Points-Table'!$C$10,
                (Q34 = 'Points-Table'!$A$11), 'Points-Table'!$C$11,
                (Q34 = 'Points-Table'!$A$12), 'Points-Table'!$C$12,
                (Q34 = 'Points-Table'!$A$13), 'Points-Table'!$C$13,
                true, 0
              )
            </f>
      </c>
      <c r="S34" s="11">
        <v>3</v>
      </c>
      <c r="T34" s="12">
        <f>
              Ifs(
                (S34 = 'Points-Table'!$A$4), 'Points-Table'!$C$4,
                (S34 = 'Points-Table'!$A$5), 'Points-Table'!$C$5,
                (S34 = 'Points-Table'!$A$6), 'Points-Table'!$C$6,
                (S34 = 'Points-Table'!$A$7), 'Points-Table'!$C$7,
                (S34 = 'Points-Table'!$A$8), 'Points-Table'!$C$8,
                (S34 = 'Points-Table'!$A$9), 'Points-Table'!$C$9,
                (S34 = 'Points-Table'!$A$10), 'Points-Table'!$C$10,
                (S34 = 'Points-Table'!$A$11), 'Points-Table'!$C$11,
                (S34 = 'Points-Table'!$A$12), 'Points-Table'!$C$12,
                (S34 = 'Points-Table'!$A$13), 'Points-Table'!$C$13,
                true, 0
              )
            </f>
      </c>
      <c r="U34" s="11">
        <v>0</v>
      </c>
      <c r="V34" s="12">
        <f>
              Ifs(
                (U34 = 'Points-Table'!$A$4), 'Points-Table'!$C$4,
                (U34 = 'Points-Table'!$A$5), 'Points-Table'!$C$5,
                (U34 = 'Points-Table'!$A$6), 'Points-Table'!$C$6,
                (U34 = 'Points-Table'!$A$7), 'Points-Table'!$C$7,
                (U34 = 'Points-Table'!$A$8), 'Points-Table'!$C$8,
                (U34 = 'Points-Table'!$A$9), 'Points-Table'!$C$9,
                (U34 = 'Points-Table'!$A$10), 'Points-Table'!$C$10,
                (U34 = 'Points-Table'!$A$11), 'Points-Table'!$C$11,
                (U34 = 'Points-Table'!$A$12), 'Points-Table'!$C$12,
                (U34 = 'Points-Table'!$A$13), 'Points-Table'!$C$13,
                true, 0
              )
            </f>
      </c>
      <c r="W34" s="11">
        <v>0</v>
      </c>
      <c r="X34" s="12">
        <f>
              Ifs(
                (W34 = 'Points-Table'!$A$4), 'Points-Table'!$C$4,
                (W34 = 'Points-Table'!$A$5), 'Points-Table'!$C$5,
                (W34 = 'Points-Table'!$A$6), 'Points-Table'!$C$6,
                (W34 = 'Points-Table'!$A$7), 'Points-Table'!$C$7,
                (W34 = 'Points-Table'!$A$8), 'Points-Table'!$C$8,
                (W34 = 'Points-Table'!$A$9), 'Points-Table'!$C$9,
                (W34 = 'Points-Table'!$A$10), 'Points-Table'!$C$10,
                (W34 = 'Points-Table'!$A$11), 'Points-Table'!$C$11,
                (W34 = 'Points-Table'!$A$12), 'Points-Table'!$C$12,
                (W34 = 'Points-Table'!$A$13), 'Points-Table'!$C$13,
                true, 0
              )
            </f>
      </c>
      <c r="Y34" s="11">
        <v>0</v>
      </c>
      <c r="Z34" s="12">
        <f>
              Ifs(
                (Y34 = 'Points-Table'!$A$4), 'Points-Table'!$C$4,
                (Y34 = 'Points-Table'!$A$5), 'Points-Table'!$C$5,
                (Y34 = 'Points-Table'!$A$6), 'Points-Table'!$C$6,
                (Y34 = 'Points-Table'!$A$7), 'Points-Table'!$C$7,
                (Y34 = 'Points-Table'!$A$8), 'Points-Table'!$C$8,
                (Y34 = 'Points-Table'!$A$9), 'Points-Table'!$C$9,
                (Y34 = 'Points-Table'!$A$10), 'Points-Table'!$C$10,
                (Y34 = 'Points-Table'!$A$11), 'Points-Table'!$C$11,
                (Y34 = 'Points-Table'!$A$12), 'Points-Table'!$C$12,
                (Y34 = 'Points-Table'!$A$13), 'Points-Table'!$C$13,
                true, 0
              )
            </f>
      </c>
      <c r="AA34" s="6">
        <f>SUM(V34,X34,Z34)</f>
      </c>
      <c r="AB34" s="6">
        <f>
      Ifs( 
        ISBETWEEN(AA34, 0, 'Points-Table'!C$20, TRUE, False), 'Points-Table'!A$20,
        ISBETWEEN(AA34, 'Points-Table'!C$20, 'Points-Table'!C$21, TRUE, False), 'Points-Table'!A$21,
        ISBETWEEN(AA34, 'Points-Table'!C$22, 10000, TRUE, TRUE), 'Points-Table'!A$22,
        true, 
        0)
      </f>
      </c>
      <c r="AC34" s="6" t="s">
        <v>56</v>
      </c>
      <c r="AD34" s="6" t="s">
        <v>56</v>
      </c>
      <c r="AE34" s="6" t="s">
        <v>56</v>
      </c>
    </row>
    <row r="35" spans="1:31" s="6" customFormat="1" x14ac:dyDescent="0.25">
      <c r="A35" s="6" t="s">
        <v>240</v>
      </c>
      <c r="B35" s="6" t="s">
        <v>243</v>
      </c>
      <c r="D35" s="6"/>
      <c r="E35" s="6"/>
      <c r="F35" s="6" t="s">
        <v>56</v>
      </c>
      <c r="G35" s="6"/>
      <c r="H35" s="6"/>
      <c r="I35" s="6"/>
      <c r="J35" s="6"/>
      <c r="K35" s="6" t="s">
        <v>84</v>
      </c>
      <c r="L35" s="6" t="s">
        <v>85</v>
      </c>
      <c r="M35" s="6"/>
      <c r="N35" s="6"/>
      <c r="O35" s="6"/>
      <c r="P35" s="6"/>
      <c r="Q35" s="11">
        <v>3</v>
      </c>
      <c r="R35" s="12">
        <f>
              Ifs(
                (Q35 = 'Points-Table'!$A$4), 'Points-Table'!$C$4,
                (Q35 = 'Points-Table'!$A$5), 'Points-Table'!$C$5,
                (Q35 = 'Points-Table'!$A$6), 'Points-Table'!$C$6,
                (Q35 = 'Points-Table'!$A$7), 'Points-Table'!$C$7,
                (Q35 = 'Points-Table'!$A$8), 'Points-Table'!$C$8,
                (Q35 = 'Points-Table'!$A$9), 'Points-Table'!$C$9,
                (Q35 = 'Points-Table'!$A$10), 'Points-Table'!$C$10,
                (Q35 = 'Points-Table'!$A$11), 'Points-Table'!$C$11,
                (Q35 = 'Points-Table'!$A$12), 'Points-Table'!$C$12,
                (Q35 = 'Points-Table'!$A$13), 'Points-Table'!$C$13,
                true, 0
              )
            </f>
      </c>
      <c r="S35" s="11">
        <v>3</v>
      </c>
      <c r="T35" s="12">
        <f>
              Ifs(
                (S35 = 'Points-Table'!$A$4), 'Points-Table'!$C$4,
                (S35 = 'Points-Table'!$A$5), 'Points-Table'!$C$5,
                (S35 = 'Points-Table'!$A$6), 'Points-Table'!$C$6,
                (S35 = 'Points-Table'!$A$7), 'Points-Table'!$C$7,
                (S35 = 'Points-Table'!$A$8), 'Points-Table'!$C$8,
                (S35 = 'Points-Table'!$A$9), 'Points-Table'!$C$9,
                (S35 = 'Points-Table'!$A$10), 'Points-Table'!$C$10,
                (S35 = 'Points-Table'!$A$11), 'Points-Table'!$C$11,
                (S35 = 'Points-Table'!$A$12), 'Points-Table'!$C$12,
                (S35 = 'Points-Table'!$A$13), 'Points-Table'!$C$13,
                true, 0
              )
            </f>
      </c>
      <c r="U35" s="11">
        <v>0</v>
      </c>
      <c r="V35" s="12">
        <f>
              Ifs(
                (U35 = 'Points-Table'!$A$4), 'Points-Table'!$C$4,
                (U35 = 'Points-Table'!$A$5), 'Points-Table'!$C$5,
                (U35 = 'Points-Table'!$A$6), 'Points-Table'!$C$6,
                (U35 = 'Points-Table'!$A$7), 'Points-Table'!$C$7,
                (U35 = 'Points-Table'!$A$8), 'Points-Table'!$C$8,
                (U35 = 'Points-Table'!$A$9), 'Points-Table'!$C$9,
                (U35 = 'Points-Table'!$A$10), 'Points-Table'!$C$10,
                (U35 = 'Points-Table'!$A$11), 'Points-Table'!$C$11,
                (U35 = 'Points-Table'!$A$12), 'Points-Table'!$C$12,
                (U35 = 'Points-Table'!$A$13), 'Points-Table'!$C$13,
                true, 0
              )
            </f>
      </c>
      <c r="W35" s="11">
        <v>0</v>
      </c>
      <c r="X35" s="12">
        <f>
              Ifs(
                (W35 = 'Points-Table'!$A$4), 'Points-Table'!$C$4,
                (W35 = 'Points-Table'!$A$5), 'Points-Table'!$C$5,
                (W35 = 'Points-Table'!$A$6), 'Points-Table'!$C$6,
                (W35 = 'Points-Table'!$A$7), 'Points-Table'!$C$7,
                (W35 = 'Points-Table'!$A$8), 'Points-Table'!$C$8,
                (W35 = 'Points-Table'!$A$9), 'Points-Table'!$C$9,
                (W35 = 'Points-Table'!$A$10), 'Points-Table'!$C$10,
                (W35 = 'Points-Table'!$A$11), 'Points-Table'!$C$11,
                (W35 = 'Points-Table'!$A$12), 'Points-Table'!$C$12,
                (W35 = 'Points-Table'!$A$13), 'Points-Table'!$C$13,
                true, 0
              )
            </f>
      </c>
      <c r="Y35" s="11">
        <v>0</v>
      </c>
      <c r="Z35" s="12">
        <f>
              Ifs(
                (Y35 = 'Points-Table'!$A$4), 'Points-Table'!$C$4,
                (Y35 = 'Points-Table'!$A$5), 'Points-Table'!$C$5,
                (Y35 = 'Points-Table'!$A$6), 'Points-Table'!$C$6,
                (Y35 = 'Points-Table'!$A$7), 'Points-Table'!$C$7,
                (Y35 = 'Points-Table'!$A$8), 'Points-Table'!$C$8,
                (Y35 = 'Points-Table'!$A$9), 'Points-Table'!$C$9,
                (Y35 = 'Points-Table'!$A$10), 'Points-Table'!$C$10,
                (Y35 = 'Points-Table'!$A$11), 'Points-Table'!$C$11,
                (Y35 = 'Points-Table'!$A$12), 'Points-Table'!$C$12,
                (Y35 = 'Points-Table'!$A$13), 'Points-Table'!$C$13,
                true, 0
              )
            </f>
      </c>
      <c r="AA35" s="6">
        <f>SUM(V35,X35,Z35)</f>
      </c>
      <c r="AB35" s="6">
        <f>
      Ifs( 
        ISBETWEEN(AA35, 0, 'Points-Table'!C$20, TRUE, False), 'Points-Table'!A$20,
        ISBETWEEN(AA35, 'Points-Table'!C$20, 'Points-Table'!C$21, TRUE, False), 'Points-Table'!A$21,
        ISBETWEEN(AA35, 'Points-Table'!C$22, 10000, TRUE, TRUE), 'Points-Table'!A$22,
        true, 
        0)
      </f>
      </c>
      <c r="AC35" s="6" t="s">
        <v>56</v>
      </c>
      <c r="AD35" s="6" t="s">
        <v>56</v>
      </c>
      <c r="AE35" s="6" t="s">
        <v>56</v>
      </c>
    </row>
    <row r="36" spans="1:31" s="6" customFormat="1" x14ac:dyDescent="0.25">
      <c r="A36" s="6" t="s">
        <v>240</v>
      </c>
      <c r="B36" s="6" t="s">
        <v>244</v>
      </c>
      <c r="D36" s="6"/>
      <c r="E36" s="6"/>
      <c r="F36" s="6" t="s">
        <v>56</v>
      </c>
      <c r="G36" s="6"/>
      <c r="H36" s="6"/>
      <c r="I36" s="6"/>
      <c r="J36" s="6"/>
      <c r="K36" s="6" t="s">
        <v>84</v>
      </c>
      <c r="L36" s="6" t="s">
        <v>85</v>
      </c>
      <c r="M36" s="6"/>
      <c r="N36" s="6"/>
      <c r="O36" s="6"/>
      <c r="P36" s="6"/>
      <c r="Q36" s="11"/>
      <c r="R36" s="12">
        <f>
              Ifs(
                (Q36 = 'Points-Table'!$A$4), 'Points-Table'!$C$4,
                (Q36 = 'Points-Table'!$A$5), 'Points-Table'!$C$5,
                (Q36 = 'Points-Table'!$A$6), 'Points-Table'!$C$6,
                (Q36 = 'Points-Table'!$A$7), 'Points-Table'!$C$7,
                (Q36 = 'Points-Table'!$A$8), 'Points-Table'!$C$8,
                (Q36 = 'Points-Table'!$A$9), 'Points-Table'!$C$9,
                (Q36 = 'Points-Table'!$A$10), 'Points-Table'!$C$10,
                (Q36 = 'Points-Table'!$A$11), 'Points-Table'!$C$11,
                (Q36 = 'Points-Table'!$A$12), 'Points-Table'!$C$12,
                (Q36 = 'Points-Table'!$A$13), 'Points-Table'!$C$13,
                true, 0
              )
            </f>
      </c>
      <c r="S36" s="11"/>
      <c r="T36" s="12">
        <f>
              Ifs(
                (S36 = 'Points-Table'!$A$4), 'Points-Table'!$C$4,
                (S36 = 'Points-Table'!$A$5), 'Points-Table'!$C$5,
                (S36 = 'Points-Table'!$A$6), 'Points-Table'!$C$6,
                (S36 = 'Points-Table'!$A$7), 'Points-Table'!$C$7,
                (S36 = 'Points-Table'!$A$8), 'Points-Table'!$C$8,
                (S36 = 'Points-Table'!$A$9), 'Points-Table'!$C$9,
                (S36 = 'Points-Table'!$A$10), 'Points-Table'!$C$10,
                (S36 = 'Points-Table'!$A$11), 'Points-Table'!$C$11,
                (S36 = 'Points-Table'!$A$12), 'Points-Table'!$C$12,
                (S36 = 'Points-Table'!$A$13), 'Points-Table'!$C$13,
                true, 0
              )
            </f>
      </c>
      <c r="U36" s="11">
        <v>0</v>
      </c>
      <c r="V36" s="12">
        <f>
              Ifs(
                (U36 = 'Points-Table'!$A$4), 'Points-Table'!$C$4,
                (U36 = 'Points-Table'!$A$5), 'Points-Table'!$C$5,
                (U36 = 'Points-Table'!$A$6), 'Points-Table'!$C$6,
                (U36 = 'Points-Table'!$A$7), 'Points-Table'!$C$7,
                (U36 = 'Points-Table'!$A$8), 'Points-Table'!$C$8,
                (U36 = 'Points-Table'!$A$9), 'Points-Table'!$C$9,
                (U36 = 'Points-Table'!$A$10), 'Points-Table'!$C$10,
                (U36 = 'Points-Table'!$A$11), 'Points-Table'!$C$11,
                (U36 = 'Points-Table'!$A$12), 'Points-Table'!$C$12,
                (U36 = 'Points-Table'!$A$13), 'Points-Table'!$C$13,
                true, 0
              )
            </f>
      </c>
      <c r="W36" s="11">
        <v>0</v>
      </c>
      <c r="X36" s="12">
        <f>
              Ifs(
                (W36 = 'Points-Table'!$A$4), 'Points-Table'!$C$4,
                (W36 = 'Points-Table'!$A$5), 'Points-Table'!$C$5,
                (W36 = 'Points-Table'!$A$6), 'Points-Table'!$C$6,
                (W36 = 'Points-Table'!$A$7), 'Points-Table'!$C$7,
                (W36 = 'Points-Table'!$A$8), 'Points-Table'!$C$8,
                (W36 = 'Points-Table'!$A$9), 'Points-Table'!$C$9,
                (W36 = 'Points-Table'!$A$10), 'Points-Table'!$C$10,
                (W36 = 'Points-Table'!$A$11), 'Points-Table'!$C$11,
                (W36 = 'Points-Table'!$A$12), 'Points-Table'!$C$12,
                (W36 = 'Points-Table'!$A$13), 'Points-Table'!$C$13,
                true, 0
              )
            </f>
      </c>
      <c r="Y36" s="11">
        <v>0</v>
      </c>
      <c r="Z36" s="12">
        <f>
              Ifs(
                (Y36 = 'Points-Table'!$A$4), 'Points-Table'!$C$4,
                (Y36 = 'Points-Table'!$A$5), 'Points-Table'!$C$5,
                (Y36 = 'Points-Table'!$A$6), 'Points-Table'!$C$6,
                (Y36 = 'Points-Table'!$A$7), 'Points-Table'!$C$7,
                (Y36 = 'Points-Table'!$A$8), 'Points-Table'!$C$8,
                (Y36 = 'Points-Table'!$A$9), 'Points-Table'!$C$9,
                (Y36 = 'Points-Table'!$A$10), 'Points-Table'!$C$10,
                (Y36 = 'Points-Table'!$A$11), 'Points-Table'!$C$11,
                (Y36 = 'Points-Table'!$A$12), 'Points-Table'!$C$12,
                (Y36 = 'Points-Table'!$A$13), 'Points-Table'!$C$13,
                true, 0
              )
            </f>
      </c>
      <c r="AA36" s="6">
        <f>SUM(V36,X36,Z36)</f>
      </c>
      <c r="AB36" s="6">
        <f>
      Ifs( 
        ISBETWEEN(AA36, 0, 'Points-Table'!C$20, TRUE, False), 'Points-Table'!A$20,
        ISBETWEEN(AA36, 'Points-Table'!C$20, 'Points-Table'!C$21, TRUE, False), 'Points-Table'!A$21,
        ISBETWEEN(AA36, 'Points-Table'!C$22, 10000, TRUE, TRUE), 'Points-Table'!A$22,
        true, 
        0)
      </f>
      </c>
      <c r="AC36" s="6" t="s">
        <v>56</v>
      </c>
      <c r="AD36" s="6" t="s">
        <v>56</v>
      </c>
      <c r="AE36" s="6" t="s">
        <v>56</v>
      </c>
    </row>
    <row r="37" spans="1:31" s="6" customFormat="1" x14ac:dyDescent="0.25">
      <c r="A37" s="6" t="s">
        <v>240</v>
      </c>
      <c r="B37" s="6" t="s">
        <v>245</v>
      </c>
      <c r="D37" s="6"/>
      <c r="E37" s="6"/>
      <c r="F37" s="6"/>
      <c r="G37" s="6"/>
      <c r="H37" s="6"/>
      <c r="I37" s="6"/>
      <c r="J37" s="6"/>
      <c r="K37" s="6" t="s">
        <v>84</v>
      </c>
      <c r="L37" s="6" t="s">
        <v>85</v>
      </c>
      <c r="M37" s="6"/>
      <c r="N37" s="6"/>
      <c r="O37" s="6"/>
      <c r="P37" s="6"/>
      <c r="Q37" s="11"/>
      <c r="R37" s="12">
        <f>
              Ifs(
                (Q37 = 'Points-Table'!$A$4), 'Points-Table'!$C$4,
                (Q37 = 'Points-Table'!$A$5), 'Points-Table'!$C$5,
                (Q37 = 'Points-Table'!$A$6), 'Points-Table'!$C$6,
                (Q37 = 'Points-Table'!$A$7), 'Points-Table'!$C$7,
                (Q37 = 'Points-Table'!$A$8), 'Points-Table'!$C$8,
                (Q37 = 'Points-Table'!$A$9), 'Points-Table'!$C$9,
                (Q37 = 'Points-Table'!$A$10), 'Points-Table'!$C$10,
                (Q37 = 'Points-Table'!$A$11), 'Points-Table'!$C$11,
                (Q37 = 'Points-Table'!$A$12), 'Points-Table'!$C$12,
                (Q37 = 'Points-Table'!$A$13), 'Points-Table'!$C$13,
                true, 0
              )
            </f>
      </c>
      <c r="S37" s="11"/>
      <c r="T37" s="12">
        <f>
              Ifs(
                (S37 = 'Points-Table'!$A$4), 'Points-Table'!$C$4,
                (S37 = 'Points-Table'!$A$5), 'Points-Table'!$C$5,
                (S37 = 'Points-Table'!$A$6), 'Points-Table'!$C$6,
                (S37 = 'Points-Table'!$A$7), 'Points-Table'!$C$7,
                (S37 = 'Points-Table'!$A$8), 'Points-Table'!$C$8,
                (S37 = 'Points-Table'!$A$9), 'Points-Table'!$C$9,
                (S37 = 'Points-Table'!$A$10), 'Points-Table'!$C$10,
                (S37 = 'Points-Table'!$A$11), 'Points-Table'!$C$11,
                (S37 = 'Points-Table'!$A$12), 'Points-Table'!$C$12,
                (S37 = 'Points-Table'!$A$13), 'Points-Table'!$C$13,
                true, 0
              )
            </f>
      </c>
      <c r="U37" s="11">
        <v>5</v>
      </c>
      <c r="V37" s="12">
        <f>
              Ifs(
                (U37 = 'Points-Table'!$A$4), 'Points-Table'!$C$4,
                (U37 = 'Points-Table'!$A$5), 'Points-Table'!$C$5,
                (U37 = 'Points-Table'!$A$6), 'Points-Table'!$C$6,
                (U37 = 'Points-Table'!$A$7), 'Points-Table'!$C$7,
                (U37 = 'Points-Table'!$A$8), 'Points-Table'!$C$8,
                (U37 = 'Points-Table'!$A$9), 'Points-Table'!$C$9,
                (U37 = 'Points-Table'!$A$10), 'Points-Table'!$C$10,
                (U37 = 'Points-Table'!$A$11), 'Points-Table'!$C$11,
                (U37 = 'Points-Table'!$A$12), 'Points-Table'!$C$12,
                (U37 = 'Points-Table'!$A$13), 'Points-Table'!$C$13,
                true, 0
              )
            </f>
      </c>
      <c r="W37" s="11">
        <v>3</v>
      </c>
      <c r="X37" s="12">
        <f>
              Ifs(
                (W37 = 'Points-Table'!$A$4), 'Points-Table'!$C$4,
                (W37 = 'Points-Table'!$A$5), 'Points-Table'!$C$5,
                (W37 = 'Points-Table'!$A$6), 'Points-Table'!$C$6,
                (W37 = 'Points-Table'!$A$7), 'Points-Table'!$C$7,
                (W37 = 'Points-Table'!$A$8), 'Points-Table'!$C$8,
                (W37 = 'Points-Table'!$A$9), 'Points-Table'!$C$9,
                (W37 = 'Points-Table'!$A$10), 'Points-Table'!$C$10,
                (W37 = 'Points-Table'!$A$11), 'Points-Table'!$C$11,
                (W37 = 'Points-Table'!$A$12), 'Points-Table'!$C$12,
                (W37 = 'Points-Table'!$A$13), 'Points-Table'!$C$13,
                true, 0
              )
            </f>
      </c>
      <c r="Y37" s="11">
        <v>5</v>
      </c>
      <c r="Z37" s="12">
        <f>
              Ifs(
                (Y37 = 'Points-Table'!$A$4), 'Points-Table'!$C$4,
                (Y37 = 'Points-Table'!$A$5), 'Points-Table'!$C$5,
                (Y37 = 'Points-Table'!$A$6), 'Points-Table'!$C$6,
                (Y37 = 'Points-Table'!$A$7), 'Points-Table'!$C$7,
                (Y37 = 'Points-Table'!$A$8), 'Points-Table'!$C$8,
                (Y37 = 'Points-Table'!$A$9), 'Points-Table'!$C$9,
                (Y37 = 'Points-Table'!$A$10), 'Points-Table'!$C$10,
                (Y37 = 'Points-Table'!$A$11), 'Points-Table'!$C$11,
                (Y37 = 'Points-Table'!$A$12), 'Points-Table'!$C$12,
                (Y37 = 'Points-Table'!$A$13), 'Points-Table'!$C$13,
                true, 0
              )
            </f>
      </c>
      <c r="AA37" s="6">
        <f>SUM(V37,X37,Z37)</f>
      </c>
      <c r="AB37" s="6">
        <f>
      Ifs( 
        ISBETWEEN(AA37, 0, 'Points-Table'!C$20, TRUE, False), 'Points-Table'!A$20,
        ISBETWEEN(AA37, 'Points-Table'!C$20, 'Points-Table'!C$21, TRUE, False), 'Points-Table'!A$21,
        ISBETWEEN(AA37, 'Points-Table'!C$22, 10000, TRUE, TRUE), 'Points-Table'!A$22,
        true, 
        0)
      </f>
      </c>
      <c r="AC37" s="6" t="s">
        <v>56</v>
      </c>
      <c r="AD37" s="6" t="s">
        <v>56</v>
      </c>
      <c r="AE37" s="6" t="s">
        <v>56</v>
      </c>
    </row>
    <row r="38" spans="1:31" s="6" customFormat="1" x14ac:dyDescent="0.25">
      <c r="A38" s="6" t="s">
        <v>240</v>
      </c>
      <c r="B38" s="6" t="s">
        <v>246</v>
      </c>
      <c r="D38" s="6"/>
      <c r="E38" s="6"/>
      <c r="F38" s="6"/>
      <c r="G38" s="6"/>
      <c r="H38" s="6"/>
      <c r="I38" s="6"/>
      <c r="J38" s="6"/>
      <c r="K38" s="6" t="s">
        <v>84</v>
      </c>
      <c r="L38" s="6" t="s">
        <v>85</v>
      </c>
      <c r="M38" s="6"/>
      <c r="N38" s="6"/>
      <c r="O38" s="6"/>
      <c r="P38" s="6"/>
      <c r="Q38" s="11"/>
      <c r="R38" s="12">
        <f>
              Ifs(
                (Q38 = 'Points-Table'!$A$4), 'Points-Table'!$C$4,
                (Q38 = 'Points-Table'!$A$5), 'Points-Table'!$C$5,
                (Q38 = 'Points-Table'!$A$6), 'Points-Table'!$C$6,
                (Q38 = 'Points-Table'!$A$7), 'Points-Table'!$C$7,
                (Q38 = 'Points-Table'!$A$8), 'Points-Table'!$C$8,
                (Q38 = 'Points-Table'!$A$9), 'Points-Table'!$C$9,
                (Q38 = 'Points-Table'!$A$10), 'Points-Table'!$C$10,
                (Q38 = 'Points-Table'!$A$11), 'Points-Table'!$C$11,
                (Q38 = 'Points-Table'!$A$12), 'Points-Table'!$C$12,
                (Q38 = 'Points-Table'!$A$13), 'Points-Table'!$C$13,
                true, 0
              )
            </f>
      </c>
      <c r="S38" s="11"/>
      <c r="T38" s="12">
        <f>
              Ifs(
                (S38 = 'Points-Table'!$A$4), 'Points-Table'!$C$4,
                (S38 = 'Points-Table'!$A$5), 'Points-Table'!$C$5,
                (S38 = 'Points-Table'!$A$6), 'Points-Table'!$C$6,
                (S38 = 'Points-Table'!$A$7), 'Points-Table'!$C$7,
                (S38 = 'Points-Table'!$A$8), 'Points-Table'!$C$8,
                (S38 = 'Points-Table'!$A$9), 'Points-Table'!$C$9,
                (S38 = 'Points-Table'!$A$10), 'Points-Table'!$C$10,
                (S38 = 'Points-Table'!$A$11), 'Points-Table'!$C$11,
                (S38 = 'Points-Table'!$A$12), 'Points-Table'!$C$12,
                (S38 = 'Points-Table'!$A$13), 'Points-Table'!$C$13,
                true, 0
              )
            </f>
      </c>
      <c r="U38" s="11">
        <v>3</v>
      </c>
      <c r="V38" s="12">
        <f>
              Ifs(
                (U38 = 'Points-Table'!$A$4), 'Points-Table'!$C$4,
                (U38 = 'Points-Table'!$A$5), 'Points-Table'!$C$5,
                (U38 = 'Points-Table'!$A$6), 'Points-Table'!$C$6,
                (U38 = 'Points-Table'!$A$7), 'Points-Table'!$C$7,
                (U38 = 'Points-Table'!$A$8), 'Points-Table'!$C$8,
                (U38 = 'Points-Table'!$A$9), 'Points-Table'!$C$9,
                (U38 = 'Points-Table'!$A$10), 'Points-Table'!$C$10,
                (U38 = 'Points-Table'!$A$11), 'Points-Table'!$C$11,
                (U38 = 'Points-Table'!$A$12), 'Points-Table'!$C$12,
                (U38 = 'Points-Table'!$A$13), 'Points-Table'!$C$13,
                true, 0
              )
            </f>
      </c>
      <c r="W38" s="11">
        <v>2</v>
      </c>
      <c r="X38" s="12">
        <f>
              Ifs(
                (W38 = 'Points-Table'!$A$4), 'Points-Table'!$C$4,
                (W38 = 'Points-Table'!$A$5), 'Points-Table'!$C$5,
                (W38 = 'Points-Table'!$A$6), 'Points-Table'!$C$6,
                (W38 = 'Points-Table'!$A$7), 'Points-Table'!$C$7,
                (W38 = 'Points-Table'!$A$8), 'Points-Table'!$C$8,
                (W38 = 'Points-Table'!$A$9), 'Points-Table'!$C$9,
                (W38 = 'Points-Table'!$A$10), 'Points-Table'!$C$10,
                (W38 = 'Points-Table'!$A$11), 'Points-Table'!$C$11,
                (W38 = 'Points-Table'!$A$12), 'Points-Table'!$C$12,
                (W38 = 'Points-Table'!$A$13), 'Points-Table'!$C$13,
                true, 0
              )
            </f>
      </c>
      <c r="Y38" s="11">
        <v>3</v>
      </c>
      <c r="Z38" s="12">
        <f>
              Ifs(
                (Y38 = 'Points-Table'!$A$4), 'Points-Table'!$C$4,
                (Y38 = 'Points-Table'!$A$5), 'Points-Table'!$C$5,
                (Y38 = 'Points-Table'!$A$6), 'Points-Table'!$C$6,
                (Y38 = 'Points-Table'!$A$7), 'Points-Table'!$C$7,
                (Y38 = 'Points-Table'!$A$8), 'Points-Table'!$C$8,
                (Y38 = 'Points-Table'!$A$9), 'Points-Table'!$C$9,
                (Y38 = 'Points-Table'!$A$10), 'Points-Table'!$C$10,
                (Y38 = 'Points-Table'!$A$11), 'Points-Table'!$C$11,
                (Y38 = 'Points-Table'!$A$12), 'Points-Table'!$C$12,
                (Y38 = 'Points-Table'!$A$13), 'Points-Table'!$C$13,
                true, 0
              )
            </f>
      </c>
      <c r="AA38" s="6">
        <f>SUM(V38,X38,Z38)</f>
      </c>
      <c r="AB38" s="6">
        <f>
      Ifs( 
        ISBETWEEN(AA38, 0, 'Points-Table'!C$20, TRUE, False), 'Points-Table'!A$20,
        ISBETWEEN(AA38, 'Points-Table'!C$20, 'Points-Table'!C$21, TRUE, False), 'Points-Table'!A$21,
        ISBETWEEN(AA38, 'Points-Table'!C$22, 10000, TRUE, TRUE), 'Points-Table'!A$22,
        true, 
        0)
      </f>
      </c>
      <c r="AC38" s="6" t="s">
        <v>56</v>
      </c>
      <c r="AD38" s="6" t="s">
        <v>56</v>
      </c>
      <c r="AE38" s="6" t="s">
        <v>56</v>
      </c>
    </row>
    <row r="39" spans="1:31" s="6" customFormat="1" x14ac:dyDescent="0.25">
      <c r="A39" s="6" t="s">
        <v>240</v>
      </c>
      <c r="B39" s="6" t="s">
        <v>247</v>
      </c>
      <c r="D39" s="6"/>
      <c r="E39" s="6"/>
      <c r="F39" s="6"/>
      <c r="G39" s="6"/>
      <c r="H39" s="6"/>
      <c r="I39" s="6"/>
      <c r="J39" s="6"/>
      <c r="K39" s="6" t="s">
        <v>84</v>
      </c>
      <c r="L39" s="6" t="s">
        <v>85</v>
      </c>
      <c r="M39" s="6"/>
      <c r="N39" s="6"/>
      <c r="O39" s="6"/>
      <c r="P39" s="6"/>
      <c r="Q39" s="11"/>
      <c r="R39" s="12">
        <f>
              Ifs(
                (Q39 = 'Points-Table'!$A$4), 'Points-Table'!$C$4,
                (Q39 = 'Points-Table'!$A$5), 'Points-Table'!$C$5,
                (Q39 = 'Points-Table'!$A$6), 'Points-Table'!$C$6,
                (Q39 = 'Points-Table'!$A$7), 'Points-Table'!$C$7,
                (Q39 = 'Points-Table'!$A$8), 'Points-Table'!$C$8,
                (Q39 = 'Points-Table'!$A$9), 'Points-Table'!$C$9,
                (Q39 = 'Points-Table'!$A$10), 'Points-Table'!$C$10,
                (Q39 = 'Points-Table'!$A$11), 'Points-Table'!$C$11,
                (Q39 = 'Points-Table'!$A$12), 'Points-Table'!$C$12,
                (Q39 = 'Points-Table'!$A$13), 'Points-Table'!$C$13,
                true, 0
              )
            </f>
      </c>
      <c r="S39" s="11"/>
      <c r="T39" s="12">
        <f>
              Ifs(
                (S39 = 'Points-Table'!$A$4), 'Points-Table'!$C$4,
                (S39 = 'Points-Table'!$A$5), 'Points-Table'!$C$5,
                (S39 = 'Points-Table'!$A$6), 'Points-Table'!$C$6,
                (S39 = 'Points-Table'!$A$7), 'Points-Table'!$C$7,
                (S39 = 'Points-Table'!$A$8), 'Points-Table'!$C$8,
                (S39 = 'Points-Table'!$A$9), 'Points-Table'!$C$9,
                (S39 = 'Points-Table'!$A$10), 'Points-Table'!$C$10,
                (S39 = 'Points-Table'!$A$11), 'Points-Table'!$C$11,
                (S39 = 'Points-Table'!$A$12), 'Points-Table'!$C$12,
                (S39 = 'Points-Table'!$A$13), 'Points-Table'!$C$13,
                true, 0
              )
            </f>
      </c>
      <c r="U39" s="11">
        <v>3</v>
      </c>
      <c r="V39" s="12">
        <f>
              Ifs(
                (U39 = 'Points-Table'!$A$4), 'Points-Table'!$C$4,
                (U39 = 'Points-Table'!$A$5), 'Points-Table'!$C$5,
                (U39 = 'Points-Table'!$A$6), 'Points-Table'!$C$6,
                (U39 = 'Points-Table'!$A$7), 'Points-Table'!$C$7,
                (U39 = 'Points-Table'!$A$8), 'Points-Table'!$C$8,
                (U39 = 'Points-Table'!$A$9), 'Points-Table'!$C$9,
                (U39 = 'Points-Table'!$A$10), 'Points-Table'!$C$10,
                (U39 = 'Points-Table'!$A$11), 'Points-Table'!$C$11,
                (U39 = 'Points-Table'!$A$12), 'Points-Table'!$C$12,
                (U39 = 'Points-Table'!$A$13), 'Points-Table'!$C$13,
                true, 0
              )
            </f>
      </c>
      <c r="W39" s="11">
        <v>2</v>
      </c>
      <c r="X39" s="12">
        <f>
              Ifs(
                (W39 = 'Points-Table'!$A$4), 'Points-Table'!$C$4,
                (W39 = 'Points-Table'!$A$5), 'Points-Table'!$C$5,
                (W39 = 'Points-Table'!$A$6), 'Points-Table'!$C$6,
                (W39 = 'Points-Table'!$A$7), 'Points-Table'!$C$7,
                (W39 = 'Points-Table'!$A$8), 'Points-Table'!$C$8,
                (W39 = 'Points-Table'!$A$9), 'Points-Table'!$C$9,
                (W39 = 'Points-Table'!$A$10), 'Points-Table'!$C$10,
                (W39 = 'Points-Table'!$A$11), 'Points-Table'!$C$11,
                (W39 = 'Points-Table'!$A$12), 'Points-Table'!$C$12,
                (W39 = 'Points-Table'!$A$13), 'Points-Table'!$C$13,
                true, 0
              )
            </f>
      </c>
      <c r="Y39" s="11">
        <v>3</v>
      </c>
      <c r="Z39" s="12">
        <f>
              Ifs(
                (Y39 = 'Points-Table'!$A$4), 'Points-Table'!$C$4,
                (Y39 = 'Points-Table'!$A$5), 'Points-Table'!$C$5,
                (Y39 = 'Points-Table'!$A$6), 'Points-Table'!$C$6,
                (Y39 = 'Points-Table'!$A$7), 'Points-Table'!$C$7,
                (Y39 = 'Points-Table'!$A$8), 'Points-Table'!$C$8,
                (Y39 = 'Points-Table'!$A$9), 'Points-Table'!$C$9,
                (Y39 = 'Points-Table'!$A$10), 'Points-Table'!$C$10,
                (Y39 = 'Points-Table'!$A$11), 'Points-Table'!$C$11,
                (Y39 = 'Points-Table'!$A$12), 'Points-Table'!$C$12,
                (Y39 = 'Points-Table'!$A$13), 'Points-Table'!$C$13,
                true, 0
              )
            </f>
      </c>
      <c r="AA39" s="6">
        <f>SUM(V39,X39,Z39)</f>
      </c>
      <c r="AB39" s="6">
        <f>
      Ifs( 
        ISBETWEEN(AA39, 0, 'Points-Table'!C$20, TRUE, False), 'Points-Table'!A$20,
        ISBETWEEN(AA39, 'Points-Table'!C$20, 'Points-Table'!C$21, TRUE, False), 'Points-Table'!A$21,
        ISBETWEEN(AA39, 'Points-Table'!C$22, 10000, TRUE, TRUE), 'Points-Table'!A$22,
        true, 
        0)
      </f>
      </c>
      <c r="AC39" s="6" t="s">
        <v>56</v>
      </c>
      <c r="AD39" s="6" t="s">
        <v>56</v>
      </c>
      <c r="AE39" s="6" t="s">
        <v>56</v>
      </c>
    </row>
    <row r="40" spans="1:31" s="6" customFormat="1" x14ac:dyDescent="0.25">
      <c r="A40" s="6" t="s">
        <v>240</v>
      </c>
      <c r="B40" s="6" t="s">
        <v>248</v>
      </c>
      <c r="D40" s="6"/>
      <c r="E40" s="6"/>
      <c r="F40" s="6"/>
      <c r="G40" s="6"/>
      <c r="H40" s="6"/>
      <c r="I40" s="6"/>
      <c r="J40" s="6"/>
      <c r="K40" s="6" t="s">
        <v>84</v>
      </c>
      <c r="L40" s="6" t="s">
        <v>85</v>
      </c>
      <c r="M40" s="6"/>
      <c r="N40" s="6"/>
      <c r="O40" s="6"/>
      <c r="P40" s="6"/>
      <c r="Q40" s="11"/>
      <c r="R40" s="12">
        <f>
              Ifs(
                (Q40 = 'Points-Table'!$A$4), 'Points-Table'!$C$4,
                (Q40 = 'Points-Table'!$A$5), 'Points-Table'!$C$5,
                (Q40 = 'Points-Table'!$A$6), 'Points-Table'!$C$6,
                (Q40 = 'Points-Table'!$A$7), 'Points-Table'!$C$7,
                (Q40 = 'Points-Table'!$A$8), 'Points-Table'!$C$8,
                (Q40 = 'Points-Table'!$A$9), 'Points-Table'!$C$9,
                (Q40 = 'Points-Table'!$A$10), 'Points-Table'!$C$10,
                (Q40 = 'Points-Table'!$A$11), 'Points-Table'!$C$11,
                (Q40 = 'Points-Table'!$A$12), 'Points-Table'!$C$12,
                (Q40 = 'Points-Table'!$A$13), 'Points-Table'!$C$13,
                true, 0
              )
            </f>
      </c>
      <c r="S40" s="11"/>
      <c r="T40" s="12">
        <f>
              Ifs(
                (S40 = 'Points-Table'!$A$4), 'Points-Table'!$C$4,
                (S40 = 'Points-Table'!$A$5), 'Points-Table'!$C$5,
                (S40 = 'Points-Table'!$A$6), 'Points-Table'!$C$6,
                (S40 = 'Points-Table'!$A$7), 'Points-Table'!$C$7,
                (S40 = 'Points-Table'!$A$8), 'Points-Table'!$C$8,
                (S40 = 'Points-Table'!$A$9), 'Points-Table'!$C$9,
                (S40 = 'Points-Table'!$A$10), 'Points-Table'!$C$10,
                (S40 = 'Points-Table'!$A$11), 'Points-Table'!$C$11,
                (S40 = 'Points-Table'!$A$12), 'Points-Table'!$C$12,
                (S40 = 'Points-Table'!$A$13), 'Points-Table'!$C$13,
                true, 0
              )
            </f>
      </c>
      <c r="U40" s="11">
        <v>3</v>
      </c>
      <c r="V40" s="12">
        <f>
              Ifs(
                (U40 = 'Points-Table'!$A$4), 'Points-Table'!$C$4,
                (U40 = 'Points-Table'!$A$5), 'Points-Table'!$C$5,
                (U40 = 'Points-Table'!$A$6), 'Points-Table'!$C$6,
                (U40 = 'Points-Table'!$A$7), 'Points-Table'!$C$7,
                (U40 = 'Points-Table'!$A$8), 'Points-Table'!$C$8,
                (U40 = 'Points-Table'!$A$9), 'Points-Table'!$C$9,
                (U40 = 'Points-Table'!$A$10), 'Points-Table'!$C$10,
                (U40 = 'Points-Table'!$A$11), 'Points-Table'!$C$11,
                (U40 = 'Points-Table'!$A$12), 'Points-Table'!$C$12,
                (U40 = 'Points-Table'!$A$13), 'Points-Table'!$C$13,
                true, 0
              )
            </f>
      </c>
      <c r="W40" s="11">
        <v>2</v>
      </c>
      <c r="X40" s="12">
        <f>
              Ifs(
                (W40 = 'Points-Table'!$A$4), 'Points-Table'!$C$4,
                (W40 = 'Points-Table'!$A$5), 'Points-Table'!$C$5,
                (W40 = 'Points-Table'!$A$6), 'Points-Table'!$C$6,
                (W40 = 'Points-Table'!$A$7), 'Points-Table'!$C$7,
                (W40 = 'Points-Table'!$A$8), 'Points-Table'!$C$8,
                (W40 = 'Points-Table'!$A$9), 'Points-Table'!$C$9,
                (W40 = 'Points-Table'!$A$10), 'Points-Table'!$C$10,
                (W40 = 'Points-Table'!$A$11), 'Points-Table'!$C$11,
                (W40 = 'Points-Table'!$A$12), 'Points-Table'!$C$12,
                (W40 = 'Points-Table'!$A$13), 'Points-Table'!$C$13,
                true, 0
              )
            </f>
      </c>
      <c r="Y40" s="11">
        <v>3</v>
      </c>
      <c r="Z40" s="12">
        <f>
              Ifs(
                (Y40 = 'Points-Table'!$A$4), 'Points-Table'!$C$4,
                (Y40 = 'Points-Table'!$A$5), 'Points-Table'!$C$5,
                (Y40 = 'Points-Table'!$A$6), 'Points-Table'!$C$6,
                (Y40 = 'Points-Table'!$A$7), 'Points-Table'!$C$7,
                (Y40 = 'Points-Table'!$A$8), 'Points-Table'!$C$8,
                (Y40 = 'Points-Table'!$A$9), 'Points-Table'!$C$9,
                (Y40 = 'Points-Table'!$A$10), 'Points-Table'!$C$10,
                (Y40 = 'Points-Table'!$A$11), 'Points-Table'!$C$11,
                (Y40 = 'Points-Table'!$A$12), 'Points-Table'!$C$12,
                (Y40 = 'Points-Table'!$A$13), 'Points-Table'!$C$13,
                true, 0
              )
            </f>
      </c>
      <c r="AA40" s="6">
        <f>SUM(V40,X40,Z40)</f>
      </c>
      <c r="AB40" s="6">
        <f>
      Ifs( 
        ISBETWEEN(AA40, 0, 'Points-Table'!C$20, TRUE, False), 'Points-Table'!A$20,
        ISBETWEEN(AA40, 'Points-Table'!C$20, 'Points-Table'!C$21, TRUE, False), 'Points-Table'!A$21,
        ISBETWEEN(AA40, 'Points-Table'!C$22, 10000, TRUE, TRUE), 'Points-Table'!A$22,
        true, 
        0)
      </f>
      </c>
      <c r="AC40" s="6" t="s">
        <v>56</v>
      </c>
      <c r="AD40" s="6" t="s">
        <v>56</v>
      </c>
      <c r="AE40" s="6" t="s">
        <v>56</v>
      </c>
    </row>
    <row r="41" spans="1:31" s="6" customFormat="1" x14ac:dyDescent="0.25">
      <c r="A41" s="6" t="s">
        <v>240</v>
      </c>
      <c r="B41" s="6" t="s">
        <v>249</v>
      </c>
      <c r="D41" s="6"/>
      <c r="E41" s="6"/>
      <c r="F41" s="6"/>
      <c r="G41" s="6"/>
      <c r="H41" s="6"/>
      <c r="I41" s="6"/>
      <c r="J41" s="6"/>
      <c r="K41" s="6" t="s">
        <v>84</v>
      </c>
      <c r="L41" s="6" t="s">
        <v>85</v>
      </c>
      <c r="M41" s="6"/>
      <c r="N41" s="6"/>
      <c r="O41" s="6"/>
      <c r="P41" s="6"/>
      <c r="Q41" s="11"/>
      <c r="R41" s="12">
        <f>
              Ifs(
                (Q41 = 'Points-Table'!$A$4), 'Points-Table'!$C$4,
                (Q41 = 'Points-Table'!$A$5), 'Points-Table'!$C$5,
                (Q41 = 'Points-Table'!$A$6), 'Points-Table'!$C$6,
                (Q41 = 'Points-Table'!$A$7), 'Points-Table'!$C$7,
                (Q41 = 'Points-Table'!$A$8), 'Points-Table'!$C$8,
                (Q41 = 'Points-Table'!$A$9), 'Points-Table'!$C$9,
                (Q41 = 'Points-Table'!$A$10), 'Points-Table'!$C$10,
                (Q41 = 'Points-Table'!$A$11), 'Points-Table'!$C$11,
                (Q41 = 'Points-Table'!$A$12), 'Points-Table'!$C$12,
                (Q41 = 'Points-Table'!$A$13), 'Points-Table'!$C$13,
                true, 0
              )
            </f>
      </c>
      <c r="S41" s="11"/>
      <c r="T41" s="12">
        <f>
              Ifs(
                (S41 = 'Points-Table'!$A$4), 'Points-Table'!$C$4,
                (S41 = 'Points-Table'!$A$5), 'Points-Table'!$C$5,
                (S41 = 'Points-Table'!$A$6), 'Points-Table'!$C$6,
                (S41 = 'Points-Table'!$A$7), 'Points-Table'!$C$7,
                (S41 = 'Points-Table'!$A$8), 'Points-Table'!$C$8,
                (S41 = 'Points-Table'!$A$9), 'Points-Table'!$C$9,
                (S41 = 'Points-Table'!$A$10), 'Points-Table'!$C$10,
                (S41 = 'Points-Table'!$A$11), 'Points-Table'!$C$11,
                (S41 = 'Points-Table'!$A$12), 'Points-Table'!$C$12,
                (S41 = 'Points-Table'!$A$13), 'Points-Table'!$C$13,
                true, 0
              )
            </f>
      </c>
      <c r="U41" s="11">
        <v>3</v>
      </c>
      <c r="V41" s="12">
        <f>
              Ifs(
                (U41 = 'Points-Table'!$A$4), 'Points-Table'!$C$4,
                (U41 = 'Points-Table'!$A$5), 'Points-Table'!$C$5,
                (U41 = 'Points-Table'!$A$6), 'Points-Table'!$C$6,
                (U41 = 'Points-Table'!$A$7), 'Points-Table'!$C$7,
                (U41 = 'Points-Table'!$A$8), 'Points-Table'!$C$8,
                (U41 = 'Points-Table'!$A$9), 'Points-Table'!$C$9,
                (U41 = 'Points-Table'!$A$10), 'Points-Table'!$C$10,
                (U41 = 'Points-Table'!$A$11), 'Points-Table'!$C$11,
                (U41 = 'Points-Table'!$A$12), 'Points-Table'!$C$12,
                (U41 = 'Points-Table'!$A$13), 'Points-Table'!$C$13,
                true, 0
              )
            </f>
      </c>
      <c r="W41" s="11">
        <v>3</v>
      </c>
      <c r="X41" s="12">
        <f>
              Ifs(
                (W41 = 'Points-Table'!$A$4), 'Points-Table'!$C$4,
                (W41 = 'Points-Table'!$A$5), 'Points-Table'!$C$5,
                (W41 = 'Points-Table'!$A$6), 'Points-Table'!$C$6,
                (W41 = 'Points-Table'!$A$7), 'Points-Table'!$C$7,
                (W41 = 'Points-Table'!$A$8), 'Points-Table'!$C$8,
                (W41 = 'Points-Table'!$A$9), 'Points-Table'!$C$9,
                (W41 = 'Points-Table'!$A$10), 'Points-Table'!$C$10,
                (W41 = 'Points-Table'!$A$11), 'Points-Table'!$C$11,
                (W41 = 'Points-Table'!$A$12), 'Points-Table'!$C$12,
                (W41 = 'Points-Table'!$A$13), 'Points-Table'!$C$13,
                true, 0
              )
            </f>
      </c>
      <c r="Y41" s="11">
        <v>3</v>
      </c>
      <c r="Z41" s="12">
        <f>
              Ifs(
                (Y41 = 'Points-Table'!$A$4), 'Points-Table'!$C$4,
                (Y41 = 'Points-Table'!$A$5), 'Points-Table'!$C$5,
                (Y41 = 'Points-Table'!$A$6), 'Points-Table'!$C$6,
                (Y41 = 'Points-Table'!$A$7), 'Points-Table'!$C$7,
                (Y41 = 'Points-Table'!$A$8), 'Points-Table'!$C$8,
                (Y41 = 'Points-Table'!$A$9), 'Points-Table'!$C$9,
                (Y41 = 'Points-Table'!$A$10), 'Points-Table'!$C$10,
                (Y41 = 'Points-Table'!$A$11), 'Points-Table'!$C$11,
                (Y41 = 'Points-Table'!$A$12), 'Points-Table'!$C$12,
                (Y41 = 'Points-Table'!$A$13), 'Points-Table'!$C$13,
                true, 0
              )
            </f>
      </c>
      <c r="AA41" s="6">
        <f>SUM(V41,X41,Z41)</f>
      </c>
      <c r="AB41" s="6">
        <f>
      Ifs( 
        ISBETWEEN(AA41, 0, 'Points-Table'!C$20, TRUE, False), 'Points-Table'!A$20,
        ISBETWEEN(AA41, 'Points-Table'!C$20, 'Points-Table'!C$21, TRUE, False), 'Points-Table'!A$21,
        ISBETWEEN(AA41, 'Points-Table'!C$22, 10000, TRUE, TRUE), 'Points-Table'!A$22,
        true, 
        0)
      </f>
      </c>
      <c r="AC41" s="6" t="s">
        <v>56</v>
      </c>
      <c r="AD41" s="6" t="s">
        <v>56</v>
      </c>
      <c r="AE41" s="6" t="s">
        <v>56</v>
      </c>
    </row>
    <row r="42" spans="1:31" s="6" customFormat="1" x14ac:dyDescent="0.25">
      <c r="A42" s="6" t="s">
        <v>240</v>
      </c>
      <c r="B42" s="6" t="s">
        <v>250</v>
      </c>
      <c r="D42" s="6"/>
      <c r="E42" s="6"/>
      <c r="F42" s="6"/>
      <c r="G42" s="6"/>
      <c r="H42" s="6"/>
      <c r="I42" s="6"/>
      <c r="J42" s="6"/>
      <c r="K42" s="6" t="s">
        <v>84</v>
      </c>
      <c r="L42" s="6" t="s">
        <v>85</v>
      </c>
      <c r="M42" s="6"/>
      <c r="N42" s="6"/>
      <c r="O42" s="6"/>
      <c r="P42" s="6"/>
      <c r="Q42" s="11"/>
      <c r="R42" s="12">
        <f>
              Ifs(
                (Q42 = 'Points-Table'!$A$4), 'Points-Table'!$C$4,
                (Q42 = 'Points-Table'!$A$5), 'Points-Table'!$C$5,
                (Q42 = 'Points-Table'!$A$6), 'Points-Table'!$C$6,
                (Q42 = 'Points-Table'!$A$7), 'Points-Table'!$C$7,
                (Q42 = 'Points-Table'!$A$8), 'Points-Table'!$C$8,
                (Q42 = 'Points-Table'!$A$9), 'Points-Table'!$C$9,
                (Q42 = 'Points-Table'!$A$10), 'Points-Table'!$C$10,
                (Q42 = 'Points-Table'!$A$11), 'Points-Table'!$C$11,
                (Q42 = 'Points-Table'!$A$12), 'Points-Table'!$C$12,
                (Q42 = 'Points-Table'!$A$13), 'Points-Table'!$C$13,
                true, 0
              )
            </f>
      </c>
      <c r="S42" s="11"/>
      <c r="T42" s="12">
        <f>
              Ifs(
                (S42 = 'Points-Table'!$A$4), 'Points-Table'!$C$4,
                (S42 = 'Points-Table'!$A$5), 'Points-Table'!$C$5,
                (S42 = 'Points-Table'!$A$6), 'Points-Table'!$C$6,
                (S42 = 'Points-Table'!$A$7), 'Points-Table'!$C$7,
                (S42 = 'Points-Table'!$A$8), 'Points-Table'!$C$8,
                (S42 = 'Points-Table'!$A$9), 'Points-Table'!$C$9,
                (S42 = 'Points-Table'!$A$10), 'Points-Table'!$C$10,
                (S42 = 'Points-Table'!$A$11), 'Points-Table'!$C$11,
                (S42 = 'Points-Table'!$A$12), 'Points-Table'!$C$12,
                (S42 = 'Points-Table'!$A$13), 'Points-Table'!$C$13,
                true, 0
              )
            </f>
      </c>
      <c r="U42" s="11">
        <v>3</v>
      </c>
      <c r="V42" s="12">
        <f>
              Ifs(
                (U42 = 'Points-Table'!$A$4), 'Points-Table'!$C$4,
                (U42 = 'Points-Table'!$A$5), 'Points-Table'!$C$5,
                (U42 = 'Points-Table'!$A$6), 'Points-Table'!$C$6,
                (U42 = 'Points-Table'!$A$7), 'Points-Table'!$C$7,
                (U42 = 'Points-Table'!$A$8), 'Points-Table'!$C$8,
                (U42 = 'Points-Table'!$A$9), 'Points-Table'!$C$9,
                (U42 = 'Points-Table'!$A$10), 'Points-Table'!$C$10,
                (U42 = 'Points-Table'!$A$11), 'Points-Table'!$C$11,
                (U42 = 'Points-Table'!$A$12), 'Points-Table'!$C$12,
                (U42 = 'Points-Table'!$A$13), 'Points-Table'!$C$13,
                true, 0
              )
            </f>
      </c>
      <c r="W42" s="11">
        <v>3</v>
      </c>
      <c r="X42" s="12">
        <f>
              Ifs(
                (W42 = 'Points-Table'!$A$4), 'Points-Table'!$C$4,
                (W42 = 'Points-Table'!$A$5), 'Points-Table'!$C$5,
                (W42 = 'Points-Table'!$A$6), 'Points-Table'!$C$6,
                (W42 = 'Points-Table'!$A$7), 'Points-Table'!$C$7,
                (W42 = 'Points-Table'!$A$8), 'Points-Table'!$C$8,
                (W42 = 'Points-Table'!$A$9), 'Points-Table'!$C$9,
                (W42 = 'Points-Table'!$A$10), 'Points-Table'!$C$10,
                (W42 = 'Points-Table'!$A$11), 'Points-Table'!$C$11,
                (W42 = 'Points-Table'!$A$12), 'Points-Table'!$C$12,
                (W42 = 'Points-Table'!$A$13), 'Points-Table'!$C$13,
                true, 0
              )
            </f>
      </c>
      <c r="Y42" s="11">
        <v>3</v>
      </c>
      <c r="Z42" s="12">
        <f>
              Ifs(
                (Y42 = 'Points-Table'!$A$4), 'Points-Table'!$C$4,
                (Y42 = 'Points-Table'!$A$5), 'Points-Table'!$C$5,
                (Y42 = 'Points-Table'!$A$6), 'Points-Table'!$C$6,
                (Y42 = 'Points-Table'!$A$7), 'Points-Table'!$C$7,
                (Y42 = 'Points-Table'!$A$8), 'Points-Table'!$C$8,
                (Y42 = 'Points-Table'!$A$9), 'Points-Table'!$C$9,
                (Y42 = 'Points-Table'!$A$10), 'Points-Table'!$C$10,
                (Y42 = 'Points-Table'!$A$11), 'Points-Table'!$C$11,
                (Y42 = 'Points-Table'!$A$12), 'Points-Table'!$C$12,
                (Y42 = 'Points-Table'!$A$13), 'Points-Table'!$C$13,
                true, 0
              )
            </f>
      </c>
      <c r="AA42" s="6">
        <f>SUM(V42,X42,Z42)</f>
      </c>
      <c r="AB42" s="6">
        <f>
      Ifs( 
        ISBETWEEN(AA42, 0, 'Points-Table'!C$20, TRUE, False), 'Points-Table'!A$20,
        ISBETWEEN(AA42, 'Points-Table'!C$20, 'Points-Table'!C$21, TRUE, False), 'Points-Table'!A$21,
        ISBETWEEN(AA42, 'Points-Table'!C$22, 10000, TRUE, TRUE), 'Points-Table'!A$22,
        true, 
        0)
      </f>
      </c>
      <c r="AC42" s="6" t="s">
        <v>56</v>
      </c>
      <c r="AD42" s="6" t="s">
        <v>56</v>
      </c>
      <c r="AE42" s="6" t="s">
        <v>56</v>
      </c>
    </row>
    <row r="43" spans="1:31" s="6" customFormat="1" x14ac:dyDescent="0.25">
      <c r="A43" s="6" t="s">
        <v>240</v>
      </c>
      <c r="B43" s="6" t="s">
        <v>231</v>
      </c>
      <c r="D43" s="6"/>
      <c r="E43" s="6"/>
      <c r="F43" s="6" t="s">
        <v>56</v>
      </c>
      <c r="G43" s="6"/>
      <c r="H43" s="6"/>
      <c r="I43" s="6"/>
      <c r="J43" s="6"/>
      <c r="K43" s="6" t="s">
        <v>84</v>
      </c>
      <c r="L43" s="6" t="s">
        <v>85</v>
      </c>
      <c r="M43" s="6"/>
      <c r="N43" s="6"/>
      <c r="O43" s="6"/>
      <c r="P43" s="6"/>
      <c r="Q43" s="11">
        <v>2</v>
      </c>
      <c r="R43" s="12">
        <f>
              Ifs(
                (Q43 = 'Points-Table'!$A$4), 'Points-Table'!$C$4,
                (Q43 = 'Points-Table'!$A$5), 'Points-Table'!$C$5,
                (Q43 = 'Points-Table'!$A$6), 'Points-Table'!$C$6,
                (Q43 = 'Points-Table'!$A$7), 'Points-Table'!$C$7,
                (Q43 = 'Points-Table'!$A$8), 'Points-Table'!$C$8,
                (Q43 = 'Points-Table'!$A$9), 'Points-Table'!$C$9,
                (Q43 = 'Points-Table'!$A$10), 'Points-Table'!$C$10,
                (Q43 = 'Points-Table'!$A$11), 'Points-Table'!$C$11,
                (Q43 = 'Points-Table'!$A$12), 'Points-Table'!$C$12,
                (Q43 = 'Points-Table'!$A$13), 'Points-Table'!$C$13,
                true, 0
              )
            </f>
      </c>
      <c r="S43" s="11">
        <v>2</v>
      </c>
      <c r="T43" s="12">
        <f>
              Ifs(
                (S43 = 'Points-Table'!$A$4), 'Points-Table'!$C$4,
                (S43 = 'Points-Table'!$A$5), 'Points-Table'!$C$5,
                (S43 = 'Points-Table'!$A$6), 'Points-Table'!$C$6,
                (S43 = 'Points-Table'!$A$7), 'Points-Table'!$C$7,
                (S43 = 'Points-Table'!$A$8), 'Points-Table'!$C$8,
                (S43 = 'Points-Table'!$A$9), 'Points-Table'!$C$9,
                (S43 = 'Points-Table'!$A$10), 'Points-Table'!$C$10,
                (S43 = 'Points-Table'!$A$11), 'Points-Table'!$C$11,
                (S43 = 'Points-Table'!$A$12), 'Points-Table'!$C$12,
                (S43 = 'Points-Table'!$A$13), 'Points-Table'!$C$13,
                true, 0
              )
            </f>
      </c>
      <c r="U43" s="11">
        <v>5</v>
      </c>
      <c r="V43" s="12">
        <f>
              Ifs(
                (U43 = 'Points-Table'!$A$4), 'Points-Table'!$C$4,
                (U43 = 'Points-Table'!$A$5), 'Points-Table'!$C$5,
                (U43 = 'Points-Table'!$A$6), 'Points-Table'!$C$6,
                (U43 = 'Points-Table'!$A$7), 'Points-Table'!$C$7,
                (U43 = 'Points-Table'!$A$8), 'Points-Table'!$C$8,
                (U43 = 'Points-Table'!$A$9), 'Points-Table'!$C$9,
                (U43 = 'Points-Table'!$A$10), 'Points-Table'!$C$10,
                (U43 = 'Points-Table'!$A$11), 'Points-Table'!$C$11,
                (U43 = 'Points-Table'!$A$12), 'Points-Table'!$C$12,
                (U43 = 'Points-Table'!$A$13), 'Points-Table'!$C$13,
                true, 0
              )
            </f>
      </c>
      <c r="W43" s="11">
        <v>3</v>
      </c>
      <c r="X43" s="12">
        <f>
              Ifs(
                (W43 = 'Points-Table'!$A$4), 'Points-Table'!$C$4,
                (W43 = 'Points-Table'!$A$5), 'Points-Table'!$C$5,
                (W43 = 'Points-Table'!$A$6), 'Points-Table'!$C$6,
                (W43 = 'Points-Table'!$A$7), 'Points-Table'!$C$7,
                (W43 = 'Points-Table'!$A$8), 'Points-Table'!$C$8,
                (W43 = 'Points-Table'!$A$9), 'Points-Table'!$C$9,
                (W43 = 'Points-Table'!$A$10), 'Points-Table'!$C$10,
                (W43 = 'Points-Table'!$A$11), 'Points-Table'!$C$11,
                (W43 = 'Points-Table'!$A$12), 'Points-Table'!$C$12,
                (W43 = 'Points-Table'!$A$13), 'Points-Table'!$C$13,
                true, 0
              )
            </f>
      </c>
      <c r="Y43" s="11">
        <v>5</v>
      </c>
      <c r="Z43" s="12">
        <f>
              Ifs(
                (Y43 = 'Points-Table'!$A$4), 'Points-Table'!$C$4,
                (Y43 = 'Points-Table'!$A$5), 'Points-Table'!$C$5,
                (Y43 = 'Points-Table'!$A$6), 'Points-Table'!$C$6,
                (Y43 = 'Points-Table'!$A$7), 'Points-Table'!$C$7,
                (Y43 = 'Points-Table'!$A$8), 'Points-Table'!$C$8,
                (Y43 = 'Points-Table'!$A$9), 'Points-Table'!$C$9,
                (Y43 = 'Points-Table'!$A$10), 'Points-Table'!$C$10,
                (Y43 = 'Points-Table'!$A$11), 'Points-Table'!$C$11,
                (Y43 = 'Points-Table'!$A$12), 'Points-Table'!$C$12,
                (Y43 = 'Points-Table'!$A$13), 'Points-Table'!$C$13,
                true, 0
              )
            </f>
      </c>
      <c r="AA43" s="6">
        <f>SUM(V43,X43,Z43)</f>
      </c>
      <c r="AB43" s="6">
        <f>
      Ifs( 
        ISBETWEEN(AA43, 0, 'Points-Table'!C$20, TRUE, False), 'Points-Table'!A$20,
        ISBETWEEN(AA43, 'Points-Table'!C$20, 'Points-Table'!C$21, TRUE, False), 'Points-Table'!A$21,
        ISBETWEEN(AA43, 'Points-Table'!C$22, 10000, TRUE, TRUE), 'Points-Table'!A$22,
        true, 
        0)
      </f>
      </c>
      <c r="AC43" s="6" t="s">
        <v>56</v>
      </c>
      <c r="AD43" s="6" t="s">
        <v>56</v>
      </c>
      <c r="AE43" s="6" t="s">
        <v>56</v>
      </c>
    </row>
    <row r="44" spans="1:31" s="6" customFormat="1" x14ac:dyDescent="0.25">
      <c r="A44" s="6" t="s">
        <v>251</v>
      </c>
      <c r="B44" s="6" t="s">
        <v>252</v>
      </c>
      <c r="C44" s="6" t="s">
        <v>253</v>
      </c>
      <c r="D44" s="6"/>
      <c r="E44" s="6"/>
      <c r="F44" s="6" t="s">
        <v>254</v>
      </c>
      <c r="G44" s="6"/>
      <c r="H44" s="6"/>
      <c r="I44" s="6"/>
      <c r="J44" s="6"/>
      <c r="K44" s="6" t="s">
        <v>84</v>
      </c>
      <c r="L44" s="6" t="s">
        <v>85</v>
      </c>
      <c r="M44" s="6"/>
      <c r="N44" s="6"/>
      <c r="O44" s="6"/>
      <c r="P44" s="6"/>
      <c r="Q44" s="11"/>
      <c r="R44" s="12">
        <f>
              Ifs(
                (Q44 = 'Points-Table'!$A$4), 'Points-Table'!$C$4,
                (Q44 = 'Points-Table'!$A$5), 'Points-Table'!$C$5,
                (Q44 = 'Points-Table'!$A$6), 'Points-Table'!$C$6,
                (Q44 = 'Points-Table'!$A$7), 'Points-Table'!$C$7,
                (Q44 = 'Points-Table'!$A$8), 'Points-Table'!$C$8,
                (Q44 = 'Points-Table'!$A$9), 'Points-Table'!$C$9,
                (Q44 = 'Points-Table'!$A$10), 'Points-Table'!$C$10,
                (Q44 = 'Points-Table'!$A$11), 'Points-Table'!$C$11,
                (Q44 = 'Points-Table'!$A$12), 'Points-Table'!$C$12,
                (Q44 = 'Points-Table'!$A$13), 'Points-Table'!$C$13,
                true, 0
              )
            </f>
      </c>
      <c r="S44" s="11"/>
      <c r="T44" s="12">
        <f>
              Ifs(
                (S44 = 'Points-Table'!$A$4), 'Points-Table'!$C$4,
                (S44 = 'Points-Table'!$A$5), 'Points-Table'!$C$5,
                (S44 = 'Points-Table'!$A$6), 'Points-Table'!$C$6,
                (S44 = 'Points-Table'!$A$7), 'Points-Table'!$C$7,
                (S44 = 'Points-Table'!$A$8), 'Points-Table'!$C$8,
                (S44 = 'Points-Table'!$A$9), 'Points-Table'!$C$9,
                (S44 = 'Points-Table'!$A$10), 'Points-Table'!$C$10,
                (S44 = 'Points-Table'!$A$11), 'Points-Table'!$C$11,
                (S44 = 'Points-Table'!$A$12), 'Points-Table'!$C$12,
                (S44 = 'Points-Table'!$A$13), 'Points-Table'!$C$13,
                true, 0
              )
            </f>
      </c>
      <c r="U44" s="11">
        <v>3</v>
      </c>
      <c r="V44" s="12">
        <f>
              Ifs(
                (U44 = 'Points-Table'!$A$4), 'Points-Table'!$C$4,
                (U44 = 'Points-Table'!$A$5), 'Points-Table'!$C$5,
                (U44 = 'Points-Table'!$A$6), 'Points-Table'!$C$6,
                (U44 = 'Points-Table'!$A$7), 'Points-Table'!$C$7,
                (U44 = 'Points-Table'!$A$8), 'Points-Table'!$C$8,
                (U44 = 'Points-Table'!$A$9), 'Points-Table'!$C$9,
                (U44 = 'Points-Table'!$A$10), 'Points-Table'!$C$10,
                (U44 = 'Points-Table'!$A$11), 'Points-Table'!$C$11,
                (U44 = 'Points-Table'!$A$12), 'Points-Table'!$C$12,
                (U44 = 'Points-Table'!$A$13), 'Points-Table'!$C$13,
                true, 0
              )
            </f>
      </c>
      <c r="W44" s="11">
        <v>2</v>
      </c>
      <c r="X44" s="12">
        <f>
              Ifs(
                (W44 = 'Points-Table'!$A$4), 'Points-Table'!$C$4,
                (W44 = 'Points-Table'!$A$5), 'Points-Table'!$C$5,
                (W44 = 'Points-Table'!$A$6), 'Points-Table'!$C$6,
                (W44 = 'Points-Table'!$A$7), 'Points-Table'!$C$7,
                (W44 = 'Points-Table'!$A$8), 'Points-Table'!$C$8,
                (W44 = 'Points-Table'!$A$9), 'Points-Table'!$C$9,
                (W44 = 'Points-Table'!$A$10), 'Points-Table'!$C$10,
                (W44 = 'Points-Table'!$A$11), 'Points-Table'!$C$11,
                (W44 = 'Points-Table'!$A$12), 'Points-Table'!$C$12,
                (W44 = 'Points-Table'!$A$13), 'Points-Table'!$C$13,
                true, 0
              )
            </f>
      </c>
      <c r="Y44" s="11">
        <v>8</v>
      </c>
      <c r="Z44" s="12">
        <f>
              Ifs(
                (Y44 = 'Points-Table'!$A$4), 'Points-Table'!$C$4,
                (Y44 = 'Points-Table'!$A$5), 'Points-Table'!$C$5,
                (Y44 = 'Points-Table'!$A$6), 'Points-Table'!$C$6,
                (Y44 = 'Points-Table'!$A$7), 'Points-Table'!$C$7,
                (Y44 = 'Points-Table'!$A$8), 'Points-Table'!$C$8,
                (Y44 = 'Points-Table'!$A$9), 'Points-Table'!$C$9,
                (Y44 = 'Points-Table'!$A$10), 'Points-Table'!$C$10,
                (Y44 = 'Points-Table'!$A$11), 'Points-Table'!$C$11,
                (Y44 = 'Points-Table'!$A$12), 'Points-Table'!$C$12,
                (Y44 = 'Points-Table'!$A$13), 'Points-Table'!$C$13,
                true, 0
              )
            </f>
      </c>
      <c r="AA44" s="6">
        <f>SUM(V44,X44,Z44)</f>
      </c>
      <c r="AB44" s="6">
        <f>
      Ifs( 
        ISBETWEEN(AA44, 0, 'Points-Table'!C$20, TRUE, False), 'Points-Table'!A$20,
        ISBETWEEN(AA44, 'Points-Table'!C$20, 'Points-Table'!C$21, TRUE, False), 'Points-Table'!A$21,
        ISBETWEEN(AA44, 'Points-Table'!C$22, 10000, TRUE, TRUE), 'Points-Table'!A$22,
        true, 
        0)
      </f>
      </c>
      <c r="AC44" s="6" t="s">
        <v>56</v>
      </c>
      <c r="AD44" s="6" t="s">
        <v>56</v>
      </c>
      <c r="AE44" s="6" t="s">
        <v>56</v>
      </c>
    </row>
    <row r="45" spans="1:31" s="6" customFormat="1" x14ac:dyDescent="0.25">
      <c r="A45" s="6" t="s">
        <v>251</v>
      </c>
      <c r="B45" s="6" t="s">
        <v>252</v>
      </c>
      <c r="C45" s="6" t="s">
        <v>255</v>
      </c>
      <c r="D45" s="6"/>
      <c r="E45" s="6"/>
      <c r="F45" s="6" t="s">
        <v>256</v>
      </c>
      <c r="G45" s="6"/>
      <c r="H45" s="6"/>
      <c r="I45" s="6"/>
      <c r="J45" s="6"/>
      <c r="K45" s="6" t="s">
        <v>84</v>
      </c>
      <c r="L45" s="6" t="s">
        <v>85</v>
      </c>
      <c r="M45" s="6"/>
      <c r="N45" s="6"/>
      <c r="O45" s="6"/>
      <c r="P45" s="6"/>
      <c r="Q45" s="11"/>
      <c r="R45" s="12">
        <f>
              Ifs(
                (Q45 = 'Points-Table'!$A$4), 'Points-Table'!$C$4,
                (Q45 = 'Points-Table'!$A$5), 'Points-Table'!$C$5,
                (Q45 = 'Points-Table'!$A$6), 'Points-Table'!$C$6,
                (Q45 = 'Points-Table'!$A$7), 'Points-Table'!$C$7,
                (Q45 = 'Points-Table'!$A$8), 'Points-Table'!$C$8,
                (Q45 = 'Points-Table'!$A$9), 'Points-Table'!$C$9,
                (Q45 = 'Points-Table'!$A$10), 'Points-Table'!$C$10,
                (Q45 = 'Points-Table'!$A$11), 'Points-Table'!$C$11,
                (Q45 = 'Points-Table'!$A$12), 'Points-Table'!$C$12,
                (Q45 = 'Points-Table'!$A$13), 'Points-Table'!$C$13,
                true, 0
              )
            </f>
      </c>
      <c r="S45" s="11"/>
      <c r="T45" s="12">
        <f>
              Ifs(
                (S45 = 'Points-Table'!$A$4), 'Points-Table'!$C$4,
                (S45 = 'Points-Table'!$A$5), 'Points-Table'!$C$5,
                (S45 = 'Points-Table'!$A$6), 'Points-Table'!$C$6,
                (S45 = 'Points-Table'!$A$7), 'Points-Table'!$C$7,
                (S45 = 'Points-Table'!$A$8), 'Points-Table'!$C$8,
                (S45 = 'Points-Table'!$A$9), 'Points-Table'!$C$9,
                (S45 = 'Points-Table'!$A$10), 'Points-Table'!$C$10,
                (S45 = 'Points-Table'!$A$11), 'Points-Table'!$C$11,
                (S45 = 'Points-Table'!$A$12), 'Points-Table'!$C$12,
                (S45 = 'Points-Table'!$A$13), 'Points-Table'!$C$13,
                true, 0
              )
            </f>
      </c>
      <c r="U45" s="11">
        <v>2</v>
      </c>
      <c r="V45" s="12">
        <f>
              Ifs(
                (U45 = 'Points-Table'!$A$4), 'Points-Table'!$C$4,
                (U45 = 'Points-Table'!$A$5), 'Points-Table'!$C$5,
                (U45 = 'Points-Table'!$A$6), 'Points-Table'!$C$6,
                (U45 = 'Points-Table'!$A$7), 'Points-Table'!$C$7,
                (U45 = 'Points-Table'!$A$8), 'Points-Table'!$C$8,
                (U45 = 'Points-Table'!$A$9), 'Points-Table'!$C$9,
                (U45 = 'Points-Table'!$A$10), 'Points-Table'!$C$10,
                (U45 = 'Points-Table'!$A$11), 'Points-Table'!$C$11,
                (U45 = 'Points-Table'!$A$12), 'Points-Table'!$C$12,
                (U45 = 'Points-Table'!$A$13), 'Points-Table'!$C$13,
                true, 0
              )
            </f>
      </c>
      <c r="W45" s="11">
        <v>2</v>
      </c>
      <c r="X45" s="12">
        <f>
              Ifs(
                (W45 = 'Points-Table'!$A$4), 'Points-Table'!$C$4,
                (W45 = 'Points-Table'!$A$5), 'Points-Table'!$C$5,
                (W45 = 'Points-Table'!$A$6), 'Points-Table'!$C$6,
                (W45 = 'Points-Table'!$A$7), 'Points-Table'!$C$7,
                (W45 = 'Points-Table'!$A$8), 'Points-Table'!$C$8,
                (W45 = 'Points-Table'!$A$9), 'Points-Table'!$C$9,
                (W45 = 'Points-Table'!$A$10), 'Points-Table'!$C$10,
                (W45 = 'Points-Table'!$A$11), 'Points-Table'!$C$11,
                (W45 = 'Points-Table'!$A$12), 'Points-Table'!$C$12,
                (W45 = 'Points-Table'!$A$13), 'Points-Table'!$C$13,
                true, 0
              )
            </f>
      </c>
      <c r="Y45" s="11">
        <v>5</v>
      </c>
      <c r="Z45" s="12">
        <f>
              Ifs(
                (Y45 = 'Points-Table'!$A$4), 'Points-Table'!$C$4,
                (Y45 = 'Points-Table'!$A$5), 'Points-Table'!$C$5,
                (Y45 = 'Points-Table'!$A$6), 'Points-Table'!$C$6,
                (Y45 = 'Points-Table'!$A$7), 'Points-Table'!$C$7,
                (Y45 = 'Points-Table'!$A$8), 'Points-Table'!$C$8,
                (Y45 = 'Points-Table'!$A$9), 'Points-Table'!$C$9,
                (Y45 = 'Points-Table'!$A$10), 'Points-Table'!$C$10,
                (Y45 = 'Points-Table'!$A$11), 'Points-Table'!$C$11,
                (Y45 = 'Points-Table'!$A$12), 'Points-Table'!$C$12,
                (Y45 = 'Points-Table'!$A$13), 'Points-Table'!$C$13,
                true, 0
              )
            </f>
      </c>
      <c r="AA45" s="6">
        <f>SUM(V45,X45,Z45)</f>
      </c>
      <c r="AB45" s="6">
        <f>
      Ifs( 
        ISBETWEEN(AA45, 0, 'Points-Table'!C$20, TRUE, False), 'Points-Table'!A$20,
        ISBETWEEN(AA45, 'Points-Table'!C$20, 'Points-Table'!C$21, TRUE, False), 'Points-Table'!A$21,
        ISBETWEEN(AA45, 'Points-Table'!C$22, 10000, TRUE, TRUE), 'Points-Table'!A$22,
        true, 
        0)
      </f>
      </c>
      <c r="AC45" s="6" t="s">
        <v>56</v>
      </c>
      <c r="AD45" s="6" t="s">
        <v>56</v>
      </c>
      <c r="AE45" s="6" t="s">
        <v>56</v>
      </c>
    </row>
    <row r="46" spans="1:31" s="6" customFormat="1" x14ac:dyDescent="0.25">
      <c r="A46" s="6" t="s">
        <v>251</v>
      </c>
      <c r="B46" s="6" t="s">
        <v>252</v>
      </c>
      <c r="C46" s="6" t="s">
        <v>257</v>
      </c>
      <c r="D46" s="6" t="s">
        <v>258</v>
      </c>
      <c r="E46" s="6"/>
      <c r="F46" s="6" t="s">
        <v>259</v>
      </c>
      <c r="G46" s="6"/>
      <c r="H46" s="6"/>
      <c r="I46" s="6"/>
      <c r="J46" s="6"/>
      <c r="K46" s="6" t="s">
        <v>84</v>
      </c>
      <c r="L46" s="6" t="s">
        <v>85</v>
      </c>
      <c r="M46" s="6"/>
      <c r="N46" s="6"/>
      <c r="O46" s="6"/>
      <c r="P46" s="6"/>
      <c r="Q46" s="11">
        <v>2</v>
      </c>
      <c r="R46" s="12">
        <f>
              Ifs(
                (Q46 = 'Points-Table'!$A$4), 'Points-Table'!$C$4,
                (Q46 = 'Points-Table'!$A$5), 'Points-Table'!$C$5,
                (Q46 = 'Points-Table'!$A$6), 'Points-Table'!$C$6,
                (Q46 = 'Points-Table'!$A$7), 'Points-Table'!$C$7,
                (Q46 = 'Points-Table'!$A$8), 'Points-Table'!$C$8,
                (Q46 = 'Points-Table'!$A$9), 'Points-Table'!$C$9,
                (Q46 = 'Points-Table'!$A$10), 'Points-Table'!$C$10,
                (Q46 = 'Points-Table'!$A$11), 'Points-Table'!$C$11,
                (Q46 = 'Points-Table'!$A$12), 'Points-Table'!$C$12,
                (Q46 = 'Points-Table'!$A$13), 'Points-Table'!$C$13,
                true, 0
              )
            </f>
      </c>
      <c r="S46" s="11">
        <v>2</v>
      </c>
      <c r="T46" s="12">
        <f>
              Ifs(
                (S46 = 'Points-Table'!$A$4), 'Points-Table'!$C$4,
                (S46 = 'Points-Table'!$A$5), 'Points-Table'!$C$5,
                (S46 = 'Points-Table'!$A$6), 'Points-Table'!$C$6,
                (S46 = 'Points-Table'!$A$7), 'Points-Table'!$C$7,
                (S46 = 'Points-Table'!$A$8), 'Points-Table'!$C$8,
                (S46 = 'Points-Table'!$A$9), 'Points-Table'!$C$9,
                (S46 = 'Points-Table'!$A$10), 'Points-Table'!$C$10,
                (S46 = 'Points-Table'!$A$11), 'Points-Table'!$C$11,
                (S46 = 'Points-Table'!$A$12), 'Points-Table'!$C$12,
                (S46 = 'Points-Table'!$A$13), 'Points-Table'!$C$13,
                true, 0
              )
            </f>
      </c>
      <c r="U46" s="11">
        <v>5</v>
      </c>
      <c r="V46" s="12">
        <f>
              Ifs(
                (U46 = 'Points-Table'!$A$4), 'Points-Table'!$C$4,
                (U46 = 'Points-Table'!$A$5), 'Points-Table'!$C$5,
                (U46 = 'Points-Table'!$A$6), 'Points-Table'!$C$6,
                (U46 = 'Points-Table'!$A$7), 'Points-Table'!$C$7,
                (U46 = 'Points-Table'!$A$8), 'Points-Table'!$C$8,
                (U46 = 'Points-Table'!$A$9), 'Points-Table'!$C$9,
                (U46 = 'Points-Table'!$A$10), 'Points-Table'!$C$10,
                (U46 = 'Points-Table'!$A$11), 'Points-Table'!$C$11,
                (U46 = 'Points-Table'!$A$12), 'Points-Table'!$C$12,
                (U46 = 'Points-Table'!$A$13), 'Points-Table'!$C$13,
                true, 0
              )
            </f>
      </c>
      <c r="W46" s="11">
        <v>5</v>
      </c>
      <c r="X46" s="12">
        <f>
              Ifs(
                (W46 = 'Points-Table'!$A$4), 'Points-Table'!$C$4,
                (W46 = 'Points-Table'!$A$5), 'Points-Table'!$C$5,
                (W46 = 'Points-Table'!$A$6), 'Points-Table'!$C$6,
                (W46 = 'Points-Table'!$A$7), 'Points-Table'!$C$7,
                (W46 = 'Points-Table'!$A$8), 'Points-Table'!$C$8,
                (W46 = 'Points-Table'!$A$9), 'Points-Table'!$C$9,
                (W46 = 'Points-Table'!$A$10), 'Points-Table'!$C$10,
                (W46 = 'Points-Table'!$A$11), 'Points-Table'!$C$11,
                (W46 = 'Points-Table'!$A$12), 'Points-Table'!$C$12,
                (W46 = 'Points-Table'!$A$13), 'Points-Table'!$C$13,
                true, 0
              )
            </f>
      </c>
      <c r="Y46" s="11">
        <v>3</v>
      </c>
      <c r="Z46" s="12">
        <f>
              Ifs(
                (Y46 = 'Points-Table'!$A$4), 'Points-Table'!$C$4,
                (Y46 = 'Points-Table'!$A$5), 'Points-Table'!$C$5,
                (Y46 = 'Points-Table'!$A$6), 'Points-Table'!$C$6,
                (Y46 = 'Points-Table'!$A$7), 'Points-Table'!$C$7,
                (Y46 = 'Points-Table'!$A$8), 'Points-Table'!$C$8,
                (Y46 = 'Points-Table'!$A$9), 'Points-Table'!$C$9,
                (Y46 = 'Points-Table'!$A$10), 'Points-Table'!$C$10,
                (Y46 = 'Points-Table'!$A$11), 'Points-Table'!$C$11,
                (Y46 = 'Points-Table'!$A$12), 'Points-Table'!$C$12,
                (Y46 = 'Points-Table'!$A$13), 'Points-Table'!$C$13,
                true, 0
              )
            </f>
      </c>
      <c r="AA46" s="6">
        <f>SUM(V46,X46,Z46)</f>
      </c>
      <c r="AB46" s="6">
        <f>
      Ifs( 
        ISBETWEEN(AA46, 0, 'Points-Table'!C$20, TRUE, False), 'Points-Table'!A$20,
        ISBETWEEN(AA46, 'Points-Table'!C$20, 'Points-Table'!C$21, TRUE, False), 'Points-Table'!A$21,
        ISBETWEEN(AA46, 'Points-Table'!C$22, 10000, TRUE, TRUE), 'Points-Table'!A$22,
        true, 
        0)
      </f>
      </c>
      <c r="AC46" s="6" t="s">
        <v>56</v>
      </c>
      <c r="AD46" s="6" t="s">
        <v>56</v>
      </c>
      <c r="AE46" s="6" t="s">
        <v>56</v>
      </c>
    </row>
    <row r="47" spans="1:31" s="6" customFormat="1" x14ac:dyDescent="0.25">
      <c r="A47" s="6" t="s">
        <v>251</v>
      </c>
      <c r="B47" s="6" t="s">
        <v>252</v>
      </c>
      <c r="C47" s="6" t="s">
        <v>260</v>
      </c>
      <c r="D47" s="6"/>
      <c r="E47" s="6"/>
      <c r="F47" s="6"/>
      <c r="G47" s="6"/>
      <c r="H47" s="6"/>
      <c r="I47" s="6"/>
      <c r="J47" s="6"/>
      <c r="K47" s="6" t="s">
        <v>84</v>
      </c>
      <c r="L47" s="6" t="s">
        <v>85</v>
      </c>
      <c r="M47" s="6"/>
      <c r="N47" s="6"/>
      <c r="O47" s="6"/>
      <c r="P47" s="6"/>
      <c r="Q47" s="11"/>
      <c r="R47" s="12">
        <f>
              Ifs(
                (Q47 = 'Points-Table'!$A$4), 'Points-Table'!$C$4,
                (Q47 = 'Points-Table'!$A$5), 'Points-Table'!$C$5,
                (Q47 = 'Points-Table'!$A$6), 'Points-Table'!$C$6,
                (Q47 = 'Points-Table'!$A$7), 'Points-Table'!$C$7,
                (Q47 = 'Points-Table'!$A$8), 'Points-Table'!$C$8,
                (Q47 = 'Points-Table'!$A$9), 'Points-Table'!$C$9,
                (Q47 = 'Points-Table'!$A$10), 'Points-Table'!$C$10,
                (Q47 = 'Points-Table'!$A$11), 'Points-Table'!$C$11,
                (Q47 = 'Points-Table'!$A$12), 'Points-Table'!$C$12,
                (Q47 = 'Points-Table'!$A$13), 'Points-Table'!$C$13,
                true, 0
              )
            </f>
      </c>
      <c r="S47" s="11"/>
      <c r="T47" s="12">
        <f>
              Ifs(
                (S47 = 'Points-Table'!$A$4), 'Points-Table'!$C$4,
                (S47 = 'Points-Table'!$A$5), 'Points-Table'!$C$5,
                (S47 = 'Points-Table'!$A$6), 'Points-Table'!$C$6,
                (S47 = 'Points-Table'!$A$7), 'Points-Table'!$C$7,
                (S47 = 'Points-Table'!$A$8), 'Points-Table'!$C$8,
                (S47 = 'Points-Table'!$A$9), 'Points-Table'!$C$9,
                (S47 = 'Points-Table'!$A$10), 'Points-Table'!$C$10,
                (S47 = 'Points-Table'!$A$11), 'Points-Table'!$C$11,
                (S47 = 'Points-Table'!$A$12), 'Points-Table'!$C$12,
                (S47 = 'Points-Table'!$A$13), 'Points-Table'!$C$13,
                true, 0
              )
            </f>
      </c>
      <c r="U47" s="11">
        <v>3</v>
      </c>
      <c r="V47" s="12">
        <f>
              Ifs(
                (U47 = 'Points-Table'!$A$4), 'Points-Table'!$C$4,
                (U47 = 'Points-Table'!$A$5), 'Points-Table'!$C$5,
                (U47 = 'Points-Table'!$A$6), 'Points-Table'!$C$6,
                (U47 = 'Points-Table'!$A$7), 'Points-Table'!$C$7,
                (U47 = 'Points-Table'!$A$8), 'Points-Table'!$C$8,
                (U47 = 'Points-Table'!$A$9), 'Points-Table'!$C$9,
                (U47 = 'Points-Table'!$A$10), 'Points-Table'!$C$10,
                (U47 = 'Points-Table'!$A$11), 'Points-Table'!$C$11,
                (U47 = 'Points-Table'!$A$12), 'Points-Table'!$C$12,
                (U47 = 'Points-Table'!$A$13), 'Points-Table'!$C$13,
                true, 0
              )
            </f>
      </c>
      <c r="W47" s="11">
        <v>0</v>
      </c>
      <c r="X47" s="12">
        <f>
              Ifs(
                (W47 = 'Points-Table'!$A$4), 'Points-Table'!$C$4,
                (W47 = 'Points-Table'!$A$5), 'Points-Table'!$C$5,
                (W47 = 'Points-Table'!$A$6), 'Points-Table'!$C$6,
                (W47 = 'Points-Table'!$A$7), 'Points-Table'!$C$7,
                (W47 = 'Points-Table'!$A$8), 'Points-Table'!$C$8,
                (W47 = 'Points-Table'!$A$9), 'Points-Table'!$C$9,
                (W47 = 'Points-Table'!$A$10), 'Points-Table'!$C$10,
                (W47 = 'Points-Table'!$A$11), 'Points-Table'!$C$11,
                (W47 = 'Points-Table'!$A$12), 'Points-Table'!$C$12,
                (W47 = 'Points-Table'!$A$13), 'Points-Table'!$C$13,
                true, 0
              )
            </f>
      </c>
      <c r="Y47" s="11">
        <v>2</v>
      </c>
      <c r="Z47" s="12">
        <f>
              Ifs(
                (Y47 = 'Points-Table'!$A$4), 'Points-Table'!$C$4,
                (Y47 = 'Points-Table'!$A$5), 'Points-Table'!$C$5,
                (Y47 = 'Points-Table'!$A$6), 'Points-Table'!$C$6,
                (Y47 = 'Points-Table'!$A$7), 'Points-Table'!$C$7,
                (Y47 = 'Points-Table'!$A$8), 'Points-Table'!$C$8,
                (Y47 = 'Points-Table'!$A$9), 'Points-Table'!$C$9,
                (Y47 = 'Points-Table'!$A$10), 'Points-Table'!$C$10,
                (Y47 = 'Points-Table'!$A$11), 'Points-Table'!$C$11,
                (Y47 = 'Points-Table'!$A$12), 'Points-Table'!$C$12,
                (Y47 = 'Points-Table'!$A$13), 'Points-Table'!$C$13,
                true, 0
              )
            </f>
      </c>
      <c r="AA47" s="6">
        <f>SUM(V47,X47,Z47)</f>
      </c>
      <c r="AB47" s="6">
        <f>
      Ifs( 
        ISBETWEEN(AA47, 0, 'Points-Table'!C$20, TRUE, False), 'Points-Table'!A$20,
        ISBETWEEN(AA47, 'Points-Table'!C$20, 'Points-Table'!C$21, TRUE, False), 'Points-Table'!A$21,
        ISBETWEEN(AA47, 'Points-Table'!C$22, 10000, TRUE, TRUE), 'Points-Table'!A$22,
        true, 
        0)
      </f>
      </c>
      <c r="AC47" s="6" t="s">
        <v>56</v>
      </c>
      <c r="AD47" s="6" t="s">
        <v>56</v>
      </c>
      <c r="AE47" s="6" t="s">
        <v>56</v>
      </c>
    </row>
    <row r="48" spans="1:31" s="6" customFormat="1" x14ac:dyDescent="0.25">
      <c r="A48" s="6" t="s">
        <v>251</v>
      </c>
      <c r="B48" s="6" t="s">
        <v>252</v>
      </c>
      <c r="C48" s="6" t="s">
        <v>261</v>
      </c>
      <c r="D48" s="6"/>
      <c r="E48" s="6"/>
      <c r="F48" s="6" t="s">
        <v>262</v>
      </c>
      <c r="G48" s="6"/>
      <c r="H48" s="6"/>
      <c r="I48" s="6"/>
      <c r="J48" s="6"/>
      <c r="K48" s="6" t="s">
        <v>84</v>
      </c>
      <c r="L48" s="6" t="s">
        <v>85</v>
      </c>
      <c r="M48" s="6"/>
      <c r="N48" s="6"/>
      <c r="O48" s="6"/>
      <c r="P48" s="6"/>
      <c r="Q48" s="11"/>
      <c r="R48" s="12">
        <f>
              Ifs(
                (Q48 = 'Points-Table'!$A$4), 'Points-Table'!$C$4,
                (Q48 = 'Points-Table'!$A$5), 'Points-Table'!$C$5,
                (Q48 = 'Points-Table'!$A$6), 'Points-Table'!$C$6,
                (Q48 = 'Points-Table'!$A$7), 'Points-Table'!$C$7,
                (Q48 = 'Points-Table'!$A$8), 'Points-Table'!$C$8,
                (Q48 = 'Points-Table'!$A$9), 'Points-Table'!$C$9,
                (Q48 = 'Points-Table'!$A$10), 'Points-Table'!$C$10,
                (Q48 = 'Points-Table'!$A$11), 'Points-Table'!$C$11,
                (Q48 = 'Points-Table'!$A$12), 'Points-Table'!$C$12,
                (Q48 = 'Points-Table'!$A$13), 'Points-Table'!$C$13,
                true, 0
              )
            </f>
      </c>
      <c r="S48" s="11"/>
      <c r="T48" s="12">
        <f>
              Ifs(
                (S48 = 'Points-Table'!$A$4), 'Points-Table'!$C$4,
                (S48 = 'Points-Table'!$A$5), 'Points-Table'!$C$5,
                (S48 = 'Points-Table'!$A$6), 'Points-Table'!$C$6,
                (S48 = 'Points-Table'!$A$7), 'Points-Table'!$C$7,
                (S48 = 'Points-Table'!$A$8), 'Points-Table'!$C$8,
                (S48 = 'Points-Table'!$A$9), 'Points-Table'!$C$9,
                (S48 = 'Points-Table'!$A$10), 'Points-Table'!$C$10,
                (S48 = 'Points-Table'!$A$11), 'Points-Table'!$C$11,
                (S48 = 'Points-Table'!$A$12), 'Points-Table'!$C$12,
                (S48 = 'Points-Table'!$A$13), 'Points-Table'!$C$13,
                true, 0
              )
            </f>
      </c>
      <c r="U48" s="11">
        <v>8</v>
      </c>
      <c r="V48" s="12">
        <f>
              Ifs(
                (U48 = 'Points-Table'!$A$4), 'Points-Table'!$C$4,
                (U48 = 'Points-Table'!$A$5), 'Points-Table'!$C$5,
                (U48 = 'Points-Table'!$A$6), 'Points-Table'!$C$6,
                (U48 = 'Points-Table'!$A$7), 'Points-Table'!$C$7,
                (U48 = 'Points-Table'!$A$8), 'Points-Table'!$C$8,
                (U48 = 'Points-Table'!$A$9), 'Points-Table'!$C$9,
                (U48 = 'Points-Table'!$A$10), 'Points-Table'!$C$10,
                (U48 = 'Points-Table'!$A$11), 'Points-Table'!$C$11,
                (U48 = 'Points-Table'!$A$12), 'Points-Table'!$C$12,
                (U48 = 'Points-Table'!$A$13), 'Points-Table'!$C$13,
                true, 0
              )
            </f>
      </c>
      <c r="W48" s="11">
        <v>2</v>
      </c>
      <c r="X48" s="12">
        <f>
              Ifs(
                (W48 = 'Points-Table'!$A$4), 'Points-Table'!$C$4,
                (W48 = 'Points-Table'!$A$5), 'Points-Table'!$C$5,
                (W48 = 'Points-Table'!$A$6), 'Points-Table'!$C$6,
                (W48 = 'Points-Table'!$A$7), 'Points-Table'!$C$7,
                (W48 = 'Points-Table'!$A$8), 'Points-Table'!$C$8,
                (W48 = 'Points-Table'!$A$9), 'Points-Table'!$C$9,
                (W48 = 'Points-Table'!$A$10), 'Points-Table'!$C$10,
                (W48 = 'Points-Table'!$A$11), 'Points-Table'!$C$11,
                (W48 = 'Points-Table'!$A$12), 'Points-Table'!$C$12,
                (W48 = 'Points-Table'!$A$13), 'Points-Table'!$C$13,
                true, 0
              )
            </f>
      </c>
      <c r="Y48" s="11">
        <v>5</v>
      </c>
      <c r="Z48" s="12">
        <f>
              Ifs(
                (Y48 = 'Points-Table'!$A$4), 'Points-Table'!$C$4,
                (Y48 = 'Points-Table'!$A$5), 'Points-Table'!$C$5,
                (Y48 = 'Points-Table'!$A$6), 'Points-Table'!$C$6,
                (Y48 = 'Points-Table'!$A$7), 'Points-Table'!$C$7,
                (Y48 = 'Points-Table'!$A$8), 'Points-Table'!$C$8,
                (Y48 = 'Points-Table'!$A$9), 'Points-Table'!$C$9,
                (Y48 = 'Points-Table'!$A$10), 'Points-Table'!$C$10,
                (Y48 = 'Points-Table'!$A$11), 'Points-Table'!$C$11,
                (Y48 = 'Points-Table'!$A$12), 'Points-Table'!$C$12,
                (Y48 = 'Points-Table'!$A$13), 'Points-Table'!$C$13,
                true, 0
              )
            </f>
      </c>
      <c r="AA48" s="6">
        <f>SUM(V48,X48,Z48)</f>
      </c>
      <c r="AB48" s="6">
        <f>
      Ifs( 
        ISBETWEEN(AA48, 0, 'Points-Table'!C$20, TRUE, False), 'Points-Table'!A$20,
        ISBETWEEN(AA48, 'Points-Table'!C$20, 'Points-Table'!C$21, TRUE, False), 'Points-Table'!A$21,
        ISBETWEEN(AA48, 'Points-Table'!C$22, 10000, TRUE, TRUE), 'Points-Table'!A$22,
        true, 
        0)
      </f>
      </c>
      <c r="AC48" s="6" t="s">
        <v>56</v>
      </c>
      <c r="AD48" s="6" t="s">
        <v>56</v>
      </c>
      <c r="AE48" s="6" t="s">
        <v>56</v>
      </c>
    </row>
    <row r="49" spans="1:31" s="6" customFormat="1" x14ac:dyDescent="0.25">
      <c r="A49" s="6" t="s">
        <v>251</v>
      </c>
      <c r="B49" s="6" t="s">
        <v>252</v>
      </c>
      <c r="C49" s="6" t="s">
        <v>263</v>
      </c>
      <c r="D49" s="6" t="s">
        <v>264</v>
      </c>
      <c r="E49" s="6"/>
      <c r="F49" s="6" t="s">
        <v>265</v>
      </c>
      <c r="G49" s="6"/>
      <c r="H49" s="6"/>
      <c r="I49" s="6"/>
      <c r="J49" s="6"/>
      <c r="K49" s="6" t="s">
        <v>84</v>
      </c>
      <c r="L49" s="6" t="s">
        <v>85</v>
      </c>
      <c r="M49" s="6"/>
      <c r="N49" s="6"/>
      <c r="O49" s="6"/>
      <c r="P49" s="6"/>
      <c r="Q49" s="11"/>
      <c r="R49" s="12">
        <f>
              Ifs(
                (Q49 = 'Points-Table'!$A$4), 'Points-Table'!$C$4,
                (Q49 = 'Points-Table'!$A$5), 'Points-Table'!$C$5,
                (Q49 = 'Points-Table'!$A$6), 'Points-Table'!$C$6,
                (Q49 = 'Points-Table'!$A$7), 'Points-Table'!$C$7,
                (Q49 = 'Points-Table'!$A$8), 'Points-Table'!$C$8,
                (Q49 = 'Points-Table'!$A$9), 'Points-Table'!$C$9,
                (Q49 = 'Points-Table'!$A$10), 'Points-Table'!$C$10,
                (Q49 = 'Points-Table'!$A$11), 'Points-Table'!$C$11,
                (Q49 = 'Points-Table'!$A$12), 'Points-Table'!$C$12,
                (Q49 = 'Points-Table'!$A$13), 'Points-Table'!$C$13,
                true, 0
              )
            </f>
      </c>
      <c r="S49" s="11"/>
      <c r="T49" s="12">
        <f>
              Ifs(
                (S49 = 'Points-Table'!$A$4), 'Points-Table'!$C$4,
                (S49 = 'Points-Table'!$A$5), 'Points-Table'!$C$5,
                (S49 = 'Points-Table'!$A$6), 'Points-Table'!$C$6,
                (S49 = 'Points-Table'!$A$7), 'Points-Table'!$C$7,
                (S49 = 'Points-Table'!$A$8), 'Points-Table'!$C$8,
                (S49 = 'Points-Table'!$A$9), 'Points-Table'!$C$9,
                (S49 = 'Points-Table'!$A$10), 'Points-Table'!$C$10,
                (S49 = 'Points-Table'!$A$11), 'Points-Table'!$C$11,
                (S49 = 'Points-Table'!$A$12), 'Points-Table'!$C$12,
                (S49 = 'Points-Table'!$A$13), 'Points-Table'!$C$13,
                true, 0
              )
            </f>
      </c>
      <c r="U49" s="11">
        <v>5</v>
      </c>
      <c r="V49" s="12">
        <f>
              Ifs(
                (U49 = 'Points-Table'!$A$4), 'Points-Table'!$C$4,
                (U49 = 'Points-Table'!$A$5), 'Points-Table'!$C$5,
                (U49 = 'Points-Table'!$A$6), 'Points-Table'!$C$6,
                (U49 = 'Points-Table'!$A$7), 'Points-Table'!$C$7,
                (U49 = 'Points-Table'!$A$8), 'Points-Table'!$C$8,
                (U49 = 'Points-Table'!$A$9), 'Points-Table'!$C$9,
                (U49 = 'Points-Table'!$A$10), 'Points-Table'!$C$10,
                (U49 = 'Points-Table'!$A$11), 'Points-Table'!$C$11,
                (U49 = 'Points-Table'!$A$12), 'Points-Table'!$C$12,
                (U49 = 'Points-Table'!$A$13), 'Points-Table'!$C$13,
                true, 0
              )
            </f>
      </c>
      <c r="W49" s="11">
        <v>2</v>
      </c>
      <c r="X49" s="12">
        <f>
              Ifs(
                (W49 = 'Points-Table'!$A$4), 'Points-Table'!$C$4,
                (W49 = 'Points-Table'!$A$5), 'Points-Table'!$C$5,
                (W49 = 'Points-Table'!$A$6), 'Points-Table'!$C$6,
                (W49 = 'Points-Table'!$A$7), 'Points-Table'!$C$7,
                (W49 = 'Points-Table'!$A$8), 'Points-Table'!$C$8,
                (W49 = 'Points-Table'!$A$9), 'Points-Table'!$C$9,
                (W49 = 'Points-Table'!$A$10), 'Points-Table'!$C$10,
                (W49 = 'Points-Table'!$A$11), 'Points-Table'!$C$11,
                (W49 = 'Points-Table'!$A$12), 'Points-Table'!$C$12,
                (W49 = 'Points-Table'!$A$13), 'Points-Table'!$C$13,
                true, 0
              )
            </f>
      </c>
      <c r="Y49" s="11">
        <v>13</v>
      </c>
      <c r="Z49" s="12">
        <f>
              Ifs(
                (Y49 = 'Points-Table'!$A$4), 'Points-Table'!$C$4,
                (Y49 = 'Points-Table'!$A$5), 'Points-Table'!$C$5,
                (Y49 = 'Points-Table'!$A$6), 'Points-Table'!$C$6,
                (Y49 = 'Points-Table'!$A$7), 'Points-Table'!$C$7,
                (Y49 = 'Points-Table'!$A$8), 'Points-Table'!$C$8,
                (Y49 = 'Points-Table'!$A$9), 'Points-Table'!$C$9,
                (Y49 = 'Points-Table'!$A$10), 'Points-Table'!$C$10,
                (Y49 = 'Points-Table'!$A$11), 'Points-Table'!$C$11,
                (Y49 = 'Points-Table'!$A$12), 'Points-Table'!$C$12,
                (Y49 = 'Points-Table'!$A$13), 'Points-Table'!$C$13,
                true, 0
              )
            </f>
      </c>
      <c r="AA49" s="6">
        <f>SUM(V49,X49,Z49)</f>
      </c>
      <c r="AB49" s="6">
        <f>
      Ifs( 
        ISBETWEEN(AA49, 0, 'Points-Table'!C$20, TRUE, False), 'Points-Table'!A$20,
        ISBETWEEN(AA49, 'Points-Table'!C$20, 'Points-Table'!C$21, TRUE, False), 'Points-Table'!A$21,
        ISBETWEEN(AA49, 'Points-Table'!C$22, 10000, TRUE, TRUE), 'Points-Table'!A$22,
        true, 
        0)
      </f>
      </c>
      <c r="AC49" s="6" t="s">
        <v>56</v>
      </c>
      <c r="AD49" s="6" t="s">
        <v>56</v>
      </c>
      <c r="AE49" s="6" t="s">
        <v>56</v>
      </c>
    </row>
    <row r="50" spans="1:31" s="6" customFormat="1" x14ac:dyDescent="0.25">
      <c r="A50" s="6" t="s">
        <v>251</v>
      </c>
      <c r="B50" s="6" t="s">
        <v>252</v>
      </c>
      <c r="C50" s="6" t="s">
        <v>266</v>
      </c>
      <c r="D50" s="6"/>
      <c r="E50" s="6"/>
      <c r="F50" s="6"/>
      <c r="G50" s="6"/>
      <c r="H50" s="6"/>
      <c r="I50" s="6"/>
      <c r="J50" s="6"/>
      <c r="K50" s="6" t="s">
        <v>84</v>
      </c>
      <c r="L50" s="6" t="s">
        <v>85</v>
      </c>
      <c r="M50" s="6"/>
      <c r="N50" s="6"/>
      <c r="O50" s="6"/>
      <c r="P50" s="6"/>
      <c r="Q50" s="11"/>
      <c r="R50" s="12">
        <f>
              Ifs(
                (Q50 = 'Points-Table'!$A$4), 'Points-Table'!$C$4,
                (Q50 = 'Points-Table'!$A$5), 'Points-Table'!$C$5,
                (Q50 = 'Points-Table'!$A$6), 'Points-Table'!$C$6,
                (Q50 = 'Points-Table'!$A$7), 'Points-Table'!$C$7,
                (Q50 = 'Points-Table'!$A$8), 'Points-Table'!$C$8,
                (Q50 = 'Points-Table'!$A$9), 'Points-Table'!$C$9,
                (Q50 = 'Points-Table'!$A$10), 'Points-Table'!$C$10,
                (Q50 = 'Points-Table'!$A$11), 'Points-Table'!$C$11,
                (Q50 = 'Points-Table'!$A$12), 'Points-Table'!$C$12,
                (Q50 = 'Points-Table'!$A$13), 'Points-Table'!$C$13,
                true, 0
              )
            </f>
      </c>
      <c r="S50" s="11"/>
      <c r="T50" s="12">
        <f>
              Ifs(
                (S50 = 'Points-Table'!$A$4), 'Points-Table'!$C$4,
                (S50 = 'Points-Table'!$A$5), 'Points-Table'!$C$5,
                (S50 = 'Points-Table'!$A$6), 'Points-Table'!$C$6,
                (S50 = 'Points-Table'!$A$7), 'Points-Table'!$C$7,
                (S50 = 'Points-Table'!$A$8), 'Points-Table'!$C$8,
                (S50 = 'Points-Table'!$A$9), 'Points-Table'!$C$9,
                (S50 = 'Points-Table'!$A$10), 'Points-Table'!$C$10,
                (S50 = 'Points-Table'!$A$11), 'Points-Table'!$C$11,
                (S50 = 'Points-Table'!$A$12), 'Points-Table'!$C$12,
                (S50 = 'Points-Table'!$A$13), 'Points-Table'!$C$13,
                true, 0
              )
            </f>
      </c>
      <c r="U50" s="11">
        <v>5</v>
      </c>
      <c r="V50" s="12">
        <f>
              Ifs(
                (U50 = 'Points-Table'!$A$4), 'Points-Table'!$C$4,
                (U50 = 'Points-Table'!$A$5), 'Points-Table'!$C$5,
                (U50 = 'Points-Table'!$A$6), 'Points-Table'!$C$6,
                (U50 = 'Points-Table'!$A$7), 'Points-Table'!$C$7,
                (U50 = 'Points-Table'!$A$8), 'Points-Table'!$C$8,
                (U50 = 'Points-Table'!$A$9), 'Points-Table'!$C$9,
                (U50 = 'Points-Table'!$A$10), 'Points-Table'!$C$10,
                (U50 = 'Points-Table'!$A$11), 'Points-Table'!$C$11,
                (U50 = 'Points-Table'!$A$12), 'Points-Table'!$C$12,
                (U50 = 'Points-Table'!$A$13), 'Points-Table'!$C$13,
                true, 0
              )
            </f>
      </c>
      <c r="W50" s="11">
        <v>0</v>
      </c>
      <c r="X50" s="12">
        <f>
              Ifs(
                (W50 = 'Points-Table'!$A$4), 'Points-Table'!$C$4,
                (W50 = 'Points-Table'!$A$5), 'Points-Table'!$C$5,
                (W50 = 'Points-Table'!$A$6), 'Points-Table'!$C$6,
                (W50 = 'Points-Table'!$A$7), 'Points-Table'!$C$7,
                (W50 = 'Points-Table'!$A$8), 'Points-Table'!$C$8,
                (W50 = 'Points-Table'!$A$9), 'Points-Table'!$C$9,
                (W50 = 'Points-Table'!$A$10), 'Points-Table'!$C$10,
                (W50 = 'Points-Table'!$A$11), 'Points-Table'!$C$11,
                (W50 = 'Points-Table'!$A$12), 'Points-Table'!$C$12,
                (W50 = 'Points-Table'!$A$13), 'Points-Table'!$C$13,
                true, 0
              )
            </f>
      </c>
      <c r="Y50" s="11">
        <v>5</v>
      </c>
      <c r="Z50" s="12">
        <f>
              Ifs(
                (Y50 = 'Points-Table'!$A$4), 'Points-Table'!$C$4,
                (Y50 = 'Points-Table'!$A$5), 'Points-Table'!$C$5,
                (Y50 = 'Points-Table'!$A$6), 'Points-Table'!$C$6,
                (Y50 = 'Points-Table'!$A$7), 'Points-Table'!$C$7,
                (Y50 = 'Points-Table'!$A$8), 'Points-Table'!$C$8,
                (Y50 = 'Points-Table'!$A$9), 'Points-Table'!$C$9,
                (Y50 = 'Points-Table'!$A$10), 'Points-Table'!$C$10,
                (Y50 = 'Points-Table'!$A$11), 'Points-Table'!$C$11,
                (Y50 = 'Points-Table'!$A$12), 'Points-Table'!$C$12,
                (Y50 = 'Points-Table'!$A$13), 'Points-Table'!$C$13,
                true, 0
              )
            </f>
      </c>
      <c r="AA50" s="6">
        <f>SUM(V50,X50,Z50)</f>
      </c>
      <c r="AB50" s="6">
        <f>
      Ifs( 
        ISBETWEEN(AA50, 0, 'Points-Table'!C$20, TRUE, False), 'Points-Table'!A$20,
        ISBETWEEN(AA50, 'Points-Table'!C$20, 'Points-Table'!C$21, TRUE, False), 'Points-Table'!A$21,
        ISBETWEEN(AA50, 'Points-Table'!C$22, 10000, TRUE, TRUE), 'Points-Table'!A$22,
        true, 
        0)
      </f>
      </c>
      <c r="AC50" s="6" t="s">
        <v>56</v>
      </c>
      <c r="AD50" s="6" t="s">
        <v>56</v>
      </c>
      <c r="AE50" s="6" t="s">
        <v>56</v>
      </c>
    </row>
    <row r="51" spans="1:31" s="6" customFormat="1" x14ac:dyDescent="0.25">
      <c r="A51" s="6" t="s">
        <v>251</v>
      </c>
      <c r="B51" s="6" t="s">
        <v>252</v>
      </c>
      <c r="C51" s="6" t="s">
        <v>267</v>
      </c>
      <c r="D51" s="6"/>
      <c r="E51" s="6"/>
      <c r="F51" s="6"/>
      <c r="G51" s="6"/>
      <c r="H51" s="6"/>
      <c r="I51" s="6"/>
      <c r="J51" s="6"/>
      <c r="K51" s="6" t="s">
        <v>84</v>
      </c>
      <c r="L51" s="6" t="s">
        <v>85</v>
      </c>
      <c r="M51" s="6"/>
      <c r="N51" s="6"/>
      <c r="O51" s="6"/>
      <c r="P51" s="6"/>
      <c r="Q51" s="11"/>
      <c r="R51" s="12">
        <f>
              Ifs(
                (Q51 = 'Points-Table'!$A$4), 'Points-Table'!$C$4,
                (Q51 = 'Points-Table'!$A$5), 'Points-Table'!$C$5,
                (Q51 = 'Points-Table'!$A$6), 'Points-Table'!$C$6,
                (Q51 = 'Points-Table'!$A$7), 'Points-Table'!$C$7,
                (Q51 = 'Points-Table'!$A$8), 'Points-Table'!$C$8,
                (Q51 = 'Points-Table'!$A$9), 'Points-Table'!$C$9,
                (Q51 = 'Points-Table'!$A$10), 'Points-Table'!$C$10,
                (Q51 = 'Points-Table'!$A$11), 'Points-Table'!$C$11,
                (Q51 = 'Points-Table'!$A$12), 'Points-Table'!$C$12,
                (Q51 = 'Points-Table'!$A$13), 'Points-Table'!$C$13,
                true, 0
              )
            </f>
      </c>
      <c r="S51" s="11"/>
      <c r="T51" s="12">
        <f>
              Ifs(
                (S51 = 'Points-Table'!$A$4), 'Points-Table'!$C$4,
                (S51 = 'Points-Table'!$A$5), 'Points-Table'!$C$5,
                (S51 = 'Points-Table'!$A$6), 'Points-Table'!$C$6,
                (S51 = 'Points-Table'!$A$7), 'Points-Table'!$C$7,
                (S51 = 'Points-Table'!$A$8), 'Points-Table'!$C$8,
                (S51 = 'Points-Table'!$A$9), 'Points-Table'!$C$9,
                (S51 = 'Points-Table'!$A$10), 'Points-Table'!$C$10,
                (S51 = 'Points-Table'!$A$11), 'Points-Table'!$C$11,
                (S51 = 'Points-Table'!$A$12), 'Points-Table'!$C$12,
                (S51 = 'Points-Table'!$A$13), 'Points-Table'!$C$13,
                true, 0
              )
            </f>
      </c>
      <c r="U51" s="11">
        <v>5</v>
      </c>
      <c r="V51" s="12">
        <f>
              Ifs(
                (U51 = 'Points-Table'!$A$4), 'Points-Table'!$C$4,
                (U51 = 'Points-Table'!$A$5), 'Points-Table'!$C$5,
                (U51 = 'Points-Table'!$A$6), 'Points-Table'!$C$6,
                (U51 = 'Points-Table'!$A$7), 'Points-Table'!$C$7,
                (U51 = 'Points-Table'!$A$8), 'Points-Table'!$C$8,
                (U51 = 'Points-Table'!$A$9), 'Points-Table'!$C$9,
                (U51 = 'Points-Table'!$A$10), 'Points-Table'!$C$10,
                (U51 = 'Points-Table'!$A$11), 'Points-Table'!$C$11,
                (U51 = 'Points-Table'!$A$12), 'Points-Table'!$C$12,
                (U51 = 'Points-Table'!$A$13), 'Points-Table'!$C$13,
                true, 0
              )
            </f>
      </c>
      <c r="W51" s="11">
        <v>0</v>
      </c>
      <c r="X51" s="12">
        <f>
              Ifs(
                (W51 = 'Points-Table'!$A$4), 'Points-Table'!$C$4,
                (W51 = 'Points-Table'!$A$5), 'Points-Table'!$C$5,
                (W51 = 'Points-Table'!$A$6), 'Points-Table'!$C$6,
                (W51 = 'Points-Table'!$A$7), 'Points-Table'!$C$7,
                (W51 = 'Points-Table'!$A$8), 'Points-Table'!$C$8,
                (W51 = 'Points-Table'!$A$9), 'Points-Table'!$C$9,
                (W51 = 'Points-Table'!$A$10), 'Points-Table'!$C$10,
                (W51 = 'Points-Table'!$A$11), 'Points-Table'!$C$11,
                (W51 = 'Points-Table'!$A$12), 'Points-Table'!$C$12,
                (W51 = 'Points-Table'!$A$13), 'Points-Table'!$C$13,
                true, 0
              )
            </f>
      </c>
      <c r="Y51" s="11">
        <v>5</v>
      </c>
      <c r="Z51" s="12">
        <f>
              Ifs(
                (Y51 = 'Points-Table'!$A$4), 'Points-Table'!$C$4,
                (Y51 = 'Points-Table'!$A$5), 'Points-Table'!$C$5,
                (Y51 = 'Points-Table'!$A$6), 'Points-Table'!$C$6,
                (Y51 = 'Points-Table'!$A$7), 'Points-Table'!$C$7,
                (Y51 = 'Points-Table'!$A$8), 'Points-Table'!$C$8,
                (Y51 = 'Points-Table'!$A$9), 'Points-Table'!$C$9,
                (Y51 = 'Points-Table'!$A$10), 'Points-Table'!$C$10,
                (Y51 = 'Points-Table'!$A$11), 'Points-Table'!$C$11,
                (Y51 = 'Points-Table'!$A$12), 'Points-Table'!$C$12,
                (Y51 = 'Points-Table'!$A$13), 'Points-Table'!$C$13,
                true, 0
              )
            </f>
      </c>
      <c r="AA51" s="6">
        <f>SUM(V51,X51,Z51)</f>
      </c>
      <c r="AB51" s="6">
        <f>
      Ifs( 
        ISBETWEEN(AA51, 0, 'Points-Table'!C$20, TRUE, False), 'Points-Table'!A$20,
        ISBETWEEN(AA51, 'Points-Table'!C$20, 'Points-Table'!C$21, TRUE, False), 'Points-Table'!A$21,
        ISBETWEEN(AA51, 'Points-Table'!C$22, 10000, TRUE, TRUE), 'Points-Table'!A$22,
        true, 
        0)
      </f>
      </c>
      <c r="AC51" s="6" t="s">
        <v>56</v>
      </c>
      <c r="AD51" s="6" t="s">
        <v>56</v>
      </c>
      <c r="AE51" s="6" t="s">
        <v>56</v>
      </c>
    </row>
    <row r="52" spans="1:31" s="6" customFormat="1" x14ac:dyDescent="0.25">
      <c r="A52" s="6" t="s">
        <v>251</v>
      </c>
      <c r="B52" s="6" t="s">
        <v>252</v>
      </c>
      <c r="C52" s="6" t="s">
        <v>268</v>
      </c>
      <c r="D52" s="6"/>
      <c r="E52" s="6"/>
      <c r="F52" s="6" t="s">
        <v>269</v>
      </c>
      <c r="G52" s="6"/>
      <c r="H52" s="6"/>
      <c r="I52" s="6"/>
      <c r="J52" s="6"/>
      <c r="K52" s="6" t="s">
        <v>84</v>
      </c>
      <c r="L52" s="6" t="s">
        <v>85</v>
      </c>
      <c r="M52" s="6"/>
      <c r="N52" s="6"/>
      <c r="O52" s="6"/>
      <c r="P52" s="6"/>
      <c r="Q52" s="11"/>
      <c r="R52" s="12">
        <f>
              Ifs(
                (Q52 = 'Points-Table'!$A$4), 'Points-Table'!$C$4,
                (Q52 = 'Points-Table'!$A$5), 'Points-Table'!$C$5,
                (Q52 = 'Points-Table'!$A$6), 'Points-Table'!$C$6,
                (Q52 = 'Points-Table'!$A$7), 'Points-Table'!$C$7,
                (Q52 = 'Points-Table'!$A$8), 'Points-Table'!$C$8,
                (Q52 = 'Points-Table'!$A$9), 'Points-Table'!$C$9,
                (Q52 = 'Points-Table'!$A$10), 'Points-Table'!$C$10,
                (Q52 = 'Points-Table'!$A$11), 'Points-Table'!$C$11,
                (Q52 = 'Points-Table'!$A$12), 'Points-Table'!$C$12,
                (Q52 = 'Points-Table'!$A$13), 'Points-Table'!$C$13,
                true, 0
              )
            </f>
      </c>
      <c r="S52" s="11"/>
      <c r="T52" s="12">
        <f>
              Ifs(
                (S52 = 'Points-Table'!$A$4), 'Points-Table'!$C$4,
                (S52 = 'Points-Table'!$A$5), 'Points-Table'!$C$5,
                (S52 = 'Points-Table'!$A$6), 'Points-Table'!$C$6,
                (S52 = 'Points-Table'!$A$7), 'Points-Table'!$C$7,
                (S52 = 'Points-Table'!$A$8), 'Points-Table'!$C$8,
                (S52 = 'Points-Table'!$A$9), 'Points-Table'!$C$9,
                (S52 = 'Points-Table'!$A$10), 'Points-Table'!$C$10,
                (S52 = 'Points-Table'!$A$11), 'Points-Table'!$C$11,
                (S52 = 'Points-Table'!$A$12), 'Points-Table'!$C$12,
                (S52 = 'Points-Table'!$A$13), 'Points-Table'!$C$13,
                true, 0
              )
            </f>
      </c>
      <c r="U52" s="11">
        <v>0</v>
      </c>
      <c r="V52" s="12">
        <f>
              Ifs(
                (U52 = 'Points-Table'!$A$4), 'Points-Table'!$C$4,
                (U52 = 'Points-Table'!$A$5), 'Points-Table'!$C$5,
                (U52 = 'Points-Table'!$A$6), 'Points-Table'!$C$6,
                (U52 = 'Points-Table'!$A$7), 'Points-Table'!$C$7,
                (U52 = 'Points-Table'!$A$8), 'Points-Table'!$C$8,
                (U52 = 'Points-Table'!$A$9), 'Points-Table'!$C$9,
                (U52 = 'Points-Table'!$A$10), 'Points-Table'!$C$10,
                (U52 = 'Points-Table'!$A$11), 'Points-Table'!$C$11,
                (U52 = 'Points-Table'!$A$12), 'Points-Table'!$C$12,
                (U52 = 'Points-Table'!$A$13), 'Points-Table'!$C$13,
                true, 0
              )
            </f>
      </c>
      <c r="W52" s="11">
        <v>2</v>
      </c>
      <c r="X52" s="12">
        <f>
              Ifs(
                (W52 = 'Points-Table'!$A$4), 'Points-Table'!$C$4,
                (W52 = 'Points-Table'!$A$5), 'Points-Table'!$C$5,
                (W52 = 'Points-Table'!$A$6), 'Points-Table'!$C$6,
                (W52 = 'Points-Table'!$A$7), 'Points-Table'!$C$7,
                (W52 = 'Points-Table'!$A$8), 'Points-Table'!$C$8,
                (W52 = 'Points-Table'!$A$9), 'Points-Table'!$C$9,
                (W52 = 'Points-Table'!$A$10), 'Points-Table'!$C$10,
                (W52 = 'Points-Table'!$A$11), 'Points-Table'!$C$11,
                (W52 = 'Points-Table'!$A$12), 'Points-Table'!$C$12,
                (W52 = 'Points-Table'!$A$13), 'Points-Table'!$C$13,
                true, 0
              )
            </f>
      </c>
      <c r="Y52" s="11">
        <v>3</v>
      </c>
      <c r="Z52" s="12">
        <f>
              Ifs(
                (Y52 = 'Points-Table'!$A$4), 'Points-Table'!$C$4,
                (Y52 = 'Points-Table'!$A$5), 'Points-Table'!$C$5,
                (Y52 = 'Points-Table'!$A$6), 'Points-Table'!$C$6,
                (Y52 = 'Points-Table'!$A$7), 'Points-Table'!$C$7,
                (Y52 = 'Points-Table'!$A$8), 'Points-Table'!$C$8,
                (Y52 = 'Points-Table'!$A$9), 'Points-Table'!$C$9,
                (Y52 = 'Points-Table'!$A$10), 'Points-Table'!$C$10,
                (Y52 = 'Points-Table'!$A$11), 'Points-Table'!$C$11,
                (Y52 = 'Points-Table'!$A$12), 'Points-Table'!$C$12,
                (Y52 = 'Points-Table'!$A$13), 'Points-Table'!$C$13,
                true, 0
              )
            </f>
      </c>
      <c r="AA52" s="6">
        <f>SUM(V52,X52,Z52)</f>
      </c>
      <c r="AB52" s="6">
        <f>
      Ifs( 
        ISBETWEEN(AA52, 0, 'Points-Table'!C$20, TRUE, False), 'Points-Table'!A$20,
        ISBETWEEN(AA52, 'Points-Table'!C$20, 'Points-Table'!C$21, TRUE, False), 'Points-Table'!A$21,
        ISBETWEEN(AA52, 'Points-Table'!C$22, 10000, TRUE, TRUE), 'Points-Table'!A$22,
        true, 
        0)
      </f>
      </c>
      <c r="AC52" s="6" t="s">
        <v>56</v>
      </c>
      <c r="AD52" s="6" t="s">
        <v>56</v>
      </c>
      <c r="AE52" s="6" t="s">
        <v>56</v>
      </c>
    </row>
    <row r="53" spans="1:31" s="13" customFormat="1" x14ac:dyDescent="0.25">
      <c r="A53" s="13" t="s">
        <v>251</v>
      </c>
      <c r="B53" s="13" t="s">
        <v>252</v>
      </c>
      <c r="C53" s="13" t="s">
        <v>270</v>
      </c>
      <c r="D53" s="13"/>
      <c r="E53" s="13"/>
      <c r="F53" s="13"/>
      <c r="G53" s="13"/>
      <c r="H53" s="13"/>
      <c r="I53" s="13"/>
      <c r="J53" s="13"/>
      <c r="K53" s="13" t="s">
        <v>84</v>
      </c>
      <c r="L53" s="13" t="s">
        <v>85</v>
      </c>
      <c r="M53" s="13"/>
      <c r="N53" s="13"/>
      <c r="O53" s="13"/>
      <c r="P53" s="13"/>
      <c r="Q53" s="13"/>
      <c r="R53" s="13">
        <f>
              Ifs(
                (Q53 = 'Points-Table'!$A$4), 'Points-Table'!$C$4,
                (Q53 = 'Points-Table'!$A$5), 'Points-Table'!$C$5,
                (Q53 = 'Points-Table'!$A$6), 'Points-Table'!$C$6,
                (Q53 = 'Points-Table'!$A$7), 'Points-Table'!$C$7,
                (Q53 = 'Points-Table'!$A$8), 'Points-Table'!$C$8,
                (Q53 = 'Points-Table'!$A$9), 'Points-Table'!$C$9,
                (Q53 = 'Points-Table'!$A$10), 'Points-Table'!$C$10,
                (Q53 = 'Points-Table'!$A$11), 'Points-Table'!$C$11,
                (Q53 = 'Points-Table'!$A$12), 'Points-Table'!$C$12,
                (Q53 = 'Points-Table'!$A$13), 'Points-Table'!$C$13,
                true, 0
              )
            </f>
      </c>
      <c r="S53" s="13"/>
      <c r="T53" s="13">
        <f>
              Ifs(
                (S53 = 'Points-Table'!$A$4), 'Points-Table'!$C$4,
                (S53 = 'Points-Table'!$A$5), 'Points-Table'!$C$5,
                (S53 = 'Points-Table'!$A$6), 'Points-Table'!$C$6,
                (S53 = 'Points-Table'!$A$7), 'Points-Table'!$C$7,
                (S53 = 'Points-Table'!$A$8), 'Points-Table'!$C$8,
                (S53 = 'Points-Table'!$A$9), 'Points-Table'!$C$9,
                (S53 = 'Points-Table'!$A$10), 'Points-Table'!$C$10,
                (S53 = 'Points-Table'!$A$11), 'Points-Table'!$C$11,
                (S53 = 'Points-Table'!$A$12), 'Points-Table'!$C$12,
                (S53 = 'Points-Table'!$A$13), 'Points-Table'!$C$13,
                true, 0
              )
            </f>
      </c>
      <c r="U53" s="13"/>
      <c r="V53" s="13">
        <f>
              Ifs(
                (U53 = 'Points-Table'!$A$4), 'Points-Table'!$C$4,
                (U53 = 'Points-Table'!$A$5), 'Points-Table'!$C$5,
                (U53 = 'Points-Table'!$A$6), 'Points-Table'!$C$6,
                (U53 = 'Points-Table'!$A$7), 'Points-Table'!$C$7,
                (U53 = 'Points-Table'!$A$8), 'Points-Table'!$C$8,
                (U53 = 'Points-Table'!$A$9), 'Points-Table'!$C$9,
                (U53 = 'Points-Table'!$A$10), 'Points-Table'!$C$10,
                (U53 = 'Points-Table'!$A$11), 'Points-Table'!$C$11,
                (U53 = 'Points-Table'!$A$12), 'Points-Table'!$C$12,
                (U53 = 'Points-Table'!$A$13), 'Points-Table'!$C$13,
                true, 0
              )
            </f>
      </c>
      <c r="W53" s="13"/>
      <c r="X53" s="13">
        <f>
              Ifs(
                (W53 = 'Points-Table'!$A$4), 'Points-Table'!$C$4,
                (W53 = 'Points-Table'!$A$5), 'Points-Table'!$C$5,
                (W53 = 'Points-Table'!$A$6), 'Points-Table'!$C$6,
                (W53 = 'Points-Table'!$A$7), 'Points-Table'!$C$7,
                (W53 = 'Points-Table'!$A$8), 'Points-Table'!$C$8,
                (W53 = 'Points-Table'!$A$9), 'Points-Table'!$C$9,
                (W53 = 'Points-Table'!$A$10), 'Points-Table'!$C$10,
                (W53 = 'Points-Table'!$A$11), 'Points-Table'!$C$11,
                (W53 = 'Points-Table'!$A$12), 'Points-Table'!$C$12,
                (W53 = 'Points-Table'!$A$13), 'Points-Table'!$C$13,
                true, 0
              )
            </f>
      </c>
      <c r="Y53" s="13"/>
      <c r="Z53" s="13">
        <f>
              Ifs(
                (Y53 = 'Points-Table'!$A$4), 'Points-Table'!$C$4,
                (Y53 = 'Points-Table'!$A$5), 'Points-Table'!$C$5,
                (Y53 = 'Points-Table'!$A$6), 'Points-Table'!$C$6,
                (Y53 = 'Points-Table'!$A$7), 'Points-Table'!$C$7,
                (Y53 = 'Points-Table'!$A$8), 'Points-Table'!$C$8,
                (Y53 = 'Points-Table'!$A$9), 'Points-Table'!$C$9,
                (Y53 = 'Points-Table'!$A$10), 'Points-Table'!$C$10,
                (Y53 = 'Points-Table'!$A$11), 'Points-Table'!$C$11,
                (Y53 = 'Points-Table'!$A$12), 'Points-Table'!$C$12,
                (Y53 = 'Points-Table'!$A$13), 'Points-Table'!$C$13,
                true, 0
              )
            </f>
      </c>
      <c r="AA53" s="13">
        <f>SUM(V53,X53,Z53)</f>
      </c>
      <c r="AB53" s="13">
        <f>
      Ifs( 
        ISBETWEEN(AA53, 0, 'Points-Table'!C$20, TRUE, False), 'Points-Table'!A$20,
        ISBETWEEN(AA53, 'Points-Table'!C$20, 'Points-Table'!C$21, TRUE, False), 'Points-Table'!A$21,
        ISBETWEEN(AA53, 'Points-Table'!C$22, 10000, TRUE, TRUE), 'Points-Table'!A$22,
        true, 
        0)
      </f>
      </c>
      <c r="AC53" s="13" t="s">
        <v>56</v>
      </c>
      <c r="AD53" s="13" t="s">
        <v>56</v>
      </c>
      <c r="AE53" s="13" t="s">
        <v>56</v>
      </c>
    </row>
    <row r="54" spans="1:31" s="6" customFormat="1" x14ac:dyDescent="0.25">
      <c r="A54" s="6" t="s">
        <v>251</v>
      </c>
      <c r="B54" s="6" t="s">
        <v>271</v>
      </c>
      <c r="C54" s="6" t="s">
        <v>253</v>
      </c>
      <c r="D54" s="6"/>
      <c r="E54" s="6"/>
      <c r="F54" s="6"/>
      <c r="G54" s="6"/>
      <c r="H54" s="6"/>
      <c r="I54" s="6"/>
      <c r="J54" s="6"/>
      <c r="K54" s="6" t="s">
        <v>84</v>
      </c>
      <c r="L54" s="6" t="s">
        <v>272</v>
      </c>
      <c r="M54" s="6"/>
      <c r="N54" s="6"/>
      <c r="O54" s="6"/>
      <c r="P54" s="6"/>
      <c r="Q54" s="11">
        <v>0</v>
      </c>
      <c r="R54" s="12">
        <f>
              Ifs(
                (Q54 = 'Points-Table'!$A$4), 'Points-Table'!$C$4,
                (Q54 = 'Points-Table'!$A$5), 'Points-Table'!$C$5,
                (Q54 = 'Points-Table'!$A$6), 'Points-Table'!$C$6,
                (Q54 = 'Points-Table'!$A$7), 'Points-Table'!$C$7,
                (Q54 = 'Points-Table'!$A$8), 'Points-Table'!$C$8,
                (Q54 = 'Points-Table'!$A$9), 'Points-Table'!$C$9,
                (Q54 = 'Points-Table'!$A$10), 'Points-Table'!$C$10,
                (Q54 = 'Points-Table'!$A$11), 'Points-Table'!$C$11,
                (Q54 = 'Points-Table'!$A$12), 'Points-Table'!$C$12,
                (Q54 = 'Points-Table'!$A$13), 'Points-Table'!$C$13,
                true, 0
              )
            </f>
      </c>
      <c r="S54" s="11">
        <v>0</v>
      </c>
      <c r="T54" s="12">
        <f>
              Ifs(
                (S54 = 'Points-Table'!$A$4), 'Points-Table'!$C$4,
                (S54 = 'Points-Table'!$A$5), 'Points-Table'!$C$5,
                (S54 = 'Points-Table'!$A$6), 'Points-Table'!$C$6,
                (S54 = 'Points-Table'!$A$7), 'Points-Table'!$C$7,
                (S54 = 'Points-Table'!$A$8), 'Points-Table'!$C$8,
                (S54 = 'Points-Table'!$A$9), 'Points-Table'!$C$9,
                (S54 = 'Points-Table'!$A$10), 'Points-Table'!$C$10,
                (S54 = 'Points-Table'!$A$11), 'Points-Table'!$C$11,
                (S54 = 'Points-Table'!$A$12), 'Points-Table'!$C$12,
                (S54 = 'Points-Table'!$A$13), 'Points-Table'!$C$13,
                true, 0
              )
            </f>
      </c>
      <c r="U54" s="11">
        <v>3</v>
      </c>
      <c r="V54" s="12">
        <f>
              Ifs(
                (U54 = 'Points-Table'!$A$4), 'Points-Table'!$C$4,
                (U54 = 'Points-Table'!$A$5), 'Points-Table'!$C$5,
                (U54 = 'Points-Table'!$A$6), 'Points-Table'!$C$6,
                (U54 = 'Points-Table'!$A$7), 'Points-Table'!$C$7,
                (U54 = 'Points-Table'!$A$8), 'Points-Table'!$C$8,
                (U54 = 'Points-Table'!$A$9), 'Points-Table'!$C$9,
                (U54 = 'Points-Table'!$A$10), 'Points-Table'!$C$10,
                (U54 = 'Points-Table'!$A$11), 'Points-Table'!$C$11,
                (U54 = 'Points-Table'!$A$12), 'Points-Table'!$C$12,
                (U54 = 'Points-Table'!$A$13), 'Points-Table'!$C$13,
                true, 0
              )
            </f>
      </c>
      <c r="W54" s="11">
        <v>2</v>
      </c>
      <c r="X54" s="12">
        <f>
              Ifs(
                (W54 = 'Points-Table'!$A$4), 'Points-Table'!$C$4,
                (W54 = 'Points-Table'!$A$5), 'Points-Table'!$C$5,
                (W54 = 'Points-Table'!$A$6), 'Points-Table'!$C$6,
                (W54 = 'Points-Table'!$A$7), 'Points-Table'!$C$7,
                (W54 = 'Points-Table'!$A$8), 'Points-Table'!$C$8,
                (W54 = 'Points-Table'!$A$9), 'Points-Table'!$C$9,
                (W54 = 'Points-Table'!$A$10), 'Points-Table'!$C$10,
                (W54 = 'Points-Table'!$A$11), 'Points-Table'!$C$11,
                (W54 = 'Points-Table'!$A$12), 'Points-Table'!$C$12,
                (W54 = 'Points-Table'!$A$13), 'Points-Table'!$C$13,
                true, 0
              )
            </f>
      </c>
      <c r="Y54" s="11">
        <v>3</v>
      </c>
      <c r="Z54" s="12">
        <f>
              Ifs(
                (Y54 = 'Points-Table'!$A$4), 'Points-Table'!$C$4,
                (Y54 = 'Points-Table'!$A$5), 'Points-Table'!$C$5,
                (Y54 = 'Points-Table'!$A$6), 'Points-Table'!$C$6,
                (Y54 = 'Points-Table'!$A$7), 'Points-Table'!$C$7,
                (Y54 = 'Points-Table'!$A$8), 'Points-Table'!$C$8,
                (Y54 = 'Points-Table'!$A$9), 'Points-Table'!$C$9,
                (Y54 = 'Points-Table'!$A$10), 'Points-Table'!$C$10,
                (Y54 = 'Points-Table'!$A$11), 'Points-Table'!$C$11,
                (Y54 = 'Points-Table'!$A$12), 'Points-Table'!$C$12,
                (Y54 = 'Points-Table'!$A$13), 'Points-Table'!$C$13,
                true, 0
              )
            </f>
      </c>
      <c r="AA54" s="6">
        <f>SUM(V54,X54,Z54)</f>
      </c>
      <c r="AB54" s="6">
        <f>
      Ifs( 
        ISBETWEEN(AA54, 0, 'Points-Table'!C$20, TRUE, False), 'Points-Table'!A$20,
        ISBETWEEN(AA54, 'Points-Table'!C$20, 'Points-Table'!C$21, TRUE, False), 'Points-Table'!A$21,
        ISBETWEEN(AA54, 'Points-Table'!C$22, 10000, TRUE, TRUE), 'Points-Table'!A$22,
        true, 
        0)
      </f>
      </c>
      <c r="AC54" s="6" t="s">
        <v>56</v>
      </c>
      <c r="AD54" s="6" t="s">
        <v>56</v>
      </c>
      <c r="AE54" s="6" t="s">
        <v>56</v>
      </c>
    </row>
    <row r="55" spans="1:31" s="6" customFormat="1" x14ac:dyDescent="0.25">
      <c r="A55" s="6" t="s">
        <v>251</v>
      </c>
      <c r="B55" s="6" t="s">
        <v>271</v>
      </c>
      <c r="C55" s="6" t="s">
        <v>273</v>
      </c>
      <c r="D55" s="6"/>
      <c r="E55" s="6"/>
      <c r="F55" s="6"/>
      <c r="G55" s="6"/>
      <c r="H55" s="6"/>
      <c r="I55" s="6"/>
      <c r="J55" s="6"/>
      <c r="K55" s="6" t="s">
        <v>84</v>
      </c>
      <c r="L55" s="6" t="s">
        <v>272</v>
      </c>
      <c r="M55" s="6"/>
      <c r="N55" s="6"/>
      <c r="O55" s="6"/>
      <c r="P55" s="6"/>
      <c r="Q55" s="11">
        <v>0</v>
      </c>
      <c r="R55" s="12">
        <f>
              Ifs(
                (Q55 = 'Points-Table'!$A$4), 'Points-Table'!$C$4,
                (Q55 = 'Points-Table'!$A$5), 'Points-Table'!$C$5,
                (Q55 = 'Points-Table'!$A$6), 'Points-Table'!$C$6,
                (Q55 = 'Points-Table'!$A$7), 'Points-Table'!$C$7,
                (Q55 = 'Points-Table'!$A$8), 'Points-Table'!$C$8,
                (Q55 = 'Points-Table'!$A$9), 'Points-Table'!$C$9,
                (Q55 = 'Points-Table'!$A$10), 'Points-Table'!$C$10,
                (Q55 = 'Points-Table'!$A$11), 'Points-Table'!$C$11,
                (Q55 = 'Points-Table'!$A$12), 'Points-Table'!$C$12,
                (Q55 = 'Points-Table'!$A$13), 'Points-Table'!$C$13,
                true, 0
              )
            </f>
      </c>
      <c r="S55" s="11">
        <v>0</v>
      </c>
      <c r="T55" s="12">
        <f>
              Ifs(
                (S55 = 'Points-Table'!$A$4), 'Points-Table'!$C$4,
                (S55 = 'Points-Table'!$A$5), 'Points-Table'!$C$5,
                (S55 = 'Points-Table'!$A$6), 'Points-Table'!$C$6,
                (S55 = 'Points-Table'!$A$7), 'Points-Table'!$C$7,
                (S55 = 'Points-Table'!$A$8), 'Points-Table'!$C$8,
                (S55 = 'Points-Table'!$A$9), 'Points-Table'!$C$9,
                (S55 = 'Points-Table'!$A$10), 'Points-Table'!$C$10,
                (S55 = 'Points-Table'!$A$11), 'Points-Table'!$C$11,
                (S55 = 'Points-Table'!$A$12), 'Points-Table'!$C$12,
                (S55 = 'Points-Table'!$A$13), 'Points-Table'!$C$13,
                true, 0
              )
            </f>
      </c>
      <c r="U55" s="11">
        <v>2</v>
      </c>
      <c r="V55" s="12">
        <f>
              Ifs(
                (U55 = 'Points-Table'!$A$4), 'Points-Table'!$C$4,
                (U55 = 'Points-Table'!$A$5), 'Points-Table'!$C$5,
                (U55 = 'Points-Table'!$A$6), 'Points-Table'!$C$6,
                (U55 = 'Points-Table'!$A$7), 'Points-Table'!$C$7,
                (U55 = 'Points-Table'!$A$8), 'Points-Table'!$C$8,
                (U55 = 'Points-Table'!$A$9), 'Points-Table'!$C$9,
                (U55 = 'Points-Table'!$A$10), 'Points-Table'!$C$10,
                (U55 = 'Points-Table'!$A$11), 'Points-Table'!$C$11,
                (U55 = 'Points-Table'!$A$12), 'Points-Table'!$C$12,
                (U55 = 'Points-Table'!$A$13), 'Points-Table'!$C$13,
                true, 0
              )
            </f>
      </c>
      <c r="W55" s="11">
        <v>2</v>
      </c>
      <c r="X55" s="12">
        <f>
              Ifs(
                (W55 = 'Points-Table'!$A$4), 'Points-Table'!$C$4,
                (W55 = 'Points-Table'!$A$5), 'Points-Table'!$C$5,
                (W55 = 'Points-Table'!$A$6), 'Points-Table'!$C$6,
                (W55 = 'Points-Table'!$A$7), 'Points-Table'!$C$7,
                (W55 = 'Points-Table'!$A$8), 'Points-Table'!$C$8,
                (W55 = 'Points-Table'!$A$9), 'Points-Table'!$C$9,
                (W55 = 'Points-Table'!$A$10), 'Points-Table'!$C$10,
                (W55 = 'Points-Table'!$A$11), 'Points-Table'!$C$11,
                (W55 = 'Points-Table'!$A$12), 'Points-Table'!$C$12,
                (W55 = 'Points-Table'!$A$13), 'Points-Table'!$C$13,
                true, 0
              )
            </f>
      </c>
      <c r="Y55" s="11">
        <v>1</v>
      </c>
      <c r="Z55" s="12">
        <f>
              Ifs(
                (Y55 = 'Points-Table'!$A$4), 'Points-Table'!$C$4,
                (Y55 = 'Points-Table'!$A$5), 'Points-Table'!$C$5,
                (Y55 = 'Points-Table'!$A$6), 'Points-Table'!$C$6,
                (Y55 = 'Points-Table'!$A$7), 'Points-Table'!$C$7,
                (Y55 = 'Points-Table'!$A$8), 'Points-Table'!$C$8,
                (Y55 = 'Points-Table'!$A$9), 'Points-Table'!$C$9,
                (Y55 = 'Points-Table'!$A$10), 'Points-Table'!$C$10,
                (Y55 = 'Points-Table'!$A$11), 'Points-Table'!$C$11,
                (Y55 = 'Points-Table'!$A$12), 'Points-Table'!$C$12,
                (Y55 = 'Points-Table'!$A$13), 'Points-Table'!$C$13,
                true, 0
              )
            </f>
      </c>
      <c r="AA55" s="6">
        <f>SUM(V55,X55,Z55)</f>
      </c>
      <c r="AB55" s="6">
        <f>
      Ifs( 
        ISBETWEEN(AA55, 0, 'Points-Table'!C$20, TRUE, False), 'Points-Table'!A$20,
        ISBETWEEN(AA55, 'Points-Table'!C$20, 'Points-Table'!C$21, TRUE, False), 'Points-Table'!A$21,
        ISBETWEEN(AA55, 'Points-Table'!C$22, 10000, TRUE, TRUE), 'Points-Table'!A$22,
        true, 
        0)
      </f>
      </c>
      <c r="AC55" s="6" t="s">
        <v>56</v>
      </c>
      <c r="AD55" s="6" t="s">
        <v>56</v>
      </c>
      <c r="AE55" s="6" t="s">
        <v>56</v>
      </c>
    </row>
    <row r="56" spans="1:31" s="6" customFormat="1" x14ac:dyDescent="0.25">
      <c r="A56" s="6" t="s">
        <v>251</v>
      </c>
      <c r="B56" s="6" t="s">
        <v>271</v>
      </c>
      <c r="C56" s="6" t="s">
        <v>274</v>
      </c>
      <c r="D56" s="6"/>
      <c r="E56" s="6"/>
      <c r="F56" s="6"/>
      <c r="G56" s="6"/>
      <c r="H56" s="6"/>
      <c r="I56" s="6"/>
      <c r="J56" s="6"/>
      <c r="K56" s="6" t="s">
        <v>84</v>
      </c>
      <c r="L56" s="6" t="s">
        <v>272</v>
      </c>
      <c r="M56" s="6"/>
      <c r="N56" s="6"/>
      <c r="O56" s="6"/>
      <c r="P56" s="6"/>
      <c r="Q56" s="11">
        <v>0</v>
      </c>
      <c r="R56" s="12">
        <f>
              Ifs(
                (Q56 = 'Points-Table'!$A$4), 'Points-Table'!$C$4,
                (Q56 = 'Points-Table'!$A$5), 'Points-Table'!$C$5,
                (Q56 = 'Points-Table'!$A$6), 'Points-Table'!$C$6,
                (Q56 = 'Points-Table'!$A$7), 'Points-Table'!$C$7,
                (Q56 = 'Points-Table'!$A$8), 'Points-Table'!$C$8,
                (Q56 = 'Points-Table'!$A$9), 'Points-Table'!$C$9,
                (Q56 = 'Points-Table'!$A$10), 'Points-Table'!$C$10,
                (Q56 = 'Points-Table'!$A$11), 'Points-Table'!$C$11,
                (Q56 = 'Points-Table'!$A$12), 'Points-Table'!$C$12,
                (Q56 = 'Points-Table'!$A$13), 'Points-Table'!$C$13,
                true, 0
              )
            </f>
      </c>
      <c r="S56" s="11">
        <v>0</v>
      </c>
      <c r="T56" s="12">
        <f>
              Ifs(
                (S56 = 'Points-Table'!$A$4), 'Points-Table'!$C$4,
                (S56 = 'Points-Table'!$A$5), 'Points-Table'!$C$5,
                (S56 = 'Points-Table'!$A$6), 'Points-Table'!$C$6,
                (S56 = 'Points-Table'!$A$7), 'Points-Table'!$C$7,
                (S56 = 'Points-Table'!$A$8), 'Points-Table'!$C$8,
                (S56 = 'Points-Table'!$A$9), 'Points-Table'!$C$9,
                (S56 = 'Points-Table'!$A$10), 'Points-Table'!$C$10,
                (S56 = 'Points-Table'!$A$11), 'Points-Table'!$C$11,
                (S56 = 'Points-Table'!$A$12), 'Points-Table'!$C$12,
                (S56 = 'Points-Table'!$A$13), 'Points-Table'!$C$13,
                true, 0
              )
            </f>
      </c>
      <c r="U56" s="11">
        <v>2</v>
      </c>
      <c r="V56" s="12">
        <f>
              Ifs(
                (U56 = 'Points-Table'!$A$4), 'Points-Table'!$C$4,
                (U56 = 'Points-Table'!$A$5), 'Points-Table'!$C$5,
                (U56 = 'Points-Table'!$A$6), 'Points-Table'!$C$6,
                (U56 = 'Points-Table'!$A$7), 'Points-Table'!$C$7,
                (U56 = 'Points-Table'!$A$8), 'Points-Table'!$C$8,
                (U56 = 'Points-Table'!$A$9), 'Points-Table'!$C$9,
                (U56 = 'Points-Table'!$A$10), 'Points-Table'!$C$10,
                (U56 = 'Points-Table'!$A$11), 'Points-Table'!$C$11,
                (U56 = 'Points-Table'!$A$12), 'Points-Table'!$C$12,
                (U56 = 'Points-Table'!$A$13), 'Points-Table'!$C$13,
                true, 0
              )
            </f>
      </c>
      <c r="W56" s="11">
        <v>2</v>
      </c>
      <c r="X56" s="12">
        <f>
              Ifs(
                (W56 = 'Points-Table'!$A$4), 'Points-Table'!$C$4,
                (W56 = 'Points-Table'!$A$5), 'Points-Table'!$C$5,
                (W56 = 'Points-Table'!$A$6), 'Points-Table'!$C$6,
                (W56 = 'Points-Table'!$A$7), 'Points-Table'!$C$7,
                (W56 = 'Points-Table'!$A$8), 'Points-Table'!$C$8,
                (W56 = 'Points-Table'!$A$9), 'Points-Table'!$C$9,
                (W56 = 'Points-Table'!$A$10), 'Points-Table'!$C$10,
                (W56 = 'Points-Table'!$A$11), 'Points-Table'!$C$11,
                (W56 = 'Points-Table'!$A$12), 'Points-Table'!$C$12,
                (W56 = 'Points-Table'!$A$13), 'Points-Table'!$C$13,
                true, 0
              )
            </f>
      </c>
      <c r="Y56" s="11">
        <v>1</v>
      </c>
      <c r="Z56" s="12">
        <f>
              Ifs(
                (Y56 = 'Points-Table'!$A$4), 'Points-Table'!$C$4,
                (Y56 = 'Points-Table'!$A$5), 'Points-Table'!$C$5,
                (Y56 = 'Points-Table'!$A$6), 'Points-Table'!$C$6,
                (Y56 = 'Points-Table'!$A$7), 'Points-Table'!$C$7,
                (Y56 = 'Points-Table'!$A$8), 'Points-Table'!$C$8,
                (Y56 = 'Points-Table'!$A$9), 'Points-Table'!$C$9,
                (Y56 = 'Points-Table'!$A$10), 'Points-Table'!$C$10,
                (Y56 = 'Points-Table'!$A$11), 'Points-Table'!$C$11,
                (Y56 = 'Points-Table'!$A$12), 'Points-Table'!$C$12,
                (Y56 = 'Points-Table'!$A$13), 'Points-Table'!$C$13,
                true, 0
              )
            </f>
      </c>
      <c r="AA56" s="6">
        <f>SUM(V56,X56,Z56)</f>
      </c>
      <c r="AB56" s="6">
        <f>
      Ifs( 
        ISBETWEEN(AA56, 0, 'Points-Table'!C$20, TRUE, False), 'Points-Table'!A$20,
        ISBETWEEN(AA56, 'Points-Table'!C$20, 'Points-Table'!C$21, TRUE, False), 'Points-Table'!A$21,
        ISBETWEEN(AA56, 'Points-Table'!C$22, 10000, TRUE, TRUE), 'Points-Table'!A$22,
        true, 
        0)
      </f>
      </c>
      <c r="AC56" s="6" t="s">
        <v>56</v>
      </c>
      <c r="AD56" s="6" t="s">
        <v>56</v>
      </c>
      <c r="AE56" s="6" t="s">
        <v>56</v>
      </c>
    </row>
    <row r="57" spans="1:31" s="6" customFormat="1" x14ac:dyDescent="0.25">
      <c r="A57" s="6" t="s">
        <v>251</v>
      </c>
      <c r="B57" s="6" t="s">
        <v>271</v>
      </c>
      <c r="C57" s="6" t="s">
        <v>275</v>
      </c>
      <c r="D57" s="6"/>
      <c r="E57" s="6"/>
      <c r="F57" s="6"/>
      <c r="G57" s="6"/>
      <c r="H57" s="6"/>
      <c r="I57" s="6"/>
      <c r="J57" s="6"/>
      <c r="K57" s="6" t="s">
        <v>84</v>
      </c>
      <c r="L57" s="6" t="s">
        <v>85</v>
      </c>
      <c r="M57" s="6"/>
      <c r="N57" s="6"/>
      <c r="O57" s="6"/>
      <c r="P57" s="6"/>
      <c r="Q57" s="11">
        <v>3</v>
      </c>
      <c r="R57" s="12">
        <f>
              Ifs(
                (Q57 = 'Points-Table'!$A$4), 'Points-Table'!$C$4,
                (Q57 = 'Points-Table'!$A$5), 'Points-Table'!$C$5,
                (Q57 = 'Points-Table'!$A$6), 'Points-Table'!$C$6,
                (Q57 = 'Points-Table'!$A$7), 'Points-Table'!$C$7,
                (Q57 = 'Points-Table'!$A$8), 'Points-Table'!$C$8,
                (Q57 = 'Points-Table'!$A$9), 'Points-Table'!$C$9,
                (Q57 = 'Points-Table'!$A$10), 'Points-Table'!$C$10,
                (Q57 = 'Points-Table'!$A$11), 'Points-Table'!$C$11,
                (Q57 = 'Points-Table'!$A$12), 'Points-Table'!$C$12,
                (Q57 = 'Points-Table'!$A$13), 'Points-Table'!$C$13,
                true, 0
              )
            </f>
      </c>
      <c r="S57" s="11">
        <v>3</v>
      </c>
      <c r="T57" s="12">
        <f>
              Ifs(
                (S57 = 'Points-Table'!$A$4), 'Points-Table'!$C$4,
                (S57 = 'Points-Table'!$A$5), 'Points-Table'!$C$5,
                (S57 = 'Points-Table'!$A$6), 'Points-Table'!$C$6,
                (S57 = 'Points-Table'!$A$7), 'Points-Table'!$C$7,
                (S57 = 'Points-Table'!$A$8), 'Points-Table'!$C$8,
                (S57 = 'Points-Table'!$A$9), 'Points-Table'!$C$9,
                (S57 = 'Points-Table'!$A$10), 'Points-Table'!$C$10,
                (S57 = 'Points-Table'!$A$11), 'Points-Table'!$C$11,
                (S57 = 'Points-Table'!$A$12), 'Points-Table'!$C$12,
                (S57 = 'Points-Table'!$A$13), 'Points-Table'!$C$13,
                true, 0
              )
            </f>
      </c>
      <c r="U57" s="11">
        <v>5</v>
      </c>
      <c r="V57" s="12">
        <f>
              Ifs(
                (U57 = 'Points-Table'!$A$4), 'Points-Table'!$C$4,
                (U57 = 'Points-Table'!$A$5), 'Points-Table'!$C$5,
                (U57 = 'Points-Table'!$A$6), 'Points-Table'!$C$6,
                (U57 = 'Points-Table'!$A$7), 'Points-Table'!$C$7,
                (U57 = 'Points-Table'!$A$8), 'Points-Table'!$C$8,
                (U57 = 'Points-Table'!$A$9), 'Points-Table'!$C$9,
                (U57 = 'Points-Table'!$A$10), 'Points-Table'!$C$10,
                (U57 = 'Points-Table'!$A$11), 'Points-Table'!$C$11,
                (U57 = 'Points-Table'!$A$12), 'Points-Table'!$C$12,
                (U57 = 'Points-Table'!$A$13), 'Points-Table'!$C$13,
                true, 0
              )
            </f>
      </c>
      <c r="W57" s="11">
        <v>3</v>
      </c>
      <c r="X57" s="12">
        <f>
              Ifs(
                (W57 = 'Points-Table'!$A$4), 'Points-Table'!$C$4,
                (W57 = 'Points-Table'!$A$5), 'Points-Table'!$C$5,
                (W57 = 'Points-Table'!$A$6), 'Points-Table'!$C$6,
                (W57 = 'Points-Table'!$A$7), 'Points-Table'!$C$7,
                (W57 = 'Points-Table'!$A$8), 'Points-Table'!$C$8,
                (W57 = 'Points-Table'!$A$9), 'Points-Table'!$C$9,
                (W57 = 'Points-Table'!$A$10), 'Points-Table'!$C$10,
                (W57 = 'Points-Table'!$A$11), 'Points-Table'!$C$11,
                (W57 = 'Points-Table'!$A$12), 'Points-Table'!$C$12,
                (W57 = 'Points-Table'!$A$13), 'Points-Table'!$C$13,
                true, 0
              )
            </f>
      </c>
      <c r="Y57" s="11">
        <v>5</v>
      </c>
      <c r="Z57" s="12">
        <f>
              Ifs(
                (Y57 = 'Points-Table'!$A$4), 'Points-Table'!$C$4,
                (Y57 = 'Points-Table'!$A$5), 'Points-Table'!$C$5,
                (Y57 = 'Points-Table'!$A$6), 'Points-Table'!$C$6,
                (Y57 = 'Points-Table'!$A$7), 'Points-Table'!$C$7,
                (Y57 = 'Points-Table'!$A$8), 'Points-Table'!$C$8,
                (Y57 = 'Points-Table'!$A$9), 'Points-Table'!$C$9,
                (Y57 = 'Points-Table'!$A$10), 'Points-Table'!$C$10,
                (Y57 = 'Points-Table'!$A$11), 'Points-Table'!$C$11,
                (Y57 = 'Points-Table'!$A$12), 'Points-Table'!$C$12,
                (Y57 = 'Points-Table'!$A$13), 'Points-Table'!$C$13,
                true, 0
              )
            </f>
      </c>
      <c r="AA57" s="6">
        <f>SUM(V57,X57,Z57)</f>
      </c>
      <c r="AB57" s="6">
        <f>
      Ifs( 
        ISBETWEEN(AA57, 0, 'Points-Table'!C$20, TRUE, False), 'Points-Table'!A$20,
        ISBETWEEN(AA57, 'Points-Table'!C$20, 'Points-Table'!C$21, TRUE, False), 'Points-Table'!A$21,
        ISBETWEEN(AA57, 'Points-Table'!C$22, 10000, TRUE, TRUE), 'Points-Table'!A$22,
        true, 
        0)
      </f>
      </c>
      <c r="AC57" s="6" t="s">
        <v>56</v>
      </c>
      <c r="AD57" s="6" t="s">
        <v>56</v>
      </c>
      <c r="AE57" s="6" t="s">
        <v>56</v>
      </c>
    </row>
    <row r="58" spans="1:31" s="6" customFormat="1" x14ac:dyDescent="0.25">
      <c r="A58" s="6" t="s">
        <v>251</v>
      </c>
      <c r="B58" s="6" t="s">
        <v>276</v>
      </c>
      <c r="C58" s="6" t="s">
        <v>277</v>
      </c>
      <c r="D58" s="6" t="s">
        <v>278</v>
      </c>
      <c r="E58" s="6"/>
      <c r="F58" s="6" t="s">
        <v>279</v>
      </c>
      <c r="G58" s="6"/>
      <c r="H58" s="6"/>
      <c r="I58" s="6"/>
      <c r="J58" s="6"/>
      <c r="K58" s="6" t="s">
        <v>84</v>
      </c>
      <c r="L58" s="6" t="s">
        <v>85</v>
      </c>
      <c r="M58" s="6"/>
      <c r="N58" s="6"/>
      <c r="O58" s="6"/>
      <c r="P58" s="6"/>
      <c r="Q58" s="11">
        <v>2</v>
      </c>
      <c r="R58" s="12">
        <f>
              Ifs(
                (Q58 = 'Points-Table'!$A$4), 'Points-Table'!$C$4,
                (Q58 = 'Points-Table'!$A$5), 'Points-Table'!$C$5,
                (Q58 = 'Points-Table'!$A$6), 'Points-Table'!$C$6,
                (Q58 = 'Points-Table'!$A$7), 'Points-Table'!$C$7,
                (Q58 = 'Points-Table'!$A$8), 'Points-Table'!$C$8,
                (Q58 = 'Points-Table'!$A$9), 'Points-Table'!$C$9,
                (Q58 = 'Points-Table'!$A$10), 'Points-Table'!$C$10,
                (Q58 = 'Points-Table'!$A$11), 'Points-Table'!$C$11,
                (Q58 = 'Points-Table'!$A$12), 'Points-Table'!$C$12,
                (Q58 = 'Points-Table'!$A$13), 'Points-Table'!$C$13,
                true, 0
              )
            </f>
      </c>
      <c r="S58" s="11">
        <v>2</v>
      </c>
      <c r="T58" s="12">
        <f>
              Ifs(
                (S58 = 'Points-Table'!$A$4), 'Points-Table'!$C$4,
                (S58 = 'Points-Table'!$A$5), 'Points-Table'!$C$5,
                (S58 = 'Points-Table'!$A$6), 'Points-Table'!$C$6,
                (S58 = 'Points-Table'!$A$7), 'Points-Table'!$C$7,
                (S58 = 'Points-Table'!$A$8), 'Points-Table'!$C$8,
                (S58 = 'Points-Table'!$A$9), 'Points-Table'!$C$9,
                (S58 = 'Points-Table'!$A$10), 'Points-Table'!$C$10,
                (S58 = 'Points-Table'!$A$11), 'Points-Table'!$C$11,
                (S58 = 'Points-Table'!$A$12), 'Points-Table'!$C$12,
                (S58 = 'Points-Table'!$A$13), 'Points-Table'!$C$13,
                true, 0
              )
            </f>
      </c>
      <c r="U58" s="11">
        <v>8</v>
      </c>
      <c r="V58" s="12">
        <f>
              Ifs(
                (U58 = 'Points-Table'!$A$4), 'Points-Table'!$C$4,
                (U58 = 'Points-Table'!$A$5), 'Points-Table'!$C$5,
                (U58 = 'Points-Table'!$A$6), 'Points-Table'!$C$6,
                (U58 = 'Points-Table'!$A$7), 'Points-Table'!$C$7,
                (U58 = 'Points-Table'!$A$8), 'Points-Table'!$C$8,
                (U58 = 'Points-Table'!$A$9), 'Points-Table'!$C$9,
                (U58 = 'Points-Table'!$A$10), 'Points-Table'!$C$10,
                (U58 = 'Points-Table'!$A$11), 'Points-Table'!$C$11,
                (U58 = 'Points-Table'!$A$12), 'Points-Table'!$C$12,
                (U58 = 'Points-Table'!$A$13), 'Points-Table'!$C$13,
                true, 0
              )
            </f>
      </c>
      <c r="W58" s="11">
        <v>3</v>
      </c>
      <c r="X58" s="12">
        <f>
              Ifs(
                (W58 = 'Points-Table'!$A$4), 'Points-Table'!$C$4,
                (W58 = 'Points-Table'!$A$5), 'Points-Table'!$C$5,
                (W58 = 'Points-Table'!$A$6), 'Points-Table'!$C$6,
                (W58 = 'Points-Table'!$A$7), 'Points-Table'!$C$7,
                (W58 = 'Points-Table'!$A$8), 'Points-Table'!$C$8,
                (W58 = 'Points-Table'!$A$9), 'Points-Table'!$C$9,
                (W58 = 'Points-Table'!$A$10), 'Points-Table'!$C$10,
                (W58 = 'Points-Table'!$A$11), 'Points-Table'!$C$11,
                (W58 = 'Points-Table'!$A$12), 'Points-Table'!$C$12,
                (W58 = 'Points-Table'!$A$13), 'Points-Table'!$C$13,
                true, 0
              )
            </f>
      </c>
      <c r="Y58" s="11">
        <v>8</v>
      </c>
      <c r="Z58" s="12">
        <f>
              Ifs(
                (Y58 = 'Points-Table'!$A$4), 'Points-Table'!$C$4,
                (Y58 = 'Points-Table'!$A$5), 'Points-Table'!$C$5,
                (Y58 = 'Points-Table'!$A$6), 'Points-Table'!$C$6,
                (Y58 = 'Points-Table'!$A$7), 'Points-Table'!$C$7,
                (Y58 = 'Points-Table'!$A$8), 'Points-Table'!$C$8,
                (Y58 = 'Points-Table'!$A$9), 'Points-Table'!$C$9,
                (Y58 = 'Points-Table'!$A$10), 'Points-Table'!$C$10,
                (Y58 = 'Points-Table'!$A$11), 'Points-Table'!$C$11,
                (Y58 = 'Points-Table'!$A$12), 'Points-Table'!$C$12,
                (Y58 = 'Points-Table'!$A$13), 'Points-Table'!$C$13,
                true, 0
              )
            </f>
      </c>
      <c r="AA58" s="6">
        <f>SUM(V58,X58,Z58)</f>
      </c>
      <c r="AB58" s="6">
        <f>
      Ifs( 
        ISBETWEEN(AA58, 0, 'Points-Table'!C$20, TRUE, False), 'Points-Table'!A$20,
        ISBETWEEN(AA58, 'Points-Table'!C$20, 'Points-Table'!C$21, TRUE, False), 'Points-Table'!A$21,
        ISBETWEEN(AA58, 'Points-Table'!C$22, 10000, TRUE, TRUE), 'Points-Table'!A$22,
        true, 
        0)
      </f>
      </c>
      <c r="AC58" s="6" t="s">
        <v>56</v>
      </c>
      <c r="AD58" s="6" t="s">
        <v>56</v>
      </c>
      <c r="AE58" s="6" t="s">
        <v>56</v>
      </c>
    </row>
    <row r="59" spans="1:31" s="6" customFormat="1" x14ac:dyDescent="0.25">
      <c r="A59" s="6" t="s">
        <v>251</v>
      </c>
      <c r="B59" s="6" t="s">
        <v>276</v>
      </c>
      <c r="C59" s="6" t="s">
        <v>280</v>
      </c>
      <c r="D59" s="6"/>
      <c r="E59" s="6"/>
      <c r="F59" s="6" t="s">
        <v>281</v>
      </c>
      <c r="G59" s="6"/>
      <c r="H59" s="6"/>
      <c r="I59" s="6"/>
      <c r="J59" s="6"/>
      <c r="K59" s="6" t="s">
        <v>84</v>
      </c>
      <c r="L59" s="6" t="s">
        <v>85</v>
      </c>
      <c r="M59" s="6"/>
      <c r="N59" s="6"/>
      <c r="O59" s="6"/>
      <c r="P59" s="6"/>
      <c r="Q59" s="11"/>
      <c r="R59" s="12">
        <f>
              Ifs(
                (Q59 = 'Points-Table'!$A$4), 'Points-Table'!$C$4,
                (Q59 = 'Points-Table'!$A$5), 'Points-Table'!$C$5,
                (Q59 = 'Points-Table'!$A$6), 'Points-Table'!$C$6,
                (Q59 = 'Points-Table'!$A$7), 'Points-Table'!$C$7,
                (Q59 = 'Points-Table'!$A$8), 'Points-Table'!$C$8,
                (Q59 = 'Points-Table'!$A$9), 'Points-Table'!$C$9,
                (Q59 = 'Points-Table'!$A$10), 'Points-Table'!$C$10,
                (Q59 = 'Points-Table'!$A$11), 'Points-Table'!$C$11,
                (Q59 = 'Points-Table'!$A$12), 'Points-Table'!$C$12,
                (Q59 = 'Points-Table'!$A$13), 'Points-Table'!$C$13,
                true, 0
              )
            </f>
      </c>
      <c r="S59" s="11"/>
      <c r="T59" s="12">
        <f>
              Ifs(
                (S59 = 'Points-Table'!$A$4), 'Points-Table'!$C$4,
                (S59 = 'Points-Table'!$A$5), 'Points-Table'!$C$5,
                (S59 = 'Points-Table'!$A$6), 'Points-Table'!$C$6,
                (S59 = 'Points-Table'!$A$7), 'Points-Table'!$C$7,
                (S59 = 'Points-Table'!$A$8), 'Points-Table'!$C$8,
                (S59 = 'Points-Table'!$A$9), 'Points-Table'!$C$9,
                (S59 = 'Points-Table'!$A$10), 'Points-Table'!$C$10,
                (S59 = 'Points-Table'!$A$11), 'Points-Table'!$C$11,
                (S59 = 'Points-Table'!$A$12), 'Points-Table'!$C$12,
                (S59 = 'Points-Table'!$A$13), 'Points-Table'!$C$13,
                true, 0
              )
            </f>
      </c>
      <c r="U59" s="11">
        <v>0</v>
      </c>
      <c r="V59" s="12">
        <f>
              Ifs(
                (U59 = 'Points-Table'!$A$4), 'Points-Table'!$C$4,
                (U59 = 'Points-Table'!$A$5), 'Points-Table'!$C$5,
                (U59 = 'Points-Table'!$A$6), 'Points-Table'!$C$6,
                (U59 = 'Points-Table'!$A$7), 'Points-Table'!$C$7,
                (U59 = 'Points-Table'!$A$8), 'Points-Table'!$C$8,
                (U59 = 'Points-Table'!$A$9), 'Points-Table'!$C$9,
                (U59 = 'Points-Table'!$A$10), 'Points-Table'!$C$10,
                (U59 = 'Points-Table'!$A$11), 'Points-Table'!$C$11,
                (U59 = 'Points-Table'!$A$12), 'Points-Table'!$C$12,
                (U59 = 'Points-Table'!$A$13), 'Points-Table'!$C$13,
                true, 0
              )
            </f>
      </c>
      <c r="W59" s="11">
        <v>0</v>
      </c>
      <c r="X59" s="12">
        <f>
              Ifs(
                (W59 = 'Points-Table'!$A$4), 'Points-Table'!$C$4,
                (W59 = 'Points-Table'!$A$5), 'Points-Table'!$C$5,
                (W59 = 'Points-Table'!$A$6), 'Points-Table'!$C$6,
                (W59 = 'Points-Table'!$A$7), 'Points-Table'!$C$7,
                (W59 = 'Points-Table'!$A$8), 'Points-Table'!$C$8,
                (W59 = 'Points-Table'!$A$9), 'Points-Table'!$C$9,
                (W59 = 'Points-Table'!$A$10), 'Points-Table'!$C$10,
                (W59 = 'Points-Table'!$A$11), 'Points-Table'!$C$11,
                (W59 = 'Points-Table'!$A$12), 'Points-Table'!$C$12,
                (W59 = 'Points-Table'!$A$13), 'Points-Table'!$C$13,
                true, 0
              )
            </f>
      </c>
      <c r="Y59" s="11">
        <v>0</v>
      </c>
      <c r="Z59" s="12">
        <f>
              Ifs(
                (Y59 = 'Points-Table'!$A$4), 'Points-Table'!$C$4,
                (Y59 = 'Points-Table'!$A$5), 'Points-Table'!$C$5,
                (Y59 = 'Points-Table'!$A$6), 'Points-Table'!$C$6,
                (Y59 = 'Points-Table'!$A$7), 'Points-Table'!$C$7,
                (Y59 = 'Points-Table'!$A$8), 'Points-Table'!$C$8,
                (Y59 = 'Points-Table'!$A$9), 'Points-Table'!$C$9,
                (Y59 = 'Points-Table'!$A$10), 'Points-Table'!$C$10,
                (Y59 = 'Points-Table'!$A$11), 'Points-Table'!$C$11,
                (Y59 = 'Points-Table'!$A$12), 'Points-Table'!$C$12,
                (Y59 = 'Points-Table'!$A$13), 'Points-Table'!$C$13,
                true, 0
              )
            </f>
      </c>
      <c r="AA59" s="6">
        <f>SUM(V59,X59,Z59)</f>
      </c>
      <c r="AB59" s="6">
        <f>
      Ifs( 
        ISBETWEEN(AA59, 0, 'Points-Table'!C$20, TRUE, False), 'Points-Table'!A$20,
        ISBETWEEN(AA59, 'Points-Table'!C$20, 'Points-Table'!C$21, TRUE, False), 'Points-Table'!A$21,
        ISBETWEEN(AA59, 'Points-Table'!C$22, 10000, TRUE, TRUE), 'Points-Table'!A$22,
        true, 
        0)
      </f>
      </c>
      <c r="AC59" s="6" t="s">
        <v>56</v>
      </c>
      <c r="AD59" s="6" t="s">
        <v>56</v>
      </c>
      <c r="AE59" s="6" t="s">
        <v>56</v>
      </c>
    </row>
    <row r="60" spans="1:31" s="6" customFormat="1" x14ac:dyDescent="0.25">
      <c r="A60" s="6" t="s">
        <v>251</v>
      </c>
      <c r="B60" s="6" t="s">
        <v>276</v>
      </c>
      <c r="C60" s="6" t="s">
        <v>282</v>
      </c>
      <c r="D60" s="6"/>
      <c r="E60" s="6"/>
      <c r="F60" s="6"/>
      <c r="G60" s="6"/>
      <c r="H60" s="6"/>
      <c r="I60" s="6"/>
      <c r="J60" s="6"/>
      <c r="K60" s="6" t="s">
        <v>84</v>
      </c>
      <c r="L60" s="6" t="s">
        <v>85</v>
      </c>
      <c r="M60" s="6"/>
      <c r="N60" s="6"/>
      <c r="O60" s="6"/>
      <c r="P60" s="6"/>
      <c r="Q60" s="11"/>
      <c r="R60" s="12">
        <f>
              Ifs(
                (Q60 = 'Points-Table'!$A$4), 'Points-Table'!$C$4,
                (Q60 = 'Points-Table'!$A$5), 'Points-Table'!$C$5,
                (Q60 = 'Points-Table'!$A$6), 'Points-Table'!$C$6,
                (Q60 = 'Points-Table'!$A$7), 'Points-Table'!$C$7,
                (Q60 = 'Points-Table'!$A$8), 'Points-Table'!$C$8,
                (Q60 = 'Points-Table'!$A$9), 'Points-Table'!$C$9,
                (Q60 = 'Points-Table'!$A$10), 'Points-Table'!$C$10,
                (Q60 = 'Points-Table'!$A$11), 'Points-Table'!$C$11,
                (Q60 = 'Points-Table'!$A$12), 'Points-Table'!$C$12,
                (Q60 = 'Points-Table'!$A$13), 'Points-Table'!$C$13,
                true, 0
              )
            </f>
      </c>
      <c r="S60" s="11"/>
      <c r="T60" s="12">
        <f>
              Ifs(
                (S60 = 'Points-Table'!$A$4), 'Points-Table'!$C$4,
                (S60 = 'Points-Table'!$A$5), 'Points-Table'!$C$5,
                (S60 = 'Points-Table'!$A$6), 'Points-Table'!$C$6,
                (S60 = 'Points-Table'!$A$7), 'Points-Table'!$C$7,
                (S60 = 'Points-Table'!$A$8), 'Points-Table'!$C$8,
                (S60 = 'Points-Table'!$A$9), 'Points-Table'!$C$9,
                (S60 = 'Points-Table'!$A$10), 'Points-Table'!$C$10,
                (S60 = 'Points-Table'!$A$11), 'Points-Table'!$C$11,
                (S60 = 'Points-Table'!$A$12), 'Points-Table'!$C$12,
                (S60 = 'Points-Table'!$A$13), 'Points-Table'!$C$13,
                true, 0
              )
            </f>
      </c>
      <c r="U60" s="11">
        <v>3</v>
      </c>
      <c r="V60" s="12">
        <f>
              Ifs(
                (U60 = 'Points-Table'!$A$4), 'Points-Table'!$C$4,
                (U60 = 'Points-Table'!$A$5), 'Points-Table'!$C$5,
                (U60 = 'Points-Table'!$A$6), 'Points-Table'!$C$6,
                (U60 = 'Points-Table'!$A$7), 'Points-Table'!$C$7,
                (U60 = 'Points-Table'!$A$8), 'Points-Table'!$C$8,
                (U60 = 'Points-Table'!$A$9), 'Points-Table'!$C$9,
                (U60 = 'Points-Table'!$A$10), 'Points-Table'!$C$10,
                (U60 = 'Points-Table'!$A$11), 'Points-Table'!$C$11,
                (U60 = 'Points-Table'!$A$12), 'Points-Table'!$C$12,
                (U60 = 'Points-Table'!$A$13), 'Points-Table'!$C$13,
                true, 0
              )
            </f>
      </c>
      <c r="W60" s="11">
        <v>2</v>
      </c>
      <c r="X60" s="12">
        <f>
              Ifs(
                (W60 = 'Points-Table'!$A$4), 'Points-Table'!$C$4,
                (W60 = 'Points-Table'!$A$5), 'Points-Table'!$C$5,
                (W60 = 'Points-Table'!$A$6), 'Points-Table'!$C$6,
                (W60 = 'Points-Table'!$A$7), 'Points-Table'!$C$7,
                (W60 = 'Points-Table'!$A$8), 'Points-Table'!$C$8,
                (W60 = 'Points-Table'!$A$9), 'Points-Table'!$C$9,
                (W60 = 'Points-Table'!$A$10), 'Points-Table'!$C$10,
                (W60 = 'Points-Table'!$A$11), 'Points-Table'!$C$11,
                (W60 = 'Points-Table'!$A$12), 'Points-Table'!$C$12,
                (W60 = 'Points-Table'!$A$13), 'Points-Table'!$C$13,
                true, 0
              )
            </f>
      </c>
      <c r="Y60" s="11">
        <v>5</v>
      </c>
      <c r="Z60" s="12">
        <f>
              Ifs(
                (Y60 = 'Points-Table'!$A$4), 'Points-Table'!$C$4,
                (Y60 = 'Points-Table'!$A$5), 'Points-Table'!$C$5,
                (Y60 = 'Points-Table'!$A$6), 'Points-Table'!$C$6,
                (Y60 = 'Points-Table'!$A$7), 'Points-Table'!$C$7,
                (Y60 = 'Points-Table'!$A$8), 'Points-Table'!$C$8,
                (Y60 = 'Points-Table'!$A$9), 'Points-Table'!$C$9,
                (Y60 = 'Points-Table'!$A$10), 'Points-Table'!$C$10,
                (Y60 = 'Points-Table'!$A$11), 'Points-Table'!$C$11,
                (Y60 = 'Points-Table'!$A$12), 'Points-Table'!$C$12,
                (Y60 = 'Points-Table'!$A$13), 'Points-Table'!$C$13,
                true, 0
              )
            </f>
      </c>
      <c r="AA60" s="6">
        <f>SUM(V60,X60,Z60)</f>
      </c>
      <c r="AB60" s="6">
        <f>
      Ifs( 
        ISBETWEEN(AA60, 0, 'Points-Table'!C$20, TRUE, False), 'Points-Table'!A$20,
        ISBETWEEN(AA60, 'Points-Table'!C$20, 'Points-Table'!C$21, TRUE, False), 'Points-Table'!A$21,
        ISBETWEEN(AA60, 'Points-Table'!C$22, 10000, TRUE, TRUE), 'Points-Table'!A$22,
        true, 
        0)
      </f>
      </c>
      <c r="AC60" s="6" t="s">
        <v>56</v>
      </c>
      <c r="AD60" s="6" t="s">
        <v>56</v>
      </c>
      <c r="AE60" s="6" t="s">
        <v>56</v>
      </c>
    </row>
    <row r="61" spans="1:31" s="6" customFormat="1" x14ac:dyDescent="0.25">
      <c r="A61" s="6" t="s">
        <v>251</v>
      </c>
      <c r="B61" s="6" t="s">
        <v>276</v>
      </c>
      <c r="C61" s="6" t="s">
        <v>283</v>
      </c>
      <c r="D61" s="6"/>
      <c r="E61" s="6"/>
      <c r="F61" s="6" t="s">
        <v>284</v>
      </c>
      <c r="G61" s="6"/>
      <c r="H61" s="6"/>
      <c r="I61" s="6"/>
      <c r="J61" s="6"/>
      <c r="K61" s="6" t="s">
        <v>84</v>
      </c>
      <c r="L61" s="6" t="s">
        <v>85</v>
      </c>
      <c r="M61" s="6"/>
      <c r="N61" s="6"/>
      <c r="O61" s="6"/>
      <c r="P61" s="6"/>
      <c r="Q61" s="11"/>
      <c r="R61" s="12">
        <f>
              Ifs(
                (Q61 = 'Points-Table'!$A$4), 'Points-Table'!$C$4,
                (Q61 = 'Points-Table'!$A$5), 'Points-Table'!$C$5,
                (Q61 = 'Points-Table'!$A$6), 'Points-Table'!$C$6,
                (Q61 = 'Points-Table'!$A$7), 'Points-Table'!$C$7,
                (Q61 = 'Points-Table'!$A$8), 'Points-Table'!$C$8,
                (Q61 = 'Points-Table'!$A$9), 'Points-Table'!$C$9,
                (Q61 = 'Points-Table'!$A$10), 'Points-Table'!$C$10,
                (Q61 = 'Points-Table'!$A$11), 'Points-Table'!$C$11,
                (Q61 = 'Points-Table'!$A$12), 'Points-Table'!$C$12,
                (Q61 = 'Points-Table'!$A$13), 'Points-Table'!$C$13,
                true, 0
              )
            </f>
      </c>
      <c r="S61" s="11"/>
      <c r="T61" s="12">
        <f>
              Ifs(
                (S61 = 'Points-Table'!$A$4), 'Points-Table'!$C$4,
                (S61 = 'Points-Table'!$A$5), 'Points-Table'!$C$5,
                (S61 = 'Points-Table'!$A$6), 'Points-Table'!$C$6,
                (S61 = 'Points-Table'!$A$7), 'Points-Table'!$C$7,
                (S61 = 'Points-Table'!$A$8), 'Points-Table'!$C$8,
                (S61 = 'Points-Table'!$A$9), 'Points-Table'!$C$9,
                (S61 = 'Points-Table'!$A$10), 'Points-Table'!$C$10,
                (S61 = 'Points-Table'!$A$11), 'Points-Table'!$C$11,
                (S61 = 'Points-Table'!$A$12), 'Points-Table'!$C$12,
                (S61 = 'Points-Table'!$A$13), 'Points-Table'!$C$13,
                true, 0
              )
            </f>
      </c>
      <c r="U61" s="11">
        <v>21</v>
      </c>
      <c r="V61" s="12">
        <f>
              Ifs(
                (U61 = 'Points-Table'!$A$4), 'Points-Table'!$C$4,
                (U61 = 'Points-Table'!$A$5), 'Points-Table'!$C$5,
                (U61 = 'Points-Table'!$A$6), 'Points-Table'!$C$6,
                (U61 = 'Points-Table'!$A$7), 'Points-Table'!$C$7,
                (U61 = 'Points-Table'!$A$8), 'Points-Table'!$C$8,
                (U61 = 'Points-Table'!$A$9), 'Points-Table'!$C$9,
                (U61 = 'Points-Table'!$A$10), 'Points-Table'!$C$10,
                (U61 = 'Points-Table'!$A$11), 'Points-Table'!$C$11,
                (U61 = 'Points-Table'!$A$12), 'Points-Table'!$C$12,
                (U61 = 'Points-Table'!$A$13), 'Points-Table'!$C$13,
                true, 0
              )
            </f>
      </c>
      <c r="W61" s="11">
        <v>5</v>
      </c>
      <c r="X61" s="12">
        <f>
              Ifs(
                (W61 = 'Points-Table'!$A$4), 'Points-Table'!$C$4,
                (W61 = 'Points-Table'!$A$5), 'Points-Table'!$C$5,
                (W61 = 'Points-Table'!$A$6), 'Points-Table'!$C$6,
                (W61 = 'Points-Table'!$A$7), 'Points-Table'!$C$7,
                (W61 = 'Points-Table'!$A$8), 'Points-Table'!$C$8,
                (W61 = 'Points-Table'!$A$9), 'Points-Table'!$C$9,
                (W61 = 'Points-Table'!$A$10), 'Points-Table'!$C$10,
                (W61 = 'Points-Table'!$A$11), 'Points-Table'!$C$11,
                (W61 = 'Points-Table'!$A$12), 'Points-Table'!$C$12,
                (W61 = 'Points-Table'!$A$13), 'Points-Table'!$C$13,
                true, 0
              )
            </f>
      </c>
      <c r="Y61" s="11">
        <v>8</v>
      </c>
      <c r="Z61" s="12">
        <f>
              Ifs(
                (Y61 = 'Points-Table'!$A$4), 'Points-Table'!$C$4,
                (Y61 = 'Points-Table'!$A$5), 'Points-Table'!$C$5,
                (Y61 = 'Points-Table'!$A$6), 'Points-Table'!$C$6,
                (Y61 = 'Points-Table'!$A$7), 'Points-Table'!$C$7,
                (Y61 = 'Points-Table'!$A$8), 'Points-Table'!$C$8,
                (Y61 = 'Points-Table'!$A$9), 'Points-Table'!$C$9,
                (Y61 = 'Points-Table'!$A$10), 'Points-Table'!$C$10,
                (Y61 = 'Points-Table'!$A$11), 'Points-Table'!$C$11,
                (Y61 = 'Points-Table'!$A$12), 'Points-Table'!$C$12,
                (Y61 = 'Points-Table'!$A$13), 'Points-Table'!$C$13,
                true, 0
              )
            </f>
      </c>
      <c r="AA61" s="6">
        <f>SUM(V61,X61,Z61)</f>
      </c>
      <c r="AB61" s="6">
        <f>
      Ifs( 
        ISBETWEEN(AA61, 0, 'Points-Table'!C$20, TRUE, False), 'Points-Table'!A$20,
        ISBETWEEN(AA61, 'Points-Table'!C$20, 'Points-Table'!C$21, TRUE, False), 'Points-Table'!A$21,
        ISBETWEEN(AA61, 'Points-Table'!C$22, 10000, TRUE, TRUE), 'Points-Table'!A$22,
        true, 
        0)
      </f>
      </c>
      <c r="AC61" s="6" t="s">
        <v>56</v>
      </c>
      <c r="AD61" s="6" t="s">
        <v>56</v>
      </c>
      <c r="AE61" s="6" t="s">
        <v>56</v>
      </c>
    </row>
    <row r="62" spans="1:31" s="6" customFormat="1" x14ac:dyDescent="0.25">
      <c r="A62" s="6" t="s">
        <v>251</v>
      </c>
      <c r="B62" s="6" t="s">
        <v>276</v>
      </c>
      <c r="C62" s="6" t="s">
        <v>285</v>
      </c>
      <c r="D62" s="6"/>
      <c r="E62" s="6"/>
      <c r="F62" s="6" t="s">
        <v>286</v>
      </c>
      <c r="G62" s="6"/>
      <c r="H62" s="6"/>
      <c r="I62" s="6"/>
      <c r="J62" s="6"/>
      <c r="K62" s="6" t="s">
        <v>84</v>
      </c>
      <c r="L62" s="6" t="s">
        <v>85</v>
      </c>
      <c r="M62" s="6"/>
      <c r="N62" s="6"/>
      <c r="O62" s="6"/>
      <c r="P62" s="6"/>
      <c r="Q62" s="11"/>
      <c r="R62" s="12">
        <f>
              Ifs(
                (Q62 = 'Points-Table'!$A$4), 'Points-Table'!$C$4,
                (Q62 = 'Points-Table'!$A$5), 'Points-Table'!$C$5,
                (Q62 = 'Points-Table'!$A$6), 'Points-Table'!$C$6,
                (Q62 = 'Points-Table'!$A$7), 'Points-Table'!$C$7,
                (Q62 = 'Points-Table'!$A$8), 'Points-Table'!$C$8,
                (Q62 = 'Points-Table'!$A$9), 'Points-Table'!$C$9,
                (Q62 = 'Points-Table'!$A$10), 'Points-Table'!$C$10,
                (Q62 = 'Points-Table'!$A$11), 'Points-Table'!$C$11,
                (Q62 = 'Points-Table'!$A$12), 'Points-Table'!$C$12,
                (Q62 = 'Points-Table'!$A$13), 'Points-Table'!$C$13,
                true, 0
              )
            </f>
      </c>
      <c r="S62" s="11"/>
      <c r="T62" s="12">
        <f>
              Ifs(
                (S62 = 'Points-Table'!$A$4), 'Points-Table'!$C$4,
                (S62 = 'Points-Table'!$A$5), 'Points-Table'!$C$5,
                (S62 = 'Points-Table'!$A$6), 'Points-Table'!$C$6,
                (S62 = 'Points-Table'!$A$7), 'Points-Table'!$C$7,
                (S62 = 'Points-Table'!$A$8), 'Points-Table'!$C$8,
                (S62 = 'Points-Table'!$A$9), 'Points-Table'!$C$9,
                (S62 = 'Points-Table'!$A$10), 'Points-Table'!$C$10,
                (S62 = 'Points-Table'!$A$11), 'Points-Table'!$C$11,
                (S62 = 'Points-Table'!$A$12), 'Points-Table'!$C$12,
                (S62 = 'Points-Table'!$A$13), 'Points-Table'!$C$13,
                true, 0
              )
            </f>
      </c>
      <c r="U62" s="11">
        <v>5</v>
      </c>
      <c r="V62" s="12">
        <f>
              Ifs(
                (U62 = 'Points-Table'!$A$4), 'Points-Table'!$C$4,
                (U62 = 'Points-Table'!$A$5), 'Points-Table'!$C$5,
                (U62 = 'Points-Table'!$A$6), 'Points-Table'!$C$6,
                (U62 = 'Points-Table'!$A$7), 'Points-Table'!$C$7,
                (U62 = 'Points-Table'!$A$8), 'Points-Table'!$C$8,
                (U62 = 'Points-Table'!$A$9), 'Points-Table'!$C$9,
                (U62 = 'Points-Table'!$A$10), 'Points-Table'!$C$10,
                (U62 = 'Points-Table'!$A$11), 'Points-Table'!$C$11,
                (U62 = 'Points-Table'!$A$12), 'Points-Table'!$C$12,
                (U62 = 'Points-Table'!$A$13), 'Points-Table'!$C$13,
                true, 0
              )
            </f>
      </c>
      <c r="W62" s="11">
        <v>3</v>
      </c>
      <c r="X62" s="12">
        <f>
              Ifs(
                (W62 = 'Points-Table'!$A$4), 'Points-Table'!$C$4,
                (W62 = 'Points-Table'!$A$5), 'Points-Table'!$C$5,
                (W62 = 'Points-Table'!$A$6), 'Points-Table'!$C$6,
                (W62 = 'Points-Table'!$A$7), 'Points-Table'!$C$7,
                (W62 = 'Points-Table'!$A$8), 'Points-Table'!$C$8,
                (W62 = 'Points-Table'!$A$9), 'Points-Table'!$C$9,
                (W62 = 'Points-Table'!$A$10), 'Points-Table'!$C$10,
                (W62 = 'Points-Table'!$A$11), 'Points-Table'!$C$11,
                (W62 = 'Points-Table'!$A$12), 'Points-Table'!$C$12,
                (W62 = 'Points-Table'!$A$13), 'Points-Table'!$C$13,
                true, 0
              )
            </f>
      </c>
      <c r="Y62" s="11">
        <v>5</v>
      </c>
      <c r="Z62" s="12">
        <f>
              Ifs(
                (Y62 = 'Points-Table'!$A$4), 'Points-Table'!$C$4,
                (Y62 = 'Points-Table'!$A$5), 'Points-Table'!$C$5,
                (Y62 = 'Points-Table'!$A$6), 'Points-Table'!$C$6,
                (Y62 = 'Points-Table'!$A$7), 'Points-Table'!$C$7,
                (Y62 = 'Points-Table'!$A$8), 'Points-Table'!$C$8,
                (Y62 = 'Points-Table'!$A$9), 'Points-Table'!$C$9,
                (Y62 = 'Points-Table'!$A$10), 'Points-Table'!$C$10,
                (Y62 = 'Points-Table'!$A$11), 'Points-Table'!$C$11,
                (Y62 = 'Points-Table'!$A$12), 'Points-Table'!$C$12,
                (Y62 = 'Points-Table'!$A$13), 'Points-Table'!$C$13,
                true, 0
              )
            </f>
      </c>
      <c r="AA62" s="6">
        <f>SUM(V62,X62,Z62)</f>
      </c>
      <c r="AB62" s="6">
        <f>
      Ifs( 
        ISBETWEEN(AA62, 0, 'Points-Table'!C$20, TRUE, False), 'Points-Table'!A$20,
        ISBETWEEN(AA62, 'Points-Table'!C$20, 'Points-Table'!C$21, TRUE, False), 'Points-Table'!A$21,
        ISBETWEEN(AA62, 'Points-Table'!C$22, 10000, TRUE, TRUE), 'Points-Table'!A$22,
        true, 
        0)
      </f>
      </c>
      <c r="AC62" s="6" t="s">
        <v>56</v>
      </c>
      <c r="AD62" s="6" t="s">
        <v>56</v>
      </c>
      <c r="AE62" s="6" t="s">
        <v>56</v>
      </c>
    </row>
    <row r="63" spans="1:31" s="6" customFormat="1" x14ac:dyDescent="0.25">
      <c r="A63" s="6" t="s">
        <v>251</v>
      </c>
      <c r="B63" s="6" t="s">
        <v>276</v>
      </c>
      <c r="C63" s="6" t="s">
        <v>287</v>
      </c>
      <c r="D63" s="6"/>
      <c r="E63" s="6"/>
      <c r="F63" s="6"/>
      <c r="G63" s="6"/>
      <c r="H63" s="6"/>
      <c r="I63" s="6"/>
      <c r="J63" s="6"/>
      <c r="K63" s="6" t="s">
        <v>84</v>
      </c>
      <c r="L63" s="6" t="s">
        <v>85</v>
      </c>
      <c r="M63" s="6"/>
      <c r="N63" s="6"/>
      <c r="O63" s="6"/>
      <c r="P63" s="6"/>
      <c r="Q63" s="11"/>
      <c r="R63" s="12">
        <f>
              Ifs(
                (Q63 = 'Points-Table'!$A$4), 'Points-Table'!$C$4,
                (Q63 = 'Points-Table'!$A$5), 'Points-Table'!$C$5,
                (Q63 = 'Points-Table'!$A$6), 'Points-Table'!$C$6,
                (Q63 = 'Points-Table'!$A$7), 'Points-Table'!$C$7,
                (Q63 = 'Points-Table'!$A$8), 'Points-Table'!$C$8,
                (Q63 = 'Points-Table'!$A$9), 'Points-Table'!$C$9,
                (Q63 = 'Points-Table'!$A$10), 'Points-Table'!$C$10,
                (Q63 = 'Points-Table'!$A$11), 'Points-Table'!$C$11,
                (Q63 = 'Points-Table'!$A$12), 'Points-Table'!$C$12,
                (Q63 = 'Points-Table'!$A$13), 'Points-Table'!$C$13,
                true, 0
              )
            </f>
      </c>
      <c r="S63" s="11"/>
      <c r="T63" s="12">
        <f>
              Ifs(
                (S63 = 'Points-Table'!$A$4), 'Points-Table'!$C$4,
                (S63 = 'Points-Table'!$A$5), 'Points-Table'!$C$5,
                (S63 = 'Points-Table'!$A$6), 'Points-Table'!$C$6,
                (S63 = 'Points-Table'!$A$7), 'Points-Table'!$C$7,
                (S63 = 'Points-Table'!$A$8), 'Points-Table'!$C$8,
                (S63 = 'Points-Table'!$A$9), 'Points-Table'!$C$9,
                (S63 = 'Points-Table'!$A$10), 'Points-Table'!$C$10,
                (S63 = 'Points-Table'!$A$11), 'Points-Table'!$C$11,
                (S63 = 'Points-Table'!$A$12), 'Points-Table'!$C$12,
                (S63 = 'Points-Table'!$A$13), 'Points-Table'!$C$13,
                true, 0
              )
            </f>
      </c>
      <c r="U63" s="11">
        <v>3</v>
      </c>
      <c r="V63" s="12">
        <f>
              Ifs(
                (U63 = 'Points-Table'!$A$4), 'Points-Table'!$C$4,
                (U63 = 'Points-Table'!$A$5), 'Points-Table'!$C$5,
                (U63 = 'Points-Table'!$A$6), 'Points-Table'!$C$6,
                (U63 = 'Points-Table'!$A$7), 'Points-Table'!$C$7,
                (U63 = 'Points-Table'!$A$8), 'Points-Table'!$C$8,
                (U63 = 'Points-Table'!$A$9), 'Points-Table'!$C$9,
                (U63 = 'Points-Table'!$A$10), 'Points-Table'!$C$10,
                (U63 = 'Points-Table'!$A$11), 'Points-Table'!$C$11,
                (U63 = 'Points-Table'!$A$12), 'Points-Table'!$C$12,
                (U63 = 'Points-Table'!$A$13), 'Points-Table'!$C$13,
                true, 0
              )
            </f>
      </c>
      <c r="W63" s="11">
        <v>2</v>
      </c>
      <c r="X63" s="12">
        <f>
              Ifs(
                (W63 = 'Points-Table'!$A$4), 'Points-Table'!$C$4,
                (W63 = 'Points-Table'!$A$5), 'Points-Table'!$C$5,
                (W63 = 'Points-Table'!$A$6), 'Points-Table'!$C$6,
                (W63 = 'Points-Table'!$A$7), 'Points-Table'!$C$7,
                (W63 = 'Points-Table'!$A$8), 'Points-Table'!$C$8,
                (W63 = 'Points-Table'!$A$9), 'Points-Table'!$C$9,
                (W63 = 'Points-Table'!$A$10), 'Points-Table'!$C$10,
                (W63 = 'Points-Table'!$A$11), 'Points-Table'!$C$11,
                (W63 = 'Points-Table'!$A$12), 'Points-Table'!$C$12,
                (W63 = 'Points-Table'!$A$13), 'Points-Table'!$C$13,
                true, 0
              )
            </f>
      </c>
      <c r="Y63" s="11">
        <v>3</v>
      </c>
      <c r="Z63" s="12">
        <f>
              Ifs(
                (Y63 = 'Points-Table'!$A$4), 'Points-Table'!$C$4,
                (Y63 = 'Points-Table'!$A$5), 'Points-Table'!$C$5,
                (Y63 = 'Points-Table'!$A$6), 'Points-Table'!$C$6,
                (Y63 = 'Points-Table'!$A$7), 'Points-Table'!$C$7,
                (Y63 = 'Points-Table'!$A$8), 'Points-Table'!$C$8,
                (Y63 = 'Points-Table'!$A$9), 'Points-Table'!$C$9,
                (Y63 = 'Points-Table'!$A$10), 'Points-Table'!$C$10,
                (Y63 = 'Points-Table'!$A$11), 'Points-Table'!$C$11,
                (Y63 = 'Points-Table'!$A$12), 'Points-Table'!$C$12,
                (Y63 = 'Points-Table'!$A$13), 'Points-Table'!$C$13,
                true, 0
              )
            </f>
      </c>
      <c r="AA63" s="6">
        <f>SUM(V63,X63,Z63)</f>
      </c>
      <c r="AB63" s="6">
        <f>
      Ifs( 
        ISBETWEEN(AA63, 0, 'Points-Table'!C$20, TRUE, False), 'Points-Table'!A$20,
        ISBETWEEN(AA63, 'Points-Table'!C$20, 'Points-Table'!C$21, TRUE, False), 'Points-Table'!A$21,
        ISBETWEEN(AA63, 'Points-Table'!C$22, 10000, TRUE, TRUE), 'Points-Table'!A$22,
        true, 
        0)
      </f>
      </c>
      <c r="AC63" s="6" t="s">
        <v>56</v>
      </c>
      <c r="AD63" s="6" t="s">
        <v>56</v>
      </c>
      <c r="AE63" s="6" t="s">
        <v>56</v>
      </c>
    </row>
    <row r="64" spans="1:31" s="13" customFormat="1" x14ac:dyDescent="0.25">
      <c r="A64" s="13" t="s">
        <v>251</v>
      </c>
      <c r="B64" s="13" t="s">
        <v>276</v>
      </c>
      <c r="C64" s="13" t="s">
        <v>288</v>
      </c>
      <c r="D64" s="13"/>
      <c r="E64" s="13"/>
      <c r="F64" s="13"/>
      <c r="G64" s="13"/>
      <c r="H64" s="13"/>
      <c r="I64" s="13"/>
      <c r="J64" s="13"/>
      <c r="K64" s="13" t="s">
        <v>84</v>
      </c>
      <c r="L64" s="13" t="s">
        <v>85</v>
      </c>
      <c r="M64" s="13"/>
      <c r="N64" s="13"/>
      <c r="O64" s="13"/>
      <c r="P64" s="13"/>
      <c r="Q64" s="13"/>
      <c r="R64" s="13">
        <f>
              Ifs(
                (Q64 = 'Points-Table'!$A$4), 'Points-Table'!$C$4,
                (Q64 = 'Points-Table'!$A$5), 'Points-Table'!$C$5,
                (Q64 = 'Points-Table'!$A$6), 'Points-Table'!$C$6,
                (Q64 = 'Points-Table'!$A$7), 'Points-Table'!$C$7,
                (Q64 = 'Points-Table'!$A$8), 'Points-Table'!$C$8,
                (Q64 = 'Points-Table'!$A$9), 'Points-Table'!$C$9,
                (Q64 = 'Points-Table'!$A$10), 'Points-Table'!$C$10,
                (Q64 = 'Points-Table'!$A$11), 'Points-Table'!$C$11,
                (Q64 = 'Points-Table'!$A$12), 'Points-Table'!$C$12,
                (Q64 = 'Points-Table'!$A$13), 'Points-Table'!$C$13,
                true, 0
              )
            </f>
      </c>
      <c r="S64" s="13"/>
      <c r="T64" s="13">
        <f>
              Ifs(
                (S64 = 'Points-Table'!$A$4), 'Points-Table'!$C$4,
                (S64 = 'Points-Table'!$A$5), 'Points-Table'!$C$5,
                (S64 = 'Points-Table'!$A$6), 'Points-Table'!$C$6,
                (S64 = 'Points-Table'!$A$7), 'Points-Table'!$C$7,
                (S64 = 'Points-Table'!$A$8), 'Points-Table'!$C$8,
                (S64 = 'Points-Table'!$A$9), 'Points-Table'!$C$9,
                (S64 = 'Points-Table'!$A$10), 'Points-Table'!$C$10,
                (S64 = 'Points-Table'!$A$11), 'Points-Table'!$C$11,
                (S64 = 'Points-Table'!$A$12), 'Points-Table'!$C$12,
                (S64 = 'Points-Table'!$A$13), 'Points-Table'!$C$13,
                true, 0
              )
            </f>
      </c>
      <c r="U64" s="13">
        <v>5</v>
      </c>
      <c r="V64" s="13">
        <f>
              Ifs(
                (U64 = 'Points-Table'!$A$4), 'Points-Table'!$C$4,
                (U64 = 'Points-Table'!$A$5), 'Points-Table'!$C$5,
                (U64 = 'Points-Table'!$A$6), 'Points-Table'!$C$6,
                (U64 = 'Points-Table'!$A$7), 'Points-Table'!$C$7,
                (U64 = 'Points-Table'!$A$8), 'Points-Table'!$C$8,
                (U64 = 'Points-Table'!$A$9), 'Points-Table'!$C$9,
                (U64 = 'Points-Table'!$A$10), 'Points-Table'!$C$10,
                (U64 = 'Points-Table'!$A$11), 'Points-Table'!$C$11,
                (U64 = 'Points-Table'!$A$12), 'Points-Table'!$C$12,
                (U64 = 'Points-Table'!$A$13), 'Points-Table'!$C$13,
                true, 0
              )
            </f>
      </c>
      <c r="W64" s="13">
        <v>3</v>
      </c>
      <c r="X64" s="13">
        <f>
              Ifs(
                (W64 = 'Points-Table'!$A$4), 'Points-Table'!$C$4,
                (W64 = 'Points-Table'!$A$5), 'Points-Table'!$C$5,
                (W64 = 'Points-Table'!$A$6), 'Points-Table'!$C$6,
                (W64 = 'Points-Table'!$A$7), 'Points-Table'!$C$7,
                (W64 = 'Points-Table'!$A$8), 'Points-Table'!$C$8,
                (W64 = 'Points-Table'!$A$9), 'Points-Table'!$C$9,
                (W64 = 'Points-Table'!$A$10), 'Points-Table'!$C$10,
                (W64 = 'Points-Table'!$A$11), 'Points-Table'!$C$11,
                (W64 = 'Points-Table'!$A$12), 'Points-Table'!$C$12,
                (W64 = 'Points-Table'!$A$13), 'Points-Table'!$C$13,
                true, 0
              )
            </f>
      </c>
      <c r="Y64" s="13">
        <v>5</v>
      </c>
      <c r="Z64" s="13">
        <f>
              Ifs(
                (Y64 = 'Points-Table'!$A$4), 'Points-Table'!$C$4,
                (Y64 = 'Points-Table'!$A$5), 'Points-Table'!$C$5,
                (Y64 = 'Points-Table'!$A$6), 'Points-Table'!$C$6,
                (Y64 = 'Points-Table'!$A$7), 'Points-Table'!$C$7,
                (Y64 = 'Points-Table'!$A$8), 'Points-Table'!$C$8,
                (Y64 = 'Points-Table'!$A$9), 'Points-Table'!$C$9,
                (Y64 = 'Points-Table'!$A$10), 'Points-Table'!$C$10,
                (Y64 = 'Points-Table'!$A$11), 'Points-Table'!$C$11,
                (Y64 = 'Points-Table'!$A$12), 'Points-Table'!$C$12,
                (Y64 = 'Points-Table'!$A$13), 'Points-Table'!$C$13,
                true, 0
              )
            </f>
      </c>
      <c r="AA64" s="13">
        <f>SUM(V64,X64,Z64)</f>
      </c>
      <c r="AB64" s="13">
        <f>
      Ifs( 
        ISBETWEEN(AA64, 0, 'Points-Table'!C$20, TRUE, False), 'Points-Table'!A$20,
        ISBETWEEN(AA64, 'Points-Table'!C$20, 'Points-Table'!C$21, TRUE, False), 'Points-Table'!A$21,
        ISBETWEEN(AA64, 'Points-Table'!C$22, 10000, TRUE, TRUE), 'Points-Table'!A$22,
        true, 
        0)
      </f>
      </c>
      <c r="AC64" s="13" t="s">
        <v>56</v>
      </c>
      <c r="AD64" s="13" t="s">
        <v>56</v>
      </c>
      <c r="AE64" s="13" t="s">
        <v>56</v>
      </c>
    </row>
    <row r="65" spans="1:31" s="13" customFormat="1" x14ac:dyDescent="0.25">
      <c r="A65" s="13" t="s">
        <v>251</v>
      </c>
      <c r="B65" s="13" t="s">
        <v>276</v>
      </c>
      <c r="C65" s="13" t="s">
        <v>289</v>
      </c>
      <c r="D65" s="13"/>
      <c r="E65" s="13"/>
      <c r="F65" s="13"/>
      <c r="G65" s="13"/>
      <c r="H65" s="13"/>
      <c r="I65" s="13"/>
      <c r="J65" s="13"/>
      <c r="K65" s="13" t="s">
        <v>84</v>
      </c>
      <c r="L65" s="13" t="s">
        <v>85</v>
      </c>
      <c r="M65" s="13"/>
      <c r="N65" s="13"/>
      <c r="O65" s="13"/>
      <c r="P65" s="13"/>
      <c r="Q65" s="13"/>
      <c r="R65" s="13">
        <f>
              Ifs(
                (Q65 = 'Points-Table'!$A$4), 'Points-Table'!$C$4,
                (Q65 = 'Points-Table'!$A$5), 'Points-Table'!$C$5,
                (Q65 = 'Points-Table'!$A$6), 'Points-Table'!$C$6,
                (Q65 = 'Points-Table'!$A$7), 'Points-Table'!$C$7,
                (Q65 = 'Points-Table'!$A$8), 'Points-Table'!$C$8,
                (Q65 = 'Points-Table'!$A$9), 'Points-Table'!$C$9,
                (Q65 = 'Points-Table'!$A$10), 'Points-Table'!$C$10,
                (Q65 = 'Points-Table'!$A$11), 'Points-Table'!$C$11,
                (Q65 = 'Points-Table'!$A$12), 'Points-Table'!$C$12,
                (Q65 = 'Points-Table'!$A$13), 'Points-Table'!$C$13,
                true, 0
              )
            </f>
      </c>
      <c r="S65" s="13"/>
      <c r="T65" s="13">
        <f>
              Ifs(
                (S65 = 'Points-Table'!$A$4), 'Points-Table'!$C$4,
                (S65 = 'Points-Table'!$A$5), 'Points-Table'!$C$5,
                (S65 = 'Points-Table'!$A$6), 'Points-Table'!$C$6,
                (S65 = 'Points-Table'!$A$7), 'Points-Table'!$C$7,
                (S65 = 'Points-Table'!$A$8), 'Points-Table'!$C$8,
                (S65 = 'Points-Table'!$A$9), 'Points-Table'!$C$9,
                (S65 = 'Points-Table'!$A$10), 'Points-Table'!$C$10,
                (S65 = 'Points-Table'!$A$11), 'Points-Table'!$C$11,
                (S65 = 'Points-Table'!$A$12), 'Points-Table'!$C$12,
                (S65 = 'Points-Table'!$A$13), 'Points-Table'!$C$13,
                true, 0
              )
            </f>
      </c>
      <c r="U65" s="13">
        <v>5</v>
      </c>
      <c r="V65" s="13">
        <f>
              Ifs(
                (U65 = 'Points-Table'!$A$4), 'Points-Table'!$C$4,
                (U65 = 'Points-Table'!$A$5), 'Points-Table'!$C$5,
                (U65 = 'Points-Table'!$A$6), 'Points-Table'!$C$6,
                (U65 = 'Points-Table'!$A$7), 'Points-Table'!$C$7,
                (U65 = 'Points-Table'!$A$8), 'Points-Table'!$C$8,
                (U65 = 'Points-Table'!$A$9), 'Points-Table'!$C$9,
                (U65 = 'Points-Table'!$A$10), 'Points-Table'!$C$10,
                (U65 = 'Points-Table'!$A$11), 'Points-Table'!$C$11,
                (U65 = 'Points-Table'!$A$12), 'Points-Table'!$C$12,
                (U65 = 'Points-Table'!$A$13), 'Points-Table'!$C$13,
                true, 0
              )
            </f>
      </c>
      <c r="W65" s="13">
        <v>2</v>
      </c>
      <c r="X65" s="13">
        <f>
              Ifs(
                (W65 = 'Points-Table'!$A$4), 'Points-Table'!$C$4,
                (W65 = 'Points-Table'!$A$5), 'Points-Table'!$C$5,
                (W65 = 'Points-Table'!$A$6), 'Points-Table'!$C$6,
                (W65 = 'Points-Table'!$A$7), 'Points-Table'!$C$7,
                (W65 = 'Points-Table'!$A$8), 'Points-Table'!$C$8,
                (W65 = 'Points-Table'!$A$9), 'Points-Table'!$C$9,
                (W65 = 'Points-Table'!$A$10), 'Points-Table'!$C$10,
                (W65 = 'Points-Table'!$A$11), 'Points-Table'!$C$11,
                (W65 = 'Points-Table'!$A$12), 'Points-Table'!$C$12,
                (W65 = 'Points-Table'!$A$13), 'Points-Table'!$C$13,
                true, 0
              )
            </f>
      </c>
      <c r="Y65" s="13">
        <v>3</v>
      </c>
      <c r="Z65" s="13">
        <f>
              Ifs(
                (Y65 = 'Points-Table'!$A$4), 'Points-Table'!$C$4,
                (Y65 = 'Points-Table'!$A$5), 'Points-Table'!$C$5,
                (Y65 = 'Points-Table'!$A$6), 'Points-Table'!$C$6,
                (Y65 = 'Points-Table'!$A$7), 'Points-Table'!$C$7,
                (Y65 = 'Points-Table'!$A$8), 'Points-Table'!$C$8,
                (Y65 = 'Points-Table'!$A$9), 'Points-Table'!$C$9,
                (Y65 = 'Points-Table'!$A$10), 'Points-Table'!$C$10,
                (Y65 = 'Points-Table'!$A$11), 'Points-Table'!$C$11,
                (Y65 = 'Points-Table'!$A$12), 'Points-Table'!$C$12,
                (Y65 = 'Points-Table'!$A$13), 'Points-Table'!$C$13,
                true, 0
              )
            </f>
      </c>
      <c r="AA65" s="13">
        <f>SUM(V65,X65,Z65)</f>
      </c>
      <c r="AB65" s="13">
        <f>
      Ifs( 
        ISBETWEEN(AA65, 0, 'Points-Table'!C$20, TRUE, False), 'Points-Table'!A$20,
        ISBETWEEN(AA65, 'Points-Table'!C$20, 'Points-Table'!C$21, TRUE, False), 'Points-Table'!A$21,
        ISBETWEEN(AA65, 'Points-Table'!C$22, 10000, TRUE, TRUE), 'Points-Table'!A$22,
        true, 
        0)
      </f>
      </c>
      <c r="AC65" s="13" t="s">
        <v>56</v>
      </c>
      <c r="AD65" s="13" t="s">
        <v>56</v>
      </c>
      <c r="AE65" s="13" t="s">
        <v>56</v>
      </c>
    </row>
    <row r="66" spans="1:31" s="13" customFormat="1" x14ac:dyDescent="0.25">
      <c r="A66" s="13" t="s">
        <v>251</v>
      </c>
      <c r="B66" s="13" t="s">
        <v>276</v>
      </c>
      <c r="C66" s="13" t="s">
        <v>290</v>
      </c>
      <c r="D66" s="13"/>
      <c r="E66" s="13"/>
      <c r="F66" s="13"/>
      <c r="G66" s="13"/>
      <c r="H66" s="13"/>
      <c r="I66" s="13"/>
      <c r="J66" s="13"/>
      <c r="K66" s="13" t="s">
        <v>84</v>
      </c>
      <c r="L66" s="13" t="s">
        <v>85</v>
      </c>
      <c r="M66" s="13"/>
      <c r="N66" s="13"/>
      <c r="O66" s="13"/>
      <c r="P66" s="13"/>
      <c r="Q66" s="13"/>
      <c r="R66" s="13">
        <f>
              Ifs(
                (Q66 = 'Points-Table'!$A$4), 'Points-Table'!$C$4,
                (Q66 = 'Points-Table'!$A$5), 'Points-Table'!$C$5,
                (Q66 = 'Points-Table'!$A$6), 'Points-Table'!$C$6,
                (Q66 = 'Points-Table'!$A$7), 'Points-Table'!$C$7,
                (Q66 = 'Points-Table'!$A$8), 'Points-Table'!$C$8,
                (Q66 = 'Points-Table'!$A$9), 'Points-Table'!$C$9,
                (Q66 = 'Points-Table'!$A$10), 'Points-Table'!$C$10,
                (Q66 = 'Points-Table'!$A$11), 'Points-Table'!$C$11,
                (Q66 = 'Points-Table'!$A$12), 'Points-Table'!$C$12,
                (Q66 = 'Points-Table'!$A$13), 'Points-Table'!$C$13,
                true, 0
              )
            </f>
      </c>
      <c r="S66" s="13"/>
      <c r="T66" s="13">
        <f>
              Ifs(
                (S66 = 'Points-Table'!$A$4), 'Points-Table'!$C$4,
                (S66 = 'Points-Table'!$A$5), 'Points-Table'!$C$5,
                (S66 = 'Points-Table'!$A$6), 'Points-Table'!$C$6,
                (S66 = 'Points-Table'!$A$7), 'Points-Table'!$C$7,
                (S66 = 'Points-Table'!$A$8), 'Points-Table'!$C$8,
                (S66 = 'Points-Table'!$A$9), 'Points-Table'!$C$9,
                (S66 = 'Points-Table'!$A$10), 'Points-Table'!$C$10,
                (S66 = 'Points-Table'!$A$11), 'Points-Table'!$C$11,
                (S66 = 'Points-Table'!$A$12), 'Points-Table'!$C$12,
                (S66 = 'Points-Table'!$A$13), 'Points-Table'!$C$13,
                true, 0
              )
            </f>
      </c>
      <c r="U66" s="13">
        <v>5</v>
      </c>
      <c r="V66" s="13">
        <f>
              Ifs(
                (U66 = 'Points-Table'!$A$4), 'Points-Table'!$C$4,
                (U66 = 'Points-Table'!$A$5), 'Points-Table'!$C$5,
                (U66 = 'Points-Table'!$A$6), 'Points-Table'!$C$6,
                (U66 = 'Points-Table'!$A$7), 'Points-Table'!$C$7,
                (U66 = 'Points-Table'!$A$8), 'Points-Table'!$C$8,
                (U66 = 'Points-Table'!$A$9), 'Points-Table'!$C$9,
                (U66 = 'Points-Table'!$A$10), 'Points-Table'!$C$10,
                (U66 = 'Points-Table'!$A$11), 'Points-Table'!$C$11,
                (U66 = 'Points-Table'!$A$12), 'Points-Table'!$C$12,
                (U66 = 'Points-Table'!$A$13), 'Points-Table'!$C$13,
                true, 0
              )
            </f>
      </c>
      <c r="W66" s="13">
        <v>3</v>
      </c>
      <c r="X66" s="13">
        <f>
              Ifs(
                (W66 = 'Points-Table'!$A$4), 'Points-Table'!$C$4,
                (W66 = 'Points-Table'!$A$5), 'Points-Table'!$C$5,
                (W66 = 'Points-Table'!$A$6), 'Points-Table'!$C$6,
                (W66 = 'Points-Table'!$A$7), 'Points-Table'!$C$7,
                (W66 = 'Points-Table'!$A$8), 'Points-Table'!$C$8,
                (W66 = 'Points-Table'!$A$9), 'Points-Table'!$C$9,
                (W66 = 'Points-Table'!$A$10), 'Points-Table'!$C$10,
                (W66 = 'Points-Table'!$A$11), 'Points-Table'!$C$11,
                (W66 = 'Points-Table'!$A$12), 'Points-Table'!$C$12,
                (W66 = 'Points-Table'!$A$13), 'Points-Table'!$C$13,
                true, 0
              )
            </f>
      </c>
      <c r="Y66" s="13">
        <v>5</v>
      </c>
      <c r="Z66" s="13">
        <f>
              Ifs(
                (Y66 = 'Points-Table'!$A$4), 'Points-Table'!$C$4,
                (Y66 = 'Points-Table'!$A$5), 'Points-Table'!$C$5,
                (Y66 = 'Points-Table'!$A$6), 'Points-Table'!$C$6,
                (Y66 = 'Points-Table'!$A$7), 'Points-Table'!$C$7,
                (Y66 = 'Points-Table'!$A$8), 'Points-Table'!$C$8,
                (Y66 = 'Points-Table'!$A$9), 'Points-Table'!$C$9,
                (Y66 = 'Points-Table'!$A$10), 'Points-Table'!$C$10,
                (Y66 = 'Points-Table'!$A$11), 'Points-Table'!$C$11,
                (Y66 = 'Points-Table'!$A$12), 'Points-Table'!$C$12,
                (Y66 = 'Points-Table'!$A$13), 'Points-Table'!$C$13,
                true, 0
              )
            </f>
      </c>
      <c r="AA66" s="13">
        <f>SUM(V66,X66,Z66)</f>
      </c>
      <c r="AB66" s="13">
        <f>
      Ifs( 
        ISBETWEEN(AA66, 0, 'Points-Table'!C$20, TRUE, False), 'Points-Table'!A$20,
        ISBETWEEN(AA66, 'Points-Table'!C$20, 'Points-Table'!C$21, TRUE, False), 'Points-Table'!A$21,
        ISBETWEEN(AA66, 'Points-Table'!C$22, 10000, TRUE, TRUE), 'Points-Table'!A$22,
        true, 
        0)
      </f>
      </c>
      <c r="AC66" s="13" t="s">
        <v>56</v>
      </c>
      <c r="AD66" s="13" t="s">
        <v>56</v>
      </c>
      <c r="AE66" s="13" t="s">
        <v>56</v>
      </c>
    </row>
    <row r="67" spans="1:31" s="13" customFormat="1" x14ac:dyDescent="0.25">
      <c r="A67" s="13" t="s">
        <v>251</v>
      </c>
      <c r="B67" s="13" t="s">
        <v>276</v>
      </c>
      <c r="C67" s="13" t="s">
        <v>291</v>
      </c>
      <c r="D67" s="13"/>
      <c r="E67" s="13"/>
      <c r="F67" s="13"/>
      <c r="G67" s="13"/>
      <c r="H67" s="13"/>
      <c r="I67" s="13"/>
      <c r="J67" s="13"/>
      <c r="K67" s="13" t="s">
        <v>84</v>
      </c>
      <c r="L67" s="13" t="s">
        <v>85</v>
      </c>
      <c r="M67" s="13"/>
      <c r="N67" s="13"/>
      <c r="O67" s="13"/>
      <c r="P67" s="13"/>
      <c r="Q67" s="13"/>
      <c r="R67" s="13">
        <f>
              Ifs(
                (Q67 = 'Points-Table'!$A$4), 'Points-Table'!$C$4,
                (Q67 = 'Points-Table'!$A$5), 'Points-Table'!$C$5,
                (Q67 = 'Points-Table'!$A$6), 'Points-Table'!$C$6,
                (Q67 = 'Points-Table'!$A$7), 'Points-Table'!$C$7,
                (Q67 = 'Points-Table'!$A$8), 'Points-Table'!$C$8,
                (Q67 = 'Points-Table'!$A$9), 'Points-Table'!$C$9,
                (Q67 = 'Points-Table'!$A$10), 'Points-Table'!$C$10,
                (Q67 = 'Points-Table'!$A$11), 'Points-Table'!$C$11,
                (Q67 = 'Points-Table'!$A$12), 'Points-Table'!$C$12,
                (Q67 = 'Points-Table'!$A$13), 'Points-Table'!$C$13,
                true, 0
              )
            </f>
      </c>
      <c r="S67" s="13"/>
      <c r="T67" s="13">
        <f>
              Ifs(
                (S67 = 'Points-Table'!$A$4), 'Points-Table'!$C$4,
                (S67 = 'Points-Table'!$A$5), 'Points-Table'!$C$5,
                (S67 = 'Points-Table'!$A$6), 'Points-Table'!$C$6,
                (S67 = 'Points-Table'!$A$7), 'Points-Table'!$C$7,
                (S67 = 'Points-Table'!$A$8), 'Points-Table'!$C$8,
                (S67 = 'Points-Table'!$A$9), 'Points-Table'!$C$9,
                (S67 = 'Points-Table'!$A$10), 'Points-Table'!$C$10,
                (S67 = 'Points-Table'!$A$11), 'Points-Table'!$C$11,
                (S67 = 'Points-Table'!$A$12), 'Points-Table'!$C$12,
                (S67 = 'Points-Table'!$A$13), 'Points-Table'!$C$13,
                true, 0
              )
            </f>
      </c>
      <c r="U67" s="13">
        <v>2</v>
      </c>
      <c r="V67" s="13">
        <f>
              Ifs(
                (U67 = 'Points-Table'!$A$4), 'Points-Table'!$C$4,
                (U67 = 'Points-Table'!$A$5), 'Points-Table'!$C$5,
                (U67 = 'Points-Table'!$A$6), 'Points-Table'!$C$6,
                (U67 = 'Points-Table'!$A$7), 'Points-Table'!$C$7,
                (U67 = 'Points-Table'!$A$8), 'Points-Table'!$C$8,
                (U67 = 'Points-Table'!$A$9), 'Points-Table'!$C$9,
                (U67 = 'Points-Table'!$A$10), 'Points-Table'!$C$10,
                (U67 = 'Points-Table'!$A$11), 'Points-Table'!$C$11,
                (U67 = 'Points-Table'!$A$12), 'Points-Table'!$C$12,
                (U67 = 'Points-Table'!$A$13), 'Points-Table'!$C$13,
                true, 0
              )
            </f>
      </c>
      <c r="W67" s="13">
        <v>2</v>
      </c>
      <c r="X67" s="13">
        <f>
              Ifs(
                (W67 = 'Points-Table'!$A$4), 'Points-Table'!$C$4,
                (W67 = 'Points-Table'!$A$5), 'Points-Table'!$C$5,
                (W67 = 'Points-Table'!$A$6), 'Points-Table'!$C$6,
                (W67 = 'Points-Table'!$A$7), 'Points-Table'!$C$7,
                (W67 = 'Points-Table'!$A$8), 'Points-Table'!$C$8,
                (W67 = 'Points-Table'!$A$9), 'Points-Table'!$C$9,
                (W67 = 'Points-Table'!$A$10), 'Points-Table'!$C$10,
                (W67 = 'Points-Table'!$A$11), 'Points-Table'!$C$11,
                (W67 = 'Points-Table'!$A$12), 'Points-Table'!$C$12,
                (W67 = 'Points-Table'!$A$13), 'Points-Table'!$C$13,
                true, 0
              )
            </f>
      </c>
      <c r="Y67" s="13">
        <v>3</v>
      </c>
      <c r="Z67" s="13">
        <f>
              Ifs(
                (Y67 = 'Points-Table'!$A$4), 'Points-Table'!$C$4,
                (Y67 = 'Points-Table'!$A$5), 'Points-Table'!$C$5,
                (Y67 = 'Points-Table'!$A$6), 'Points-Table'!$C$6,
                (Y67 = 'Points-Table'!$A$7), 'Points-Table'!$C$7,
                (Y67 = 'Points-Table'!$A$8), 'Points-Table'!$C$8,
                (Y67 = 'Points-Table'!$A$9), 'Points-Table'!$C$9,
                (Y67 = 'Points-Table'!$A$10), 'Points-Table'!$C$10,
                (Y67 = 'Points-Table'!$A$11), 'Points-Table'!$C$11,
                (Y67 = 'Points-Table'!$A$12), 'Points-Table'!$C$12,
                (Y67 = 'Points-Table'!$A$13), 'Points-Table'!$C$13,
                true, 0
              )
            </f>
      </c>
      <c r="AA67" s="13">
        <f>SUM(V67,X67,Z67)</f>
      </c>
      <c r="AB67" s="13">
        <f>
      Ifs( 
        ISBETWEEN(AA67, 0, 'Points-Table'!C$20, TRUE, False), 'Points-Table'!A$20,
        ISBETWEEN(AA67, 'Points-Table'!C$20, 'Points-Table'!C$21, TRUE, False), 'Points-Table'!A$21,
        ISBETWEEN(AA67, 'Points-Table'!C$22, 10000, TRUE, TRUE), 'Points-Table'!A$22,
        true, 
        0)
      </f>
      </c>
      <c r="AC67" s="13" t="s">
        <v>56</v>
      </c>
      <c r="AD67" s="13" t="s">
        <v>56</v>
      </c>
      <c r="AE67" s="13" t="s">
        <v>56</v>
      </c>
    </row>
    <row r="68" spans="1:31" s="13" customFormat="1" x14ac:dyDescent="0.25">
      <c r="A68" s="13" t="s">
        <v>251</v>
      </c>
      <c r="B68" s="13" t="s">
        <v>276</v>
      </c>
      <c r="C68" s="13" t="s">
        <v>292</v>
      </c>
      <c r="D68" s="13" t="s">
        <v>293</v>
      </c>
      <c r="E68" s="13"/>
      <c r="F68" s="13"/>
      <c r="G68" s="13"/>
      <c r="H68" s="13"/>
      <c r="I68" s="13"/>
      <c r="J68" s="13"/>
      <c r="K68" s="13" t="s">
        <v>84</v>
      </c>
      <c r="L68" s="13" t="s">
        <v>85</v>
      </c>
      <c r="M68" s="13"/>
      <c r="N68" s="13"/>
      <c r="O68" s="13"/>
      <c r="P68" s="13"/>
      <c r="Q68" s="13"/>
      <c r="R68" s="13">
        <f>
              Ifs(
                (Q68 = 'Points-Table'!$A$4), 'Points-Table'!$C$4,
                (Q68 = 'Points-Table'!$A$5), 'Points-Table'!$C$5,
                (Q68 = 'Points-Table'!$A$6), 'Points-Table'!$C$6,
                (Q68 = 'Points-Table'!$A$7), 'Points-Table'!$C$7,
                (Q68 = 'Points-Table'!$A$8), 'Points-Table'!$C$8,
                (Q68 = 'Points-Table'!$A$9), 'Points-Table'!$C$9,
                (Q68 = 'Points-Table'!$A$10), 'Points-Table'!$C$10,
                (Q68 = 'Points-Table'!$A$11), 'Points-Table'!$C$11,
                (Q68 = 'Points-Table'!$A$12), 'Points-Table'!$C$12,
                (Q68 = 'Points-Table'!$A$13), 'Points-Table'!$C$13,
                true, 0
              )
            </f>
      </c>
      <c r="S68" s="13"/>
      <c r="T68" s="13">
        <f>
              Ifs(
                (S68 = 'Points-Table'!$A$4), 'Points-Table'!$C$4,
                (S68 = 'Points-Table'!$A$5), 'Points-Table'!$C$5,
                (S68 = 'Points-Table'!$A$6), 'Points-Table'!$C$6,
                (S68 = 'Points-Table'!$A$7), 'Points-Table'!$C$7,
                (S68 = 'Points-Table'!$A$8), 'Points-Table'!$C$8,
                (S68 = 'Points-Table'!$A$9), 'Points-Table'!$C$9,
                (S68 = 'Points-Table'!$A$10), 'Points-Table'!$C$10,
                (S68 = 'Points-Table'!$A$11), 'Points-Table'!$C$11,
                (S68 = 'Points-Table'!$A$12), 'Points-Table'!$C$12,
                (S68 = 'Points-Table'!$A$13), 'Points-Table'!$C$13,
                true, 0
              )
            </f>
      </c>
      <c r="U68" s="13">
        <v>5</v>
      </c>
      <c r="V68" s="13">
        <f>
              Ifs(
                (U68 = 'Points-Table'!$A$4), 'Points-Table'!$C$4,
                (U68 = 'Points-Table'!$A$5), 'Points-Table'!$C$5,
                (U68 = 'Points-Table'!$A$6), 'Points-Table'!$C$6,
                (U68 = 'Points-Table'!$A$7), 'Points-Table'!$C$7,
                (U68 = 'Points-Table'!$A$8), 'Points-Table'!$C$8,
                (U68 = 'Points-Table'!$A$9), 'Points-Table'!$C$9,
                (U68 = 'Points-Table'!$A$10), 'Points-Table'!$C$10,
                (U68 = 'Points-Table'!$A$11), 'Points-Table'!$C$11,
                (U68 = 'Points-Table'!$A$12), 'Points-Table'!$C$12,
                (U68 = 'Points-Table'!$A$13), 'Points-Table'!$C$13,
                true, 0
              )
            </f>
      </c>
      <c r="W68" s="13">
        <v>5</v>
      </c>
      <c r="X68" s="13">
        <f>
              Ifs(
                (W68 = 'Points-Table'!$A$4), 'Points-Table'!$C$4,
                (W68 = 'Points-Table'!$A$5), 'Points-Table'!$C$5,
                (W68 = 'Points-Table'!$A$6), 'Points-Table'!$C$6,
                (W68 = 'Points-Table'!$A$7), 'Points-Table'!$C$7,
                (W68 = 'Points-Table'!$A$8), 'Points-Table'!$C$8,
                (W68 = 'Points-Table'!$A$9), 'Points-Table'!$C$9,
                (W68 = 'Points-Table'!$A$10), 'Points-Table'!$C$10,
                (W68 = 'Points-Table'!$A$11), 'Points-Table'!$C$11,
                (W68 = 'Points-Table'!$A$12), 'Points-Table'!$C$12,
                (W68 = 'Points-Table'!$A$13), 'Points-Table'!$C$13,
                true, 0
              )
            </f>
      </c>
      <c r="Y68" s="13">
        <v>5</v>
      </c>
      <c r="Z68" s="13">
        <f>
              Ifs(
                (Y68 = 'Points-Table'!$A$4), 'Points-Table'!$C$4,
                (Y68 = 'Points-Table'!$A$5), 'Points-Table'!$C$5,
                (Y68 = 'Points-Table'!$A$6), 'Points-Table'!$C$6,
                (Y68 = 'Points-Table'!$A$7), 'Points-Table'!$C$7,
                (Y68 = 'Points-Table'!$A$8), 'Points-Table'!$C$8,
                (Y68 = 'Points-Table'!$A$9), 'Points-Table'!$C$9,
                (Y68 = 'Points-Table'!$A$10), 'Points-Table'!$C$10,
                (Y68 = 'Points-Table'!$A$11), 'Points-Table'!$C$11,
                (Y68 = 'Points-Table'!$A$12), 'Points-Table'!$C$12,
                (Y68 = 'Points-Table'!$A$13), 'Points-Table'!$C$13,
                true, 0
              )
            </f>
      </c>
      <c r="AA68" s="13">
        <f>SUM(V68,X68,Z68)</f>
      </c>
      <c r="AB68" s="13">
        <f>
      Ifs( 
        ISBETWEEN(AA68, 0, 'Points-Table'!C$20, TRUE, False), 'Points-Table'!A$20,
        ISBETWEEN(AA68, 'Points-Table'!C$20, 'Points-Table'!C$21, TRUE, False), 'Points-Table'!A$21,
        ISBETWEEN(AA68, 'Points-Table'!C$22, 10000, TRUE, TRUE), 'Points-Table'!A$22,
        true, 
        0)
      </f>
      </c>
      <c r="AC68" s="13" t="s">
        <v>56</v>
      </c>
      <c r="AD68" s="13" t="s">
        <v>56</v>
      </c>
      <c r="AE68" s="13" t="s">
        <v>56</v>
      </c>
    </row>
    <row r="69" spans="1:31" s="6" customFormat="1" x14ac:dyDescent="0.25">
      <c r="A69" s="6" t="s">
        <v>251</v>
      </c>
      <c r="B69" s="6" t="s">
        <v>294</v>
      </c>
      <c r="D69" s="6"/>
      <c r="E69" s="6"/>
      <c r="F69" s="6"/>
      <c r="G69" s="6"/>
      <c r="H69" s="6"/>
      <c r="I69" s="6"/>
      <c r="J69" s="6"/>
      <c r="K69" s="6" t="s">
        <v>84</v>
      </c>
      <c r="L69" s="6" t="s">
        <v>272</v>
      </c>
      <c r="M69" s="6"/>
      <c r="N69" s="6"/>
      <c r="O69" s="6"/>
      <c r="P69" s="6"/>
      <c r="Q69" s="11">
        <v>0</v>
      </c>
      <c r="R69" s="12">
        <f>
              Ifs(
                (Q69 = 'Points-Table'!$A$4), 'Points-Table'!$C$4,
                (Q69 = 'Points-Table'!$A$5), 'Points-Table'!$C$5,
                (Q69 = 'Points-Table'!$A$6), 'Points-Table'!$C$6,
                (Q69 = 'Points-Table'!$A$7), 'Points-Table'!$C$7,
                (Q69 = 'Points-Table'!$A$8), 'Points-Table'!$C$8,
                (Q69 = 'Points-Table'!$A$9), 'Points-Table'!$C$9,
                (Q69 = 'Points-Table'!$A$10), 'Points-Table'!$C$10,
                (Q69 = 'Points-Table'!$A$11), 'Points-Table'!$C$11,
                (Q69 = 'Points-Table'!$A$12), 'Points-Table'!$C$12,
                (Q69 = 'Points-Table'!$A$13), 'Points-Table'!$C$13,
                true, 0
              )
            </f>
      </c>
      <c r="S69" s="11">
        <v>0</v>
      </c>
      <c r="T69" s="12">
        <f>
              Ifs(
                (S69 = 'Points-Table'!$A$4), 'Points-Table'!$C$4,
                (S69 = 'Points-Table'!$A$5), 'Points-Table'!$C$5,
                (S69 = 'Points-Table'!$A$6), 'Points-Table'!$C$6,
                (S69 = 'Points-Table'!$A$7), 'Points-Table'!$C$7,
                (S69 = 'Points-Table'!$A$8), 'Points-Table'!$C$8,
                (S69 = 'Points-Table'!$A$9), 'Points-Table'!$C$9,
                (S69 = 'Points-Table'!$A$10), 'Points-Table'!$C$10,
                (S69 = 'Points-Table'!$A$11), 'Points-Table'!$C$11,
                (S69 = 'Points-Table'!$A$12), 'Points-Table'!$C$12,
                (S69 = 'Points-Table'!$A$13), 'Points-Table'!$C$13,
                true, 0
              )
            </f>
      </c>
      <c r="U69" s="11">
        <v>5</v>
      </c>
      <c r="V69" s="12">
        <f>
              Ifs(
                (U69 = 'Points-Table'!$A$4), 'Points-Table'!$C$4,
                (U69 = 'Points-Table'!$A$5), 'Points-Table'!$C$5,
                (U69 = 'Points-Table'!$A$6), 'Points-Table'!$C$6,
                (U69 = 'Points-Table'!$A$7), 'Points-Table'!$C$7,
                (U69 = 'Points-Table'!$A$8), 'Points-Table'!$C$8,
                (U69 = 'Points-Table'!$A$9), 'Points-Table'!$C$9,
                (U69 = 'Points-Table'!$A$10), 'Points-Table'!$C$10,
                (U69 = 'Points-Table'!$A$11), 'Points-Table'!$C$11,
                (U69 = 'Points-Table'!$A$12), 'Points-Table'!$C$12,
                (U69 = 'Points-Table'!$A$13), 'Points-Table'!$C$13,
                true, 0
              )
            </f>
      </c>
      <c r="W69" s="11">
        <v>3</v>
      </c>
      <c r="X69" s="12">
        <f>
              Ifs(
                (W69 = 'Points-Table'!$A$4), 'Points-Table'!$C$4,
                (W69 = 'Points-Table'!$A$5), 'Points-Table'!$C$5,
                (W69 = 'Points-Table'!$A$6), 'Points-Table'!$C$6,
                (W69 = 'Points-Table'!$A$7), 'Points-Table'!$C$7,
                (W69 = 'Points-Table'!$A$8), 'Points-Table'!$C$8,
                (W69 = 'Points-Table'!$A$9), 'Points-Table'!$C$9,
                (W69 = 'Points-Table'!$A$10), 'Points-Table'!$C$10,
                (W69 = 'Points-Table'!$A$11), 'Points-Table'!$C$11,
                (W69 = 'Points-Table'!$A$12), 'Points-Table'!$C$12,
                (W69 = 'Points-Table'!$A$13), 'Points-Table'!$C$13,
                true, 0
              )
            </f>
      </c>
      <c r="Y69" s="11">
        <v>5</v>
      </c>
      <c r="Z69" s="12">
        <f>
              Ifs(
                (Y69 = 'Points-Table'!$A$4), 'Points-Table'!$C$4,
                (Y69 = 'Points-Table'!$A$5), 'Points-Table'!$C$5,
                (Y69 = 'Points-Table'!$A$6), 'Points-Table'!$C$6,
                (Y69 = 'Points-Table'!$A$7), 'Points-Table'!$C$7,
                (Y69 = 'Points-Table'!$A$8), 'Points-Table'!$C$8,
                (Y69 = 'Points-Table'!$A$9), 'Points-Table'!$C$9,
                (Y69 = 'Points-Table'!$A$10), 'Points-Table'!$C$10,
                (Y69 = 'Points-Table'!$A$11), 'Points-Table'!$C$11,
                (Y69 = 'Points-Table'!$A$12), 'Points-Table'!$C$12,
                (Y69 = 'Points-Table'!$A$13), 'Points-Table'!$C$13,
                true, 0
              )
            </f>
      </c>
      <c r="AA69" s="6">
        <f>SUM(V69,X69,Z69)</f>
      </c>
      <c r="AB69" s="6">
        <f>
      Ifs( 
        ISBETWEEN(AA69, 0, 'Points-Table'!C$20, TRUE, False), 'Points-Table'!A$20,
        ISBETWEEN(AA69, 'Points-Table'!C$20, 'Points-Table'!C$21, TRUE, False), 'Points-Table'!A$21,
        ISBETWEEN(AA69, 'Points-Table'!C$22, 10000, TRUE, TRUE), 'Points-Table'!A$22,
        true, 
        0)
      </f>
      </c>
      <c r="AC69" s="6" t="s">
        <v>56</v>
      </c>
      <c r="AD69" s="6" t="s">
        <v>56</v>
      </c>
      <c r="AE69" s="6" t="s">
        <v>56</v>
      </c>
    </row>
    <row r="70" spans="1:31" s="6" customFormat="1" x14ac:dyDescent="0.25">
      <c r="A70" s="6" t="s">
        <v>251</v>
      </c>
      <c r="B70" s="6" t="s">
        <v>295</v>
      </c>
      <c r="C70" s="6" t="s">
        <v>296</v>
      </c>
      <c r="D70" s="6" t="s">
        <v>297</v>
      </c>
      <c r="E70" s="6"/>
      <c r="F70" s="6" t="s">
        <v>56</v>
      </c>
      <c r="G70" s="6"/>
      <c r="H70" s="6"/>
      <c r="I70" s="6"/>
      <c r="J70" s="6"/>
      <c r="K70" s="6" t="s">
        <v>84</v>
      </c>
      <c r="L70" s="6" t="s">
        <v>85</v>
      </c>
      <c r="M70" s="6"/>
      <c r="N70" s="6"/>
      <c r="O70" s="6"/>
      <c r="P70" s="6"/>
      <c r="Q70" s="11"/>
      <c r="R70" s="12">
        <f>
              Ifs(
                (Q70 = 'Points-Table'!$A$4), 'Points-Table'!$C$4,
                (Q70 = 'Points-Table'!$A$5), 'Points-Table'!$C$5,
                (Q70 = 'Points-Table'!$A$6), 'Points-Table'!$C$6,
                (Q70 = 'Points-Table'!$A$7), 'Points-Table'!$C$7,
                (Q70 = 'Points-Table'!$A$8), 'Points-Table'!$C$8,
                (Q70 = 'Points-Table'!$A$9), 'Points-Table'!$C$9,
                (Q70 = 'Points-Table'!$A$10), 'Points-Table'!$C$10,
                (Q70 = 'Points-Table'!$A$11), 'Points-Table'!$C$11,
                (Q70 = 'Points-Table'!$A$12), 'Points-Table'!$C$12,
                (Q70 = 'Points-Table'!$A$13), 'Points-Table'!$C$13,
                true, 0
              )
            </f>
      </c>
      <c r="S70" s="11"/>
      <c r="T70" s="12">
        <f>
              Ifs(
                (S70 = 'Points-Table'!$A$4), 'Points-Table'!$C$4,
                (S70 = 'Points-Table'!$A$5), 'Points-Table'!$C$5,
                (S70 = 'Points-Table'!$A$6), 'Points-Table'!$C$6,
                (S70 = 'Points-Table'!$A$7), 'Points-Table'!$C$7,
                (S70 = 'Points-Table'!$A$8), 'Points-Table'!$C$8,
                (S70 = 'Points-Table'!$A$9), 'Points-Table'!$C$9,
                (S70 = 'Points-Table'!$A$10), 'Points-Table'!$C$10,
                (S70 = 'Points-Table'!$A$11), 'Points-Table'!$C$11,
                (S70 = 'Points-Table'!$A$12), 'Points-Table'!$C$12,
                (S70 = 'Points-Table'!$A$13), 'Points-Table'!$C$13,
                true, 0
              )
            </f>
      </c>
      <c r="U70" s="11">
        <v>0</v>
      </c>
      <c r="V70" s="12">
        <f>
              Ifs(
                (U70 = 'Points-Table'!$A$4), 'Points-Table'!$C$4,
                (U70 = 'Points-Table'!$A$5), 'Points-Table'!$C$5,
                (U70 = 'Points-Table'!$A$6), 'Points-Table'!$C$6,
                (U70 = 'Points-Table'!$A$7), 'Points-Table'!$C$7,
                (U70 = 'Points-Table'!$A$8), 'Points-Table'!$C$8,
                (U70 = 'Points-Table'!$A$9), 'Points-Table'!$C$9,
                (U70 = 'Points-Table'!$A$10), 'Points-Table'!$C$10,
                (U70 = 'Points-Table'!$A$11), 'Points-Table'!$C$11,
                (U70 = 'Points-Table'!$A$12), 'Points-Table'!$C$12,
                (U70 = 'Points-Table'!$A$13), 'Points-Table'!$C$13,
                true, 0
              )
            </f>
      </c>
      <c r="W70" s="11">
        <v>0</v>
      </c>
      <c r="X70" s="12">
        <f>
              Ifs(
                (W70 = 'Points-Table'!$A$4), 'Points-Table'!$C$4,
                (W70 = 'Points-Table'!$A$5), 'Points-Table'!$C$5,
                (W70 = 'Points-Table'!$A$6), 'Points-Table'!$C$6,
                (W70 = 'Points-Table'!$A$7), 'Points-Table'!$C$7,
                (W70 = 'Points-Table'!$A$8), 'Points-Table'!$C$8,
                (W70 = 'Points-Table'!$A$9), 'Points-Table'!$C$9,
                (W70 = 'Points-Table'!$A$10), 'Points-Table'!$C$10,
                (W70 = 'Points-Table'!$A$11), 'Points-Table'!$C$11,
                (W70 = 'Points-Table'!$A$12), 'Points-Table'!$C$12,
                (W70 = 'Points-Table'!$A$13), 'Points-Table'!$C$13,
                true, 0
              )
            </f>
      </c>
      <c r="Y70" s="11">
        <v>2</v>
      </c>
      <c r="Z70" s="12">
        <f>
              Ifs(
                (Y70 = 'Points-Table'!$A$4), 'Points-Table'!$C$4,
                (Y70 = 'Points-Table'!$A$5), 'Points-Table'!$C$5,
                (Y70 = 'Points-Table'!$A$6), 'Points-Table'!$C$6,
                (Y70 = 'Points-Table'!$A$7), 'Points-Table'!$C$7,
                (Y70 = 'Points-Table'!$A$8), 'Points-Table'!$C$8,
                (Y70 = 'Points-Table'!$A$9), 'Points-Table'!$C$9,
                (Y70 = 'Points-Table'!$A$10), 'Points-Table'!$C$10,
                (Y70 = 'Points-Table'!$A$11), 'Points-Table'!$C$11,
                (Y70 = 'Points-Table'!$A$12), 'Points-Table'!$C$12,
                (Y70 = 'Points-Table'!$A$13), 'Points-Table'!$C$13,
                true, 0
              )
            </f>
      </c>
      <c r="AA70" s="6">
        <f>SUM(V70,X70,Z70)</f>
      </c>
      <c r="AB70" s="6">
        <f>
      Ifs( 
        ISBETWEEN(AA70, 0, 'Points-Table'!C$20, TRUE, False), 'Points-Table'!A$20,
        ISBETWEEN(AA70, 'Points-Table'!C$20, 'Points-Table'!C$21, TRUE, False), 'Points-Table'!A$21,
        ISBETWEEN(AA70, 'Points-Table'!C$22, 10000, TRUE, TRUE), 'Points-Table'!A$22,
        true, 
        0)
      </f>
      </c>
      <c r="AC70" s="6" t="s">
        <v>56</v>
      </c>
      <c r="AD70" s="6" t="s">
        <v>56</v>
      </c>
      <c r="AE70" s="6" t="s">
        <v>56</v>
      </c>
    </row>
    <row r="71" spans="1:31" s="6" customFormat="1" x14ac:dyDescent="0.25">
      <c r="A71" s="6" t="s">
        <v>251</v>
      </c>
      <c r="B71" s="6" t="s">
        <v>295</v>
      </c>
      <c r="C71" s="6" t="s">
        <v>298</v>
      </c>
      <c r="D71" s="6"/>
      <c r="E71" s="6"/>
      <c r="F71" s="6"/>
      <c r="G71" s="6"/>
      <c r="H71" s="6"/>
      <c r="I71" s="6"/>
      <c r="J71" s="6"/>
      <c r="K71" s="6" t="s">
        <v>84</v>
      </c>
      <c r="L71" s="6" t="s">
        <v>85</v>
      </c>
      <c r="M71" s="6"/>
      <c r="N71" s="6"/>
      <c r="O71" s="6"/>
      <c r="P71" s="6"/>
      <c r="Q71" s="11"/>
      <c r="R71" s="12">
        <f>
              Ifs(
                (Q71 = 'Points-Table'!$A$4), 'Points-Table'!$C$4,
                (Q71 = 'Points-Table'!$A$5), 'Points-Table'!$C$5,
                (Q71 = 'Points-Table'!$A$6), 'Points-Table'!$C$6,
                (Q71 = 'Points-Table'!$A$7), 'Points-Table'!$C$7,
                (Q71 = 'Points-Table'!$A$8), 'Points-Table'!$C$8,
                (Q71 = 'Points-Table'!$A$9), 'Points-Table'!$C$9,
                (Q71 = 'Points-Table'!$A$10), 'Points-Table'!$C$10,
                (Q71 = 'Points-Table'!$A$11), 'Points-Table'!$C$11,
                (Q71 = 'Points-Table'!$A$12), 'Points-Table'!$C$12,
                (Q71 = 'Points-Table'!$A$13), 'Points-Table'!$C$13,
                true, 0
              )
            </f>
      </c>
      <c r="S71" s="11"/>
      <c r="T71" s="12">
        <f>
              Ifs(
                (S71 = 'Points-Table'!$A$4), 'Points-Table'!$C$4,
                (S71 = 'Points-Table'!$A$5), 'Points-Table'!$C$5,
                (S71 = 'Points-Table'!$A$6), 'Points-Table'!$C$6,
                (S71 = 'Points-Table'!$A$7), 'Points-Table'!$C$7,
                (S71 = 'Points-Table'!$A$8), 'Points-Table'!$C$8,
                (S71 = 'Points-Table'!$A$9), 'Points-Table'!$C$9,
                (S71 = 'Points-Table'!$A$10), 'Points-Table'!$C$10,
                (S71 = 'Points-Table'!$A$11), 'Points-Table'!$C$11,
                (S71 = 'Points-Table'!$A$12), 'Points-Table'!$C$12,
                (S71 = 'Points-Table'!$A$13), 'Points-Table'!$C$13,
                true, 0
              )
            </f>
      </c>
      <c r="U71" s="11">
        <v>2</v>
      </c>
      <c r="V71" s="12">
        <f>
              Ifs(
                (U71 = 'Points-Table'!$A$4), 'Points-Table'!$C$4,
                (U71 = 'Points-Table'!$A$5), 'Points-Table'!$C$5,
                (U71 = 'Points-Table'!$A$6), 'Points-Table'!$C$6,
                (U71 = 'Points-Table'!$A$7), 'Points-Table'!$C$7,
                (U71 = 'Points-Table'!$A$8), 'Points-Table'!$C$8,
                (U71 = 'Points-Table'!$A$9), 'Points-Table'!$C$9,
                (U71 = 'Points-Table'!$A$10), 'Points-Table'!$C$10,
                (U71 = 'Points-Table'!$A$11), 'Points-Table'!$C$11,
                (U71 = 'Points-Table'!$A$12), 'Points-Table'!$C$12,
                (U71 = 'Points-Table'!$A$13), 'Points-Table'!$C$13,
                true, 0
              )
            </f>
      </c>
      <c r="W71" s="11">
        <v>2</v>
      </c>
      <c r="X71" s="12">
        <f>
              Ifs(
                (W71 = 'Points-Table'!$A$4), 'Points-Table'!$C$4,
                (W71 = 'Points-Table'!$A$5), 'Points-Table'!$C$5,
                (W71 = 'Points-Table'!$A$6), 'Points-Table'!$C$6,
                (W71 = 'Points-Table'!$A$7), 'Points-Table'!$C$7,
                (W71 = 'Points-Table'!$A$8), 'Points-Table'!$C$8,
                (W71 = 'Points-Table'!$A$9), 'Points-Table'!$C$9,
                (W71 = 'Points-Table'!$A$10), 'Points-Table'!$C$10,
                (W71 = 'Points-Table'!$A$11), 'Points-Table'!$C$11,
                (W71 = 'Points-Table'!$A$12), 'Points-Table'!$C$12,
                (W71 = 'Points-Table'!$A$13), 'Points-Table'!$C$13,
                true, 0
              )
            </f>
      </c>
      <c r="Y71" s="11">
        <v>5</v>
      </c>
      <c r="Z71" s="12">
        <f>
              Ifs(
                (Y71 = 'Points-Table'!$A$4), 'Points-Table'!$C$4,
                (Y71 = 'Points-Table'!$A$5), 'Points-Table'!$C$5,
                (Y71 = 'Points-Table'!$A$6), 'Points-Table'!$C$6,
                (Y71 = 'Points-Table'!$A$7), 'Points-Table'!$C$7,
                (Y71 = 'Points-Table'!$A$8), 'Points-Table'!$C$8,
                (Y71 = 'Points-Table'!$A$9), 'Points-Table'!$C$9,
                (Y71 = 'Points-Table'!$A$10), 'Points-Table'!$C$10,
                (Y71 = 'Points-Table'!$A$11), 'Points-Table'!$C$11,
                (Y71 = 'Points-Table'!$A$12), 'Points-Table'!$C$12,
                (Y71 = 'Points-Table'!$A$13), 'Points-Table'!$C$13,
                true, 0
              )
            </f>
      </c>
      <c r="AA71" s="6">
        <f>SUM(V71,X71,Z71)</f>
      </c>
      <c r="AB71" s="6">
        <f>
      Ifs( 
        ISBETWEEN(AA71, 0, 'Points-Table'!C$20, TRUE, False), 'Points-Table'!A$20,
        ISBETWEEN(AA71, 'Points-Table'!C$20, 'Points-Table'!C$21, TRUE, False), 'Points-Table'!A$21,
        ISBETWEEN(AA71, 'Points-Table'!C$22, 10000, TRUE, TRUE), 'Points-Table'!A$22,
        true, 
        0)
      </f>
      </c>
      <c r="AC71" s="6" t="s">
        <v>56</v>
      </c>
      <c r="AD71" s="6" t="s">
        <v>56</v>
      </c>
      <c r="AE71" s="6" t="s">
        <v>56</v>
      </c>
    </row>
    <row r="72" spans="1:31" s="6" customFormat="1" x14ac:dyDescent="0.25">
      <c r="A72" s="6" t="s">
        <v>251</v>
      </c>
      <c r="B72" s="6" t="s">
        <v>295</v>
      </c>
      <c r="C72" s="6" t="s">
        <v>299</v>
      </c>
      <c r="D72" s="6"/>
      <c r="E72" s="6"/>
      <c r="F72" s="6"/>
      <c r="G72" s="6"/>
      <c r="H72" s="6"/>
      <c r="I72" s="6"/>
      <c r="J72" s="6"/>
      <c r="K72" s="6" t="s">
        <v>84</v>
      </c>
      <c r="L72" s="6" t="s">
        <v>85</v>
      </c>
      <c r="M72" s="6"/>
      <c r="N72" s="6"/>
      <c r="O72" s="6"/>
      <c r="P72" s="6"/>
      <c r="Q72" s="11"/>
      <c r="R72" s="12">
        <f>
              Ifs(
                (Q72 = 'Points-Table'!$A$4), 'Points-Table'!$C$4,
                (Q72 = 'Points-Table'!$A$5), 'Points-Table'!$C$5,
                (Q72 = 'Points-Table'!$A$6), 'Points-Table'!$C$6,
                (Q72 = 'Points-Table'!$A$7), 'Points-Table'!$C$7,
                (Q72 = 'Points-Table'!$A$8), 'Points-Table'!$C$8,
                (Q72 = 'Points-Table'!$A$9), 'Points-Table'!$C$9,
                (Q72 = 'Points-Table'!$A$10), 'Points-Table'!$C$10,
                (Q72 = 'Points-Table'!$A$11), 'Points-Table'!$C$11,
                (Q72 = 'Points-Table'!$A$12), 'Points-Table'!$C$12,
                (Q72 = 'Points-Table'!$A$13), 'Points-Table'!$C$13,
                true, 0
              )
            </f>
      </c>
      <c r="S72" s="11"/>
      <c r="T72" s="12">
        <f>
              Ifs(
                (S72 = 'Points-Table'!$A$4), 'Points-Table'!$C$4,
                (S72 = 'Points-Table'!$A$5), 'Points-Table'!$C$5,
                (S72 = 'Points-Table'!$A$6), 'Points-Table'!$C$6,
                (S72 = 'Points-Table'!$A$7), 'Points-Table'!$C$7,
                (S72 = 'Points-Table'!$A$8), 'Points-Table'!$C$8,
                (S72 = 'Points-Table'!$A$9), 'Points-Table'!$C$9,
                (S72 = 'Points-Table'!$A$10), 'Points-Table'!$C$10,
                (S72 = 'Points-Table'!$A$11), 'Points-Table'!$C$11,
                (S72 = 'Points-Table'!$A$12), 'Points-Table'!$C$12,
                (S72 = 'Points-Table'!$A$13), 'Points-Table'!$C$13,
                true, 0
              )
            </f>
      </c>
      <c r="U72" s="11">
        <v>3</v>
      </c>
      <c r="V72" s="12">
        <f>
              Ifs(
                (U72 = 'Points-Table'!$A$4), 'Points-Table'!$C$4,
                (U72 = 'Points-Table'!$A$5), 'Points-Table'!$C$5,
                (U72 = 'Points-Table'!$A$6), 'Points-Table'!$C$6,
                (U72 = 'Points-Table'!$A$7), 'Points-Table'!$C$7,
                (U72 = 'Points-Table'!$A$8), 'Points-Table'!$C$8,
                (U72 = 'Points-Table'!$A$9), 'Points-Table'!$C$9,
                (U72 = 'Points-Table'!$A$10), 'Points-Table'!$C$10,
                (U72 = 'Points-Table'!$A$11), 'Points-Table'!$C$11,
                (U72 = 'Points-Table'!$A$12), 'Points-Table'!$C$12,
                (U72 = 'Points-Table'!$A$13), 'Points-Table'!$C$13,
                true, 0
              )
            </f>
      </c>
      <c r="W72" s="11">
        <v>2</v>
      </c>
      <c r="X72" s="12">
        <f>
              Ifs(
                (W72 = 'Points-Table'!$A$4), 'Points-Table'!$C$4,
                (W72 = 'Points-Table'!$A$5), 'Points-Table'!$C$5,
                (W72 = 'Points-Table'!$A$6), 'Points-Table'!$C$6,
                (W72 = 'Points-Table'!$A$7), 'Points-Table'!$C$7,
                (W72 = 'Points-Table'!$A$8), 'Points-Table'!$C$8,
                (W72 = 'Points-Table'!$A$9), 'Points-Table'!$C$9,
                (W72 = 'Points-Table'!$A$10), 'Points-Table'!$C$10,
                (W72 = 'Points-Table'!$A$11), 'Points-Table'!$C$11,
                (W72 = 'Points-Table'!$A$12), 'Points-Table'!$C$12,
                (W72 = 'Points-Table'!$A$13), 'Points-Table'!$C$13,
                true, 0
              )
            </f>
      </c>
      <c r="Y72" s="11">
        <v>3</v>
      </c>
      <c r="Z72" s="12">
        <f>
              Ifs(
                (Y72 = 'Points-Table'!$A$4), 'Points-Table'!$C$4,
                (Y72 = 'Points-Table'!$A$5), 'Points-Table'!$C$5,
                (Y72 = 'Points-Table'!$A$6), 'Points-Table'!$C$6,
                (Y72 = 'Points-Table'!$A$7), 'Points-Table'!$C$7,
                (Y72 = 'Points-Table'!$A$8), 'Points-Table'!$C$8,
                (Y72 = 'Points-Table'!$A$9), 'Points-Table'!$C$9,
                (Y72 = 'Points-Table'!$A$10), 'Points-Table'!$C$10,
                (Y72 = 'Points-Table'!$A$11), 'Points-Table'!$C$11,
                (Y72 = 'Points-Table'!$A$12), 'Points-Table'!$C$12,
                (Y72 = 'Points-Table'!$A$13), 'Points-Table'!$C$13,
                true, 0
              )
            </f>
      </c>
      <c r="AA72" s="6">
        <f>SUM(V72,X72,Z72)</f>
      </c>
      <c r="AB72" s="6">
        <f>
      Ifs( 
        ISBETWEEN(AA72, 0, 'Points-Table'!C$20, TRUE, False), 'Points-Table'!A$20,
        ISBETWEEN(AA72, 'Points-Table'!C$20, 'Points-Table'!C$21, TRUE, False), 'Points-Table'!A$21,
        ISBETWEEN(AA72, 'Points-Table'!C$22, 10000, TRUE, TRUE), 'Points-Table'!A$22,
        true, 
        0)
      </f>
      </c>
      <c r="AC72" s="6" t="s">
        <v>56</v>
      </c>
      <c r="AD72" s="6" t="s">
        <v>56</v>
      </c>
      <c r="AE72" s="6" t="s">
        <v>56</v>
      </c>
    </row>
    <row r="73" spans="1:31" s="6" customFormat="1" x14ac:dyDescent="0.25">
      <c r="A73" s="6" t="s">
        <v>251</v>
      </c>
      <c r="B73" s="6" t="s">
        <v>295</v>
      </c>
      <c r="C73" s="6" t="s">
        <v>300</v>
      </c>
      <c r="D73" s="6"/>
      <c r="E73" s="6"/>
      <c r="F73" s="6"/>
      <c r="G73" s="6"/>
      <c r="H73" s="6"/>
      <c r="I73" s="6"/>
      <c r="J73" s="6"/>
      <c r="K73" s="6" t="s">
        <v>84</v>
      </c>
      <c r="L73" s="6" t="s">
        <v>85</v>
      </c>
      <c r="M73" s="6"/>
      <c r="N73" s="6"/>
      <c r="O73" s="6"/>
      <c r="P73" s="6"/>
      <c r="Q73" s="11"/>
      <c r="R73" s="12">
        <f>
              Ifs(
                (Q73 = 'Points-Table'!$A$4), 'Points-Table'!$C$4,
                (Q73 = 'Points-Table'!$A$5), 'Points-Table'!$C$5,
                (Q73 = 'Points-Table'!$A$6), 'Points-Table'!$C$6,
                (Q73 = 'Points-Table'!$A$7), 'Points-Table'!$C$7,
                (Q73 = 'Points-Table'!$A$8), 'Points-Table'!$C$8,
                (Q73 = 'Points-Table'!$A$9), 'Points-Table'!$C$9,
                (Q73 = 'Points-Table'!$A$10), 'Points-Table'!$C$10,
                (Q73 = 'Points-Table'!$A$11), 'Points-Table'!$C$11,
                (Q73 = 'Points-Table'!$A$12), 'Points-Table'!$C$12,
                (Q73 = 'Points-Table'!$A$13), 'Points-Table'!$C$13,
                true, 0
              )
            </f>
      </c>
      <c r="S73" s="11"/>
      <c r="T73" s="12">
        <f>
              Ifs(
                (S73 = 'Points-Table'!$A$4), 'Points-Table'!$C$4,
                (S73 = 'Points-Table'!$A$5), 'Points-Table'!$C$5,
                (S73 = 'Points-Table'!$A$6), 'Points-Table'!$C$6,
                (S73 = 'Points-Table'!$A$7), 'Points-Table'!$C$7,
                (S73 = 'Points-Table'!$A$8), 'Points-Table'!$C$8,
                (S73 = 'Points-Table'!$A$9), 'Points-Table'!$C$9,
                (S73 = 'Points-Table'!$A$10), 'Points-Table'!$C$10,
                (S73 = 'Points-Table'!$A$11), 'Points-Table'!$C$11,
                (S73 = 'Points-Table'!$A$12), 'Points-Table'!$C$12,
                (S73 = 'Points-Table'!$A$13), 'Points-Table'!$C$13,
                true, 0
              )
            </f>
      </c>
      <c r="U73" s="11">
        <v>2</v>
      </c>
      <c r="V73" s="12">
        <f>
              Ifs(
                (U73 = 'Points-Table'!$A$4), 'Points-Table'!$C$4,
                (U73 = 'Points-Table'!$A$5), 'Points-Table'!$C$5,
                (U73 = 'Points-Table'!$A$6), 'Points-Table'!$C$6,
                (U73 = 'Points-Table'!$A$7), 'Points-Table'!$C$7,
                (U73 = 'Points-Table'!$A$8), 'Points-Table'!$C$8,
                (U73 = 'Points-Table'!$A$9), 'Points-Table'!$C$9,
                (U73 = 'Points-Table'!$A$10), 'Points-Table'!$C$10,
                (U73 = 'Points-Table'!$A$11), 'Points-Table'!$C$11,
                (U73 = 'Points-Table'!$A$12), 'Points-Table'!$C$12,
                (U73 = 'Points-Table'!$A$13), 'Points-Table'!$C$13,
                true, 0
              )
            </f>
      </c>
      <c r="W73" s="11">
        <v>1</v>
      </c>
      <c r="X73" s="12">
        <f>
              Ifs(
                (W73 = 'Points-Table'!$A$4), 'Points-Table'!$C$4,
                (W73 = 'Points-Table'!$A$5), 'Points-Table'!$C$5,
                (W73 = 'Points-Table'!$A$6), 'Points-Table'!$C$6,
                (W73 = 'Points-Table'!$A$7), 'Points-Table'!$C$7,
                (W73 = 'Points-Table'!$A$8), 'Points-Table'!$C$8,
                (W73 = 'Points-Table'!$A$9), 'Points-Table'!$C$9,
                (W73 = 'Points-Table'!$A$10), 'Points-Table'!$C$10,
                (W73 = 'Points-Table'!$A$11), 'Points-Table'!$C$11,
                (W73 = 'Points-Table'!$A$12), 'Points-Table'!$C$12,
                (W73 = 'Points-Table'!$A$13), 'Points-Table'!$C$13,
                true, 0
              )
            </f>
      </c>
      <c r="Y73" s="11">
        <v>3</v>
      </c>
      <c r="Z73" s="12">
        <f>
              Ifs(
                (Y73 = 'Points-Table'!$A$4), 'Points-Table'!$C$4,
                (Y73 = 'Points-Table'!$A$5), 'Points-Table'!$C$5,
                (Y73 = 'Points-Table'!$A$6), 'Points-Table'!$C$6,
                (Y73 = 'Points-Table'!$A$7), 'Points-Table'!$C$7,
                (Y73 = 'Points-Table'!$A$8), 'Points-Table'!$C$8,
                (Y73 = 'Points-Table'!$A$9), 'Points-Table'!$C$9,
                (Y73 = 'Points-Table'!$A$10), 'Points-Table'!$C$10,
                (Y73 = 'Points-Table'!$A$11), 'Points-Table'!$C$11,
                (Y73 = 'Points-Table'!$A$12), 'Points-Table'!$C$12,
                (Y73 = 'Points-Table'!$A$13), 'Points-Table'!$C$13,
                true, 0
              )
            </f>
      </c>
      <c r="AA73" s="6">
        <f>SUM(V73,X73,Z73)</f>
      </c>
      <c r="AB73" s="6">
        <f>
      Ifs( 
        ISBETWEEN(AA73, 0, 'Points-Table'!C$20, TRUE, False), 'Points-Table'!A$20,
        ISBETWEEN(AA73, 'Points-Table'!C$20, 'Points-Table'!C$21, TRUE, False), 'Points-Table'!A$21,
        ISBETWEEN(AA73, 'Points-Table'!C$22, 10000, TRUE, TRUE), 'Points-Table'!A$22,
        true, 
        0)
      </f>
      </c>
      <c r="AC73" s="6" t="s">
        <v>56</v>
      </c>
      <c r="AD73" s="6" t="s">
        <v>56</v>
      </c>
      <c r="AE73" s="6" t="s">
        <v>56</v>
      </c>
    </row>
    <row r="74" spans="1:31" s="6" customFormat="1" x14ac:dyDescent="0.25">
      <c r="A74" s="6" t="s">
        <v>251</v>
      </c>
      <c r="B74" s="6" t="s">
        <v>295</v>
      </c>
      <c r="C74" s="6" t="s">
        <v>301</v>
      </c>
      <c r="D74" s="6"/>
      <c r="E74" s="6"/>
      <c r="F74" s="6"/>
      <c r="G74" s="6"/>
      <c r="H74" s="6"/>
      <c r="I74" s="6"/>
      <c r="J74" s="6"/>
      <c r="K74" s="6" t="s">
        <v>84</v>
      </c>
      <c r="L74" s="6" t="s">
        <v>85</v>
      </c>
      <c r="M74" s="6"/>
      <c r="N74" s="6"/>
      <c r="O74" s="6"/>
      <c r="P74" s="6"/>
      <c r="Q74" s="11"/>
      <c r="R74" s="12">
        <f>
              Ifs(
                (Q74 = 'Points-Table'!$A$4), 'Points-Table'!$C$4,
                (Q74 = 'Points-Table'!$A$5), 'Points-Table'!$C$5,
                (Q74 = 'Points-Table'!$A$6), 'Points-Table'!$C$6,
                (Q74 = 'Points-Table'!$A$7), 'Points-Table'!$C$7,
                (Q74 = 'Points-Table'!$A$8), 'Points-Table'!$C$8,
                (Q74 = 'Points-Table'!$A$9), 'Points-Table'!$C$9,
                (Q74 = 'Points-Table'!$A$10), 'Points-Table'!$C$10,
                (Q74 = 'Points-Table'!$A$11), 'Points-Table'!$C$11,
                (Q74 = 'Points-Table'!$A$12), 'Points-Table'!$C$12,
                (Q74 = 'Points-Table'!$A$13), 'Points-Table'!$C$13,
                true, 0
              )
            </f>
      </c>
      <c r="S74" s="11"/>
      <c r="T74" s="12">
        <f>
              Ifs(
                (S74 = 'Points-Table'!$A$4), 'Points-Table'!$C$4,
                (S74 = 'Points-Table'!$A$5), 'Points-Table'!$C$5,
                (S74 = 'Points-Table'!$A$6), 'Points-Table'!$C$6,
                (S74 = 'Points-Table'!$A$7), 'Points-Table'!$C$7,
                (S74 = 'Points-Table'!$A$8), 'Points-Table'!$C$8,
                (S74 = 'Points-Table'!$A$9), 'Points-Table'!$C$9,
                (S74 = 'Points-Table'!$A$10), 'Points-Table'!$C$10,
                (S74 = 'Points-Table'!$A$11), 'Points-Table'!$C$11,
                (S74 = 'Points-Table'!$A$12), 'Points-Table'!$C$12,
                (S74 = 'Points-Table'!$A$13), 'Points-Table'!$C$13,
                true, 0
              )
            </f>
      </c>
      <c r="U74" s="11">
        <v>2</v>
      </c>
      <c r="V74" s="12">
        <f>
              Ifs(
                (U74 = 'Points-Table'!$A$4), 'Points-Table'!$C$4,
                (U74 = 'Points-Table'!$A$5), 'Points-Table'!$C$5,
                (U74 = 'Points-Table'!$A$6), 'Points-Table'!$C$6,
                (U74 = 'Points-Table'!$A$7), 'Points-Table'!$C$7,
                (U74 = 'Points-Table'!$A$8), 'Points-Table'!$C$8,
                (U74 = 'Points-Table'!$A$9), 'Points-Table'!$C$9,
                (U74 = 'Points-Table'!$A$10), 'Points-Table'!$C$10,
                (U74 = 'Points-Table'!$A$11), 'Points-Table'!$C$11,
                (U74 = 'Points-Table'!$A$12), 'Points-Table'!$C$12,
                (U74 = 'Points-Table'!$A$13), 'Points-Table'!$C$13,
                true, 0
              )
            </f>
      </c>
      <c r="W74" s="11">
        <v>1</v>
      </c>
      <c r="X74" s="12">
        <f>
              Ifs(
                (W74 = 'Points-Table'!$A$4), 'Points-Table'!$C$4,
                (W74 = 'Points-Table'!$A$5), 'Points-Table'!$C$5,
                (W74 = 'Points-Table'!$A$6), 'Points-Table'!$C$6,
                (W74 = 'Points-Table'!$A$7), 'Points-Table'!$C$7,
                (W74 = 'Points-Table'!$A$8), 'Points-Table'!$C$8,
                (W74 = 'Points-Table'!$A$9), 'Points-Table'!$C$9,
                (W74 = 'Points-Table'!$A$10), 'Points-Table'!$C$10,
                (W74 = 'Points-Table'!$A$11), 'Points-Table'!$C$11,
                (W74 = 'Points-Table'!$A$12), 'Points-Table'!$C$12,
                (W74 = 'Points-Table'!$A$13), 'Points-Table'!$C$13,
                true, 0
              )
            </f>
      </c>
      <c r="Y74" s="11">
        <v>2</v>
      </c>
      <c r="Z74" s="12">
        <f>
              Ifs(
                (Y74 = 'Points-Table'!$A$4), 'Points-Table'!$C$4,
                (Y74 = 'Points-Table'!$A$5), 'Points-Table'!$C$5,
                (Y74 = 'Points-Table'!$A$6), 'Points-Table'!$C$6,
                (Y74 = 'Points-Table'!$A$7), 'Points-Table'!$C$7,
                (Y74 = 'Points-Table'!$A$8), 'Points-Table'!$C$8,
                (Y74 = 'Points-Table'!$A$9), 'Points-Table'!$C$9,
                (Y74 = 'Points-Table'!$A$10), 'Points-Table'!$C$10,
                (Y74 = 'Points-Table'!$A$11), 'Points-Table'!$C$11,
                (Y74 = 'Points-Table'!$A$12), 'Points-Table'!$C$12,
                (Y74 = 'Points-Table'!$A$13), 'Points-Table'!$C$13,
                true, 0
              )
            </f>
      </c>
      <c r="AA74" s="6">
        <f>SUM(V74,X74,Z74)</f>
      </c>
      <c r="AB74" s="6">
        <f>
      Ifs( 
        ISBETWEEN(AA74, 0, 'Points-Table'!C$20, TRUE, False), 'Points-Table'!A$20,
        ISBETWEEN(AA74, 'Points-Table'!C$20, 'Points-Table'!C$21, TRUE, False), 'Points-Table'!A$21,
        ISBETWEEN(AA74, 'Points-Table'!C$22, 10000, TRUE, TRUE), 'Points-Table'!A$22,
        true, 
        0)
      </f>
      </c>
      <c r="AC74" s="6" t="s">
        <v>56</v>
      </c>
      <c r="AD74" s="6" t="s">
        <v>56</v>
      </c>
      <c r="AE74" s="6" t="s">
        <v>56</v>
      </c>
    </row>
    <row r="75" spans="1:31" s="6" customFormat="1" x14ac:dyDescent="0.25">
      <c r="A75" s="6" t="s">
        <v>251</v>
      </c>
      <c r="B75" s="6" t="s">
        <v>295</v>
      </c>
      <c r="C75" s="6" t="s">
        <v>302</v>
      </c>
      <c r="D75" s="6"/>
      <c r="E75" s="6"/>
      <c r="F75" s="6" t="s">
        <v>303</v>
      </c>
      <c r="G75" s="6"/>
      <c r="H75" s="6"/>
      <c r="I75" s="6"/>
      <c r="J75" s="6"/>
      <c r="K75" s="6" t="s">
        <v>84</v>
      </c>
      <c r="L75" s="6" t="s">
        <v>85</v>
      </c>
      <c r="M75" s="6"/>
      <c r="N75" s="6"/>
      <c r="O75" s="6"/>
      <c r="P75" s="6"/>
      <c r="Q75" s="11"/>
      <c r="R75" s="12">
        <f>
              Ifs(
                (Q75 = 'Points-Table'!$A$4), 'Points-Table'!$C$4,
                (Q75 = 'Points-Table'!$A$5), 'Points-Table'!$C$5,
                (Q75 = 'Points-Table'!$A$6), 'Points-Table'!$C$6,
                (Q75 = 'Points-Table'!$A$7), 'Points-Table'!$C$7,
                (Q75 = 'Points-Table'!$A$8), 'Points-Table'!$C$8,
                (Q75 = 'Points-Table'!$A$9), 'Points-Table'!$C$9,
                (Q75 = 'Points-Table'!$A$10), 'Points-Table'!$C$10,
                (Q75 = 'Points-Table'!$A$11), 'Points-Table'!$C$11,
                (Q75 = 'Points-Table'!$A$12), 'Points-Table'!$C$12,
                (Q75 = 'Points-Table'!$A$13), 'Points-Table'!$C$13,
                true, 0
              )
            </f>
      </c>
      <c r="S75" s="11"/>
      <c r="T75" s="12">
        <f>
              Ifs(
                (S75 = 'Points-Table'!$A$4), 'Points-Table'!$C$4,
                (S75 = 'Points-Table'!$A$5), 'Points-Table'!$C$5,
                (S75 = 'Points-Table'!$A$6), 'Points-Table'!$C$6,
                (S75 = 'Points-Table'!$A$7), 'Points-Table'!$C$7,
                (S75 = 'Points-Table'!$A$8), 'Points-Table'!$C$8,
                (S75 = 'Points-Table'!$A$9), 'Points-Table'!$C$9,
                (S75 = 'Points-Table'!$A$10), 'Points-Table'!$C$10,
                (S75 = 'Points-Table'!$A$11), 'Points-Table'!$C$11,
                (S75 = 'Points-Table'!$A$12), 'Points-Table'!$C$12,
                (S75 = 'Points-Table'!$A$13), 'Points-Table'!$C$13,
                true, 0
              )
            </f>
      </c>
      <c r="U75" s="11">
        <v>5</v>
      </c>
      <c r="V75" s="12">
        <f>
              Ifs(
                (U75 = 'Points-Table'!$A$4), 'Points-Table'!$C$4,
                (U75 = 'Points-Table'!$A$5), 'Points-Table'!$C$5,
                (U75 = 'Points-Table'!$A$6), 'Points-Table'!$C$6,
                (U75 = 'Points-Table'!$A$7), 'Points-Table'!$C$7,
                (U75 = 'Points-Table'!$A$8), 'Points-Table'!$C$8,
                (U75 = 'Points-Table'!$A$9), 'Points-Table'!$C$9,
                (U75 = 'Points-Table'!$A$10), 'Points-Table'!$C$10,
                (U75 = 'Points-Table'!$A$11), 'Points-Table'!$C$11,
                (U75 = 'Points-Table'!$A$12), 'Points-Table'!$C$12,
                (U75 = 'Points-Table'!$A$13), 'Points-Table'!$C$13,
                true, 0
              )
            </f>
      </c>
      <c r="W75" s="11">
        <v>2</v>
      </c>
      <c r="X75" s="12">
        <f>
              Ifs(
                (W75 = 'Points-Table'!$A$4), 'Points-Table'!$C$4,
                (W75 = 'Points-Table'!$A$5), 'Points-Table'!$C$5,
                (W75 = 'Points-Table'!$A$6), 'Points-Table'!$C$6,
                (W75 = 'Points-Table'!$A$7), 'Points-Table'!$C$7,
                (W75 = 'Points-Table'!$A$8), 'Points-Table'!$C$8,
                (W75 = 'Points-Table'!$A$9), 'Points-Table'!$C$9,
                (W75 = 'Points-Table'!$A$10), 'Points-Table'!$C$10,
                (W75 = 'Points-Table'!$A$11), 'Points-Table'!$C$11,
                (W75 = 'Points-Table'!$A$12), 'Points-Table'!$C$12,
                (W75 = 'Points-Table'!$A$13), 'Points-Table'!$C$13,
                true, 0
              )
            </f>
      </c>
      <c r="Y75" s="11">
        <v>3</v>
      </c>
      <c r="Z75" s="12">
        <f>
              Ifs(
                (Y75 = 'Points-Table'!$A$4), 'Points-Table'!$C$4,
                (Y75 = 'Points-Table'!$A$5), 'Points-Table'!$C$5,
                (Y75 = 'Points-Table'!$A$6), 'Points-Table'!$C$6,
                (Y75 = 'Points-Table'!$A$7), 'Points-Table'!$C$7,
                (Y75 = 'Points-Table'!$A$8), 'Points-Table'!$C$8,
                (Y75 = 'Points-Table'!$A$9), 'Points-Table'!$C$9,
                (Y75 = 'Points-Table'!$A$10), 'Points-Table'!$C$10,
                (Y75 = 'Points-Table'!$A$11), 'Points-Table'!$C$11,
                (Y75 = 'Points-Table'!$A$12), 'Points-Table'!$C$12,
                (Y75 = 'Points-Table'!$A$13), 'Points-Table'!$C$13,
                true, 0
              )
            </f>
      </c>
      <c r="AA75" s="6">
        <f>SUM(V75,X75,Z75)</f>
      </c>
      <c r="AB75" s="6">
        <f>
      Ifs( 
        ISBETWEEN(AA75, 0, 'Points-Table'!C$20, TRUE, False), 'Points-Table'!A$20,
        ISBETWEEN(AA75, 'Points-Table'!C$20, 'Points-Table'!C$21, TRUE, False), 'Points-Table'!A$21,
        ISBETWEEN(AA75, 'Points-Table'!C$22, 10000, TRUE, TRUE), 'Points-Table'!A$22,
        true, 
        0)
      </f>
      </c>
      <c r="AC75" s="6" t="s">
        <v>56</v>
      </c>
      <c r="AD75" s="6" t="s">
        <v>56</v>
      </c>
      <c r="AE75" s="6" t="s">
        <v>56</v>
      </c>
    </row>
    <row r="76" spans="1:31" s="6" customFormat="1" x14ac:dyDescent="0.25">
      <c r="A76" s="6" t="s">
        <v>251</v>
      </c>
      <c r="B76" s="6" t="s">
        <v>295</v>
      </c>
      <c r="C76" s="6" t="s">
        <v>304</v>
      </c>
      <c r="D76" s="6"/>
      <c r="E76" s="6"/>
      <c r="F76" s="6" t="s">
        <v>305</v>
      </c>
      <c r="G76" s="6"/>
      <c r="H76" s="6"/>
      <c r="I76" s="6"/>
      <c r="J76" s="6"/>
      <c r="K76" s="6" t="s">
        <v>84</v>
      </c>
      <c r="L76" s="6" t="s">
        <v>85</v>
      </c>
      <c r="M76" s="6"/>
      <c r="N76" s="6"/>
      <c r="O76" s="6"/>
      <c r="P76" s="6"/>
      <c r="Q76" s="11"/>
      <c r="R76" s="12">
        <f>
              Ifs(
                (Q76 = 'Points-Table'!$A$4), 'Points-Table'!$C$4,
                (Q76 = 'Points-Table'!$A$5), 'Points-Table'!$C$5,
                (Q76 = 'Points-Table'!$A$6), 'Points-Table'!$C$6,
                (Q76 = 'Points-Table'!$A$7), 'Points-Table'!$C$7,
                (Q76 = 'Points-Table'!$A$8), 'Points-Table'!$C$8,
                (Q76 = 'Points-Table'!$A$9), 'Points-Table'!$C$9,
                (Q76 = 'Points-Table'!$A$10), 'Points-Table'!$C$10,
                (Q76 = 'Points-Table'!$A$11), 'Points-Table'!$C$11,
                (Q76 = 'Points-Table'!$A$12), 'Points-Table'!$C$12,
                (Q76 = 'Points-Table'!$A$13), 'Points-Table'!$C$13,
                true, 0
              )
            </f>
      </c>
      <c r="S76" s="11"/>
      <c r="T76" s="12">
        <f>
              Ifs(
                (S76 = 'Points-Table'!$A$4), 'Points-Table'!$C$4,
                (S76 = 'Points-Table'!$A$5), 'Points-Table'!$C$5,
                (S76 = 'Points-Table'!$A$6), 'Points-Table'!$C$6,
                (S76 = 'Points-Table'!$A$7), 'Points-Table'!$C$7,
                (S76 = 'Points-Table'!$A$8), 'Points-Table'!$C$8,
                (S76 = 'Points-Table'!$A$9), 'Points-Table'!$C$9,
                (S76 = 'Points-Table'!$A$10), 'Points-Table'!$C$10,
                (S76 = 'Points-Table'!$A$11), 'Points-Table'!$C$11,
                (S76 = 'Points-Table'!$A$12), 'Points-Table'!$C$12,
                (S76 = 'Points-Table'!$A$13), 'Points-Table'!$C$13,
                true, 0
              )
            </f>
      </c>
      <c r="U76" s="11">
        <v>2</v>
      </c>
      <c r="V76" s="12">
        <f>
              Ifs(
                (U76 = 'Points-Table'!$A$4), 'Points-Table'!$C$4,
                (U76 = 'Points-Table'!$A$5), 'Points-Table'!$C$5,
                (U76 = 'Points-Table'!$A$6), 'Points-Table'!$C$6,
                (U76 = 'Points-Table'!$A$7), 'Points-Table'!$C$7,
                (U76 = 'Points-Table'!$A$8), 'Points-Table'!$C$8,
                (U76 = 'Points-Table'!$A$9), 'Points-Table'!$C$9,
                (U76 = 'Points-Table'!$A$10), 'Points-Table'!$C$10,
                (U76 = 'Points-Table'!$A$11), 'Points-Table'!$C$11,
                (U76 = 'Points-Table'!$A$12), 'Points-Table'!$C$12,
                (U76 = 'Points-Table'!$A$13), 'Points-Table'!$C$13,
                true, 0
              )
            </f>
      </c>
      <c r="W76" s="11">
        <v>2</v>
      </c>
      <c r="X76" s="12">
        <f>
              Ifs(
                (W76 = 'Points-Table'!$A$4), 'Points-Table'!$C$4,
                (W76 = 'Points-Table'!$A$5), 'Points-Table'!$C$5,
                (W76 = 'Points-Table'!$A$6), 'Points-Table'!$C$6,
                (W76 = 'Points-Table'!$A$7), 'Points-Table'!$C$7,
                (W76 = 'Points-Table'!$A$8), 'Points-Table'!$C$8,
                (W76 = 'Points-Table'!$A$9), 'Points-Table'!$C$9,
                (W76 = 'Points-Table'!$A$10), 'Points-Table'!$C$10,
                (W76 = 'Points-Table'!$A$11), 'Points-Table'!$C$11,
                (W76 = 'Points-Table'!$A$12), 'Points-Table'!$C$12,
                (W76 = 'Points-Table'!$A$13), 'Points-Table'!$C$13,
                true, 0
              )
            </f>
      </c>
      <c r="Y76" s="11">
        <v>3</v>
      </c>
      <c r="Z76" s="12">
        <f>
              Ifs(
                (Y76 = 'Points-Table'!$A$4), 'Points-Table'!$C$4,
                (Y76 = 'Points-Table'!$A$5), 'Points-Table'!$C$5,
                (Y76 = 'Points-Table'!$A$6), 'Points-Table'!$C$6,
                (Y76 = 'Points-Table'!$A$7), 'Points-Table'!$C$7,
                (Y76 = 'Points-Table'!$A$8), 'Points-Table'!$C$8,
                (Y76 = 'Points-Table'!$A$9), 'Points-Table'!$C$9,
                (Y76 = 'Points-Table'!$A$10), 'Points-Table'!$C$10,
                (Y76 = 'Points-Table'!$A$11), 'Points-Table'!$C$11,
                (Y76 = 'Points-Table'!$A$12), 'Points-Table'!$C$12,
                (Y76 = 'Points-Table'!$A$13), 'Points-Table'!$C$13,
                true, 0
              )
            </f>
      </c>
      <c r="AA76" s="6">
        <f>SUM(V76,X76,Z76)</f>
      </c>
      <c r="AB76" s="6">
        <f>
      Ifs( 
        ISBETWEEN(AA76, 0, 'Points-Table'!C$20, TRUE, False), 'Points-Table'!A$20,
        ISBETWEEN(AA76, 'Points-Table'!C$20, 'Points-Table'!C$21, TRUE, False), 'Points-Table'!A$21,
        ISBETWEEN(AA76, 'Points-Table'!C$22, 10000, TRUE, TRUE), 'Points-Table'!A$22,
        true, 
        0)
      </f>
      </c>
      <c r="AC76" s="6" t="s">
        <v>56</v>
      </c>
      <c r="AD76" s="6" t="s">
        <v>56</v>
      </c>
      <c r="AE76" s="6" t="s">
        <v>56</v>
      </c>
    </row>
    <row r="77" spans="1:31" s="6" customFormat="1" x14ac:dyDescent="0.25">
      <c r="A77" s="6" t="s">
        <v>251</v>
      </c>
      <c r="B77" s="6" t="s">
        <v>306</v>
      </c>
      <c r="C77" s="6" t="s">
        <v>307</v>
      </c>
      <c r="D77" s="6"/>
      <c r="E77" s="6"/>
      <c r="F77" s="6"/>
      <c r="G77" s="6"/>
      <c r="H77" s="6"/>
      <c r="I77" s="6"/>
      <c r="J77" s="6"/>
      <c r="K77" s="6" t="s">
        <v>84</v>
      </c>
      <c r="L77" s="6" t="s">
        <v>85</v>
      </c>
      <c r="M77" s="6"/>
      <c r="N77" s="6"/>
      <c r="O77" s="6"/>
      <c r="P77" s="6"/>
      <c r="Q77" s="11"/>
      <c r="R77" s="12">
        <f>
              Ifs(
                (Q77 = 'Points-Table'!$A$4), 'Points-Table'!$C$4,
                (Q77 = 'Points-Table'!$A$5), 'Points-Table'!$C$5,
                (Q77 = 'Points-Table'!$A$6), 'Points-Table'!$C$6,
                (Q77 = 'Points-Table'!$A$7), 'Points-Table'!$C$7,
                (Q77 = 'Points-Table'!$A$8), 'Points-Table'!$C$8,
                (Q77 = 'Points-Table'!$A$9), 'Points-Table'!$C$9,
                (Q77 = 'Points-Table'!$A$10), 'Points-Table'!$C$10,
                (Q77 = 'Points-Table'!$A$11), 'Points-Table'!$C$11,
                (Q77 = 'Points-Table'!$A$12), 'Points-Table'!$C$12,
                (Q77 = 'Points-Table'!$A$13), 'Points-Table'!$C$13,
                true, 0
              )
            </f>
      </c>
      <c r="S77" s="11"/>
      <c r="T77" s="12">
        <f>
              Ifs(
                (S77 = 'Points-Table'!$A$4), 'Points-Table'!$C$4,
                (S77 = 'Points-Table'!$A$5), 'Points-Table'!$C$5,
                (S77 = 'Points-Table'!$A$6), 'Points-Table'!$C$6,
                (S77 = 'Points-Table'!$A$7), 'Points-Table'!$C$7,
                (S77 = 'Points-Table'!$A$8), 'Points-Table'!$C$8,
                (S77 = 'Points-Table'!$A$9), 'Points-Table'!$C$9,
                (S77 = 'Points-Table'!$A$10), 'Points-Table'!$C$10,
                (S77 = 'Points-Table'!$A$11), 'Points-Table'!$C$11,
                (S77 = 'Points-Table'!$A$12), 'Points-Table'!$C$12,
                (S77 = 'Points-Table'!$A$13), 'Points-Table'!$C$13,
                true, 0
              )
            </f>
      </c>
      <c r="U77" s="11">
        <v>5</v>
      </c>
      <c r="V77" s="12">
        <f>
              Ifs(
                (U77 = 'Points-Table'!$A$4), 'Points-Table'!$C$4,
                (U77 = 'Points-Table'!$A$5), 'Points-Table'!$C$5,
                (U77 = 'Points-Table'!$A$6), 'Points-Table'!$C$6,
                (U77 = 'Points-Table'!$A$7), 'Points-Table'!$C$7,
                (U77 = 'Points-Table'!$A$8), 'Points-Table'!$C$8,
                (U77 = 'Points-Table'!$A$9), 'Points-Table'!$C$9,
                (U77 = 'Points-Table'!$A$10), 'Points-Table'!$C$10,
                (U77 = 'Points-Table'!$A$11), 'Points-Table'!$C$11,
                (U77 = 'Points-Table'!$A$12), 'Points-Table'!$C$12,
                (U77 = 'Points-Table'!$A$13), 'Points-Table'!$C$13,
                true, 0
              )
            </f>
      </c>
      <c r="W77" s="11">
        <v>1</v>
      </c>
      <c r="X77" s="12">
        <f>
              Ifs(
                (W77 = 'Points-Table'!$A$4), 'Points-Table'!$C$4,
                (W77 = 'Points-Table'!$A$5), 'Points-Table'!$C$5,
                (W77 = 'Points-Table'!$A$6), 'Points-Table'!$C$6,
                (W77 = 'Points-Table'!$A$7), 'Points-Table'!$C$7,
                (W77 = 'Points-Table'!$A$8), 'Points-Table'!$C$8,
                (W77 = 'Points-Table'!$A$9), 'Points-Table'!$C$9,
                (W77 = 'Points-Table'!$A$10), 'Points-Table'!$C$10,
                (W77 = 'Points-Table'!$A$11), 'Points-Table'!$C$11,
                (W77 = 'Points-Table'!$A$12), 'Points-Table'!$C$12,
                (W77 = 'Points-Table'!$A$13), 'Points-Table'!$C$13,
                true, 0
              )
            </f>
      </c>
      <c r="Y77" s="11">
        <v>5</v>
      </c>
      <c r="Z77" s="12">
        <f>
              Ifs(
                (Y77 = 'Points-Table'!$A$4), 'Points-Table'!$C$4,
                (Y77 = 'Points-Table'!$A$5), 'Points-Table'!$C$5,
                (Y77 = 'Points-Table'!$A$6), 'Points-Table'!$C$6,
                (Y77 = 'Points-Table'!$A$7), 'Points-Table'!$C$7,
                (Y77 = 'Points-Table'!$A$8), 'Points-Table'!$C$8,
                (Y77 = 'Points-Table'!$A$9), 'Points-Table'!$C$9,
                (Y77 = 'Points-Table'!$A$10), 'Points-Table'!$C$10,
                (Y77 = 'Points-Table'!$A$11), 'Points-Table'!$C$11,
                (Y77 = 'Points-Table'!$A$12), 'Points-Table'!$C$12,
                (Y77 = 'Points-Table'!$A$13), 'Points-Table'!$C$13,
                true, 0
              )
            </f>
      </c>
      <c r="AA77" s="6">
        <f>SUM(V77,X77,Z77)</f>
      </c>
      <c r="AB77" s="6">
        <f>
      Ifs( 
        ISBETWEEN(AA77, 0, 'Points-Table'!C$20, TRUE, False), 'Points-Table'!A$20,
        ISBETWEEN(AA77, 'Points-Table'!C$20, 'Points-Table'!C$21, TRUE, False), 'Points-Table'!A$21,
        ISBETWEEN(AA77, 'Points-Table'!C$22, 10000, TRUE, TRUE), 'Points-Table'!A$22,
        true, 
        0)
      </f>
      </c>
      <c r="AC77" s="6" t="s">
        <v>56</v>
      </c>
      <c r="AD77" s="6" t="s">
        <v>56</v>
      </c>
      <c r="AE77" s="6" t="s">
        <v>56</v>
      </c>
    </row>
    <row r="78" spans="1:31" s="6" customFormat="1" x14ac:dyDescent="0.25">
      <c r="A78" s="6" t="s">
        <v>251</v>
      </c>
      <c r="B78" s="6" t="s">
        <v>306</v>
      </c>
      <c r="C78" s="6" t="s">
        <v>308</v>
      </c>
      <c r="D78" s="6"/>
      <c r="E78" s="6"/>
      <c r="F78" s="6" t="s">
        <v>309</v>
      </c>
      <c r="G78" s="6"/>
      <c r="H78" s="6"/>
      <c r="I78" s="6"/>
      <c r="J78" s="6"/>
      <c r="K78" s="6" t="s">
        <v>84</v>
      </c>
      <c r="L78" s="6" t="s">
        <v>85</v>
      </c>
      <c r="M78" s="6"/>
      <c r="N78" s="6"/>
      <c r="O78" s="6"/>
      <c r="P78" s="6"/>
      <c r="Q78" s="11"/>
      <c r="R78" s="12">
        <f>
              Ifs(
                (Q78 = 'Points-Table'!$A$4), 'Points-Table'!$C$4,
                (Q78 = 'Points-Table'!$A$5), 'Points-Table'!$C$5,
                (Q78 = 'Points-Table'!$A$6), 'Points-Table'!$C$6,
                (Q78 = 'Points-Table'!$A$7), 'Points-Table'!$C$7,
                (Q78 = 'Points-Table'!$A$8), 'Points-Table'!$C$8,
                (Q78 = 'Points-Table'!$A$9), 'Points-Table'!$C$9,
                (Q78 = 'Points-Table'!$A$10), 'Points-Table'!$C$10,
                (Q78 = 'Points-Table'!$A$11), 'Points-Table'!$C$11,
                (Q78 = 'Points-Table'!$A$12), 'Points-Table'!$C$12,
                (Q78 = 'Points-Table'!$A$13), 'Points-Table'!$C$13,
                true, 0
              )
            </f>
      </c>
      <c r="S78" s="11"/>
      <c r="T78" s="12">
        <f>
              Ifs(
                (S78 = 'Points-Table'!$A$4), 'Points-Table'!$C$4,
                (S78 = 'Points-Table'!$A$5), 'Points-Table'!$C$5,
                (S78 = 'Points-Table'!$A$6), 'Points-Table'!$C$6,
                (S78 = 'Points-Table'!$A$7), 'Points-Table'!$C$7,
                (S78 = 'Points-Table'!$A$8), 'Points-Table'!$C$8,
                (S78 = 'Points-Table'!$A$9), 'Points-Table'!$C$9,
                (S78 = 'Points-Table'!$A$10), 'Points-Table'!$C$10,
                (S78 = 'Points-Table'!$A$11), 'Points-Table'!$C$11,
                (S78 = 'Points-Table'!$A$12), 'Points-Table'!$C$12,
                (S78 = 'Points-Table'!$A$13), 'Points-Table'!$C$13,
                true, 0
              )
            </f>
      </c>
      <c r="U78" s="11">
        <v>3</v>
      </c>
      <c r="V78" s="12">
        <f>
              Ifs(
                (U78 = 'Points-Table'!$A$4), 'Points-Table'!$C$4,
                (U78 = 'Points-Table'!$A$5), 'Points-Table'!$C$5,
                (U78 = 'Points-Table'!$A$6), 'Points-Table'!$C$6,
                (U78 = 'Points-Table'!$A$7), 'Points-Table'!$C$7,
                (U78 = 'Points-Table'!$A$8), 'Points-Table'!$C$8,
                (U78 = 'Points-Table'!$A$9), 'Points-Table'!$C$9,
                (U78 = 'Points-Table'!$A$10), 'Points-Table'!$C$10,
                (U78 = 'Points-Table'!$A$11), 'Points-Table'!$C$11,
                (U78 = 'Points-Table'!$A$12), 'Points-Table'!$C$12,
                (U78 = 'Points-Table'!$A$13), 'Points-Table'!$C$13,
                true, 0
              )
            </f>
      </c>
      <c r="W78" s="11">
        <v>1</v>
      </c>
      <c r="X78" s="12">
        <f>
              Ifs(
                (W78 = 'Points-Table'!$A$4), 'Points-Table'!$C$4,
                (W78 = 'Points-Table'!$A$5), 'Points-Table'!$C$5,
                (W78 = 'Points-Table'!$A$6), 'Points-Table'!$C$6,
                (W78 = 'Points-Table'!$A$7), 'Points-Table'!$C$7,
                (W78 = 'Points-Table'!$A$8), 'Points-Table'!$C$8,
                (W78 = 'Points-Table'!$A$9), 'Points-Table'!$C$9,
                (W78 = 'Points-Table'!$A$10), 'Points-Table'!$C$10,
                (W78 = 'Points-Table'!$A$11), 'Points-Table'!$C$11,
                (W78 = 'Points-Table'!$A$12), 'Points-Table'!$C$12,
                (W78 = 'Points-Table'!$A$13), 'Points-Table'!$C$13,
                true, 0
              )
            </f>
      </c>
      <c r="Y78" s="11">
        <v>3</v>
      </c>
      <c r="Z78" s="12">
        <f>
              Ifs(
                (Y78 = 'Points-Table'!$A$4), 'Points-Table'!$C$4,
                (Y78 = 'Points-Table'!$A$5), 'Points-Table'!$C$5,
                (Y78 = 'Points-Table'!$A$6), 'Points-Table'!$C$6,
                (Y78 = 'Points-Table'!$A$7), 'Points-Table'!$C$7,
                (Y78 = 'Points-Table'!$A$8), 'Points-Table'!$C$8,
                (Y78 = 'Points-Table'!$A$9), 'Points-Table'!$C$9,
                (Y78 = 'Points-Table'!$A$10), 'Points-Table'!$C$10,
                (Y78 = 'Points-Table'!$A$11), 'Points-Table'!$C$11,
                (Y78 = 'Points-Table'!$A$12), 'Points-Table'!$C$12,
                (Y78 = 'Points-Table'!$A$13), 'Points-Table'!$C$13,
                true, 0
              )
            </f>
      </c>
      <c r="AA78" s="6">
        <f>SUM(V78,X78,Z78)</f>
      </c>
      <c r="AB78" s="6">
        <f>
      Ifs( 
        ISBETWEEN(AA78, 0, 'Points-Table'!C$20, TRUE, False), 'Points-Table'!A$20,
        ISBETWEEN(AA78, 'Points-Table'!C$20, 'Points-Table'!C$21, TRUE, False), 'Points-Table'!A$21,
        ISBETWEEN(AA78, 'Points-Table'!C$22, 10000, TRUE, TRUE), 'Points-Table'!A$22,
        true, 
        0)
      </f>
      </c>
      <c r="AC78" s="6" t="s">
        <v>56</v>
      </c>
      <c r="AD78" s="6" t="s">
        <v>56</v>
      </c>
      <c r="AE78" s="6" t="s">
        <v>56</v>
      </c>
    </row>
    <row r="79" spans="1:31" s="6" customFormat="1" x14ac:dyDescent="0.25">
      <c r="A79" s="6" t="s">
        <v>251</v>
      </c>
      <c r="B79" s="6" t="s">
        <v>306</v>
      </c>
      <c r="C79" s="6" t="s">
        <v>231</v>
      </c>
      <c r="D79" s="6"/>
      <c r="E79" s="6"/>
      <c r="F79" s="6" t="s">
        <v>309</v>
      </c>
      <c r="G79" s="6"/>
      <c r="H79" s="6"/>
      <c r="I79" s="6"/>
      <c r="J79" s="6"/>
      <c r="K79" s="6" t="s">
        <v>84</v>
      </c>
      <c r="L79" s="6" t="s">
        <v>85</v>
      </c>
      <c r="M79" s="6"/>
      <c r="N79" s="6"/>
      <c r="O79" s="6"/>
      <c r="P79" s="6"/>
      <c r="Q79" s="11"/>
      <c r="R79" s="12">
        <f>
              Ifs(
                (Q79 = 'Points-Table'!$A$4), 'Points-Table'!$C$4,
                (Q79 = 'Points-Table'!$A$5), 'Points-Table'!$C$5,
                (Q79 = 'Points-Table'!$A$6), 'Points-Table'!$C$6,
                (Q79 = 'Points-Table'!$A$7), 'Points-Table'!$C$7,
                (Q79 = 'Points-Table'!$A$8), 'Points-Table'!$C$8,
                (Q79 = 'Points-Table'!$A$9), 'Points-Table'!$C$9,
                (Q79 = 'Points-Table'!$A$10), 'Points-Table'!$C$10,
                (Q79 = 'Points-Table'!$A$11), 'Points-Table'!$C$11,
                (Q79 = 'Points-Table'!$A$12), 'Points-Table'!$C$12,
                (Q79 = 'Points-Table'!$A$13), 'Points-Table'!$C$13,
                true, 0
              )
            </f>
      </c>
      <c r="S79" s="11"/>
      <c r="T79" s="12">
        <f>
              Ifs(
                (S79 = 'Points-Table'!$A$4), 'Points-Table'!$C$4,
                (S79 = 'Points-Table'!$A$5), 'Points-Table'!$C$5,
                (S79 = 'Points-Table'!$A$6), 'Points-Table'!$C$6,
                (S79 = 'Points-Table'!$A$7), 'Points-Table'!$C$7,
                (S79 = 'Points-Table'!$A$8), 'Points-Table'!$C$8,
                (S79 = 'Points-Table'!$A$9), 'Points-Table'!$C$9,
                (S79 = 'Points-Table'!$A$10), 'Points-Table'!$C$10,
                (S79 = 'Points-Table'!$A$11), 'Points-Table'!$C$11,
                (S79 = 'Points-Table'!$A$12), 'Points-Table'!$C$12,
                (S79 = 'Points-Table'!$A$13), 'Points-Table'!$C$13,
                true, 0
              )
            </f>
      </c>
      <c r="U79" s="11">
        <v>3</v>
      </c>
      <c r="V79" s="12">
        <f>
              Ifs(
                (U79 = 'Points-Table'!$A$4), 'Points-Table'!$C$4,
                (U79 = 'Points-Table'!$A$5), 'Points-Table'!$C$5,
                (U79 = 'Points-Table'!$A$6), 'Points-Table'!$C$6,
                (U79 = 'Points-Table'!$A$7), 'Points-Table'!$C$7,
                (U79 = 'Points-Table'!$A$8), 'Points-Table'!$C$8,
                (U79 = 'Points-Table'!$A$9), 'Points-Table'!$C$9,
                (U79 = 'Points-Table'!$A$10), 'Points-Table'!$C$10,
                (U79 = 'Points-Table'!$A$11), 'Points-Table'!$C$11,
                (U79 = 'Points-Table'!$A$12), 'Points-Table'!$C$12,
                (U79 = 'Points-Table'!$A$13), 'Points-Table'!$C$13,
                true, 0
              )
            </f>
      </c>
      <c r="W79" s="11">
        <v>2</v>
      </c>
      <c r="X79" s="12">
        <f>
              Ifs(
                (W79 = 'Points-Table'!$A$4), 'Points-Table'!$C$4,
                (W79 = 'Points-Table'!$A$5), 'Points-Table'!$C$5,
                (W79 = 'Points-Table'!$A$6), 'Points-Table'!$C$6,
                (W79 = 'Points-Table'!$A$7), 'Points-Table'!$C$7,
                (W79 = 'Points-Table'!$A$8), 'Points-Table'!$C$8,
                (W79 = 'Points-Table'!$A$9), 'Points-Table'!$C$9,
                (W79 = 'Points-Table'!$A$10), 'Points-Table'!$C$10,
                (W79 = 'Points-Table'!$A$11), 'Points-Table'!$C$11,
                (W79 = 'Points-Table'!$A$12), 'Points-Table'!$C$12,
                (W79 = 'Points-Table'!$A$13), 'Points-Table'!$C$13,
                true, 0
              )
            </f>
      </c>
      <c r="Y79" s="11">
        <v>5</v>
      </c>
      <c r="Z79" s="12">
        <f>
              Ifs(
                (Y79 = 'Points-Table'!$A$4), 'Points-Table'!$C$4,
                (Y79 = 'Points-Table'!$A$5), 'Points-Table'!$C$5,
                (Y79 = 'Points-Table'!$A$6), 'Points-Table'!$C$6,
                (Y79 = 'Points-Table'!$A$7), 'Points-Table'!$C$7,
                (Y79 = 'Points-Table'!$A$8), 'Points-Table'!$C$8,
                (Y79 = 'Points-Table'!$A$9), 'Points-Table'!$C$9,
                (Y79 = 'Points-Table'!$A$10), 'Points-Table'!$C$10,
                (Y79 = 'Points-Table'!$A$11), 'Points-Table'!$C$11,
                (Y79 = 'Points-Table'!$A$12), 'Points-Table'!$C$12,
                (Y79 = 'Points-Table'!$A$13), 'Points-Table'!$C$13,
                true, 0
              )
            </f>
      </c>
      <c r="AA79" s="6">
        <f>SUM(V79,X79,Z79)</f>
      </c>
      <c r="AB79" s="6">
        <f>
      Ifs( 
        ISBETWEEN(AA79, 0, 'Points-Table'!C$20, TRUE, False), 'Points-Table'!A$20,
        ISBETWEEN(AA79, 'Points-Table'!C$20, 'Points-Table'!C$21, TRUE, False), 'Points-Table'!A$21,
        ISBETWEEN(AA79, 'Points-Table'!C$22, 10000, TRUE, TRUE), 'Points-Table'!A$22,
        true, 
        0)
      </f>
      </c>
      <c r="AC79" s="6" t="s">
        <v>56</v>
      </c>
      <c r="AD79" s="6" t="s">
        <v>56</v>
      </c>
      <c r="AE79" s="6" t="s">
        <v>56</v>
      </c>
    </row>
    <row r="80" spans="1:31" s="6" customFormat="1" x14ac:dyDescent="0.25">
      <c r="A80" s="6" t="s">
        <v>251</v>
      </c>
      <c r="B80" s="6" t="s">
        <v>310</v>
      </c>
      <c r="D80" s="6"/>
      <c r="E80" s="6"/>
      <c r="F80" s="6"/>
      <c r="G80" s="6"/>
      <c r="H80" s="6"/>
      <c r="I80" s="6"/>
      <c r="J80" s="6"/>
      <c r="K80" s="6" t="s">
        <v>84</v>
      </c>
      <c r="L80" s="6" t="s">
        <v>85</v>
      </c>
      <c r="M80" s="6"/>
      <c r="N80" s="6"/>
      <c r="O80" s="6"/>
      <c r="P80" s="6"/>
      <c r="Q80" s="11"/>
      <c r="R80" s="12">
        <f>
              Ifs(
                (Q80 = 'Points-Table'!$A$4), 'Points-Table'!$C$4,
                (Q80 = 'Points-Table'!$A$5), 'Points-Table'!$C$5,
                (Q80 = 'Points-Table'!$A$6), 'Points-Table'!$C$6,
                (Q80 = 'Points-Table'!$A$7), 'Points-Table'!$C$7,
                (Q80 = 'Points-Table'!$A$8), 'Points-Table'!$C$8,
                (Q80 = 'Points-Table'!$A$9), 'Points-Table'!$C$9,
                (Q80 = 'Points-Table'!$A$10), 'Points-Table'!$C$10,
                (Q80 = 'Points-Table'!$A$11), 'Points-Table'!$C$11,
                (Q80 = 'Points-Table'!$A$12), 'Points-Table'!$C$12,
                (Q80 = 'Points-Table'!$A$13), 'Points-Table'!$C$13,
                true, 0
              )
            </f>
      </c>
      <c r="S80" s="11"/>
      <c r="T80" s="12">
        <f>
              Ifs(
                (S80 = 'Points-Table'!$A$4), 'Points-Table'!$C$4,
                (S80 = 'Points-Table'!$A$5), 'Points-Table'!$C$5,
                (S80 = 'Points-Table'!$A$6), 'Points-Table'!$C$6,
                (S80 = 'Points-Table'!$A$7), 'Points-Table'!$C$7,
                (S80 = 'Points-Table'!$A$8), 'Points-Table'!$C$8,
                (S80 = 'Points-Table'!$A$9), 'Points-Table'!$C$9,
                (S80 = 'Points-Table'!$A$10), 'Points-Table'!$C$10,
                (S80 = 'Points-Table'!$A$11), 'Points-Table'!$C$11,
                (S80 = 'Points-Table'!$A$12), 'Points-Table'!$C$12,
                (S80 = 'Points-Table'!$A$13), 'Points-Table'!$C$13,
                true, 0
              )
            </f>
      </c>
      <c r="U80" s="11">
        <v>2</v>
      </c>
      <c r="V80" s="12">
        <f>
              Ifs(
                (U80 = 'Points-Table'!$A$4), 'Points-Table'!$C$4,
                (U80 = 'Points-Table'!$A$5), 'Points-Table'!$C$5,
                (U80 = 'Points-Table'!$A$6), 'Points-Table'!$C$6,
                (U80 = 'Points-Table'!$A$7), 'Points-Table'!$C$7,
                (U80 = 'Points-Table'!$A$8), 'Points-Table'!$C$8,
                (U80 = 'Points-Table'!$A$9), 'Points-Table'!$C$9,
                (U80 = 'Points-Table'!$A$10), 'Points-Table'!$C$10,
                (U80 = 'Points-Table'!$A$11), 'Points-Table'!$C$11,
                (U80 = 'Points-Table'!$A$12), 'Points-Table'!$C$12,
                (U80 = 'Points-Table'!$A$13), 'Points-Table'!$C$13,
                true, 0
              )
            </f>
      </c>
      <c r="W80" s="11">
        <v>1</v>
      </c>
      <c r="X80" s="12">
        <f>
              Ifs(
                (W80 = 'Points-Table'!$A$4), 'Points-Table'!$C$4,
                (W80 = 'Points-Table'!$A$5), 'Points-Table'!$C$5,
                (W80 = 'Points-Table'!$A$6), 'Points-Table'!$C$6,
                (W80 = 'Points-Table'!$A$7), 'Points-Table'!$C$7,
                (W80 = 'Points-Table'!$A$8), 'Points-Table'!$C$8,
                (W80 = 'Points-Table'!$A$9), 'Points-Table'!$C$9,
                (W80 = 'Points-Table'!$A$10), 'Points-Table'!$C$10,
                (W80 = 'Points-Table'!$A$11), 'Points-Table'!$C$11,
                (W80 = 'Points-Table'!$A$12), 'Points-Table'!$C$12,
                (W80 = 'Points-Table'!$A$13), 'Points-Table'!$C$13,
                true, 0
              )
            </f>
      </c>
      <c r="Y80" s="11">
        <v>2</v>
      </c>
      <c r="Z80" s="12">
        <f>
              Ifs(
                (Y80 = 'Points-Table'!$A$4), 'Points-Table'!$C$4,
                (Y80 = 'Points-Table'!$A$5), 'Points-Table'!$C$5,
                (Y80 = 'Points-Table'!$A$6), 'Points-Table'!$C$6,
                (Y80 = 'Points-Table'!$A$7), 'Points-Table'!$C$7,
                (Y80 = 'Points-Table'!$A$8), 'Points-Table'!$C$8,
                (Y80 = 'Points-Table'!$A$9), 'Points-Table'!$C$9,
                (Y80 = 'Points-Table'!$A$10), 'Points-Table'!$C$10,
                (Y80 = 'Points-Table'!$A$11), 'Points-Table'!$C$11,
                (Y80 = 'Points-Table'!$A$12), 'Points-Table'!$C$12,
                (Y80 = 'Points-Table'!$A$13), 'Points-Table'!$C$13,
                true, 0
              )
            </f>
      </c>
      <c r="AA80" s="6">
        <f>SUM(V80,X80,Z80)</f>
      </c>
      <c r="AB80" s="6">
        <f>
      Ifs( 
        ISBETWEEN(AA80, 0, 'Points-Table'!C$20, TRUE, False), 'Points-Table'!A$20,
        ISBETWEEN(AA80, 'Points-Table'!C$20, 'Points-Table'!C$21, TRUE, False), 'Points-Table'!A$21,
        ISBETWEEN(AA80, 'Points-Table'!C$22, 10000, TRUE, TRUE), 'Points-Table'!A$22,
        true, 
        0)
      </f>
      </c>
      <c r="AC80" s="6" t="s">
        <v>56</v>
      </c>
      <c r="AD80" s="6" t="s">
        <v>56</v>
      </c>
      <c r="AE80" s="6" t="s">
        <v>56</v>
      </c>
    </row>
    <row r="81" spans="1:31" s="6" customFormat="1" x14ac:dyDescent="0.25">
      <c r="A81" s="6" t="s">
        <v>251</v>
      </c>
      <c r="B81" s="6" t="s">
        <v>311</v>
      </c>
      <c r="D81" s="6" t="s">
        <v>312</v>
      </c>
      <c r="E81" s="6"/>
      <c r="F81" s="6"/>
      <c r="G81" s="6"/>
      <c r="H81" s="6"/>
      <c r="I81" s="6"/>
      <c r="J81" s="6"/>
      <c r="K81" s="6" t="s">
        <v>84</v>
      </c>
      <c r="L81" s="6" t="s">
        <v>272</v>
      </c>
      <c r="M81" s="6"/>
      <c r="N81" s="6"/>
      <c r="O81" s="6"/>
      <c r="P81" s="6"/>
      <c r="Q81" s="11">
        <v>0</v>
      </c>
      <c r="R81" s="12">
        <f>
              Ifs(
                (Q81 = 'Points-Table'!$A$4), 'Points-Table'!$C$4,
                (Q81 = 'Points-Table'!$A$5), 'Points-Table'!$C$5,
                (Q81 = 'Points-Table'!$A$6), 'Points-Table'!$C$6,
                (Q81 = 'Points-Table'!$A$7), 'Points-Table'!$C$7,
                (Q81 = 'Points-Table'!$A$8), 'Points-Table'!$C$8,
                (Q81 = 'Points-Table'!$A$9), 'Points-Table'!$C$9,
                (Q81 = 'Points-Table'!$A$10), 'Points-Table'!$C$10,
                (Q81 = 'Points-Table'!$A$11), 'Points-Table'!$C$11,
                (Q81 = 'Points-Table'!$A$12), 'Points-Table'!$C$12,
                (Q81 = 'Points-Table'!$A$13), 'Points-Table'!$C$13,
                true, 0
              )
            </f>
      </c>
      <c r="S81" s="11">
        <v>0</v>
      </c>
      <c r="T81" s="12">
        <f>
              Ifs(
                (S81 = 'Points-Table'!$A$4), 'Points-Table'!$C$4,
                (S81 = 'Points-Table'!$A$5), 'Points-Table'!$C$5,
                (S81 = 'Points-Table'!$A$6), 'Points-Table'!$C$6,
                (S81 = 'Points-Table'!$A$7), 'Points-Table'!$C$7,
                (S81 = 'Points-Table'!$A$8), 'Points-Table'!$C$8,
                (S81 = 'Points-Table'!$A$9), 'Points-Table'!$C$9,
                (S81 = 'Points-Table'!$A$10), 'Points-Table'!$C$10,
                (S81 = 'Points-Table'!$A$11), 'Points-Table'!$C$11,
                (S81 = 'Points-Table'!$A$12), 'Points-Table'!$C$12,
                (S81 = 'Points-Table'!$A$13), 'Points-Table'!$C$13,
                true, 0
              )
            </f>
      </c>
      <c r="U81" s="11">
        <v>1</v>
      </c>
      <c r="V81" s="12">
        <f>
              Ifs(
                (U81 = 'Points-Table'!$A$4), 'Points-Table'!$C$4,
                (U81 = 'Points-Table'!$A$5), 'Points-Table'!$C$5,
                (U81 = 'Points-Table'!$A$6), 'Points-Table'!$C$6,
                (U81 = 'Points-Table'!$A$7), 'Points-Table'!$C$7,
                (U81 = 'Points-Table'!$A$8), 'Points-Table'!$C$8,
                (U81 = 'Points-Table'!$A$9), 'Points-Table'!$C$9,
                (U81 = 'Points-Table'!$A$10), 'Points-Table'!$C$10,
                (U81 = 'Points-Table'!$A$11), 'Points-Table'!$C$11,
                (U81 = 'Points-Table'!$A$12), 'Points-Table'!$C$12,
                (U81 = 'Points-Table'!$A$13), 'Points-Table'!$C$13,
                true, 0
              )
            </f>
      </c>
      <c r="W81" s="11">
        <v>1</v>
      </c>
      <c r="X81" s="12">
        <f>
              Ifs(
                (W81 = 'Points-Table'!$A$4), 'Points-Table'!$C$4,
                (W81 = 'Points-Table'!$A$5), 'Points-Table'!$C$5,
                (W81 = 'Points-Table'!$A$6), 'Points-Table'!$C$6,
                (W81 = 'Points-Table'!$A$7), 'Points-Table'!$C$7,
                (W81 = 'Points-Table'!$A$8), 'Points-Table'!$C$8,
                (W81 = 'Points-Table'!$A$9), 'Points-Table'!$C$9,
                (W81 = 'Points-Table'!$A$10), 'Points-Table'!$C$10,
                (W81 = 'Points-Table'!$A$11), 'Points-Table'!$C$11,
                (W81 = 'Points-Table'!$A$12), 'Points-Table'!$C$12,
                (W81 = 'Points-Table'!$A$13), 'Points-Table'!$C$13,
                true, 0
              )
            </f>
      </c>
      <c r="Y81" s="11">
        <v>2</v>
      </c>
      <c r="Z81" s="12">
        <f>
              Ifs(
                (Y81 = 'Points-Table'!$A$4), 'Points-Table'!$C$4,
                (Y81 = 'Points-Table'!$A$5), 'Points-Table'!$C$5,
                (Y81 = 'Points-Table'!$A$6), 'Points-Table'!$C$6,
                (Y81 = 'Points-Table'!$A$7), 'Points-Table'!$C$7,
                (Y81 = 'Points-Table'!$A$8), 'Points-Table'!$C$8,
                (Y81 = 'Points-Table'!$A$9), 'Points-Table'!$C$9,
                (Y81 = 'Points-Table'!$A$10), 'Points-Table'!$C$10,
                (Y81 = 'Points-Table'!$A$11), 'Points-Table'!$C$11,
                (Y81 = 'Points-Table'!$A$12), 'Points-Table'!$C$12,
                (Y81 = 'Points-Table'!$A$13), 'Points-Table'!$C$13,
                true, 0
              )
            </f>
      </c>
      <c r="AA81" s="6">
        <f>SUM(V81,X81,Z81)</f>
      </c>
      <c r="AB81" s="6">
        <f>
      Ifs( 
        ISBETWEEN(AA81, 0, 'Points-Table'!C$20, TRUE, False), 'Points-Table'!A$20,
        ISBETWEEN(AA81, 'Points-Table'!C$20, 'Points-Table'!C$21, TRUE, False), 'Points-Table'!A$21,
        ISBETWEEN(AA81, 'Points-Table'!C$22, 10000, TRUE, TRUE), 'Points-Table'!A$22,
        true, 
        0)
      </f>
      </c>
      <c r="AC81" s="6" t="s">
        <v>56</v>
      </c>
      <c r="AD81" s="6" t="s">
        <v>56</v>
      </c>
      <c r="AE81" s="6" t="s">
        <v>56</v>
      </c>
    </row>
    <row r="82" spans="1:31" s="6" customFormat="1" x14ac:dyDescent="0.25">
      <c r="A82" s="6" t="s">
        <v>251</v>
      </c>
      <c r="B82" s="6" t="s">
        <v>313</v>
      </c>
      <c r="D82" s="6"/>
      <c r="E82" s="6"/>
      <c r="F82" s="6"/>
      <c r="G82" s="6"/>
      <c r="H82" s="6"/>
      <c r="I82" s="6"/>
      <c r="J82" s="6"/>
      <c r="K82" s="6" t="s">
        <v>84</v>
      </c>
      <c r="L82" s="6" t="s">
        <v>272</v>
      </c>
      <c r="M82" s="6"/>
      <c r="N82" s="6"/>
      <c r="O82" s="6"/>
      <c r="P82" s="6"/>
      <c r="Q82" s="11">
        <v>0</v>
      </c>
      <c r="R82" s="12">
        <f>
              Ifs(
                (Q82 = 'Points-Table'!$A$4), 'Points-Table'!$C$4,
                (Q82 = 'Points-Table'!$A$5), 'Points-Table'!$C$5,
                (Q82 = 'Points-Table'!$A$6), 'Points-Table'!$C$6,
                (Q82 = 'Points-Table'!$A$7), 'Points-Table'!$C$7,
                (Q82 = 'Points-Table'!$A$8), 'Points-Table'!$C$8,
                (Q82 = 'Points-Table'!$A$9), 'Points-Table'!$C$9,
                (Q82 = 'Points-Table'!$A$10), 'Points-Table'!$C$10,
                (Q82 = 'Points-Table'!$A$11), 'Points-Table'!$C$11,
                (Q82 = 'Points-Table'!$A$12), 'Points-Table'!$C$12,
                (Q82 = 'Points-Table'!$A$13), 'Points-Table'!$C$13,
                true, 0
              )
            </f>
      </c>
      <c r="S82" s="11">
        <v>0</v>
      </c>
      <c r="T82" s="12">
        <f>
              Ifs(
                (S82 = 'Points-Table'!$A$4), 'Points-Table'!$C$4,
                (S82 = 'Points-Table'!$A$5), 'Points-Table'!$C$5,
                (S82 = 'Points-Table'!$A$6), 'Points-Table'!$C$6,
                (S82 = 'Points-Table'!$A$7), 'Points-Table'!$C$7,
                (S82 = 'Points-Table'!$A$8), 'Points-Table'!$C$8,
                (S82 = 'Points-Table'!$A$9), 'Points-Table'!$C$9,
                (S82 = 'Points-Table'!$A$10), 'Points-Table'!$C$10,
                (S82 = 'Points-Table'!$A$11), 'Points-Table'!$C$11,
                (S82 = 'Points-Table'!$A$12), 'Points-Table'!$C$12,
                (S82 = 'Points-Table'!$A$13), 'Points-Table'!$C$13,
                true, 0
              )
            </f>
      </c>
      <c r="U82" s="11">
        <v>1</v>
      </c>
      <c r="V82" s="12">
        <f>
              Ifs(
                (U82 = 'Points-Table'!$A$4), 'Points-Table'!$C$4,
                (U82 = 'Points-Table'!$A$5), 'Points-Table'!$C$5,
                (U82 = 'Points-Table'!$A$6), 'Points-Table'!$C$6,
                (U82 = 'Points-Table'!$A$7), 'Points-Table'!$C$7,
                (U82 = 'Points-Table'!$A$8), 'Points-Table'!$C$8,
                (U82 = 'Points-Table'!$A$9), 'Points-Table'!$C$9,
                (U82 = 'Points-Table'!$A$10), 'Points-Table'!$C$10,
                (U82 = 'Points-Table'!$A$11), 'Points-Table'!$C$11,
                (U82 = 'Points-Table'!$A$12), 'Points-Table'!$C$12,
                (U82 = 'Points-Table'!$A$13), 'Points-Table'!$C$13,
                true, 0
              )
            </f>
      </c>
      <c r="W82" s="11">
        <v>1</v>
      </c>
      <c r="X82" s="12">
        <f>
              Ifs(
                (W82 = 'Points-Table'!$A$4), 'Points-Table'!$C$4,
                (W82 = 'Points-Table'!$A$5), 'Points-Table'!$C$5,
                (W82 = 'Points-Table'!$A$6), 'Points-Table'!$C$6,
                (W82 = 'Points-Table'!$A$7), 'Points-Table'!$C$7,
                (W82 = 'Points-Table'!$A$8), 'Points-Table'!$C$8,
                (W82 = 'Points-Table'!$A$9), 'Points-Table'!$C$9,
                (W82 = 'Points-Table'!$A$10), 'Points-Table'!$C$10,
                (W82 = 'Points-Table'!$A$11), 'Points-Table'!$C$11,
                (W82 = 'Points-Table'!$A$12), 'Points-Table'!$C$12,
                (W82 = 'Points-Table'!$A$13), 'Points-Table'!$C$13,
                true, 0
              )
            </f>
      </c>
      <c r="Y82" s="11">
        <v>2</v>
      </c>
      <c r="Z82" s="12">
        <f>
              Ifs(
                (Y82 = 'Points-Table'!$A$4), 'Points-Table'!$C$4,
                (Y82 = 'Points-Table'!$A$5), 'Points-Table'!$C$5,
                (Y82 = 'Points-Table'!$A$6), 'Points-Table'!$C$6,
                (Y82 = 'Points-Table'!$A$7), 'Points-Table'!$C$7,
                (Y82 = 'Points-Table'!$A$8), 'Points-Table'!$C$8,
                (Y82 = 'Points-Table'!$A$9), 'Points-Table'!$C$9,
                (Y82 = 'Points-Table'!$A$10), 'Points-Table'!$C$10,
                (Y82 = 'Points-Table'!$A$11), 'Points-Table'!$C$11,
                (Y82 = 'Points-Table'!$A$12), 'Points-Table'!$C$12,
                (Y82 = 'Points-Table'!$A$13), 'Points-Table'!$C$13,
                true, 0
              )
            </f>
      </c>
      <c r="AA82" s="6">
        <f>SUM(V82,X82,Z82)</f>
      </c>
      <c r="AB82" s="6">
        <f>
      Ifs( 
        ISBETWEEN(AA82, 0, 'Points-Table'!C$20, TRUE, False), 'Points-Table'!A$20,
        ISBETWEEN(AA82, 'Points-Table'!C$20, 'Points-Table'!C$21, TRUE, False), 'Points-Table'!A$21,
        ISBETWEEN(AA82, 'Points-Table'!C$22, 10000, TRUE, TRUE), 'Points-Table'!A$22,
        true, 
        0)
      </f>
      </c>
      <c r="AC82" s="6" t="s">
        <v>56</v>
      </c>
      <c r="AD82" s="6" t="s">
        <v>56</v>
      </c>
      <c r="AE82" s="6" t="s">
        <v>56</v>
      </c>
    </row>
    <row r="83" spans="1:31" s="13" customFormat="1" x14ac:dyDescent="0.25">
      <c r="A83" s="13" t="s">
        <v>251</v>
      </c>
      <c r="B83" s="13" t="s">
        <v>314</v>
      </c>
      <c r="C83" s="13" t="s">
        <v>315</v>
      </c>
      <c r="D83" s="13" t="s">
        <v>316</v>
      </c>
      <c r="E83" s="13"/>
      <c r="F83" s="13"/>
      <c r="G83" s="13"/>
      <c r="H83" s="13"/>
      <c r="I83" s="13"/>
      <c r="J83" s="13"/>
      <c r="K83" s="13" t="s">
        <v>84</v>
      </c>
      <c r="L83" s="13" t="s">
        <v>85</v>
      </c>
      <c r="M83" s="13"/>
      <c r="N83" s="13"/>
      <c r="O83" s="13"/>
      <c r="P83" s="13"/>
      <c r="Q83" s="13">
        <v>3</v>
      </c>
      <c r="R83" s="13">
        <f>
              Ifs(
                (Q83 = 'Points-Table'!$A$4), 'Points-Table'!$C$4,
                (Q83 = 'Points-Table'!$A$5), 'Points-Table'!$C$5,
                (Q83 = 'Points-Table'!$A$6), 'Points-Table'!$C$6,
                (Q83 = 'Points-Table'!$A$7), 'Points-Table'!$C$7,
                (Q83 = 'Points-Table'!$A$8), 'Points-Table'!$C$8,
                (Q83 = 'Points-Table'!$A$9), 'Points-Table'!$C$9,
                (Q83 = 'Points-Table'!$A$10), 'Points-Table'!$C$10,
                (Q83 = 'Points-Table'!$A$11), 'Points-Table'!$C$11,
                (Q83 = 'Points-Table'!$A$12), 'Points-Table'!$C$12,
                (Q83 = 'Points-Table'!$A$13), 'Points-Table'!$C$13,
                true, 0
              )
            </f>
      </c>
      <c r="S83" s="13">
        <v>3</v>
      </c>
      <c r="T83" s="13">
        <f>
              Ifs(
                (S83 = 'Points-Table'!$A$4), 'Points-Table'!$C$4,
                (S83 = 'Points-Table'!$A$5), 'Points-Table'!$C$5,
                (S83 = 'Points-Table'!$A$6), 'Points-Table'!$C$6,
                (S83 = 'Points-Table'!$A$7), 'Points-Table'!$C$7,
                (S83 = 'Points-Table'!$A$8), 'Points-Table'!$C$8,
                (S83 = 'Points-Table'!$A$9), 'Points-Table'!$C$9,
                (S83 = 'Points-Table'!$A$10), 'Points-Table'!$C$10,
                (S83 = 'Points-Table'!$A$11), 'Points-Table'!$C$11,
                (S83 = 'Points-Table'!$A$12), 'Points-Table'!$C$12,
                (S83 = 'Points-Table'!$A$13), 'Points-Table'!$C$13,
                true, 0
              )
            </f>
      </c>
      <c r="U83" s="13">
        <v>3</v>
      </c>
      <c r="V83" s="13">
        <f>
              Ifs(
                (U83 = 'Points-Table'!$A$4), 'Points-Table'!$C$4,
                (U83 = 'Points-Table'!$A$5), 'Points-Table'!$C$5,
                (U83 = 'Points-Table'!$A$6), 'Points-Table'!$C$6,
                (U83 = 'Points-Table'!$A$7), 'Points-Table'!$C$7,
                (U83 = 'Points-Table'!$A$8), 'Points-Table'!$C$8,
                (U83 = 'Points-Table'!$A$9), 'Points-Table'!$C$9,
                (U83 = 'Points-Table'!$A$10), 'Points-Table'!$C$10,
                (U83 = 'Points-Table'!$A$11), 'Points-Table'!$C$11,
                (U83 = 'Points-Table'!$A$12), 'Points-Table'!$C$12,
                (U83 = 'Points-Table'!$A$13), 'Points-Table'!$C$13,
                true, 0
              )
            </f>
      </c>
      <c r="W83" s="13">
        <v>8</v>
      </c>
      <c r="X83" s="13">
        <f>
              Ifs(
                (W83 = 'Points-Table'!$A$4), 'Points-Table'!$C$4,
                (W83 = 'Points-Table'!$A$5), 'Points-Table'!$C$5,
                (W83 = 'Points-Table'!$A$6), 'Points-Table'!$C$6,
                (W83 = 'Points-Table'!$A$7), 'Points-Table'!$C$7,
                (W83 = 'Points-Table'!$A$8), 'Points-Table'!$C$8,
                (W83 = 'Points-Table'!$A$9), 'Points-Table'!$C$9,
                (W83 = 'Points-Table'!$A$10), 'Points-Table'!$C$10,
                (W83 = 'Points-Table'!$A$11), 'Points-Table'!$C$11,
                (W83 = 'Points-Table'!$A$12), 'Points-Table'!$C$12,
                (W83 = 'Points-Table'!$A$13), 'Points-Table'!$C$13,
                true, 0
              )
            </f>
      </c>
      <c r="Y83" s="13">
        <v>8</v>
      </c>
      <c r="Z83" s="13">
        <f>
              Ifs(
                (Y83 = 'Points-Table'!$A$4), 'Points-Table'!$C$4,
                (Y83 = 'Points-Table'!$A$5), 'Points-Table'!$C$5,
                (Y83 = 'Points-Table'!$A$6), 'Points-Table'!$C$6,
                (Y83 = 'Points-Table'!$A$7), 'Points-Table'!$C$7,
                (Y83 = 'Points-Table'!$A$8), 'Points-Table'!$C$8,
                (Y83 = 'Points-Table'!$A$9), 'Points-Table'!$C$9,
                (Y83 = 'Points-Table'!$A$10), 'Points-Table'!$C$10,
                (Y83 = 'Points-Table'!$A$11), 'Points-Table'!$C$11,
                (Y83 = 'Points-Table'!$A$12), 'Points-Table'!$C$12,
                (Y83 = 'Points-Table'!$A$13), 'Points-Table'!$C$13,
                true, 0
              )
            </f>
      </c>
      <c r="AA83" s="13">
        <f>SUM(V83,X83,Z83)</f>
      </c>
      <c r="AB83" s="13">
        <f>
      Ifs( 
        ISBETWEEN(AA83, 0, 'Points-Table'!C$20, TRUE, False), 'Points-Table'!A$20,
        ISBETWEEN(AA83, 'Points-Table'!C$20, 'Points-Table'!C$21, TRUE, False), 'Points-Table'!A$21,
        ISBETWEEN(AA83, 'Points-Table'!C$22, 10000, TRUE, TRUE), 'Points-Table'!A$22,
        true, 
        0)
      </f>
      </c>
      <c r="AC83" s="13" t="s">
        <v>56</v>
      </c>
      <c r="AD83" s="13" t="s">
        <v>56</v>
      </c>
      <c r="AE83" s="13" t="s">
        <v>56</v>
      </c>
    </row>
    <row r="84" spans="1:31" s="13" customFormat="1" x14ac:dyDescent="0.25">
      <c r="A84" s="13" t="s">
        <v>251</v>
      </c>
      <c r="B84" s="13" t="s">
        <v>314</v>
      </c>
      <c r="C84" s="13" t="s">
        <v>317</v>
      </c>
      <c r="D84" s="13" t="s">
        <v>318</v>
      </c>
      <c r="E84" s="13"/>
      <c r="F84" s="13"/>
      <c r="G84" s="13"/>
      <c r="H84" s="13"/>
      <c r="I84" s="13"/>
      <c r="J84" s="13"/>
      <c r="K84" s="13" t="s">
        <v>84</v>
      </c>
      <c r="L84" s="13" t="s">
        <v>85</v>
      </c>
      <c r="M84" s="13"/>
      <c r="N84" s="13"/>
      <c r="O84" s="13"/>
      <c r="P84" s="13"/>
      <c r="Q84" s="13"/>
      <c r="R84" s="13">
        <f>
              Ifs(
                (Q84 = 'Points-Table'!$A$4), 'Points-Table'!$C$4,
                (Q84 = 'Points-Table'!$A$5), 'Points-Table'!$C$5,
                (Q84 = 'Points-Table'!$A$6), 'Points-Table'!$C$6,
                (Q84 = 'Points-Table'!$A$7), 'Points-Table'!$C$7,
                (Q84 = 'Points-Table'!$A$8), 'Points-Table'!$C$8,
                (Q84 = 'Points-Table'!$A$9), 'Points-Table'!$C$9,
                (Q84 = 'Points-Table'!$A$10), 'Points-Table'!$C$10,
                (Q84 = 'Points-Table'!$A$11), 'Points-Table'!$C$11,
                (Q84 = 'Points-Table'!$A$12), 'Points-Table'!$C$12,
                (Q84 = 'Points-Table'!$A$13), 'Points-Table'!$C$13,
                true, 0
              )
            </f>
      </c>
      <c r="S84" s="13"/>
      <c r="T84" s="13">
        <f>
              Ifs(
                (S84 = 'Points-Table'!$A$4), 'Points-Table'!$C$4,
                (S84 = 'Points-Table'!$A$5), 'Points-Table'!$C$5,
                (S84 = 'Points-Table'!$A$6), 'Points-Table'!$C$6,
                (S84 = 'Points-Table'!$A$7), 'Points-Table'!$C$7,
                (S84 = 'Points-Table'!$A$8), 'Points-Table'!$C$8,
                (S84 = 'Points-Table'!$A$9), 'Points-Table'!$C$9,
                (S84 = 'Points-Table'!$A$10), 'Points-Table'!$C$10,
                (S84 = 'Points-Table'!$A$11), 'Points-Table'!$C$11,
                (S84 = 'Points-Table'!$A$12), 'Points-Table'!$C$12,
                (S84 = 'Points-Table'!$A$13), 'Points-Table'!$C$13,
                true, 0
              )
            </f>
      </c>
      <c r="U84" s="13">
        <v>3</v>
      </c>
      <c r="V84" s="13">
        <f>
              Ifs(
                (U84 = 'Points-Table'!$A$4), 'Points-Table'!$C$4,
                (U84 = 'Points-Table'!$A$5), 'Points-Table'!$C$5,
                (U84 = 'Points-Table'!$A$6), 'Points-Table'!$C$6,
                (U84 = 'Points-Table'!$A$7), 'Points-Table'!$C$7,
                (U84 = 'Points-Table'!$A$8), 'Points-Table'!$C$8,
                (U84 = 'Points-Table'!$A$9), 'Points-Table'!$C$9,
                (U84 = 'Points-Table'!$A$10), 'Points-Table'!$C$10,
                (U84 = 'Points-Table'!$A$11), 'Points-Table'!$C$11,
                (U84 = 'Points-Table'!$A$12), 'Points-Table'!$C$12,
                (U84 = 'Points-Table'!$A$13), 'Points-Table'!$C$13,
                true, 0
              )
            </f>
      </c>
      <c r="W84" s="13">
        <v>0</v>
      </c>
      <c r="X84" s="13">
        <f>
              Ifs(
                (W84 = 'Points-Table'!$A$4), 'Points-Table'!$C$4,
                (W84 = 'Points-Table'!$A$5), 'Points-Table'!$C$5,
                (W84 = 'Points-Table'!$A$6), 'Points-Table'!$C$6,
                (W84 = 'Points-Table'!$A$7), 'Points-Table'!$C$7,
                (W84 = 'Points-Table'!$A$8), 'Points-Table'!$C$8,
                (W84 = 'Points-Table'!$A$9), 'Points-Table'!$C$9,
                (W84 = 'Points-Table'!$A$10), 'Points-Table'!$C$10,
                (W84 = 'Points-Table'!$A$11), 'Points-Table'!$C$11,
                (W84 = 'Points-Table'!$A$12), 'Points-Table'!$C$12,
                (W84 = 'Points-Table'!$A$13), 'Points-Table'!$C$13,
                true, 0
              )
            </f>
      </c>
      <c r="Y84" s="13">
        <v>0</v>
      </c>
      <c r="Z84" s="13">
        <f>
              Ifs(
                (Y84 = 'Points-Table'!$A$4), 'Points-Table'!$C$4,
                (Y84 = 'Points-Table'!$A$5), 'Points-Table'!$C$5,
                (Y84 = 'Points-Table'!$A$6), 'Points-Table'!$C$6,
                (Y84 = 'Points-Table'!$A$7), 'Points-Table'!$C$7,
                (Y84 = 'Points-Table'!$A$8), 'Points-Table'!$C$8,
                (Y84 = 'Points-Table'!$A$9), 'Points-Table'!$C$9,
                (Y84 = 'Points-Table'!$A$10), 'Points-Table'!$C$10,
                (Y84 = 'Points-Table'!$A$11), 'Points-Table'!$C$11,
                (Y84 = 'Points-Table'!$A$12), 'Points-Table'!$C$12,
                (Y84 = 'Points-Table'!$A$13), 'Points-Table'!$C$13,
                true, 0
              )
            </f>
      </c>
      <c r="AA84" s="13">
        <f>SUM(V84,X84,Z84)</f>
      </c>
      <c r="AB84" s="13">
        <f>
      Ifs( 
        ISBETWEEN(AA84, 0, 'Points-Table'!C$20, TRUE, False), 'Points-Table'!A$20,
        ISBETWEEN(AA84, 'Points-Table'!C$20, 'Points-Table'!C$21, TRUE, False), 'Points-Table'!A$21,
        ISBETWEEN(AA84, 'Points-Table'!C$22, 10000, TRUE, TRUE), 'Points-Table'!A$22,
        true, 
        0)
      </f>
      </c>
      <c r="AC84" s="13" t="s">
        <v>56</v>
      </c>
      <c r="AD84" s="13" t="s">
        <v>56</v>
      </c>
      <c r="AE84" s="13" t="s">
        <v>56</v>
      </c>
    </row>
    <row r="85" spans="1:31" s="13" customFormat="1" x14ac:dyDescent="0.25">
      <c r="A85" s="13" t="s">
        <v>251</v>
      </c>
      <c r="B85" s="13" t="s">
        <v>314</v>
      </c>
      <c r="C85" s="13" t="s">
        <v>319</v>
      </c>
      <c r="D85" s="13" t="s">
        <v>320</v>
      </c>
      <c r="E85" s="13"/>
      <c r="F85" s="13"/>
      <c r="G85" s="13"/>
      <c r="H85" s="13"/>
      <c r="I85" s="13"/>
      <c r="J85" s="13"/>
      <c r="K85" s="13" t="s">
        <v>84</v>
      </c>
      <c r="L85" s="13" t="s">
        <v>85</v>
      </c>
      <c r="M85" s="13"/>
      <c r="N85" s="13"/>
      <c r="O85" s="13"/>
      <c r="P85" s="13"/>
      <c r="Q85" s="13"/>
      <c r="R85" s="13">
        <f>
              Ifs(
                (Q85 = 'Points-Table'!$A$4), 'Points-Table'!$C$4,
                (Q85 = 'Points-Table'!$A$5), 'Points-Table'!$C$5,
                (Q85 = 'Points-Table'!$A$6), 'Points-Table'!$C$6,
                (Q85 = 'Points-Table'!$A$7), 'Points-Table'!$C$7,
                (Q85 = 'Points-Table'!$A$8), 'Points-Table'!$C$8,
                (Q85 = 'Points-Table'!$A$9), 'Points-Table'!$C$9,
                (Q85 = 'Points-Table'!$A$10), 'Points-Table'!$C$10,
                (Q85 = 'Points-Table'!$A$11), 'Points-Table'!$C$11,
                (Q85 = 'Points-Table'!$A$12), 'Points-Table'!$C$12,
                (Q85 = 'Points-Table'!$A$13), 'Points-Table'!$C$13,
                true, 0
              )
            </f>
      </c>
      <c r="S85" s="13"/>
      <c r="T85" s="13">
        <f>
              Ifs(
                (S85 = 'Points-Table'!$A$4), 'Points-Table'!$C$4,
                (S85 = 'Points-Table'!$A$5), 'Points-Table'!$C$5,
                (S85 = 'Points-Table'!$A$6), 'Points-Table'!$C$6,
                (S85 = 'Points-Table'!$A$7), 'Points-Table'!$C$7,
                (S85 = 'Points-Table'!$A$8), 'Points-Table'!$C$8,
                (S85 = 'Points-Table'!$A$9), 'Points-Table'!$C$9,
                (S85 = 'Points-Table'!$A$10), 'Points-Table'!$C$10,
                (S85 = 'Points-Table'!$A$11), 'Points-Table'!$C$11,
                (S85 = 'Points-Table'!$A$12), 'Points-Table'!$C$12,
                (S85 = 'Points-Table'!$A$13), 'Points-Table'!$C$13,
                true, 0
              )
            </f>
      </c>
      <c r="U85" s="13">
        <v>3</v>
      </c>
      <c r="V85" s="13">
        <f>
              Ifs(
                (U85 = 'Points-Table'!$A$4), 'Points-Table'!$C$4,
                (U85 = 'Points-Table'!$A$5), 'Points-Table'!$C$5,
                (U85 = 'Points-Table'!$A$6), 'Points-Table'!$C$6,
                (U85 = 'Points-Table'!$A$7), 'Points-Table'!$C$7,
                (U85 = 'Points-Table'!$A$8), 'Points-Table'!$C$8,
                (U85 = 'Points-Table'!$A$9), 'Points-Table'!$C$9,
                (U85 = 'Points-Table'!$A$10), 'Points-Table'!$C$10,
                (U85 = 'Points-Table'!$A$11), 'Points-Table'!$C$11,
                (U85 = 'Points-Table'!$A$12), 'Points-Table'!$C$12,
                (U85 = 'Points-Table'!$A$13), 'Points-Table'!$C$13,
                true, 0
              )
            </f>
      </c>
      <c r="W85" s="13">
        <v>0</v>
      </c>
      <c r="X85" s="13">
        <f>
              Ifs(
                (W85 = 'Points-Table'!$A$4), 'Points-Table'!$C$4,
                (W85 = 'Points-Table'!$A$5), 'Points-Table'!$C$5,
                (W85 = 'Points-Table'!$A$6), 'Points-Table'!$C$6,
                (W85 = 'Points-Table'!$A$7), 'Points-Table'!$C$7,
                (W85 = 'Points-Table'!$A$8), 'Points-Table'!$C$8,
                (W85 = 'Points-Table'!$A$9), 'Points-Table'!$C$9,
                (W85 = 'Points-Table'!$A$10), 'Points-Table'!$C$10,
                (W85 = 'Points-Table'!$A$11), 'Points-Table'!$C$11,
                (W85 = 'Points-Table'!$A$12), 'Points-Table'!$C$12,
                (W85 = 'Points-Table'!$A$13), 'Points-Table'!$C$13,
                true, 0
              )
            </f>
      </c>
      <c r="Y85" s="13">
        <v>0</v>
      </c>
      <c r="Z85" s="13">
        <f>
              Ifs(
                (Y85 = 'Points-Table'!$A$4), 'Points-Table'!$C$4,
                (Y85 = 'Points-Table'!$A$5), 'Points-Table'!$C$5,
                (Y85 = 'Points-Table'!$A$6), 'Points-Table'!$C$6,
                (Y85 = 'Points-Table'!$A$7), 'Points-Table'!$C$7,
                (Y85 = 'Points-Table'!$A$8), 'Points-Table'!$C$8,
                (Y85 = 'Points-Table'!$A$9), 'Points-Table'!$C$9,
                (Y85 = 'Points-Table'!$A$10), 'Points-Table'!$C$10,
                (Y85 = 'Points-Table'!$A$11), 'Points-Table'!$C$11,
                (Y85 = 'Points-Table'!$A$12), 'Points-Table'!$C$12,
                (Y85 = 'Points-Table'!$A$13), 'Points-Table'!$C$13,
                true, 0
              )
            </f>
      </c>
      <c r="AA85" s="13">
        <f>SUM(V85,X85,Z85)</f>
      </c>
      <c r="AB85" s="13">
        <f>
      Ifs( 
        ISBETWEEN(AA85, 0, 'Points-Table'!C$20, TRUE, False), 'Points-Table'!A$20,
        ISBETWEEN(AA85, 'Points-Table'!C$20, 'Points-Table'!C$21, TRUE, False), 'Points-Table'!A$21,
        ISBETWEEN(AA85, 'Points-Table'!C$22, 10000, TRUE, TRUE), 'Points-Table'!A$22,
        true, 
        0)
      </f>
      </c>
      <c r="AC85" s="13" t="s">
        <v>56</v>
      </c>
      <c r="AD85" s="13" t="s">
        <v>56</v>
      </c>
      <c r="AE85" s="13" t="s">
        <v>56</v>
      </c>
    </row>
    <row r="86" spans="1:31" s="13" customFormat="1" x14ac:dyDescent="0.25">
      <c r="A86" s="13" t="s">
        <v>251</v>
      </c>
      <c r="B86" s="13" t="s">
        <v>314</v>
      </c>
      <c r="C86" s="13" t="s">
        <v>321</v>
      </c>
      <c r="D86" s="13" t="s">
        <v>322</v>
      </c>
      <c r="E86" s="13"/>
      <c r="F86" s="13"/>
      <c r="G86" s="13"/>
      <c r="H86" s="13"/>
      <c r="I86" s="13"/>
      <c r="J86" s="13"/>
      <c r="K86" s="13" t="s">
        <v>84</v>
      </c>
      <c r="L86" s="13" t="s">
        <v>85</v>
      </c>
      <c r="M86" s="13"/>
      <c r="N86" s="13"/>
      <c r="O86" s="13"/>
      <c r="P86" s="13"/>
      <c r="Q86" s="13"/>
      <c r="R86" s="13">
        <f>
              Ifs(
                (Q86 = 'Points-Table'!$A$4), 'Points-Table'!$C$4,
                (Q86 = 'Points-Table'!$A$5), 'Points-Table'!$C$5,
                (Q86 = 'Points-Table'!$A$6), 'Points-Table'!$C$6,
                (Q86 = 'Points-Table'!$A$7), 'Points-Table'!$C$7,
                (Q86 = 'Points-Table'!$A$8), 'Points-Table'!$C$8,
                (Q86 = 'Points-Table'!$A$9), 'Points-Table'!$C$9,
                (Q86 = 'Points-Table'!$A$10), 'Points-Table'!$C$10,
                (Q86 = 'Points-Table'!$A$11), 'Points-Table'!$C$11,
                (Q86 = 'Points-Table'!$A$12), 'Points-Table'!$C$12,
                (Q86 = 'Points-Table'!$A$13), 'Points-Table'!$C$13,
                true, 0
              )
            </f>
      </c>
      <c r="S86" s="13"/>
      <c r="T86" s="13">
        <f>
              Ifs(
                (S86 = 'Points-Table'!$A$4), 'Points-Table'!$C$4,
                (S86 = 'Points-Table'!$A$5), 'Points-Table'!$C$5,
                (S86 = 'Points-Table'!$A$6), 'Points-Table'!$C$6,
                (S86 = 'Points-Table'!$A$7), 'Points-Table'!$C$7,
                (S86 = 'Points-Table'!$A$8), 'Points-Table'!$C$8,
                (S86 = 'Points-Table'!$A$9), 'Points-Table'!$C$9,
                (S86 = 'Points-Table'!$A$10), 'Points-Table'!$C$10,
                (S86 = 'Points-Table'!$A$11), 'Points-Table'!$C$11,
                (S86 = 'Points-Table'!$A$12), 'Points-Table'!$C$12,
                (S86 = 'Points-Table'!$A$13), 'Points-Table'!$C$13,
                true, 0
              )
            </f>
      </c>
      <c r="U86" s="13">
        <v>2</v>
      </c>
      <c r="V86" s="13">
        <f>
              Ifs(
                (U86 = 'Points-Table'!$A$4), 'Points-Table'!$C$4,
                (U86 = 'Points-Table'!$A$5), 'Points-Table'!$C$5,
                (U86 = 'Points-Table'!$A$6), 'Points-Table'!$C$6,
                (U86 = 'Points-Table'!$A$7), 'Points-Table'!$C$7,
                (U86 = 'Points-Table'!$A$8), 'Points-Table'!$C$8,
                (U86 = 'Points-Table'!$A$9), 'Points-Table'!$C$9,
                (U86 = 'Points-Table'!$A$10), 'Points-Table'!$C$10,
                (U86 = 'Points-Table'!$A$11), 'Points-Table'!$C$11,
                (U86 = 'Points-Table'!$A$12), 'Points-Table'!$C$12,
                (U86 = 'Points-Table'!$A$13), 'Points-Table'!$C$13,
                true, 0
              )
            </f>
      </c>
      <c r="W86" s="13">
        <v>0</v>
      </c>
      <c r="X86" s="13">
        <f>
              Ifs(
                (W86 = 'Points-Table'!$A$4), 'Points-Table'!$C$4,
                (W86 = 'Points-Table'!$A$5), 'Points-Table'!$C$5,
                (W86 = 'Points-Table'!$A$6), 'Points-Table'!$C$6,
                (W86 = 'Points-Table'!$A$7), 'Points-Table'!$C$7,
                (W86 = 'Points-Table'!$A$8), 'Points-Table'!$C$8,
                (W86 = 'Points-Table'!$A$9), 'Points-Table'!$C$9,
                (W86 = 'Points-Table'!$A$10), 'Points-Table'!$C$10,
                (W86 = 'Points-Table'!$A$11), 'Points-Table'!$C$11,
                (W86 = 'Points-Table'!$A$12), 'Points-Table'!$C$12,
                (W86 = 'Points-Table'!$A$13), 'Points-Table'!$C$13,
                true, 0
              )
            </f>
      </c>
      <c r="Y86" s="13">
        <v>0</v>
      </c>
      <c r="Z86" s="13">
        <f>
              Ifs(
                (Y86 = 'Points-Table'!$A$4), 'Points-Table'!$C$4,
                (Y86 = 'Points-Table'!$A$5), 'Points-Table'!$C$5,
                (Y86 = 'Points-Table'!$A$6), 'Points-Table'!$C$6,
                (Y86 = 'Points-Table'!$A$7), 'Points-Table'!$C$7,
                (Y86 = 'Points-Table'!$A$8), 'Points-Table'!$C$8,
                (Y86 = 'Points-Table'!$A$9), 'Points-Table'!$C$9,
                (Y86 = 'Points-Table'!$A$10), 'Points-Table'!$C$10,
                (Y86 = 'Points-Table'!$A$11), 'Points-Table'!$C$11,
                (Y86 = 'Points-Table'!$A$12), 'Points-Table'!$C$12,
                (Y86 = 'Points-Table'!$A$13), 'Points-Table'!$C$13,
                true, 0
              )
            </f>
      </c>
      <c r="AA86" s="13">
        <f>SUM(V86,X86,Z86)</f>
      </c>
      <c r="AB86" s="13">
        <f>
      Ifs( 
        ISBETWEEN(AA86, 0, 'Points-Table'!C$20, TRUE, False), 'Points-Table'!A$20,
        ISBETWEEN(AA86, 'Points-Table'!C$20, 'Points-Table'!C$21, TRUE, False), 'Points-Table'!A$21,
        ISBETWEEN(AA86, 'Points-Table'!C$22, 10000, TRUE, TRUE), 'Points-Table'!A$22,
        true, 
        0)
      </f>
      </c>
      <c r="AC86" s="13" t="s">
        <v>56</v>
      </c>
      <c r="AD86" s="13" t="s">
        <v>56</v>
      </c>
      <c r="AE86" s="13" t="s">
        <v>56</v>
      </c>
    </row>
    <row r="87" spans="1:31" s="13" customFormat="1" x14ac:dyDescent="0.25">
      <c r="A87" s="13" t="s">
        <v>251</v>
      </c>
      <c r="B87" s="13" t="s">
        <v>314</v>
      </c>
      <c r="C87" s="13" t="s">
        <v>323</v>
      </c>
      <c r="D87" s="13"/>
      <c r="E87" s="13"/>
      <c r="F87" s="13"/>
      <c r="G87" s="13"/>
      <c r="H87" s="13"/>
      <c r="I87" s="13"/>
      <c r="J87" s="13"/>
      <c r="K87" s="13" t="s">
        <v>84</v>
      </c>
      <c r="L87" s="13" t="s">
        <v>85</v>
      </c>
      <c r="M87" s="13"/>
      <c r="N87" s="13"/>
      <c r="O87" s="13"/>
      <c r="P87" s="13"/>
      <c r="Q87" s="13"/>
      <c r="R87" s="13">
        <f>
              Ifs(
                (Q87 = 'Points-Table'!$A$4), 'Points-Table'!$C$4,
                (Q87 = 'Points-Table'!$A$5), 'Points-Table'!$C$5,
                (Q87 = 'Points-Table'!$A$6), 'Points-Table'!$C$6,
                (Q87 = 'Points-Table'!$A$7), 'Points-Table'!$C$7,
                (Q87 = 'Points-Table'!$A$8), 'Points-Table'!$C$8,
                (Q87 = 'Points-Table'!$A$9), 'Points-Table'!$C$9,
                (Q87 = 'Points-Table'!$A$10), 'Points-Table'!$C$10,
                (Q87 = 'Points-Table'!$A$11), 'Points-Table'!$C$11,
                (Q87 = 'Points-Table'!$A$12), 'Points-Table'!$C$12,
                (Q87 = 'Points-Table'!$A$13), 'Points-Table'!$C$13,
                true, 0
              )
            </f>
      </c>
      <c r="S87" s="13"/>
      <c r="T87" s="13">
        <f>
              Ifs(
                (S87 = 'Points-Table'!$A$4), 'Points-Table'!$C$4,
                (S87 = 'Points-Table'!$A$5), 'Points-Table'!$C$5,
                (S87 = 'Points-Table'!$A$6), 'Points-Table'!$C$6,
                (S87 = 'Points-Table'!$A$7), 'Points-Table'!$C$7,
                (S87 = 'Points-Table'!$A$8), 'Points-Table'!$C$8,
                (S87 = 'Points-Table'!$A$9), 'Points-Table'!$C$9,
                (S87 = 'Points-Table'!$A$10), 'Points-Table'!$C$10,
                (S87 = 'Points-Table'!$A$11), 'Points-Table'!$C$11,
                (S87 = 'Points-Table'!$A$12), 'Points-Table'!$C$12,
                (S87 = 'Points-Table'!$A$13), 'Points-Table'!$C$13,
                true, 0
              )
            </f>
      </c>
      <c r="U87" s="13">
        <v>3</v>
      </c>
      <c r="V87" s="13">
        <f>
              Ifs(
                (U87 = 'Points-Table'!$A$4), 'Points-Table'!$C$4,
                (U87 = 'Points-Table'!$A$5), 'Points-Table'!$C$5,
                (U87 = 'Points-Table'!$A$6), 'Points-Table'!$C$6,
                (U87 = 'Points-Table'!$A$7), 'Points-Table'!$C$7,
                (U87 = 'Points-Table'!$A$8), 'Points-Table'!$C$8,
                (U87 = 'Points-Table'!$A$9), 'Points-Table'!$C$9,
                (U87 = 'Points-Table'!$A$10), 'Points-Table'!$C$10,
                (U87 = 'Points-Table'!$A$11), 'Points-Table'!$C$11,
                (U87 = 'Points-Table'!$A$12), 'Points-Table'!$C$12,
                (U87 = 'Points-Table'!$A$13), 'Points-Table'!$C$13,
                true, 0
              )
            </f>
      </c>
      <c r="W87" s="13">
        <v>0</v>
      </c>
      <c r="X87" s="13">
        <f>
              Ifs(
                (W87 = 'Points-Table'!$A$4), 'Points-Table'!$C$4,
                (W87 = 'Points-Table'!$A$5), 'Points-Table'!$C$5,
                (W87 = 'Points-Table'!$A$6), 'Points-Table'!$C$6,
                (W87 = 'Points-Table'!$A$7), 'Points-Table'!$C$7,
                (W87 = 'Points-Table'!$A$8), 'Points-Table'!$C$8,
                (W87 = 'Points-Table'!$A$9), 'Points-Table'!$C$9,
                (W87 = 'Points-Table'!$A$10), 'Points-Table'!$C$10,
                (W87 = 'Points-Table'!$A$11), 'Points-Table'!$C$11,
                (W87 = 'Points-Table'!$A$12), 'Points-Table'!$C$12,
                (W87 = 'Points-Table'!$A$13), 'Points-Table'!$C$13,
                true, 0
              )
            </f>
      </c>
      <c r="Y87" s="13">
        <v>0</v>
      </c>
      <c r="Z87" s="13">
        <f>
              Ifs(
                (Y87 = 'Points-Table'!$A$4), 'Points-Table'!$C$4,
                (Y87 = 'Points-Table'!$A$5), 'Points-Table'!$C$5,
                (Y87 = 'Points-Table'!$A$6), 'Points-Table'!$C$6,
                (Y87 = 'Points-Table'!$A$7), 'Points-Table'!$C$7,
                (Y87 = 'Points-Table'!$A$8), 'Points-Table'!$C$8,
                (Y87 = 'Points-Table'!$A$9), 'Points-Table'!$C$9,
                (Y87 = 'Points-Table'!$A$10), 'Points-Table'!$C$10,
                (Y87 = 'Points-Table'!$A$11), 'Points-Table'!$C$11,
                (Y87 = 'Points-Table'!$A$12), 'Points-Table'!$C$12,
                (Y87 = 'Points-Table'!$A$13), 'Points-Table'!$C$13,
                true, 0
              )
            </f>
      </c>
      <c r="AA87" s="13">
        <f>SUM(V87,X87,Z87)</f>
      </c>
      <c r="AB87" s="13">
        <f>
      Ifs( 
        ISBETWEEN(AA87, 0, 'Points-Table'!C$20, TRUE, False), 'Points-Table'!A$20,
        ISBETWEEN(AA87, 'Points-Table'!C$20, 'Points-Table'!C$21, TRUE, False), 'Points-Table'!A$21,
        ISBETWEEN(AA87, 'Points-Table'!C$22, 10000, TRUE, TRUE), 'Points-Table'!A$22,
        true, 
        0)
      </f>
      </c>
      <c r="AC87" s="13" t="s">
        <v>56</v>
      </c>
      <c r="AD87" s="13" t="s">
        <v>56</v>
      </c>
      <c r="AE87" s="13" t="s">
        <v>56</v>
      </c>
    </row>
    <row r="88" spans="1:31" s="13" customFormat="1" x14ac:dyDescent="0.25">
      <c r="A88" s="13" t="s">
        <v>251</v>
      </c>
      <c r="B88" s="13" t="s">
        <v>314</v>
      </c>
      <c r="C88" s="13" t="s">
        <v>324</v>
      </c>
      <c r="D88" s="13"/>
      <c r="E88" s="13"/>
      <c r="F88" s="13"/>
      <c r="G88" s="13"/>
      <c r="H88" s="13"/>
      <c r="I88" s="13"/>
      <c r="J88" s="13"/>
      <c r="K88" s="13" t="s">
        <v>84</v>
      </c>
      <c r="L88" s="13" t="s">
        <v>85</v>
      </c>
      <c r="M88" s="13"/>
      <c r="N88" s="13"/>
      <c r="O88" s="13"/>
      <c r="P88" s="13"/>
      <c r="Q88" s="13"/>
      <c r="R88" s="13">
        <f>
              Ifs(
                (Q88 = 'Points-Table'!$A$4), 'Points-Table'!$C$4,
                (Q88 = 'Points-Table'!$A$5), 'Points-Table'!$C$5,
                (Q88 = 'Points-Table'!$A$6), 'Points-Table'!$C$6,
                (Q88 = 'Points-Table'!$A$7), 'Points-Table'!$C$7,
                (Q88 = 'Points-Table'!$A$8), 'Points-Table'!$C$8,
                (Q88 = 'Points-Table'!$A$9), 'Points-Table'!$C$9,
                (Q88 = 'Points-Table'!$A$10), 'Points-Table'!$C$10,
                (Q88 = 'Points-Table'!$A$11), 'Points-Table'!$C$11,
                (Q88 = 'Points-Table'!$A$12), 'Points-Table'!$C$12,
                (Q88 = 'Points-Table'!$A$13), 'Points-Table'!$C$13,
                true, 0
              )
            </f>
      </c>
      <c r="S88" s="13"/>
      <c r="T88" s="13">
        <f>
              Ifs(
                (S88 = 'Points-Table'!$A$4), 'Points-Table'!$C$4,
                (S88 = 'Points-Table'!$A$5), 'Points-Table'!$C$5,
                (S88 = 'Points-Table'!$A$6), 'Points-Table'!$C$6,
                (S88 = 'Points-Table'!$A$7), 'Points-Table'!$C$7,
                (S88 = 'Points-Table'!$A$8), 'Points-Table'!$C$8,
                (S88 = 'Points-Table'!$A$9), 'Points-Table'!$C$9,
                (S88 = 'Points-Table'!$A$10), 'Points-Table'!$C$10,
                (S88 = 'Points-Table'!$A$11), 'Points-Table'!$C$11,
                (S88 = 'Points-Table'!$A$12), 'Points-Table'!$C$12,
                (S88 = 'Points-Table'!$A$13), 'Points-Table'!$C$13,
                true, 0
              )
            </f>
      </c>
      <c r="U88" s="13">
        <v>3</v>
      </c>
      <c r="V88" s="13">
        <f>
              Ifs(
                (U88 = 'Points-Table'!$A$4), 'Points-Table'!$C$4,
                (U88 = 'Points-Table'!$A$5), 'Points-Table'!$C$5,
                (U88 = 'Points-Table'!$A$6), 'Points-Table'!$C$6,
                (U88 = 'Points-Table'!$A$7), 'Points-Table'!$C$7,
                (U88 = 'Points-Table'!$A$8), 'Points-Table'!$C$8,
                (U88 = 'Points-Table'!$A$9), 'Points-Table'!$C$9,
                (U88 = 'Points-Table'!$A$10), 'Points-Table'!$C$10,
                (U88 = 'Points-Table'!$A$11), 'Points-Table'!$C$11,
                (U88 = 'Points-Table'!$A$12), 'Points-Table'!$C$12,
                (U88 = 'Points-Table'!$A$13), 'Points-Table'!$C$13,
                true, 0
              )
            </f>
      </c>
      <c r="W88" s="13">
        <v>0</v>
      </c>
      <c r="X88" s="13">
        <f>
              Ifs(
                (W88 = 'Points-Table'!$A$4), 'Points-Table'!$C$4,
                (W88 = 'Points-Table'!$A$5), 'Points-Table'!$C$5,
                (W88 = 'Points-Table'!$A$6), 'Points-Table'!$C$6,
                (W88 = 'Points-Table'!$A$7), 'Points-Table'!$C$7,
                (W88 = 'Points-Table'!$A$8), 'Points-Table'!$C$8,
                (W88 = 'Points-Table'!$A$9), 'Points-Table'!$C$9,
                (W88 = 'Points-Table'!$A$10), 'Points-Table'!$C$10,
                (W88 = 'Points-Table'!$A$11), 'Points-Table'!$C$11,
                (W88 = 'Points-Table'!$A$12), 'Points-Table'!$C$12,
                (W88 = 'Points-Table'!$A$13), 'Points-Table'!$C$13,
                true, 0
              )
            </f>
      </c>
      <c r="Y88" s="13">
        <v>0</v>
      </c>
      <c r="Z88" s="13">
        <f>
              Ifs(
                (Y88 = 'Points-Table'!$A$4), 'Points-Table'!$C$4,
                (Y88 = 'Points-Table'!$A$5), 'Points-Table'!$C$5,
                (Y88 = 'Points-Table'!$A$6), 'Points-Table'!$C$6,
                (Y88 = 'Points-Table'!$A$7), 'Points-Table'!$C$7,
                (Y88 = 'Points-Table'!$A$8), 'Points-Table'!$C$8,
                (Y88 = 'Points-Table'!$A$9), 'Points-Table'!$C$9,
                (Y88 = 'Points-Table'!$A$10), 'Points-Table'!$C$10,
                (Y88 = 'Points-Table'!$A$11), 'Points-Table'!$C$11,
                (Y88 = 'Points-Table'!$A$12), 'Points-Table'!$C$12,
                (Y88 = 'Points-Table'!$A$13), 'Points-Table'!$C$13,
                true, 0
              )
            </f>
      </c>
      <c r="AA88" s="13">
        <f>SUM(V88,X88,Z88)</f>
      </c>
      <c r="AB88" s="13">
        <f>
      Ifs( 
        ISBETWEEN(AA88, 0, 'Points-Table'!C$20, TRUE, False), 'Points-Table'!A$20,
        ISBETWEEN(AA88, 'Points-Table'!C$20, 'Points-Table'!C$21, TRUE, False), 'Points-Table'!A$21,
        ISBETWEEN(AA88, 'Points-Table'!C$22, 10000, TRUE, TRUE), 'Points-Table'!A$22,
        true, 
        0)
      </f>
      </c>
      <c r="AC88" s="13" t="s">
        <v>56</v>
      </c>
      <c r="AD88" s="13" t="s">
        <v>56</v>
      </c>
      <c r="AE88" s="13" t="s">
        <v>56</v>
      </c>
    </row>
    <row r="89" spans="1:31" s="13" customFormat="1" x14ac:dyDescent="0.25">
      <c r="A89" s="13" t="s">
        <v>251</v>
      </c>
      <c r="B89" s="13" t="s">
        <v>314</v>
      </c>
      <c r="C89" s="13" t="s">
        <v>325</v>
      </c>
      <c r="D89" s="13" t="s">
        <v>326</v>
      </c>
      <c r="E89" s="13"/>
      <c r="F89" s="13"/>
      <c r="G89" s="13"/>
      <c r="H89" s="13"/>
      <c r="I89" s="13"/>
      <c r="J89" s="13"/>
      <c r="K89" s="13" t="s">
        <v>84</v>
      </c>
      <c r="L89" s="13" t="s">
        <v>85</v>
      </c>
      <c r="M89" s="13"/>
      <c r="N89" s="13"/>
      <c r="O89" s="13"/>
      <c r="P89" s="13"/>
      <c r="Q89" s="13"/>
      <c r="R89" s="13">
        <f>
              Ifs(
                (Q89 = 'Points-Table'!$A$4), 'Points-Table'!$C$4,
                (Q89 = 'Points-Table'!$A$5), 'Points-Table'!$C$5,
                (Q89 = 'Points-Table'!$A$6), 'Points-Table'!$C$6,
                (Q89 = 'Points-Table'!$A$7), 'Points-Table'!$C$7,
                (Q89 = 'Points-Table'!$A$8), 'Points-Table'!$C$8,
                (Q89 = 'Points-Table'!$A$9), 'Points-Table'!$C$9,
                (Q89 = 'Points-Table'!$A$10), 'Points-Table'!$C$10,
                (Q89 = 'Points-Table'!$A$11), 'Points-Table'!$C$11,
                (Q89 = 'Points-Table'!$A$12), 'Points-Table'!$C$12,
                (Q89 = 'Points-Table'!$A$13), 'Points-Table'!$C$13,
                true, 0
              )
            </f>
      </c>
      <c r="S89" s="13"/>
      <c r="T89" s="13">
        <f>
              Ifs(
                (S89 = 'Points-Table'!$A$4), 'Points-Table'!$C$4,
                (S89 = 'Points-Table'!$A$5), 'Points-Table'!$C$5,
                (S89 = 'Points-Table'!$A$6), 'Points-Table'!$C$6,
                (S89 = 'Points-Table'!$A$7), 'Points-Table'!$C$7,
                (S89 = 'Points-Table'!$A$8), 'Points-Table'!$C$8,
                (S89 = 'Points-Table'!$A$9), 'Points-Table'!$C$9,
                (S89 = 'Points-Table'!$A$10), 'Points-Table'!$C$10,
                (S89 = 'Points-Table'!$A$11), 'Points-Table'!$C$11,
                (S89 = 'Points-Table'!$A$12), 'Points-Table'!$C$12,
                (S89 = 'Points-Table'!$A$13), 'Points-Table'!$C$13,
                true, 0
              )
            </f>
      </c>
      <c r="U89" s="13">
        <v>3</v>
      </c>
      <c r="V89" s="13">
        <f>
              Ifs(
                (U89 = 'Points-Table'!$A$4), 'Points-Table'!$C$4,
                (U89 = 'Points-Table'!$A$5), 'Points-Table'!$C$5,
                (U89 = 'Points-Table'!$A$6), 'Points-Table'!$C$6,
                (U89 = 'Points-Table'!$A$7), 'Points-Table'!$C$7,
                (U89 = 'Points-Table'!$A$8), 'Points-Table'!$C$8,
                (U89 = 'Points-Table'!$A$9), 'Points-Table'!$C$9,
                (U89 = 'Points-Table'!$A$10), 'Points-Table'!$C$10,
                (U89 = 'Points-Table'!$A$11), 'Points-Table'!$C$11,
                (U89 = 'Points-Table'!$A$12), 'Points-Table'!$C$12,
                (U89 = 'Points-Table'!$A$13), 'Points-Table'!$C$13,
                true, 0
              )
            </f>
      </c>
      <c r="W89" s="13">
        <v>0</v>
      </c>
      <c r="X89" s="13">
        <f>
              Ifs(
                (W89 = 'Points-Table'!$A$4), 'Points-Table'!$C$4,
                (W89 = 'Points-Table'!$A$5), 'Points-Table'!$C$5,
                (W89 = 'Points-Table'!$A$6), 'Points-Table'!$C$6,
                (W89 = 'Points-Table'!$A$7), 'Points-Table'!$C$7,
                (W89 = 'Points-Table'!$A$8), 'Points-Table'!$C$8,
                (W89 = 'Points-Table'!$A$9), 'Points-Table'!$C$9,
                (W89 = 'Points-Table'!$A$10), 'Points-Table'!$C$10,
                (W89 = 'Points-Table'!$A$11), 'Points-Table'!$C$11,
                (W89 = 'Points-Table'!$A$12), 'Points-Table'!$C$12,
                (W89 = 'Points-Table'!$A$13), 'Points-Table'!$C$13,
                true, 0
              )
            </f>
      </c>
      <c r="Y89" s="13">
        <v>0</v>
      </c>
      <c r="Z89" s="13">
        <f>
              Ifs(
                (Y89 = 'Points-Table'!$A$4), 'Points-Table'!$C$4,
                (Y89 = 'Points-Table'!$A$5), 'Points-Table'!$C$5,
                (Y89 = 'Points-Table'!$A$6), 'Points-Table'!$C$6,
                (Y89 = 'Points-Table'!$A$7), 'Points-Table'!$C$7,
                (Y89 = 'Points-Table'!$A$8), 'Points-Table'!$C$8,
                (Y89 = 'Points-Table'!$A$9), 'Points-Table'!$C$9,
                (Y89 = 'Points-Table'!$A$10), 'Points-Table'!$C$10,
                (Y89 = 'Points-Table'!$A$11), 'Points-Table'!$C$11,
                (Y89 = 'Points-Table'!$A$12), 'Points-Table'!$C$12,
                (Y89 = 'Points-Table'!$A$13), 'Points-Table'!$C$13,
                true, 0
              )
            </f>
      </c>
      <c r="AA89" s="13">
        <f>SUM(V89,X89,Z89)</f>
      </c>
      <c r="AB89" s="13">
        <f>
      Ifs( 
        ISBETWEEN(AA89, 0, 'Points-Table'!C$20, TRUE, False), 'Points-Table'!A$20,
        ISBETWEEN(AA89, 'Points-Table'!C$20, 'Points-Table'!C$21, TRUE, False), 'Points-Table'!A$21,
        ISBETWEEN(AA89, 'Points-Table'!C$22, 10000, TRUE, TRUE), 'Points-Table'!A$22,
        true, 
        0)
      </f>
      </c>
      <c r="AC89" s="13" t="s">
        <v>56</v>
      </c>
      <c r="AD89" s="13" t="s">
        <v>56</v>
      </c>
      <c r="AE89" s="13" t="s">
        <v>56</v>
      </c>
    </row>
    <row r="90" spans="1:31" s="13" customFormat="1" x14ac:dyDescent="0.25">
      <c r="A90" s="13" t="s">
        <v>251</v>
      </c>
      <c r="B90" s="13" t="s">
        <v>314</v>
      </c>
      <c r="C90" s="13" t="s">
        <v>327</v>
      </c>
      <c r="D90" s="13" t="s">
        <v>328</v>
      </c>
      <c r="E90" s="13"/>
      <c r="F90" s="13"/>
      <c r="G90" s="13"/>
      <c r="H90" s="13"/>
      <c r="I90" s="13"/>
      <c r="J90" s="13"/>
      <c r="K90" s="13" t="s">
        <v>84</v>
      </c>
      <c r="L90" s="13" t="s">
        <v>85</v>
      </c>
      <c r="M90" s="13"/>
      <c r="N90" s="13"/>
      <c r="O90" s="13"/>
      <c r="P90" s="13"/>
      <c r="Q90" s="13"/>
      <c r="R90" s="13">
        <f>
              Ifs(
                (Q90 = 'Points-Table'!$A$4), 'Points-Table'!$C$4,
                (Q90 = 'Points-Table'!$A$5), 'Points-Table'!$C$5,
                (Q90 = 'Points-Table'!$A$6), 'Points-Table'!$C$6,
                (Q90 = 'Points-Table'!$A$7), 'Points-Table'!$C$7,
                (Q90 = 'Points-Table'!$A$8), 'Points-Table'!$C$8,
                (Q90 = 'Points-Table'!$A$9), 'Points-Table'!$C$9,
                (Q90 = 'Points-Table'!$A$10), 'Points-Table'!$C$10,
                (Q90 = 'Points-Table'!$A$11), 'Points-Table'!$C$11,
                (Q90 = 'Points-Table'!$A$12), 'Points-Table'!$C$12,
                (Q90 = 'Points-Table'!$A$13), 'Points-Table'!$C$13,
                true, 0
              )
            </f>
      </c>
      <c r="S90" s="13"/>
      <c r="T90" s="13">
        <f>
              Ifs(
                (S90 = 'Points-Table'!$A$4), 'Points-Table'!$C$4,
                (S90 = 'Points-Table'!$A$5), 'Points-Table'!$C$5,
                (S90 = 'Points-Table'!$A$6), 'Points-Table'!$C$6,
                (S90 = 'Points-Table'!$A$7), 'Points-Table'!$C$7,
                (S90 = 'Points-Table'!$A$8), 'Points-Table'!$C$8,
                (S90 = 'Points-Table'!$A$9), 'Points-Table'!$C$9,
                (S90 = 'Points-Table'!$A$10), 'Points-Table'!$C$10,
                (S90 = 'Points-Table'!$A$11), 'Points-Table'!$C$11,
                (S90 = 'Points-Table'!$A$12), 'Points-Table'!$C$12,
                (S90 = 'Points-Table'!$A$13), 'Points-Table'!$C$13,
                true, 0
              )
            </f>
      </c>
      <c r="U90" s="13">
        <v>3</v>
      </c>
      <c r="V90" s="13">
        <f>
              Ifs(
                (U90 = 'Points-Table'!$A$4), 'Points-Table'!$C$4,
                (U90 = 'Points-Table'!$A$5), 'Points-Table'!$C$5,
                (U90 = 'Points-Table'!$A$6), 'Points-Table'!$C$6,
                (U90 = 'Points-Table'!$A$7), 'Points-Table'!$C$7,
                (U90 = 'Points-Table'!$A$8), 'Points-Table'!$C$8,
                (U90 = 'Points-Table'!$A$9), 'Points-Table'!$C$9,
                (U90 = 'Points-Table'!$A$10), 'Points-Table'!$C$10,
                (U90 = 'Points-Table'!$A$11), 'Points-Table'!$C$11,
                (U90 = 'Points-Table'!$A$12), 'Points-Table'!$C$12,
                (U90 = 'Points-Table'!$A$13), 'Points-Table'!$C$13,
                true, 0
              )
            </f>
      </c>
      <c r="W90" s="13">
        <v>0</v>
      </c>
      <c r="X90" s="13">
        <f>
              Ifs(
                (W90 = 'Points-Table'!$A$4), 'Points-Table'!$C$4,
                (W90 = 'Points-Table'!$A$5), 'Points-Table'!$C$5,
                (W90 = 'Points-Table'!$A$6), 'Points-Table'!$C$6,
                (W90 = 'Points-Table'!$A$7), 'Points-Table'!$C$7,
                (W90 = 'Points-Table'!$A$8), 'Points-Table'!$C$8,
                (W90 = 'Points-Table'!$A$9), 'Points-Table'!$C$9,
                (W90 = 'Points-Table'!$A$10), 'Points-Table'!$C$10,
                (W90 = 'Points-Table'!$A$11), 'Points-Table'!$C$11,
                (W90 = 'Points-Table'!$A$12), 'Points-Table'!$C$12,
                (W90 = 'Points-Table'!$A$13), 'Points-Table'!$C$13,
                true, 0
              )
            </f>
      </c>
      <c r="Y90" s="13">
        <v>0</v>
      </c>
      <c r="Z90" s="13">
        <f>
              Ifs(
                (Y90 = 'Points-Table'!$A$4), 'Points-Table'!$C$4,
                (Y90 = 'Points-Table'!$A$5), 'Points-Table'!$C$5,
                (Y90 = 'Points-Table'!$A$6), 'Points-Table'!$C$6,
                (Y90 = 'Points-Table'!$A$7), 'Points-Table'!$C$7,
                (Y90 = 'Points-Table'!$A$8), 'Points-Table'!$C$8,
                (Y90 = 'Points-Table'!$A$9), 'Points-Table'!$C$9,
                (Y90 = 'Points-Table'!$A$10), 'Points-Table'!$C$10,
                (Y90 = 'Points-Table'!$A$11), 'Points-Table'!$C$11,
                (Y90 = 'Points-Table'!$A$12), 'Points-Table'!$C$12,
                (Y90 = 'Points-Table'!$A$13), 'Points-Table'!$C$13,
                true, 0
              )
            </f>
      </c>
      <c r="AA90" s="13">
        <f>SUM(V90,X90,Z90)</f>
      </c>
      <c r="AB90" s="13">
        <f>
      Ifs( 
        ISBETWEEN(AA90, 0, 'Points-Table'!C$20, TRUE, False), 'Points-Table'!A$20,
        ISBETWEEN(AA90, 'Points-Table'!C$20, 'Points-Table'!C$21, TRUE, False), 'Points-Table'!A$21,
        ISBETWEEN(AA90, 'Points-Table'!C$22, 10000, TRUE, TRUE), 'Points-Table'!A$22,
        true, 
        0)
      </f>
      </c>
      <c r="AC90" s="13" t="s">
        <v>56</v>
      </c>
      <c r="AD90" s="13" t="s">
        <v>56</v>
      </c>
      <c r="AE90" s="13" t="s">
        <v>56</v>
      </c>
    </row>
    <row r="91" spans="1:31" s="13" customFormat="1" x14ac:dyDescent="0.25">
      <c r="A91" s="13" t="s">
        <v>251</v>
      </c>
      <c r="B91" s="13" t="s">
        <v>314</v>
      </c>
      <c r="C91" s="13" t="s">
        <v>329</v>
      </c>
      <c r="D91" s="13" t="s">
        <v>330</v>
      </c>
      <c r="E91" s="13"/>
      <c r="F91" s="13"/>
      <c r="G91" s="13"/>
      <c r="H91" s="13"/>
      <c r="I91" s="13"/>
      <c r="J91" s="13"/>
      <c r="K91" s="13" t="s">
        <v>84</v>
      </c>
      <c r="L91" s="13" t="s">
        <v>85</v>
      </c>
      <c r="M91" s="13"/>
      <c r="N91" s="13"/>
      <c r="O91" s="13"/>
      <c r="P91" s="13"/>
      <c r="Q91" s="13"/>
      <c r="R91" s="13">
        <f>
              Ifs(
                (Q91 = 'Points-Table'!$A$4), 'Points-Table'!$C$4,
                (Q91 = 'Points-Table'!$A$5), 'Points-Table'!$C$5,
                (Q91 = 'Points-Table'!$A$6), 'Points-Table'!$C$6,
                (Q91 = 'Points-Table'!$A$7), 'Points-Table'!$C$7,
                (Q91 = 'Points-Table'!$A$8), 'Points-Table'!$C$8,
                (Q91 = 'Points-Table'!$A$9), 'Points-Table'!$C$9,
                (Q91 = 'Points-Table'!$A$10), 'Points-Table'!$C$10,
                (Q91 = 'Points-Table'!$A$11), 'Points-Table'!$C$11,
                (Q91 = 'Points-Table'!$A$12), 'Points-Table'!$C$12,
                (Q91 = 'Points-Table'!$A$13), 'Points-Table'!$C$13,
                true, 0
              )
            </f>
      </c>
      <c r="S91" s="13"/>
      <c r="T91" s="13">
        <f>
              Ifs(
                (S91 = 'Points-Table'!$A$4), 'Points-Table'!$C$4,
                (S91 = 'Points-Table'!$A$5), 'Points-Table'!$C$5,
                (S91 = 'Points-Table'!$A$6), 'Points-Table'!$C$6,
                (S91 = 'Points-Table'!$A$7), 'Points-Table'!$C$7,
                (S91 = 'Points-Table'!$A$8), 'Points-Table'!$C$8,
                (S91 = 'Points-Table'!$A$9), 'Points-Table'!$C$9,
                (S91 = 'Points-Table'!$A$10), 'Points-Table'!$C$10,
                (S91 = 'Points-Table'!$A$11), 'Points-Table'!$C$11,
                (S91 = 'Points-Table'!$A$12), 'Points-Table'!$C$12,
                (S91 = 'Points-Table'!$A$13), 'Points-Table'!$C$13,
                true, 0
              )
            </f>
      </c>
      <c r="U91" s="13">
        <v>3</v>
      </c>
      <c r="V91" s="13">
        <f>
              Ifs(
                (U91 = 'Points-Table'!$A$4), 'Points-Table'!$C$4,
                (U91 = 'Points-Table'!$A$5), 'Points-Table'!$C$5,
                (U91 = 'Points-Table'!$A$6), 'Points-Table'!$C$6,
                (U91 = 'Points-Table'!$A$7), 'Points-Table'!$C$7,
                (U91 = 'Points-Table'!$A$8), 'Points-Table'!$C$8,
                (U91 = 'Points-Table'!$A$9), 'Points-Table'!$C$9,
                (U91 = 'Points-Table'!$A$10), 'Points-Table'!$C$10,
                (U91 = 'Points-Table'!$A$11), 'Points-Table'!$C$11,
                (U91 = 'Points-Table'!$A$12), 'Points-Table'!$C$12,
                (U91 = 'Points-Table'!$A$13), 'Points-Table'!$C$13,
                true, 0
              )
            </f>
      </c>
      <c r="W91" s="13">
        <v>0</v>
      </c>
      <c r="X91" s="13">
        <f>
              Ifs(
                (W91 = 'Points-Table'!$A$4), 'Points-Table'!$C$4,
                (W91 = 'Points-Table'!$A$5), 'Points-Table'!$C$5,
                (W91 = 'Points-Table'!$A$6), 'Points-Table'!$C$6,
                (W91 = 'Points-Table'!$A$7), 'Points-Table'!$C$7,
                (W91 = 'Points-Table'!$A$8), 'Points-Table'!$C$8,
                (W91 = 'Points-Table'!$A$9), 'Points-Table'!$C$9,
                (W91 = 'Points-Table'!$A$10), 'Points-Table'!$C$10,
                (W91 = 'Points-Table'!$A$11), 'Points-Table'!$C$11,
                (W91 = 'Points-Table'!$A$12), 'Points-Table'!$C$12,
                (W91 = 'Points-Table'!$A$13), 'Points-Table'!$C$13,
                true, 0
              )
            </f>
      </c>
      <c r="Y91" s="13">
        <v>0</v>
      </c>
      <c r="Z91" s="13">
        <f>
              Ifs(
                (Y91 = 'Points-Table'!$A$4), 'Points-Table'!$C$4,
                (Y91 = 'Points-Table'!$A$5), 'Points-Table'!$C$5,
                (Y91 = 'Points-Table'!$A$6), 'Points-Table'!$C$6,
                (Y91 = 'Points-Table'!$A$7), 'Points-Table'!$C$7,
                (Y91 = 'Points-Table'!$A$8), 'Points-Table'!$C$8,
                (Y91 = 'Points-Table'!$A$9), 'Points-Table'!$C$9,
                (Y91 = 'Points-Table'!$A$10), 'Points-Table'!$C$10,
                (Y91 = 'Points-Table'!$A$11), 'Points-Table'!$C$11,
                (Y91 = 'Points-Table'!$A$12), 'Points-Table'!$C$12,
                (Y91 = 'Points-Table'!$A$13), 'Points-Table'!$C$13,
                true, 0
              )
            </f>
      </c>
      <c r="AA91" s="13">
        <f>SUM(V91,X91,Z91)</f>
      </c>
      <c r="AB91" s="13">
        <f>
      Ifs( 
        ISBETWEEN(AA91, 0, 'Points-Table'!C$20, TRUE, False), 'Points-Table'!A$20,
        ISBETWEEN(AA91, 'Points-Table'!C$20, 'Points-Table'!C$21, TRUE, False), 'Points-Table'!A$21,
        ISBETWEEN(AA91, 'Points-Table'!C$22, 10000, TRUE, TRUE), 'Points-Table'!A$22,
        true, 
        0)
      </f>
      </c>
      <c r="AC91" s="13" t="s">
        <v>56</v>
      </c>
      <c r="AD91" s="13" t="s">
        <v>56</v>
      </c>
      <c r="AE91" s="13" t="s">
        <v>56</v>
      </c>
    </row>
    <row r="92" spans="1:31" s="13" customFormat="1" x14ac:dyDescent="0.25">
      <c r="A92" s="13" t="s">
        <v>251</v>
      </c>
      <c r="B92" s="13" t="s">
        <v>314</v>
      </c>
      <c r="C92" s="13" t="s">
        <v>331</v>
      </c>
      <c r="D92" s="13"/>
      <c r="E92" s="13"/>
      <c r="F92" s="13"/>
      <c r="G92" s="13"/>
      <c r="H92" s="13"/>
      <c r="I92" s="13"/>
      <c r="J92" s="13"/>
      <c r="K92" s="13" t="s">
        <v>84</v>
      </c>
      <c r="L92" s="13" t="s">
        <v>85</v>
      </c>
      <c r="M92" s="13"/>
      <c r="N92" s="13"/>
      <c r="O92" s="13"/>
      <c r="P92" s="13"/>
      <c r="Q92" s="13"/>
      <c r="R92" s="13">
        <f>
              Ifs(
                (Q92 = 'Points-Table'!$A$4), 'Points-Table'!$C$4,
                (Q92 = 'Points-Table'!$A$5), 'Points-Table'!$C$5,
                (Q92 = 'Points-Table'!$A$6), 'Points-Table'!$C$6,
                (Q92 = 'Points-Table'!$A$7), 'Points-Table'!$C$7,
                (Q92 = 'Points-Table'!$A$8), 'Points-Table'!$C$8,
                (Q92 = 'Points-Table'!$A$9), 'Points-Table'!$C$9,
                (Q92 = 'Points-Table'!$A$10), 'Points-Table'!$C$10,
                (Q92 = 'Points-Table'!$A$11), 'Points-Table'!$C$11,
                (Q92 = 'Points-Table'!$A$12), 'Points-Table'!$C$12,
                (Q92 = 'Points-Table'!$A$13), 'Points-Table'!$C$13,
                true, 0
              )
            </f>
      </c>
      <c r="S92" s="13"/>
      <c r="T92" s="13">
        <f>
              Ifs(
                (S92 = 'Points-Table'!$A$4), 'Points-Table'!$C$4,
                (S92 = 'Points-Table'!$A$5), 'Points-Table'!$C$5,
                (S92 = 'Points-Table'!$A$6), 'Points-Table'!$C$6,
                (S92 = 'Points-Table'!$A$7), 'Points-Table'!$C$7,
                (S92 = 'Points-Table'!$A$8), 'Points-Table'!$C$8,
                (S92 = 'Points-Table'!$A$9), 'Points-Table'!$C$9,
                (S92 = 'Points-Table'!$A$10), 'Points-Table'!$C$10,
                (S92 = 'Points-Table'!$A$11), 'Points-Table'!$C$11,
                (S92 = 'Points-Table'!$A$12), 'Points-Table'!$C$12,
                (S92 = 'Points-Table'!$A$13), 'Points-Table'!$C$13,
                true, 0
              )
            </f>
      </c>
      <c r="U92" s="13">
        <v>2</v>
      </c>
      <c r="V92" s="13">
        <f>
              Ifs(
                (U92 = 'Points-Table'!$A$4), 'Points-Table'!$C$4,
                (U92 = 'Points-Table'!$A$5), 'Points-Table'!$C$5,
                (U92 = 'Points-Table'!$A$6), 'Points-Table'!$C$6,
                (U92 = 'Points-Table'!$A$7), 'Points-Table'!$C$7,
                (U92 = 'Points-Table'!$A$8), 'Points-Table'!$C$8,
                (U92 = 'Points-Table'!$A$9), 'Points-Table'!$C$9,
                (U92 = 'Points-Table'!$A$10), 'Points-Table'!$C$10,
                (U92 = 'Points-Table'!$A$11), 'Points-Table'!$C$11,
                (U92 = 'Points-Table'!$A$12), 'Points-Table'!$C$12,
                (U92 = 'Points-Table'!$A$13), 'Points-Table'!$C$13,
                true, 0
              )
            </f>
      </c>
      <c r="W92" s="13">
        <v>0</v>
      </c>
      <c r="X92" s="13">
        <f>
              Ifs(
                (W92 = 'Points-Table'!$A$4), 'Points-Table'!$C$4,
                (W92 = 'Points-Table'!$A$5), 'Points-Table'!$C$5,
                (W92 = 'Points-Table'!$A$6), 'Points-Table'!$C$6,
                (W92 = 'Points-Table'!$A$7), 'Points-Table'!$C$7,
                (W92 = 'Points-Table'!$A$8), 'Points-Table'!$C$8,
                (W92 = 'Points-Table'!$A$9), 'Points-Table'!$C$9,
                (W92 = 'Points-Table'!$A$10), 'Points-Table'!$C$10,
                (W92 = 'Points-Table'!$A$11), 'Points-Table'!$C$11,
                (W92 = 'Points-Table'!$A$12), 'Points-Table'!$C$12,
                (W92 = 'Points-Table'!$A$13), 'Points-Table'!$C$13,
                true, 0
              )
            </f>
      </c>
      <c r="Y92" s="13">
        <v>0</v>
      </c>
      <c r="Z92" s="13">
        <f>
              Ifs(
                (Y92 = 'Points-Table'!$A$4), 'Points-Table'!$C$4,
                (Y92 = 'Points-Table'!$A$5), 'Points-Table'!$C$5,
                (Y92 = 'Points-Table'!$A$6), 'Points-Table'!$C$6,
                (Y92 = 'Points-Table'!$A$7), 'Points-Table'!$C$7,
                (Y92 = 'Points-Table'!$A$8), 'Points-Table'!$C$8,
                (Y92 = 'Points-Table'!$A$9), 'Points-Table'!$C$9,
                (Y92 = 'Points-Table'!$A$10), 'Points-Table'!$C$10,
                (Y92 = 'Points-Table'!$A$11), 'Points-Table'!$C$11,
                (Y92 = 'Points-Table'!$A$12), 'Points-Table'!$C$12,
                (Y92 = 'Points-Table'!$A$13), 'Points-Table'!$C$13,
                true, 0
              )
            </f>
      </c>
      <c r="AA92" s="13">
        <f>SUM(V92,X92,Z92)</f>
      </c>
      <c r="AB92" s="13">
        <f>
      Ifs( 
        ISBETWEEN(AA92, 0, 'Points-Table'!C$20, TRUE, False), 'Points-Table'!A$20,
        ISBETWEEN(AA92, 'Points-Table'!C$20, 'Points-Table'!C$21, TRUE, False), 'Points-Table'!A$21,
        ISBETWEEN(AA92, 'Points-Table'!C$22, 10000, TRUE, TRUE), 'Points-Table'!A$22,
        true, 
        0)
      </f>
      </c>
      <c r="AC92" s="13" t="s">
        <v>56</v>
      </c>
      <c r="AD92" s="13" t="s">
        <v>56</v>
      </c>
      <c r="AE92" s="13" t="s">
        <v>56</v>
      </c>
    </row>
    <row r="93" spans="1:31" s="13" customFormat="1" x14ac:dyDescent="0.25">
      <c r="A93" s="13" t="s">
        <v>251</v>
      </c>
      <c r="B93" s="13" t="s">
        <v>314</v>
      </c>
      <c r="C93" s="13" t="s">
        <v>332</v>
      </c>
      <c r="D93" s="13"/>
      <c r="E93" s="13"/>
      <c r="F93" s="13"/>
      <c r="G93" s="13"/>
      <c r="H93" s="13"/>
      <c r="I93" s="13"/>
      <c r="J93" s="13"/>
      <c r="K93" s="13" t="s">
        <v>84</v>
      </c>
      <c r="L93" s="13" t="s">
        <v>85</v>
      </c>
      <c r="M93" s="13"/>
      <c r="N93" s="13"/>
      <c r="O93" s="13"/>
      <c r="P93" s="13"/>
      <c r="Q93" s="13"/>
      <c r="R93" s="13">
        <f>
              Ifs(
                (Q93 = 'Points-Table'!$A$4), 'Points-Table'!$C$4,
                (Q93 = 'Points-Table'!$A$5), 'Points-Table'!$C$5,
                (Q93 = 'Points-Table'!$A$6), 'Points-Table'!$C$6,
                (Q93 = 'Points-Table'!$A$7), 'Points-Table'!$C$7,
                (Q93 = 'Points-Table'!$A$8), 'Points-Table'!$C$8,
                (Q93 = 'Points-Table'!$A$9), 'Points-Table'!$C$9,
                (Q93 = 'Points-Table'!$A$10), 'Points-Table'!$C$10,
                (Q93 = 'Points-Table'!$A$11), 'Points-Table'!$C$11,
                (Q93 = 'Points-Table'!$A$12), 'Points-Table'!$C$12,
                (Q93 = 'Points-Table'!$A$13), 'Points-Table'!$C$13,
                true, 0
              )
            </f>
      </c>
      <c r="S93" s="13"/>
      <c r="T93" s="13">
        <f>
              Ifs(
                (S93 = 'Points-Table'!$A$4), 'Points-Table'!$C$4,
                (S93 = 'Points-Table'!$A$5), 'Points-Table'!$C$5,
                (S93 = 'Points-Table'!$A$6), 'Points-Table'!$C$6,
                (S93 = 'Points-Table'!$A$7), 'Points-Table'!$C$7,
                (S93 = 'Points-Table'!$A$8), 'Points-Table'!$C$8,
                (S93 = 'Points-Table'!$A$9), 'Points-Table'!$C$9,
                (S93 = 'Points-Table'!$A$10), 'Points-Table'!$C$10,
                (S93 = 'Points-Table'!$A$11), 'Points-Table'!$C$11,
                (S93 = 'Points-Table'!$A$12), 'Points-Table'!$C$12,
                (S93 = 'Points-Table'!$A$13), 'Points-Table'!$C$13,
                true, 0
              )
            </f>
      </c>
      <c r="U93" s="13">
        <v>3</v>
      </c>
      <c r="V93" s="13">
        <f>
              Ifs(
                (U93 = 'Points-Table'!$A$4), 'Points-Table'!$C$4,
                (U93 = 'Points-Table'!$A$5), 'Points-Table'!$C$5,
                (U93 = 'Points-Table'!$A$6), 'Points-Table'!$C$6,
                (U93 = 'Points-Table'!$A$7), 'Points-Table'!$C$7,
                (U93 = 'Points-Table'!$A$8), 'Points-Table'!$C$8,
                (U93 = 'Points-Table'!$A$9), 'Points-Table'!$C$9,
                (U93 = 'Points-Table'!$A$10), 'Points-Table'!$C$10,
                (U93 = 'Points-Table'!$A$11), 'Points-Table'!$C$11,
                (U93 = 'Points-Table'!$A$12), 'Points-Table'!$C$12,
                (U93 = 'Points-Table'!$A$13), 'Points-Table'!$C$13,
                true, 0
              )
            </f>
      </c>
      <c r="W93" s="13">
        <v>0</v>
      </c>
      <c r="X93" s="13">
        <f>
              Ifs(
                (W93 = 'Points-Table'!$A$4), 'Points-Table'!$C$4,
                (W93 = 'Points-Table'!$A$5), 'Points-Table'!$C$5,
                (W93 = 'Points-Table'!$A$6), 'Points-Table'!$C$6,
                (W93 = 'Points-Table'!$A$7), 'Points-Table'!$C$7,
                (W93 = 'Points-Table'!$A$8), 'Points-Table'!$C$8,
                (W93 = 'Points-Table'!$A$9), 'Points-Table'!$C$9,
                (W93 = 'Points-Table'!$A$10), 'Points-Table'!$C$10,
                (W93 = 'Points-Table'!$A$11), 'Points-Table'!$C$11,
                (W93 = 'Points-Table'!$A$12), 'Points-Table'!$C$12,
                (W93 = 'Points-Table'!$A$13), 'Points-Table'!$C$13,
                true, 0
              )
            </f>
      </c>
      <c r="Y93" s="13">
        <v>0</v>
      </c>
      <c r="Z93" s="13">
        <f>
              Ifs(
                (Y93 = 'Points-Table'!$A$4), 'Points-Table'!$C$4,
                (Y93 = 'Points-Table'!$A$5), 'Points-Table'!$C$5,
                (Y93 = 'Points-Table'!$A$6), 'Points-Table'!$C$6,
                (Y93 = 'Points-Table'!$A$7), 'Points-Table'!$C$7,
                (Y93 = 'Points-Table'!$A$8), 'Points-Table'!$C$8,
                (Y93 = 'Points-Table'!$A$9), 'Points-Table'!$C$9,
                (Y93 = 'Points-Table'!$A$10), 'Points-Table'!$C$10,
                (Y93 = 'Points-Table'!$A$11), 'Points-Table'!$C$11,
                (Y93 = 'Points-Table'!$A$12), 'Points-Table'!$C$12,
                (Y93 = 'Points-Table'!$A$13), 'Points-Table'!$C$13,
                true, 0
              )
            </f>
      </c>
      <c r="AA93" s="13">
        <f>SUM(V93,X93,Z93)</f>
      </c>
      <c r="AB93" s="13">
        <f>
      Ifs( 
        ISBETWEEN(AA93, 0, 'Points-Table'!C$20, TRUE, False), 'Points-Table'!A$20,
        ISBETWEEN(AA93, 'Points-Table'!C$20, 'Points-Table'!C$21, TRUE, False), 'Points-Table'!A$21,
        ISBETWEEN(AA93, 'Points-Table'!C$22, 10000, TRUE, TRUE), 'Points-Table'!A$22,
        true, 
        0)
      </f>
      </c>
      <c r="AC93" s="13" t="s">
        <v>56</v>
      </c>
      <c r="AD93" s="13" t="s">
        <v>56</v>
      </c>
      <c r="AE93" s="13" t="s">
        <v>56</v>
      </c>
    </row>
    <row r="94" spans="1:31" s="13" customFormat="1" x14ac:dyDescent="0.25">
      <c r="A94" s="13" t="s">
        <v>251</v>
      </c>
      <c r="B94" s="13" t="s">
        <v>314</v>
      </c>
      <c r="C94" s="13" t="s">
        <v>333</v>
      </c>
      <c r="D94" s="13"/>
      <c r="E94" s="13"/>
      <c r="F94" s="13"/>
      <c r="G94" s="13"/>
      <c r="H94" s="13"/>
      <c r="I94" s="13"/>
      <c r="J94" s="13"/>
      <c r="K94" s="13" t="s">
        <v>84</v>
      </c>
      <c r="L94" s="13" t="s">
        <v>85</v>
      </c>
      <c r="M94" s="13"/>
      <c r="N94" s="13"/>
      <c r="O94" s="13"/>
      <c r="P94" s="13"/>
      <c r="Q94" s="13"/>
      <c r="R94" s="13">
        <f>
              Ifs(
                (Q94 = 'Points-Table'!$A$4), 'Points-Table'!$C$4,
                (Q94 = 'Points-Table'!$A$5), 'Points-Table'!$C$5,
                (Q94 = 'Points-Table'!$A$6), 'Points-Table'!$C$6,
                (Q94 = 'Points-Table'!$A$7), 'Points-Table'!$C$7,
                (Q94 = 'Points-Table'!$A$8), 'Points-Table'!$C$8,
                (Q94 = 'Points-Table'!$A$9), 'Points-Table'!$C$9,
                (Q94 = 'Points-Table'!$A$10), 'Points-Table'!$C$10,
                (Q94 = 'Points-Table'!$A$11), 'Points-Table'!$C$11,
                (Q94 = 'Points-Table'!$A$12), 'Points-Table'!$C$12,
                (Q94 = 'Points-Table'!$A$13), 'Points-Table'!$C$13,
                true, 0
              )
            </f>
      </c>
      <c r="S94" s="13"/>
      <c r="T94" s="13">
        <f>
              Ifs(
                (S94 = 'Points-Table'!$A$4), 'Points-Table'!$C$4,
                (S94 = 'Points-Table'!$A$5), 'Points-Table'!$C$5,
                (S94 = 'Points-Table'!$A$6), 'Points-Table'!$C$6,
                (S94 = 'Points-Table'!$A$7), 'Points-Table'!$C$7,
                (S94 = 'Points-Table'!$A$8), 'Points-Table'!$C$8,
                (S94 = 'Points-Table'!$A$9), 'Points-Table'!$C$9,
                (S94 = 'Points-Table'!$A$10), 'Points-Table'!$C$10,
                (S94 = 'Points-Table'!$A$11), 'Points-Table'!$C$11,
                (S94 = 'Points-Table'!$A$12), 'Points-Table'!$C$12,
                (S94 = 'Points-Table'!$A$13), 'Points-Table'!$C$13,
                true, 0
              )
            </f>
      </c>
      <c r="U94" s="13">
        <v>3</v>
      </c>
      <c r="V94" s="13">
        <f>
              Ifs(
                (U94 = 'Points-Table'!$A$4), 'Points-Table'!$C$4,
                (U94 = 'Points-Table'!$A$5), 'Points-Table'!$C$5,
                (U94 = 'Points-Table'!$A$6), 'Points-Table'!$C$6,
                (U94 = 'Points-Table'!$A$7), 'Points-Table'!$C$7,
                (U94 = 'Points-Table'!$A$8), 'Points-Table'!$C$8,
                (U94 = 'Points-Table'!$A$9), 'Points-Table'!$C$9,
                (U94 = 'Points-Table'!$A$10), 'Points-Table'!$C$10,
                (U94 = 'Points-Table'!$A$11), 'Points-Table'!$C$11,
                (U94 = 'Points-Table'!$A$12), 'Points-Table'!$C$12,
                (U94 = 'Points-Table'!$A$13), 'Points-Table'!$C$13,
                true, 0
              )
            </f>
      </c>
      <c r="W94" s="13">
        <v>0</v>
      </c>
      <c r="X94" s="13">
        <f>
              Ifs(
                (W94 = 'Points-Table'!$A$4), 'Points-Table'!$C$4,
                (W94 = 'Points-Table'!$A$5), 'Points-Table'!$C$5,
                (W94 = 'Points-Table'!$A$6), 'Points-Table'!$C$6,
                (W94 = 'Points-Table'!$A$7), 'Points-Table'!$C$7,
                (W94 = 'Points-Table'!$A$8), 'Points-Table'!$C$8,
                (W94 = 'Points-Table'!$A$9), 'Points-Table'!$C$9,
                (W94 = 'Points-Table'!$A$10), 'Points-Table'!$C$10,
                (W94 = 'Points-Table'!$A$11), 'Points-Table'!$C$11,
                (W94 = 'Points-Table'!$A$12), 'Points-Table'!$C$12,
                (W94 = 'Points-Table'!$A$13), 'Points-Table'!$C$13,
                true, 0
              )
            </f>
      </c>
      <c r="Y94" s="13">
        <v>0</v>
      </c>
      <c r="Z94" s="13">
        <f>
              Ifs(
                (Y94 = 'Points-Table'!$A$4), 'Points-Table'!$C$4,
                (Y94 = 'Points-Table'!$A$5), 'Points-Table'!$C$5,
                (Y94 = 'Points-Table'!$A$6), 'Points-Table'!$C$6,
                (Y94 = 'Points-Table'!$A$7), 'Points-Table'!$C$7,
                (Y94 = 'Points-Table'!$A$8), 'Points-Table'!$C$8,
                (Y94 = 'Points-Table'!$A$9), 'Points-Table'!$C$9,
                (Y94 = 'Points-Table'!$A$10), 'Points-Table'!$C$10,
                (Y94 = 'Points-Table'!$A$11), 'Points-Table'!$C$11,
                (Y94 = 'Points-Table'!$A$12), 'Points-Table'!$C$12,
                (Y94 = 'Points-Table'!$A$13), 'Points-Table'!$C$13,
                true, 0
              )
            </f>
      </c>
      <c r="AA94" s="13">
        <f>SUM(V94,X94,Z94)</f>
      </c>
      <c r="AB94" s="13">
        <f>
      Ifs( 
        ISBETWEEN(AA94, 0, 'Points-Table'!C$20, TRUE, False), 'Points-Table'!A$20,
        ISBETWEEN(AA94, 'Points-Table'!C$20, 'Points-Table'!C$21, TRUE, False), 'Points-Table'!A$21,
        ISBETWEEN(AA94, 'Points-Table'!C$22, 10000, TRUE, TRUE), 'Points-Table'!A$22,
        true, 
        0)
      </f>
      </c>
      <c r="AC94" s="13" t="s">
        <v>56</v>
      </c>
      <c r="AD94" s="13" t="s">
        <v>56</v>
      </c>
      <c r="AE94" s="13" t="s">
        <v>56</v>
      </c>
    </row>
    <row r="95" spans="1:31" s="13" customFormat="1" x14ac:dyDescent="0.25">
      <c r="A95" s="13" t="s">
        <v>251</v>
      </c>
      <c r="B95" s="13" t="s">
        <v>314</v>
      </c>
      <c r="C95" s="13" t="s">
        <v>334</v>
      </c>
      <c r="D95" s="13"/>
      <c r="E95" s="13"/>
      <c r="F95" s="13"/>
      <c r="G95" s="13"/>
      <c r="H95" s="13"/>
      <c r="I95" s="13"/>
      <c r="J95" s="13"/>
      <c r="K95" s="13" t="s">
        <v>84</v>
      </c>
      <c r="L95" s="13" t="s">
        <v>85</v>
      </c>
      <c r="M95" s="13"/>
      <c r="N95" s="13"/>
      <c r="O95" s="13"/>
      <c r="P95" s="13"/>
      <c r="Q95" s="13"/>
      <c r="R95" s="13">
        <f>
              Ifs(
                (Q95 = 'Points-Table'!$A$4), 'Points-Table'!$C$4,
                (Q95 = 'Points-Table'!$A$5), 'Points-Table'!$C$5,
                (Q95 = 'Points-Table'!$A$6), 'Points-Table'!$C$6,
                (Q95 = 'Points-Table'!$A$7), 'Points-Table'!$C$7,
                (Q95 = 'Points-Table'!$A$8), 'Points-Table'!$C$8,
                (Q95 = 'Points-Table'!$A$9), 'Points-Table'!$C$9,
                (Q95 = 'Points-Table'!$A$10), 'Points-Table'!$C$10,
                (Q95 = 'Points-Table'!$A$11), 'Points-Table'!$C$11,
                (Q95 = 'Points-Table'!$A$12), 'Points-Table'!$C$12,
                (Q95 = 'Points-Table'!$A$13), 'Points-Table'!$C$13,
                true, 0
              )
            </f>
      </c>
      <c r="S95" s="13"/>
      <c r="T95" s="13">
        <f>
              Ifs(
                (S95 = 'Points-Table'!$A$4), 'Points-Table'!$C$4,
                (S95 = 'Points-Table'!$A$5), 'Points-Table'!$C$5,
                (S95 = 'Points-Table'!$A$6), 'Points-Table'!$C$6,
                (S95 = 'Points-Table'!$A$7), 'Points-Table'!$C$7,
                (S95 = 'Points-Table'!$A$8), 'Points-Table'!$C$8,
                (S95 = 'Points-Table'!$A$9), 'Points-Table'!$C$9,
                (S95 = 'Points-Table'!$A$10), 'Points-Table'!$C$10,
                (S95 = 'Points-Table'!$A$11), 'Points-Table'!$C$11,
                (S95 = 'Points-Table'!$A$12), 'Points-Table'!$C$12,
                (S95 = 'Points-Table'!$A$13), 'Points-Table'!$C$13,
                true, 0
              )
            </f>
      </c>
      <c r="U95" s="13">
        <v>3</v>
      </c>
      <c r="V95" s="13">
        <f>
              Ifs(
                (U95 = 'Points-Table'!$A$4), 'Points-Table'!$C$4,
                (U95 = 'Points-Table'!$A$5), 'Points-Table'!$C$5,
                (U95 = 'Points-Table'!$A$6), 'Points-Table'!$C$6,
                (U95 = 'Points-Table'!$A$7), 'Points-Table'!$C$7,
                (U95 = 'Points-Table'!$A$8), 'Points-Table'!$C$8,
                (U95 = 'Points-Table'!$A$9), 'Points-Table'!$C$9,
                (U95 = 'Points-Table'!$A$10), 'Points-Table'!$C$10,
                (U95 = 'Points-Table'!$A$11), 'Points-Table'!$C$11,
                (U95 = 'Points-Table'!$A$12), 'Points-Table'!$C$12,
                (U95 = 'Points-Table'!$A$13), 'Points-Table'!$C$13,
                true, 0
              )
            </f>
      </c>
      <c r="W95" s="13">
        <v>0</v>
      </c>
      <c r="X95" s="13">
        <f>
              Ifs(
                (W95 = 'Points-Table'!$A$4), 'Points-Table'!$C$4,
                (W95 = 'Points-Table'!$A$5), 'Points-Table'!$C$5,
                (W95 = 'Points-Table'!$A$6), 'Points-Table'!$C$6,
                (W95 = 'Points-Table'!$A$7), 'Points-Table'!$C$7,
                (W95 = 'Points-Table'!$A$8), 'Points-Table'!$C$8,
                (W95 = 'Points-Table'!$A$9), 'Points-Table'!$C$9,
                (W95 = 'Points-Table'!$A$10), 'Points-Table'!$C$10,
                (W95 = 'Points-Table'!$A$11), 'Points-Table'!$C$11,
                (W95 = 'Points-Table'!$A$12), 'Points-Table'!$C$12,
                (W95 = 'Points-Table'!$A$13), 'Points-Table'!$C$13,
                true, 0
              )
            </f>
      </c>
      <c r="Y95" s="13">
        <v>0</v>
      </c>
      <c r="Z95" s="13">
        <f>
              Ifs(
                (Y95 = 'Points-Table'!$A$4), 'Points-Table'!$C$4,
                (Y95 = 'Points-Table'!$A$5), 'Points-Table'!$C$5,
                (Y95 = 'Points-Table'!$A$6), 'Points-Table'!$C$6,
                (Y95 = 'Points-Table'!$A$7), 'Points-Table'!$C$7,
                (Y95 = 'Points-Table'!$A$8), 'Points-Table'!$C$8,
                (Y95 = 'Points-Table'!$A$9), 'Points-Table'!$C$9,
                (Y95 = 'Points-Table'!$A$10), 'Points-Table'!$C$10,
                (Y95 = 'Points-Table'!$A$11), 'Points-Table'!$C$11,
                (Y95 = 'Points-Table'!$A$12), 'Points-Table'!$C$12,
                (Y95 = 'Points-Table'!$A$13), 'Points-Table'!$C$13,
                true, 0
              )
            </f>
      </c>
      <c r="AA95" s="13">
        <f>SUM(V95,X95,Z95)</f>
      </c>
      <c r="AB95" s="13">
        <f>
      Ifs( 
        ISBETWEEN(AA95, 0, 'Points-Table'!C$20, TRUE, False), 'Points-Table'!A$20,
        ISBETWEEN(AA95, 'Points-Table'!C$20, 'Points-Table'!C$21, TRUE, False), 'Points-Table'!A$21,
        ISBETWEEN(AA95, 'Points-Table'!C$22, 10000, TRUE, TRUE), 'Points-Table'!A$22,
        true, 
        0)
      </f>
      </c>
      <c r="AC95" s="13" t="s">
        <v>56</v>
      </c>
      <c r="AD95" s="13" t="s">
        <v>56</v>
      </c>
      <c r="AE95" s="13" t="s">
        <v>56</v>
      </c>
    </row>
    <row r="96" spans="1:31" s="13" customFormat="1" x14ac:dyDescent="0.25">
      <c r="A96" s="13" t="s">
        <v>251</v>
      </c>
      <c r="B96" s="13" t="s">
        <v>314</v>
      </c>
      <c r="C96" s="13" t="s">
        <v>335</v>
      </c>
      <c r="D96" s="13" t="s">
        <v>336</v>
      </c>
      <c r="E96" s="13"/>
      <c r="F96" s="13"/>
      <c r="G96" s="13"/>
      <c r="H96" s="13"/>
      <c r="I96" s="13"/>
      <c r="J96" s="13"/>
      <c r="K96" s="13" t="s">
        <v>84</v>
      </c>
      <c r="L96" s="13" t="s">
        <v>85</v>
      </c>
      <c r="M96" s="13"/>
      <c r="N96" s="13"/>
      <c r="O96" s="13"/>
      <c r="P96" s="13"/>
      <c r="Q96" s="13"/>
      <c r="R96" s="13">
        <f>
              Ifs(
                (Q96 = 'Points-Table'!$A$4), 'Points-Table'!$C$4,
                (Q96 = 'Points-Table'!$A$5), 'Points-Table'!$C$5,
                (Q96 = 'Points-Table'!$A$6), 'Points-Table'!$C$6,
                (Q96 = 'Points-Table'!$A$7), 'Points-Table'!$C$7,
                (Q96 = 'Points-Table'!$A$8), 'Points-Table'!$C$8,
                (Q96 = 'Points-Table'!$A$9), 'Points-Table'!$C$9,
                (Q96 = 'Points-Table'!$A$10), 'Points-Table'!$C$10,
                (Q96 = 'Points-Table'!$A$11), 'Points-Table'!$C$11,
                (Q96 = 'Points-Table'!$A$12), 'Points-Table'!$C$12,
                (Q96 = 'Points-Table'!$A$13), 'Points-Table'!$C$13,
                true, 0
              )
            </f>
      </c>
      <c r="S96" s="13"/>
      <c r="T96" s="13">
        <f>
              Ifs(
                (S96 = 'Points-Table'!$A$4), 'Points-Table'!$C$4,
                (S96 = 'Points-Table'!$A$5), 'Points-Table'!$C$5,
                (S96 = 'Points-Table'!$A$6), 'Points-Table'!$C$6,
                (S96 = 'Points-Table'!$A$7), 'Points-Table'!$C$7,
                (S96 = 'Points-Table'!$A$8), 'Points-Table'!$C$8,
                (S96 = 'Points-Table'!$A$9), 'Points-Table'!$C$9,
                (S96 = 'Points-Table'!$A$10), 'Points-Table'!$C$10,
                (S96 = 'Points-Table'!$A$11), 'Points-Table'!$C$11,
                (S96 = 'Points-Table'!$A$12), 'Points-Table'!$C$12,
                (S96 = 'Points-Table'!$A$13), 'Points-Table'!$C$13,
                true, 0
              )
            </f>
      </c>
      <c r="U96" s="13">
        <v>3</v>
      </c>
      <c r="V96" s="13">
        <f>
              Ifs(
                (U96 = 'Points-Table'!$A$4), 'Points-Table'!$C$4,
                (U96 = 'Points-Table'!$A$5), 'Points-Table'!$C$5,
                (U96 = 'Points-Table'!$A$6), 'Points-Table'!$C$6,
                (U96 = 'Points-Table'!$A$7), 'Points-Table'!$C$7,
                (U96 = 'Points-Table'!$A$8), 'Points-Table'!$C$8,
                (U96 = 'Points-Table'!$A$9), 'Points-Table'!$C$9,
                (U96 = 'Points-Table'!$A$10), 'Points-Table'!$C$10,
                (U96 = 'Points-Table'!$A$11), 'Points-Table'!$C$11,
                (U96 = 'Points-Table'!$A$12), 'Points-Table'!$C$12,
                (U96 = 'Points-Table'!$A$13), 'Points-Table'!$C$13,
                true, 0
              )
            </f>
      </c>
      <c r="W96" s="13">
        <v>0</v>
      </c>
      <c r="X96" s="13">
        <f>
              Ifs(
                (W96 = 'Points-Table'!$A$4), 'Points-Table'!$C$4,
                (W96 = 'Points-Table'!$A$5), 'Points-Table'!$C$5,
                (W96 = 'Points-Table'!$A$6), 'Points-Table'!$C$6,
                (W96 = 'Points-Table'!$A$7), 'Points-Table'!$C$7,
                (W96 = 'Points-Table'!$A$8), 'Points-Table'!$C$8,
                (W96 = 'Points-Table'!$A$9), 'Points-Table'!$C$9,
                (W96 = 'Points-Table'!$A$10), 'Points-Table'!$C$10,
                (W96 = 'Points-Table'!$A$11), 'Points-Table'!$C$11,
                (W96 = 'Points-Table'!$A$12), 'Points-Table'!$C$12,
                (W96 = 'Points-Table'!$A$13), 'Points-Table'!$C$13,
                true, 0
              )
            </f>
      </c>
      <c r="Y96" s="13">
        <v>0</v>
      </c>
      <c r="Z96" s="13">
        <f>
              Ifs(
                (Y96 = 'Points-Table'!$A$4), 'Points-Table'!$C$4,
                (Y96 = 'Points-Table'!$A$5), 'Points-Table'!$C$5,
                (Y96 = 'Points-Table'!$A$6), 'Points-Table'!$C$6,
                (Y96 = 'Points-Table'!$A$7), 'Points-Table'!$C$7,
                (Y96 = 'Points-Table'!$A$8), 'Points-Table'!$C$8,
                (Y96 = 'Points-Table'!$A$9), 'Points-Table'!$C$9,
                (Y96 = 'Points-Table'!$A$10), 'Points-Table'!$C$10,
                (Y96 = 'Points-Table'!$A$11), 'Points-Table'!$C$11,
                (Y96 = 'Points-Table'!$A$12), 'Points-Table'!$C$12,
                (Y96 = 'Points-Table'!$A$13), 'Points-Table'!$C$13,
                true, 0
              )
            </f>
      </c>
      <c r="AA96" s="13">
        <f>SUM(V96,X96,Z96)</f>
      </c>
      <c r="AB96" s="13">
        <f>
      Ifs( 
        ISBETWEEN(AA96, 0, 'Points-Table'!C$20, TRUE, False), 'Points-Table'!A$20,
        ISBETWEEN(AA96, 'Points-Table'!C$20, 'Points-Table'!C$21, TRUE, False), 'Points-Table'!A$21,
        ISBETWEEN(AA96, 'Points-Table'!C$22, 10000, TRUE, TRUE), 'Points-Table'!A$22,
        true, 
        0)
      </f>
      </c>
      <c r="AC96" s="13" t="s">
        <v>56</v>
      </c>
      <c r="AD96" s="13" t="s">
        <v>56</v>
      </c>
      <c r="AE96" s="13" t="s">
        <v>56</v>
      </c>
    </row>
    <row r="97" spans="1:31" s="13" customFormat="1" x14ac:dyDescent="0.25">
      <c r="A97" s="13" t="s">
        <v>251</v>
      </c>
      <c r="B97" s="13" t="s">
        <v>314</v>
      </c>
      <c r="C97" s="13" t="s">
        <v>337</v>
      </c>
      <c r="D97" s="13" t="s">
        <v>338</v>
      </c>
      <c r="E97" s="13"/>
      <c r="F97" s="13"/>
      <c r="G97" s="13"/>
      <c r="H97" s="13"/>
      <c r="I97" s="13"/>
      <c r="J97" s="13"/>
      <c r="K97" s="13" t="s">
        <v>84</v>
      </c>
      <c r="L97" s="13" t="s">
        <v>85</v>
      </c>
      <c r="M97" s="13"/>
      <c r="N97" s="13"/>
      <c r="O97" s="13"/>
      <c r="P97" s="13"/>
      <c r="Q97" s="13"/>
      <c r="R97" s="13">
        <f>
              Ifs(
                (Q97 = 'Points-Table'!$A$4), 'Points-Table'!$C$4,
                (Q97 = 'Points-Table'!$A$5), 'Points-Table'!$C$5,
                (Q97 = 'Points-Table'!$A$6), 'Points-Table'!$C$6,
                (Q97 = 'Points-Table'!$A$7), 'Points-Table'!$C$7,
                (Q97 = 'Points-Table'!$A$8), 'Points-Table'!$C$8,
                (Q97 = 'Points-Table'!$A$9), 'Points-Table'!$C$9,
                (Q97 = 'Points-Table'!$A$10), 'Points-Table'!$C$10,
                (Q97 = 'Points-Table'!$A$11), 'Points-Table'!$C$11,
                (Q97 = 'Points-Table'!$A$12), 'Points-Table'!$C$12,
                (Q97 = 'Points-Table'!$A$13), 'Points-Table'!$C$13,
                true, 0
              )
            </f>
      </c>
      <c r="S97" s="13"/>
      <c r="T97" s="13">
        <f>
              Ifs(
                (S97 = 'Points-Table'!$A$4), 'Points-Table'!$C$4,
                (S97 = 'Points-Table'!$A$5), 'Points-Table'!$C$5,
                (S97 = 'Points-Table'!$A$6), 'Points-Table'!$C$6,
                (S97 = 'Points-Table'!$A$7), 'Points-Table'!$C$7,
                (S97 = 'Points-Table'!$A$8), 'Points-Table'!$C$8,
                (S97 = 'Points-Table'!$A$9), 'Points-Table'!$C$9,
                (S97 = 'Points-Table'!$A$10), 'Points-Table'!$C$10,
                (S97 = 'Points-Table'!$A$11), 'Points-Table'!$C$11,
                (S97 = 'Points-Table'!$A$12), 'Points-Table'!$C$12,
                (S97 = 'Points-Table'!$A$13), 'Points-Table'!$C$13,
                true, 0
              )
            </f>
      </c>
      <c r="U97" s="13">
        <v>5</v>
      </c>
      <c r="V97" s="13">
        <f>
              Ifs(
                (U97 = 'Points-Table'!$A$4), 'Points-Table'!$C$4,
                (U97 = 'Points-Table'!$A$5), 'Points-Table'!$C$5,
                (U97 = 'Points-Table'!$A$6), 'Points-Table'!$C$6,
                (U97 = 'Points-Table'!$A$7), 'Points-Table'!$C$7,
                (U97 = 'Points-Table'!$A$8), 'Points-Table'!$C$8,
                (U97 = 'Points-Table'!$A$9), 'Points-Table'!$C$9,
                (U97 = 'Points-Table'!$A$10), 'Points-Table'!$C$10,
                (U97 = 'Points-Table'!$A$11), 'Points-Table'!$C$11,
                (U97 = 'Points-Table'!$A$12), 'Points-Table'!$C$12,
                (U97 = 'Points-Table'!$A$13), 'Points-Table'!$C$13,
                true, 0
              )
            </f>
      </c>
      <c r="W97" s="13">
        <v>5</v>
      </c>
      <c r="X97" s="13">
        <f>
              Ifs(
                (W97 = 'Points-Table'!$A$4), 'Points-Table'!$C$4,
                (W97 = 'Points-Table'!$A$5), 'Points-Table'!$C$5,
                (W97 = 'Points-Table'!$A$6), 'Points-Table'!$C$6,
                (W97 = 'Points-Table'!$A$7), 'Points-Table'!$C$7,
                (W97 = 'Points-Table'!$A$8), 'Points-Table'!$C$8,
                (W97 = 'Points-Table'!$A$9), 'Points-Table'!$C$9,
                (W97 = 'Points-Table'!$A$10), 'Points-Table'!$C$10,
                (W97 = 'Points-Table'!$A$11), 'Points-Table'!$C$11,
                (W97 = 'Points-Table'!$A$12), 'Points-Table'!$C$12,
                (W97 = 'Points-Table'!$A$13), 'Points-Table'!$C$13,
                true, 0
              )
            </f>
      </c>
      <c r="Y97" s="13">
        <v>8</v>
      </c>
      <c r="Z97" s="13">
        <f>
              Ifs(
                (Y97 = 'Points-Table'!$A$4), 'Points-Table'!$C$4,
                (Y97 = 'Points-Table'!$A$5), 'Points-Table'!$C$5,
                (Y97 = 'Points-Table'!$A$6), 'Points-Table'!$C$6,
                (Y97 = 'Points-Table'!$A$7), 'Points-Table'!$C$7,
                (Y97 = 'Points-Table'!$A$8), 'Points-Table'!$C$8,
                (Y97 = 'Points-Table'!$A$9), 'Points-Table'!$C$9,
                (Y97 = 'Points-Table'!$A$10), 'Points-Table'!$C$10,
                (Y97 = 'Points-Table'!$A$11), 'Points-Table'!$C$11,
                (Y97 = 'Points-Table'!$A$12), 'Points-Table'!$C$12,
                (Y97 = 'Points-Table'!$A$13), 'Points-Table'!$C$13,
                true, 0
              )
            </f>
      </c>
      <c r="AA97" s="13">
        <f>SUM(V97,X97,Z97)</f>
      </c>
      <c r="AB97" s="13">
        <f>
      Ifs( 
        ISBETWEEN(AA97, 0, 'Points-Table'!C$20, TRUE, False), 'Points-Table'!A$20,
        ISBETWEEN(AA97, 'Points-Table'!C$20, 'Points-Table'!C$21, TRUE, False), 'Points-Table'!A$21,
        ISBETWEEN(AA97, 'Points-Table'!C$22, 10000, TRUE, TRUE), 'Points-Table'!A$22,
        true, 
        0)
      </f>
      </c>
      <c r="AC97" s="13" t="s">
        <v>56</v>
      </c>
      <c r="AD97" s="13" t="s">
        <v>56</v>
      </c>
      <c r="AE97" s="13" t="s">
        <v>56</v>
      </c>
    </row>
    <row r="98" spans="1:31" s="6" customFormat="1" x14ac:dyDescent="0.25">
      <c r="A98" s="6" t="s">
        <v>339</v>
      </c>
      <c r="B98" s="6" t="s">
        <v>340</v>
      </c>
      <c r="C98" s="6" t="s">
        <v>341</v>
      </c>
      <c r="D98" s="6"/>
      <c r="E98" s="6"/>
      <c r="F98" s="6"/>
      <c r="G98" s="6"/>
      <c r="H98" s="6"/>
      <c r="I98" s="6"/>
      <c r="J98" s="6"/>
      <c r="K98" s="6" t="s">
        <v>84</v>
      </c>
      <c r="L98" s="6" t="s">
        <v>85</v>
      </c>
      <c r="M98" s="6"/>
      <c r="N98" s="6"/>
      <c r="O98" s="6"/>
      <c r="P98" s="6"/>
      <c r="Q98" s="11"/>
      <c r="R98" s="12">
        <f>
              Ifs(
                (Q98 = 'Points-Table'!$A$4), 'Points-Table'!$C$4,
                (Q98 = 'Points-Table'!$A$5), 'Points-Table'!$C$5,
                (Q98 = 'Points-Table'!$A$6), 'Points-Table'!$C$6,
                (Q98 = 'Points-Table'!$A$7), 'Points-Table'!$C$7,
                (Q98 = 'Points-Table'!$A$8), 'Points-Table'!$C$8,
                (Q98 = 'Points-Table'!$A$9), 'Points-Table'!$C$9,
                (Q98 = 'Points-Table'!$A$10), 'Points-Table'!$C$10,
                (Q98 = 'Points-Table'!$A$11), 'Points-Table'!$C$11,
                (Q98 = 'Points-Table'!$A$12), 'Points-Table'!$C$12,
                (Q98 = 'Points-Table'!$A$13), 'Points-Table'!$C$13,
                true, 0
              )
            </f>
      </c>
      <c r="S98" s="11"/>
      <c r="T98" s="12">
        <f>
              Ifs(
                (S98 = 'Points-Table'!$A$4), 'Points-Table'!$C$4,
                (S98 = 'Points-Table'!$A$5), 'Points-Table'!$C$5,
                (S98 = 'Points-Table'!$A$6), 'Points-Table'!$C$6,
                (S98 = 'Points-Table'!$A$7), 'Points-Table'!$C$7,
                (S98 = 'Points-Table'!$A$8), 'Points-Table'!$C$8,
                (S98 = 'Points-Table'!$A$9), 'Points-Table'!$C$9,
                (S98 = 'Points-Table'!$A$10), 'Points-Table'!$C$10,
                (S98 = 'Points-Table'!$A$11), 'Points-Table'!$C$11,
                (S98 = 'Points-Table'!$A$12), 'Points-Table'!$C$12,
                (S98 = 'Points-Table'!$A$13), 'Points-Table'!$C$13,
                true, 0
              )
            </f>
      </c>
      <c r="U98" s="11">
        <v>2</v>
      </c>
      <c r="V98" s="12">
        <f>
              Ifs(
                (U98 = 'Points-Table'!$A$4), 'Points-Table'!$C$4,
                (U98 = 'Points-Table'!$A$5), 'Points-Table'!$C$5,
                (U98 = 'Points-Table'!$A$6), 'Points-Table'!$C$6,
                (U98 = 'Points-Table'!$A$7), 'Points-Table'!$C$7,
                (U98 = 'Points-Table'!$A$8), 'Points-Table'!$C$8,
                (U98 = 'Points-Table'!$A$9), 'Points-Table'!$C$9,
                (U98 = 'Points-Table'!$A$10), 'Points-Table'!$C$10,
                (U98 = 'Points-Table'!$A$11), 'Points-Table'!$C$11,
                (U98 = 'Points-Table'!$A$12), 'Points-Table'!$C$12,
                (U98 = 'Points-Table'!$A$13), 'Points-Table'!$C$13,
                true, 0
              )
            </f>
      </c>
      <c r="W98" s="11">
        <v>0</v>
      </c>
      <c r="X98" s="12">
        <f>
              Ifs(
                (W98 = 'Points-Table'!$A$4), 'Points-Table'!$C$4,
                (W98 = 'Points-Table'!$A$5), 'Points-Table'!$C$5,
                (W98 = 'Points-Table'!$A$6), 'Points-Table'!$C$6,
                (W98 = 'Points-Table'!$A$7), 'Points-Table'!$C$7,
                (W98 = 'Points-Table'!$A$8), 'Points-Table'!$C$8,
                (W98 = 'Points-Table'!$A$9), 'Points-Table'!$C$9,
                (W98 = 'Points-Table'!$A$10), 'Points-Table'!$C$10,
                (W98 = 'Points-Table'!$A$11), 'Points-Table'!$C$11,
                (W98 = 'Points-Table'!$A$12), 'Points-Table'!$C$12,
                (W98 = 'Points-Table'!$A$13), 'Points-Table'!$C$13,
                true, 0
              )
            </f>
      </c>
      <c r="Y98" s="11">
        <v>0</v>
      </c>
      <c r="Z98" s="12">
        <f>
              Ifs(
                (Y98 = 'Points-Table'!$A$4), 'Points-Table'!$C$4,
                (Y98 = 'Points-Table'!$A$5), 'Points-Table'!$C$5,
                (Y98 = 'Points-Table'!$A$6), 'Points-Table'!$C$6,
                (Y98 = 'Points-Table'!$A$7), 'Points-Table'!$C$7,
                (Y98 = 'Points-Table'!$A$8), 'Points-Table'!$C$8,
                (Y98 = 'Points-Table'!$A$9), 'Points-Table'!$C$9,
                (Y98 = 'Points-Table'!$A$10), 'Points-Table'!$C$10,
                (Y98 = 'Points-Table'!$A$11), 'Points-Table'!$C$11,
                (Y98 = 'Points-Table'!$A$12), 'Points-Table'!$C$12,
                (Y98 = 'Points-Table'!$A$13), 'Points-Table'!$C$13,
                true, 0
              )
            </f>
      </c>
      <c r="AA98" s="6">
        <f>SUM(V98,X98,Z98)</f>
      </c>
      <c r="AB98" s="6">
        <f>
      Ifs( 
        ISBETWEEN(AA98, 0, 'Points-Table'!C$20, TRUE, False), 'Points-Table'!A$20,
        ISBETWEEN(AA98, 'Points-Table'!C$20, 'Points-Table'!C$21, TRUE, False), 'Points-Table'!A$21,
        ISBETWEEN(AA98, 'Points-Table'!C$22, 10000, TRUE, TRUE), 'Points-Table'!A$22,
        true, 
        0)
      </f>
      </c>
      <c r="AC98" s="6" t="s">
        <v>56</v>
      </c>
      <c r="AD98" s="6" t="s">
        <v>56</v>
      </c>
      <c r="AE98" s="6" t="s">
        <v>56</v>
      </c>
    </row>
    <row r="99" spans="1:31" s="6" customFormat="1" x14ac:dyDescent="0.25">
      <c r="A99" s="6" t="s">
        <v>339</v>
      </c>
      <c r="B99" s="6" t="s">
        <v>340</v>
      </c>
      <c r="C99" s="6" t="s">
        <v>342</v>
      </c>
      <c r="D99" s="6"/>
      <c r="E99" s="6"/>
      <c r="F99" s="6"/>
      <c r="G99" s="6"/>
      <c r="H99" s="6"/>
      <c r="I99" s="6"/>
      <c r="J99" s="6"/>
      <c r="K99" s="6" t="s">
        <v>84</v>
      </c>
      <c r="L99" s="6" t="s">
        <v>85</v>
      </c>
      <c r="M99" s="6"/>
      <c r="N99" s="6"/>
      <c r="O99" s="6"/>
      <c r="P99" s="6"/>
      <c r="Q99" s="11"/>
      <c r="R99" s="12">
        <f>
              Ifs(
                (Q99 = 'Points-Table'!$A$4), 'Points-Table'!$C$4,
                (Q99 = 'Points-Table'!$A$5), 'Points-Table'!$C$5,
                (Q99 = 'Points-Table'!$A$6), 'Points-Table'!$C$6,
                (Q99 = 'Points-Table'!$A$7), 'Points-Table'!$C$7,
                (Q99 = 'Points-Table'!$A$8), 'Points-Table'!$C$8,
                (Q99 = 'Points-Table'!$A$9), 'Points-Table'!$C$9,
                (Q99 = 'Points-Table'!$A$10), 'Points-Table'!$C$10,
                (Q99 = 'Points-Table'!$A$11), 'Points-Table'!$C$11,
                (Q99 = 'Points-Table'!$A$12), 'Points-Table'!$C$12,
                (Q99 = 'Points-Table'!$A$13), 'Points-Table'!$C$13,
                true, 0
              )
            </f>
      </c>
      <c r="S99" s="11"/>
      <c r="T99" s="12">
        <f>
              Ifs(
                (S99 = 'Points-Table'!$A$4), 'Points-Table'!$C$4,
                (S99 = 'Points-Table'!$A$5), 'Points-Table'!$C$5,
                (S99 = 'Points-Table'!$A$6), 'Points-Table'!$C$6,
                (S99 = 'Points-Table'!$A$7), 'Points-Table'!$C$7,
                (S99 = 'Points-Table'!$A$8), 'Points-Table'!$C$8,
                (S99 = 'Points-Table'!$A$9), 'Points-Table'!$C$9,
                (S99 = 'Points-Table'!$A$10), 'Points-Table'!$C$10,
                (S99 = 'Points-Table'!$A$11), 'Points-Table'!$C$11,
                (S99 = 'Points-Table'!$A$12), 'Points-Table'!$C$12,
                (S99 = 'Points-Table'!$A$13), 'Points-Table'!$C$13,
                true, 0
              )
            </f>
      </c>
      <c r="U99" s="11">
        <v>2</v>
      </c>
      <c r="V99" s="12">
        <f>
              Ifs(
                (U99 = 'Points-Table'!$A$4), 'Points-Table'!$C$4,
                (U99 = 'Points-Table'!$A$5), 'Points-Table'!$C$5,
                (U99 = 'Points-Table'!$A$6), 'Points-Table'!$C$6,
                (U99 = 'Points-Table'!$A$7), 'Points-Table'!$C$7,
                (U99 = 'Points-Table'!$A$8), 'Points-Table'!$C$8,
                (U99 = 'Points-Table'!$A$9), 'Points-Table'!$C$9,
                (U99 = 'Points-Table'!$A$10), 'Points-Table'!$C$10,
                (U99 = 'Points-Table'!$A$11), 'Points-Table'!$C$11,
                (U99 = 'Points-Table'!$A$12), 'Points-Table'!$C$12,
                (U99 = 'Points-Table'!$A$13), 'Points-Table'!$C$13,
                true, 0
              )
            </f>
      </c>
      <c r="W99" s="11">
        <v>2</v>
      </c>
      <c r="X99" s="12">
        <f>
              Ifs(
                (W99 = 'Points-Table'!$A$4), 'Points-Table'!$C$4,
                (W99 = 'Points-Table'!$A$5), 'Points-Table'!$C$5,
                (W99 = 'Points-Table'!$A$6), 'Points-Table'!$C$6,
                (W99 = 'Points-Table'!$A$7), 'Points-Table'!$C$7,
                (W99 = 'Points-Table'!$A$8), 'Points-Table'!$C$8,
                (W99 = 'Points-Table'!$A$9), 'Points-Table'!$C$9,
                (W99 = 'Points-Table'!$A$10), 'Points-Table'!$C$10,
                (W99 = 'Points-Table'!$A$11), 'Points-Table'!$C$11,
                (W99 = 'Points-Table'!$A$12), 'Points-Table'!$C$12,
                (W99 = 'Points-Table'!$A$13), 'Points-Table'!$C$13,
                true, 0
              )
            </f>
      </c>
      <c r="Y99" s="11">
        <v>3</v>
      </c>
      <c r="Z99" s="12">
        <f>
              Ifs(
                (Y99 = 'Points-Table'!$A$4), 'Points-Table'!$C$4,
                (Y99 = 'Points-Table'!$A$5), 'Points-Table'!$C$5,
                (Y99 = 'Points-Table'!$A$6), 'Points-Table'!$C$6,
                (Y99 = 'Points-Table'!$A$7), 'Points-Table'!$C$7,
                (Y99 = 'Points-Table'!$A$8), 'Points-Table'!$C$8,
                (Y99 = 'Points-Table'!$A$9), 'Points-Table'!$C$9,
                (Y99 = 'Points-Table'!$A$10), 'Points-Table'!$C$10,
                (Y99 = 'Points-Table'!$A$11), 'Points-Table'!$C$11,
                (Y99 = 'Points-Table'!$A$12), 'Points-Table'!$C$12,
                (Y99 = 'Points-Table'!$A$13), 'Points-Table'!$C$13,
                true, 0
              )
            </f>
      </c>
      <c r="AA99" s="6">
        <f>SUM(V99,X99,Z99)</f>
      </c>
      <c r="AB99" s="6">
        <f>
      Ifs( 
        ISBETWEEN(AA99, 0, 'Points-Table'!C$20, TRUE, False), 'Points-Table'!A$20,
        ISBETWEEN(AA99, 'Points-Table'!C$20, 'Points-Table'!C$21, TRUE, False), 'Points-Table'!A$21,
        ISBETWEEN(AA99, 'Points-Table'!C$22, 10000, TRUE, TRUE), 'Points-Table'!A$22,
        true, 
        0)
      </f>
      </c>
      <c r="AC99" s="6" t="s">
        <v>56</v>
      </c>
      <c r="AD99" s="6" t="s">
        <v>56</v>
      </c>
      <c r="AE99" s="6" t="s">
        <v>56</v>
      </c>
    </row>
    <row r="100" spans="1:31" s="6" customFormat="1" x14ac:dyDescent="0.25">
      <c r="A100" s="6" t="s">
        <v>339</v>
      </c>
      <c r="B100" s="6" t="s">
        <v>340</v>
      </c>
      <c r="C100" s="6" t="s">
        <v>343</v>
      </c>
      <c r="D100" s="6"/>
      <c r="E100" s="6"/>
      <c r="F100" s="6"/>
      <c r="G100" s="6"/>
      <c r="H100" s="6"/>
      <c r="I100" s="6"/>
      <c r="J100" s="6"/>
      <c r="K100" s="6" t="s">
        <v>84</v>
      </c>
      <c r="L100" s="6" t="s">
        <v>85</v>
      </c>
      <c r="M100" s="6"/>
      <c r="N100" s="6"/>
      <c r="O100" s="6"/>
      <c r="P100" s="6"/>
      <c r="Q100" s="11"/>
      <c r="R100" s="12">
        <f>
              Ifs(
                (Q100 = 'Points-Table'!$A$4), 'Points-Table'!$C$4,
                (Q100 = 'Points-Table'!$A$5), 'Points-Table'!$C$5,
                (Q100 = 'Points-Table'!$A$6), 'Points-Table'!$C$6,
                (Q100 = 'Points-Table'!$A$7), 'Points-Table'!$C$7,
                (Q100 = 'Points-Table'!$A$8), 'Points-Table'!$C$8,
                (Q100 = 'Points-Table'!$A$9), 'Points-Table'!$C$9,
                (Q100 = 'Points-Table'!$A$10), 'Points-Table'!$C$10,
                (Q100 = 'Points-Table'!$A$11), 'Points-Table'!$C$11,
                (Q100 = 'Points-Table'!$A$12), 'Points-Table'!$C$12,
                (Q100 = 'Points-Table'!$A$13), 'Points-Table'!$C$13,
                true, 0
              )
            </f>
      </c>
      <c r="S100" s="11"/>
      <c r="T100" s="12">
        <f>
              Ifs(
                (S100 = 'Points-Table'!$A$4), 'Points-Table'!$C$4,
                (S100 = 'Points-Table'!$A$5), 'Points-Table'!$C$5,
                (S100 = 'Points-Table'!$A$6), 'Points-Table'!$C$6,
                (S100 = 'Points-Table'!$A$7), 'Points-Table'!$C$7,
                (S100 = 'Points-Table'!$A$8), 'Points-Table'!$C$8,
                (S100 = 'Points-Table'!$A$9), 'Points-Table'!$C$9,
                (S100 = 'Points-Table'!$A$10), 'Points-Table'!$C$10,
                (S100 = 'Points-Table'!$A$11), 'Points-Table'!$C$11,
                (S100 = 'Points-Table'!$A$12), 'Points-Table'!$C$12,
                (S100 = 'Points-Table'!$A$13), 'Points-Table'!$C$13,
                true, 0
              )
            </f>
      </c>
      <c r="U100" s="11">
        <v>1</v>
      </c>
      <c r="V100" s="12">
        <f>
              Ifs(
                (U100 = 'Points-Table'!$A$4), 'Points-Table'!$C$4,
                (U100 = 'Points-Table'!$A$5), 'Points-Table'!$C$5,
                (U100 = 'Points-Table'!$A$6), 'Points-Table'!$C$6,
                (U100 = 'Points-Table'!$A$7), 'Points-Table'!$C$7,
                (U100 = 'Points-Table'!$A$8), 'Points-Table'!$C$8,
                (U100 = 'Points-Table'!$A$9), 'Points-Table'!$C$9,
                (U100 = 'Points-Table'!$A$10), 'Points-Table'!$C$10,
                (U100 = 'Points-Table'!$A$11), 'Points-Table'!$C$11,
                (U100 = 'Points-Table'!$A$12), 'Points-Table'!$C$12,
                (U100 = 'Points-Table'!$A$13), 'Points-Table'!$C$13,
                true, 0
              )
            </f>
      </c>
      <c r="W100" s="11">
        <v>2</v>
      </c>
      <c r="X100" s="12">
        <f>
              Ifs(
                (W100 = 'Points-Table'!$A$4), 'Points-Table'!$C$4,
                (W100 = 'Points-Table'!$A$5), 'Points-Table'!$C$5,
                (W100 = 'Points-Table'!$A$6), 'Points-Table'!$C$6,
                (W100 = 'Points-Table'!$A$7), 'Points-Table'!$C$7,
                (W100 = 'Points-Table'!$A$8), 'Points-Table'!$C$8,
                (W100 = 'Points-Table'!$A$9), 'Points-Table'!$C$9,
                (W100 = 'Points-Table'!$A$10), 'Points-Table'!$C$10,
                (W100 = 'Points-Table'!$A$11), 'Points-Table'!$C$11,
                (W100 = 'Points-Table'!$A$12), 'Points-Table'!$C$12,
                (W100 = 'Points-Table'!$A$13), 'Points-Table'!$C$13,
                true, 0
              )
            </f>
      </c>
      <c r="Y100" s="11">
        <v>5</v>
      </c>
      <c r="Z100" s="12">
        <f>
              Ifs(
                (Y100 = 'Points-Table'!$A$4), 'Points-Table'!$C$4,
                (Y100 = 'Points-Table'!$A$5), 'Points-Table'!$C$5,
                (Y100 = 'Points-Table'!$A$6), 'Points-Table'!$C$6,
                (Y100 = 'Points-Table'!$A$7), 'Points-Table'!$C$7,
                (Y100 = 'Points-Table'!$A$8), 'Points-Table'!$C$8,
                (Y100 = 'Points-Table'!$A$9), 'Points-Table'!$C$9,
                (Y100 = 'Points-Table'!$A$10), 'Points-Table'!$C$10,
                (Y100 = 'Points-Table'!$A$11), 'Points-Table'!$C$11,
                (Y100 = 'Points-Table'!$A$12), 'Points-Table'!$C$12,
                (Y100 = 'Points-Table'!$A$13), 'Points-Table'!$C$13,
                true, 0
              )
            </f>
      </c>
      <c r="AA100" s="6">
        <f>SUM(V100,X100,Z100)</f>
      </c>
      <c r="AB100" s="6">
        <f>
      Ifs( 
        ISBETWEEN(AA100, 0, 'Points-Table'!C$20, TRUE, False), 'Points-Table'!A$20,
        ISBETWEEN(AA100, 'Points-Table'!C$20, 'Points-Table'!C$21, TRUE, False), 'Points-Table'!A$21,
        ISBETWEEN(AA100, 'Points-Table'!C$22, 10000, TRUE, TRUE), 'Points-Table'!A$22,
        true, 
        0)
      </f>
      </c>
      <c r="AC100" s="6" t="s">
        <v>56</v>
      </c>
      <c r="AD100" s="6" t="s">
        <v>56</v>
      </c>
      <c r="AE100" s="6" t="s">
        <v>56</v>
      </c>
    </row>
    <row r="101" spans="1:31" s="6" customFormat="1" x14ac:dyDescent="0.25">
      <c r="A101" s="6" t="s">
        <v>339</v>
      </c>
      <c r="B101" s="6" t="s">
        <v>340</v>
      </c>
      <c r="C101" s="6" t="s">
        <v>344</v>
      </c>
      <c r="D101" s="6"/>
      <c r="E101" s="6"/>
      <c r="F101" s="6"/>
      <c r="G101" s="6"/>
      <c r="H101" s="6"/>
      <c r="I101" s="6"/>
      <c r="J101" s="6"/>
      <c r="K101" s="6" t="s">
        <v>84</v>
      </c>
      <c r="L101" s="6" t="s">
        <v>85</v>
      </c>
      <c r="M101" s="6"/>
      <c r="N101" s="6"/>
      <c r="O101" s="6"/>
      <c r="P101" s="6"/>
      <c r="Q101" s="11"/>
      <c r="R101" s="12">
        <f>
              Ifs(
                (Q101 = 'Points-Table'!$A$4), 'Points-Table'!$C$4,
                (Q101 = 'Points-Table'!$A$5), 'Points-Table'!$C$5,
                (Q101 = 'Points-Table'!$A$6), 'Points-Table'!$C$6,
                (Q101 = 'Points-Table'!$A$7), 'Points-Table'!$C$7,
                (Q101 = 'Points-Table'!$A$8), 'Points-Table'!$C$8,
                (Q101 = 'Points-Table'!$A$9), 'Points-Table'!$C$9,
                (Q101 = 'Points-Table'!$A$10), 'Points-Table'!$C$10,
                (Q101 = 'Points-Table'!$A$11), 'Points-Table'!$C$11,
                (Q101 = 'Points-Table'!$A$12), 'Points-Table'!$C$12,
                (Q101 = 'Points-Table'!$A$13), 'Points-Table'!$C$13,
                true, 0
              )
            </f>
      </c>
      <c r="S101" s="11"/>
      <c r="T101" s="12">
        <f>
              Ifs(
                (S101 = 'Points-Table'!$A$4), 'Points-Table'!$C$4,
                (S101 = 'Points-Table'!$A$5), 'Points-Table'!$C$5,
                (S101 = 'Points-Table'!$A$6), 'Points-Table'!$C$6,
                (S101 = 'Points-Table'!$A$7), 'Points-Table'!$C$7,
                (S101 = 'Points-Table'!$A$8), 'Points-Table'!$C$8,
                (S101 = 'Points-Table'!$A$9), 'Points-Table'!$C$9,
                (S101 = 'Points-Table'!$A$10), 'Points-Table'!$C$10,
                (S101 = 'Points-Table'!$A$11), 'Points-Table'!$C$11,
                (S101 = 'Points-Table'!$A$12), 'Points-Table'!$C$12,
                (S101 = 'Points-Table'!$A$13), 'Points-Table'!$C$13,
                true, 0
              )
            </f>
      </c>
      <c r="U101" s="11">
        <v>3</v>
      </c>
      <c r="V101" s="12">
        <f>
              Ifs(
                (U101 = 'Points-Table'!$A$4), 'Points-Table'!$C$4,
                (U101 = 'Points-Table'!$A$5), 'Points-Table'!$C$5,
                (U101 = 'Points-Table'!$A$6), 'Points-Table'!$C$6,
                (U101 = 'Points-Table'!$A$7), 'Points-Table'!$C$7,
                (U101 = 'Points-Table'!$A$8), 'Points-Table'!$C$8,
                (U101 = 'Points-Table'!$A$9), 'Points-Table'!$C$9,
                (U101 = 'Points-Table'!$A$10), 'Points-Table'!$C$10,
                (U101 = 'Points-Table'!$A$11), 'Points-Table'!$C$11,
                (U101 = 'Points-Table'!$A$12), 'Points-Table'!$C$12,
                (U101 = 'Points-Table'!$A$13), 'Points-Table'!$C$13,
                true, 0
              )
            </f>
      </c>
      <c r="W101" s="11">
        <v>1</v>
      </c>
      <c r="X101" s="12">
        <f>
              Ifs(
                (W101 = 'Points-Table'!$A$4), 'Points-Table'!$C$4,
                (W101 = 'Points-Table'!$A$5), 'Points-Table'!$C$5,
                (W101 = 'Points-Table'!$A$6), 'Points-Table'!$C$6,
                (W101 = 'Points-Table'!$A$7), 'Points-Table'!$C$7,
                (W101 = 'Points-Table'!$A$8), 'Points-Table'!$C$8,
                (W101 = 'Points-Table'!$A$9), 'Points-Table'!$C$9,
                (W101 = 'Points-Table'!$A$10), 'Points-Table'!$C$10,
                (W101 = 'Points-Table'!$A$11), 'Points-Table'!$C$11,
                (W101 = 'Points-Table'!$A$12), 'Points-Table'!$C$12,
                (W101 = 'Points-Table'!$A$13), 'Points-Table'!$C$13,
                true, 0
              )
            </f>
      </c>
      <c r="Y101" s="11">
        <v>5</v>
      </c>
      <c r="Z101" s="12">
        <f>
              Ifs(
                (Y101 = 'Points-Table'!$A$4), 'Points-Table'!$C$4,
                (Y101 = 'Points-Table'!$A$5), 'Points-Table'!$C$5,
                (Y101 = 'Points-Table'!$A$6), 'Points-Table'!$C$6,
                (Y101 = 'Points-Table'!$A$7), 'Points-Table'!$C$7,
                (Y101 = 'Points-Table'!$A$8), 'Points-Table'!$C$8,
                (Y101 = 'Points-Table'!$A$9), 'Points-Table'!$C$9,
                (Y101 = 'Points-Table'!$A$10), 'Points-Table'!$C$10,
                (Y101 = 'Points-Table'!$A$11), 'Points-Table'!$C$11,
                (Y101 = 'Points-Table'!$A$12), 'Points-Table'!$C$12,
                (Y101 = 'Points-Table'!$A$13), 'Points-Table'!$C$13,
                true, 0
              )
            </f>
      </c>
      <c r="AA101" s="6">
        <f>SUM(V101,X101,Z101)</f>
      </c>
      <c r="AB101" s="6">
        <f>
      Ifs( 
        ISBETWEEN(AA101, 0, 'Points-Table'!C$20, TRUE, False), 'Points-Table'!A$20,
        ISBETWEEN(AA101, 'Points-Table'!C$20, 'Points-Table'!C$21, TRUE, False), 'Points-Table'!A$21,
        ISBETWEEN(AA101, 'Points-Table'!C$22, 10000, TRUE, TRUE), 'Points-Table'!A$22,
        true, 
        0)
      </f>
      </c>
      <c r="AC101" s="6" t="s">
        <v>56</v>
      </c>
      <c r="AD101" s="6" t="s">
        <v>56</v>
      </c>
      <c r="AE101" s="6" t="s">
        <v>56</v>
      </c>
    </row>
    <row r="102" spans="1:31" s="6" customFormat="1" x14ac:dyDescent="0.25">
      <c r="A102" s="6" t="s">
        <v>339</v>
      </c>
      <c r="B102" s="6" t="s">
        <v>340</v>
      </c>
      <c r="C102" s="6" t="s">
        <v>345</v>
      </c>
      <c r="D102" s="6"/>
      <c r="E102" s="6"/>
      <c r="F102" s="6" t="s">
        <v>346</v>
      </c>
      <c r="G102" s="6"/>
      <c r="H102" s="6"/>
      <c r="I102" s="6"/>
      <c r="J102" s="6"/>
      <c r="K102" s="6" t="s">
        <v>84</v>
      </c>
      <c r="L102" s="6" t="s">
        <v>85</v>
      </c>
      <c r="M102" s="6"/>
      <c r="N102" s="6"/>
      <c r="O102" s="6"/>
      <c r="P102" s="6"/>
      <c r="Q102" s="11"/>
      <c r="R102" s="12">
        <f>
              Ifs(
                (Q102 = 'Points-Table'!$A$4), 'Points-Table'!$C$4,
                (Q102 = 'Points-Table'!$A$5), 'Points-Table'!$C$5,
                (Q102 = 'Points-Table'!$A$6), 'Points-Table'!$C$6,
                (Q102 = 'Points-Table'!$A$7), 'Points-Table'!$C$7,
                (Q102 = 'Points-Table'!$A$8), 'Points-Table'!$C$8,
                (Q102 = 'Points-Table'!$A$9), 'Points-Table'!$C$9,
                (Q102 = 'Points-Table'!$A$10), 'Points-Table'!$C$10,
                (Q102 = 'Points-Table'!$A$11), 'Points-Table'!$C$11,
                (Q102 = 'Points-Table'!$A$12), 'Points-Table'!$C$12,
                (Q102 = 'Points-Table'!$A$13), 'Points-Table'!$C$13,
                true, 0
              )
            </f>
      </c>
      <c r="S102" s="11"/>
      <c r="T102" s="12">
        <f>
              Ifs(
                (S102 = 'Points-Table'!$A$4), 'Points-Table'!$C$4,
                (S102 = 'Points-Table'!$A$5), 'Points-Table'!$C$5,
                (S102 = 'Points-Table'!$A$6), 'Points-Table'!$C$6,
                (S102 = 'Points-Table'!$A$7), 'Points-Table'!$C$7,
                (S102 = 'Points-Table'!$A$8), 'Points-Table'!$C$8,
                (S102 = 'Points-Table'!$A$9), 'Points-Table'!$C$9,
                (S102 = 'Points-Table'!$A$10), 'Points-Table'!$C$10,
                (S102 = 'Points-Table'!$A$11), 'Points-Table'!$C$11,
                (S102 = 'Points-Table'!$A$12), 'Points-Table'!$C$12,
                (S102 = 'Points-Table'!$A$13), 'Points-Table'!$C$13,
                true, 0
              )
            </f>
      </c>
      <c r="U102" s="11">
        <v>5</v>
      </c>
      <c r="V102" s="12">
        <f>
              Ifs(
                (U102 = 'Points-Table'!$A$4), 'Points-Table'!$C$4,
                (U102 = 'Points-Table'!$A$5), 'Points-Table'!$C$5,
                (U102 = 'Points-Table'!$A$6), 'Points-Table'!$C$6,
                (U102 = 'Points-Table'!$A$7), 'Points-Table'!$C$7,
                (U102 = 'Points-Table'!$A$8), 'Points-Table'!$C$8,
                (U102 = 'Points-Table'!$A$9), 'Points-Table'!$C$9,
                (U102 = 'Points-Table'!$A$10), 'Points-Table'!$C$10,
                (U102 = 'Points-Table'!$A$11), 'Points-Table'!$C$11,
                (U102 = 'Points-Table'!$A$12), 'Points-Table'!$C$12,
                (U102 = 'Points-Table'!$A$13), 'Points-Table'!$C$13,
                true, 0
              )
            </f>
      </c>
      <c r="W102" s="11">
        <v>2</v>
      </c>
      <c r="X102" s="12">
        <f>
              Ifs(
                (W102 = 'Points-Table'!$A$4), 'Points-Table'!$C$4,
                (W102 = 'Points-Table'!$A$5), 'Points-Table'!$C$5,
                (W102 = 'Points-Table'!$A$6), 'Points-Table'!$C$6,
                (W102 = 'Points-Table'!$A$7), 'Points-Table'!$C$7,
                (W102 = 'Points-Table'!$A$8), 'Points-Table'!$C$8,
                (W102 = 'Points-Table'!$A$9), 'Points-Table'!$C$9,
                (W102 = 'Points-Table'!$A$10), 'Points-Table'!$C$10,
                (W102 = 'Points-Table'!$A$11), 'Points-Table'!$C$11,
                (W102 = 'Points-Table'!$A$12), 'Points-Table'!$C$12,
                (W102 = 'Points-Table'!$A$13), 'Points-Table'!$C$13,
                true, 0
              )
            </f>
      </c>
      <c r="Y102" s="11">
        <v>5</v>
      </c>
      <c r="Z102" s="12">
        <f>
              Ifs(
                (Y102 = 'Points-Table'!$A$4), 'Points-Table'!$C$4,
                (Y102 = 'Points-Table'!$A$5), 'Points-Table'!$C$5,
                (Y102 = 'Points-Table'!$A$6), 'Points-Table'!$C$6,
                (Y102 = 'Points-Table'!$A$7), 'Points-Table'!$C$7,
                (Y102 = 'Points-Table'!$A$8), 'Points-Table'!$C$8,
                (Y102 = 'Points-Table'!$A$9), 'Points-Table'!$C$9,
                (Y102 = 'Points-Table'!$A$10), 'Points-Table'!$C$10,
                (Y102 = 'Points-Table'!$A$11), 'Points-Table'!$C$11,
                (Y102 = 'Points-Table'!$A$12), 'Points-Table'!$C$12,
                (Y102 = 'Points-Table'!$A$13), 'Points-Table'!$C$13,
                true, 0
              )
            </f>
      </c>
      <c r="AA102" s="6">
        <f>SUM(V102,X102,Z102)</f>
      </c>
      <c r="AB102" s="6">
        <f>
      Ifs( 
        ISBETWEEN(AA102, 0, 'Points-Table'!C$20, TRUE, False), 'Points-Table'!A$20,
        ISBETWEEN(AA102, 'Points-Table'!C$20, 'Points-Table'!C$21, TRUE, False), 'Points-Table'!A$21,
        ISBETWEEN(AA102, 'Points-Table'!C$22, 10000, TRUE, TRUE), 'Points-Table'!A$22,
        true, 
        0)
      </f>
      </c>
      <c r="AC102" s="6" t="s">
        <v>56</v>
      </c>
      <c r="AD102" s="6" t="s">
        <v>56</v>
      </c>
      <c r="AE102" s="6" t="s">
        <v>56</v>
      </c>
    </row>
    <row r="103" spans="1:31" s="13" customFormat="1" x14ac:dyDescent="0.25">
      <c r="A103" s="13" t="s">
        <v>339</v>
      </c>
      <c r="B103" s="13" t="s">
        <v>340</v>
      </c>
      <c r="C103" s="13" t="s">
        <v>347</v>
      </c>
      <c r="D103" s="13"/>
      <c r="E103" s="13"/>
      <c r="F103" s="13"/>
      <c r="G103" s="13"/>
      <c r="H103" s="13"/>
      <c r="I103" s="13"/>
      <c r="J103" s="13"/>
      <c r="K103" s="13" t="s">
        <v>84</v>
      </c>
      <c r="L103" s="13" t="s">
        <v>85</v>
      </c>
      <c r="M103" s="13"/>
      <c r="N103" s="13"/>
      <c r="O103" s="13"/>
      <c r="P103" s="13"/>
      <c r="Q103" s="13"/>
      <c r="R103" s="13">
        <f>
              Ifs(
                (Q103 = 'Points-Table'!$A$4), 'Points-Table'!$C$4,
                (Q103 = 'Points-Table'!$A$5), 'Points-Table'!$C$5,
                (Q103 = 'Points-Table'!$A$6), 'Points-Table'!$C$6,
                (Q103 = 'Points-Table'!$A$7), 'Points-Table'!$C$7,
                (Q103 = 'Points-Table'!$A$8), 'Points-Table'!$C$8,
                (Q103 = 'Points-Table'!$A$9), 'Points-Table'!$C$9,
                (Q103 = 'Points-Table'!$A$10), 'Points-Table'!$C$10,
                (Q103 = 'Points-Table'!$A$11), 'Points-Table'!$C$11,
                (Q103 = 'Points-Table'!$A$12), 'Points-Table'!$C$12,
                (Q103 = 'Points-Table'!$A$13), 'Points-Table'!$C$13,
                true, 0
              )
            </f>
      </c>
      <c r="S103" s="13"/>
      <c r="T103" s="13">
        <f>
              Ifs(
                (S103 = 'Points-Table'!$A$4), 'Points-Table'!$C$4,
                (S103 = 'Points-Table'!$A$5), 'Points-Table'!$C$5,
                (S103 = 'Points-Table'!$A$6), 'Points-Table'!$C$6,
                (S103 = 'Points-Table'!$A$7), 'Points-Table'!$C$7,
                (S103 = 'Points-Table'!$A$8), 'Points-Table'!$C$8,
                (S103 = 'Points-Table'!$A$9), 'Points-Table'!$C$9,
                (S103 = 'Points-Table'!$A$10), 'Points-Table'!$C$10,
                (S103 = 'Points-Table'!$A$11), 'Points-Table'!$C$11,
                (S103 = 'Points-Table'!$A$12), 'Points-Table'!$C$12,
                (S103 = 'Points-Table'!$A$13), 'Points-Table'!$C$13,
                true, 0
              )
            </f>
      </c>
      <c r="U103" s="13">
        <v>8</v>
      </c>
      <c r="V103" s="13">
        <f>
              Ifs(
                (U103 = 'Points-Table'!$A$4), 'Points-Table'!$C$4,
                (U103 = 'Points-Table'!$A$5), 'Points-Table'!$C$5,
                (U103 = 'Points-Table'!$A$6), 'Points-Table'!$C$6,
                (U103 = 'Points-Table'!$A$7), 'Points-Table'!$C$7,
                (U103 = 'Points-Table'!$A$8), 'Points-Table'!$C$8,
                (U103 = 'Points-Table'!$A$9), 'Points-Table'!$C$9,
                (U103 = 'Points-Table'!$A$10), 'Points-Table'!$C$10,
                (U103 = 'Points-Table'!$A$11), 'Points-Table'!$C$11,
                (U103 = 'Points-Table'!$A$12), 'Points-Table'!$C$12,
                (U103 = 'Points-Table'!$A$13), 'Points-Table'!$C$13,
                true, 0
              )
            </f>
      </c>
      <c r="W103" s="13">
        <v>0</v>
      </c>
      <c r="X103" s="13">
        <f>
              Ifs(
                (W103 = 'Points-Table'!$A$4), 'Points-Table'!$C$4,
                (W103 = 'Points-Table'!$A$5), 'Points-Table'!$C$5,
                (W103 = 'Points-Table'!$A$6), 'Points-Table'!$C$6,
                (W103 = 'Points-Table'!$A$7), 'Points-Table'!$C$7,
                (W103 = 'Points-Table'!$A$8), 'Points-Table'!$C$8,
                (W103 = 'Points-Table'!$A$9), 'Points-Table'!$C$9,
                (W103 = 'Points-Table'!$A$10), 'Points-Table'!$C$10,
                (W103 = 'Points-Table'!$A$11), 'Points-Table'!$C$11,
                (W103 = 'Points-Table'!$A$12), 'Points-Table'!$C$12,
                (W103 = 'Points-Table'!$A$13), 'Points-Table'!$C$13,
                true, 0
              )
            </f>
      </c>
      <c r="Y103" s="13">
        <v>0</v>
      </c>
      <c r="Z103" s="13">
        <f>
              Ifs(
                (Y103 = 'Points-Table'!$A$4), 'Points-Table'!$C$4,
                (Y103 = 'Points-Table'!$A$5), 'Points-Table'!$C$5,
                (Y103 = 'Points-Table'!$A$6), 'Points-Table'!$C$6,
                (Y103 = 'Points-Table'!$A$7), 'Points-Table'!$C$7,
                (Y103 = 'Points-Table'!$A$8), 'Points-Table'!$C$8,
                (Y103 = 'Points-Table'!$A$9), 'Points-Table'!$C$9,
                (Y103 = 'Points-Table'!$A$10), 'Points-Table'!$C$10,
                (Y103 = 'Points-Table'!$A$11), 'Points-Table'!$C$11,
                (Y103 = 'Points-Table'!$A$12), 'Points-Table'!$C$12,
                (Y103 = 'Points-Table'!$A$13), 'Points-Table'!$C$13,
                true, 0
              )
            </f>
      </c>
      <c r="AA103" s="13">
        <f>SUM(V103,X103,Z103)</f>
      </c>
      <c r="AB103" s="13">
        <f>
      Ifs( 
        ISBETWEEN(AA103, 0, 'Points-Table'!C$20, TRUE, False), 'Points-Table'!A$20,
        ISBETWEEN(AA103, 'Points-Table'!C$20, 'Points-Table'!C$21, TRUE, False), 'Points-Table'!A$21,
        ISBETWEEN(AA103, 'Points-Table'!C$22, 10000, TRUE, TRUE), 'Points-Table'!A$22,
        true, 
        0)
      </f>
      </c>
      <c r="AC103" s="13" t="s">
        <v>56</v>
      </c>
      <c r="AD103" s="13" t="s">
        <v>56</v>
      </c>
      <c r="AE103" s="13" t="s">
        <v>56</v>
      </c>
    </row>
    <row r="104" spans="1:31" s="13" customFormat="1" x14ac:dyDescent="0.25">
      <c r="A104" s="13" t="s">
        <v>339</v>
      </c>
      <c r="B104" s="13" t="s">
        <v>340</v>
      </c>
      <c r="C104" s="13" t="s">
        <v>348</v>
      </c>
      <c r="D104" s="13"/>
      <c r="E104" s="13"/>
      <c r="F104" s="13"/>
      <c r="G104" s="13"/>
      <c r="H104" s="13"/>
      <c r="I104" s="13"/>
      <c r="J104" s="13"/>
      <c r="K104" s="13" t="s">
        <v>84</v>
      </c>
      <c r="L104" s="13" t="s">
        <v>85</v>
      </c>
      <c r="M104" s="13"/>
      <c r="N104" s="13"/>
      <c r="O104" s="13"/>
      <c r="P104" s="13"/>
      <c r="Q104" s="13">
        <v>3</v>
      </c>
      <c r="R104" s="13">
        <f>
              Ifs(
                (Q104 = 'Points-Table'!$A$4), 'Points-Table'!$C$4,
                (Q104 = 'Points-Table'!$A$5), 'Points-Table'!$C$5,
                (Q104 = 'Points-Table'!$A$6), 'Points-Table'!$C$6,
                (Q104 = 'Points-Table'!$A$7), 'Points-Table'!$C$7,
                (Q104 = 'Points-Table'!$A$8), 'Points-Table'!$C$8,
                (Q104 = 'Points-Table'!$A$9), 'Points-Table'!$C$9,
                (Q104 = 'Points-Table'!$A$10), 'Points-Table'!$C$10,
                (Q104 = 'Points-Table'!$A$11), 'Points-Table'!$C$11,
                (Q104 = 'Points-Table'!$A$12), 'Points-Table'!$C$12,
                (Q104 = 'Points-Table'!$A$13), 'Points-Table'!$C$13,
                true, 0
              )
            </f>
      </c>
      <c r="S104" s="13">
        <v>3</v>
      </c>
      <c r="T104" s="13">
        <f>
              Ifs(
                (S104 = 'Points-Table'!$A$4), 'Points-Table'!$C$4,
                (S104 = 'Points-Table'!$A$5), 'Points-Table'!$C$5,
                (S104 = 'Points-Table'!$A$6), 'Points-Table'!$C$6,
                (S104 = 'Points-Table'!$A$7), 'Points-Table'!$C$7,
                (S104 = 'Points-Table'!$A$8), 'Points-Table'!$C$8,
                (S104 = 'Points-Table'!$A$9), 'Points-Table'!$C$9,
                (S104 = 'Points-Table'!$A$10), 'Points-Table'!$C$10,
                (S104 = 'Points-Table'!$A$11), 'Points-Table'!$C$11,
                (S104 = 'Points-Table'!$A$12), 'Points-Table'!$C$12,
                (S104 = 'Points-Table'!$A$13), 'Points-Table'!$C$13,
                true, 0
              )
            </f>
      </c>
      <c r="U104" s="13">
        <v>13</v>
      </c>
      <c r="V104" s="13">
        <f>
              Ifs(
                (U104 = 'Points-Table'!$A$4), 'Points-Table'!$C$4,
                (U104 = 'Points-Table'!$A$5), 'Points-Table'!$C$5,
                (U104 = 'Points-Table'!$A$6), 'Points-Table'!$C$6,
                (U104 = 'Points-Table'!$A$7), 'Points-Table'!$C$7,
                (U104 = 'Points-Table'!$A$8), 'Points-Table'!$C$8,
                (U104 = 'Points-Table'!$A$9), 'Points-Table'!$C$9,
                (U104 = 'Points-Table'!$A$10), 'Points-Table'!$C$10,
                (U104 = 'Points-Table'!$A$11), 'Points-Table'!$C$11,
                (U104 = 'Points-Table'!$A$12), 'Points-Table'!$C$12,
                (U104 = 'Points-Table'!$A$13), 'Points-Table'!$C$13,
                true, 0
              )
            </f>
      </c>
      <c r="W104" s="13">
        <v>8</v>
      </c>
      <c r="X104" s="13">
        <f>
              Ifs(
                (W104 = 'Points-Table'!$A$4), 'Points-Table'!$C$4,
                (W104 = 'Points-Table'!$A$5), 'Points-Table'!$C$5,
                (W104 = 'Points-Table'!$A$6), 'Points-Table'!$C$6,
                (W104 = 'Points-Table'!$A$7), 'Points-Table'!$C$7,
                (W104 = 'Points-Table'!$A$8), 'Points-Table'!$C$8,
                (W104 = 'Points-Table'!$A$9), 'Points-Table'!$C$9,
                (W104 = 'Points-Table'!$A$10), 'Points-Table'!$C$10,
                (W104 = 'Points-Table'!$A$11), 'Points-Table'!$C$11,
                (W104 = 'Points-Table'!$A$12), 'Points-Table'!$C$12,
                (W104 = 'Points-Table'!$A$13), 'Points-Table'!$C$13,
                true, 0
              )
            </f>
      </c>
      <c r="Y104" s="13">
        <v>13</v>
      </c>
      <c r="Z104" s="13">
        <f>
              Ifs(
                (Y104 = 'Points-Table'!$A$4), 'Points-Table'!$C$4,
                (Y104 = 'Points-Table'!$A$5), 'Points-Table'!$C$5,
                (Y104 = 'Points-Table'!$A$6), 'Points-Table'!$C$6,
                (Y104 = 'Points-Table'!$A$7), 'Points-Table'!$C$7,
                (Y104 = 'Points-Table'!$A$8), 'Points-Table'!$C$8,
                (Y104 = 'Points-Table'!$A$9), 'Points-Table'!$C$9,
                (Y104 = 'Points-Table'!$A$10), 'Points-Table'!$C$10,
                (Y104 = 'Points-Table'!$A$11), 'Points-Table'!$C$11,
                (Y104 = 'Points-Table'!$A$12), 'Points-Table'!$C$12,
                (Y104 = 'Points-Table'!$A$13), 'Points-Table'!$C$13,
                true, 0
              )
            </f>
      </c>
      <c r="AA104" s="13">
        <f>SUM(V104,X104,Z104)</f>
      </c>
      <c r="AB104" s="13">
        <f>
      Ifs( 
        ISBETWEEN(AA104, 0, 'Points-Table'!C$20, TRUE, False), 'Points-Table'!A$20,
        ISBETWEEN(AA104, 'Points-Table'!C$20, 'Points-Table'!C$21, TRUE, False), 'Points-Table'!A$21,
        ISBETWEEN(AA104, 'Points-Table'!C$22, 10000, TRUE, TRUE), 'Points-Table'!A$22,
        true, 
        0)
      </f>
      </c>
      <c r="AC104" s="13" t="s">
        <v>56</v>
      </c>
      <c r="AD104" s="13" t="s">
        <v>56</v>
      </c>
      <c r="AE104" s="13" t="s">
        <v>56</v>
      </c>
    </row>
    <row r="105" spans="1:31" s="6" customFormat="1" x14ac:dyDescent="0.25">
      <c r="A105" s="6" t="s">
        <v>339</v>
      </c>
      <c r="B105" s="6" t="s">
        <v>349</v>
      </c>
      <c r="C105" s="6" t="s">
        <v>253</v>
      </c>
      <c r="D105" s="6"/>
      <c r="E105" s="6"/>
      <c r="F105" s="6"/>
      <c r="G105" s="6"/>
      <c r="H105" s="6"/>
      <c r="I105" s="6"/>
      <c r="J105" s="6"/>
      <c r="K105" s="6" t="s">
        <v>84</v>
      </c>
      <c r="L105" s="6" t="s">
        <v>272</v>
      </c>
      <c r="M105" s="6"/>
      <c r="N105" s="6"/>
      <c r="O105" s="6"/>
      <c r="P105" s="6"/>
      <c r="Q105" s="11">
        <v>0</v>
      </c>
      <c r="R105" s="12">
        <f>
              Ifs(
                (Q105 = 'Points-Table'!$A$4), 'Points-Table'!$C$4,
                (Q105 = 'Points-Table'!$A$5), 'Points-Table'!$C$5,
                (Q105 = 'Points-Table'!$A$6), 'Points-Table'!$C$6,
                (Q105 = 'Points-Table'!$A$7), 'Points-Table'!$C$7,
                (Q105 = 'Points-Table'!$A$8), 'Points-Table'!$C$8,
                (Q105 = 'Points-Table'!$A$9), 'Points-Table'!$C$9,
                (Q105 = 'Points-Table'!$A$10), 'Points-Table'!$C$10,
                (Q105 = 'Points-Table'!$A$11), 'Points-Table'!$C$11,
                (Q105 = 'Points-Table'!$A$12), 'Points-Table'!$C$12,
                (Q105 = 'Points-Table'!$A$13), 'Points-Table'!$C$13,
                true, 0
              )
            </f>
      </c>
      <c r="S105" s="11">
        <v>0</v>
      </c>
      <c r="T105" s="12">
        <f>
              Ifs(
                (S105 = 'Points-Table'!$A$4), 'Points-Table'!$C$4,
                (S105 = 'Points-Table'!$A$5), 'Points-Table'!$C$5,
                (S105 = 'Points-Table'!$A$6), 'Points-Table'!$C$6,
                (S105 = 'Points-Table'!$A$7), 'Points-Table'!$C$7,
                (S105 = 'Points-Table'!$A$8), 'Points-Table'!$C$8,
                (S105 = 'Points-Table'!$A$9), 'Points-Table'!$C$9,
                (S105 = 'Points-Table'!$A$10), 'Points-Table'!$C$10,
                (S105 = 'Points-Table'!$A$11), 'Points-Table'!$C$11,
                (S105 = 'Points-Table'!$A$12), 'Points-Table'!$C$12,
                (S105 = 'Points-Table'!$A$13), 'Points-Table'!$C$13,
                true, 0
              )
            </f>
      </c>
      <c r="U105" s="11">
        <v>3</v>
      </c>
      <c r="V105" s="12">
        <f>
              Ifs(
                (U105 = 'Points-Table'!$A$4), 'Points-Table'!$C$4,
                (U105 = 'Points-Table'!$A$5), 'Points-Table'!$C$5,
                (U105 = 'Points-Table'!$A$6), 'Points-Table'!$C$6,
                (U105 = 'Points-Table'!$A$7), 'Points-Table'!$C$7,
                (U105 = 'Points-Table'!$A$8), 'Points-Table'!$C$8,
                (U105 = 'Points-Table'!$A$9), 'Points-Table'!$C$9,
                (U105 = 'Points-Table'!$A$10), 'Points-Table'!$C$10,
                (U105 = 'Points-Table'!$A$11), 'Points-Table'!$C$11,
                (U105 = 'Points-Table'!$A$12), 'Points-Table'!$C$12,
                (U105 = 'Points-Table'!$A$13), 'Points-Table'!$C$13,
                true, 0
              )
            </f>
      </c>
      <c r="W105" s="11">
        <v>2</v>
      </c>
      <c r="X105" s="12">
        <f>
              Ifs(
                (W105 = 'Points-Table'!$A$4), 'Points-Table'!$C$4,
                (W105 = 'Points-Table'!$A$5), 'Points-Table'!$C$5,
                (W105 = 'Points-Table'!$A$6), 'Points-Table'!$C$6,
                (W105 = 'Points-Table'!$A$7), 'Points-Table'!$C$7,
                (W105 = 'Points-Table'!$A$8), 'Points-Table'!$C$8,
                (W105 = 'Points-Table'!$A$9), 'Points-Table'!$C$9,
                (W105 = 'Points-Table'!$A$10), 'Points-Table'!$C$10,
                (W105 = 'Points-Table'!$A$11), 'Points-Table'!$C$11,
                (W105 = 'Points-Table'!$A$12), 'Points-Table'!$C$12,
                (W105 = 'Points-Table'!$A$13), 'Points-Table'!$C$13,
                true, 0
              )
            </f>
      </c>
      <c r="Y105" s="11">
        <v>2</v>
      </c>
      <c r="Z105" s="12">
        <f>
              Ifs(
                (Y105 = 'Points-Table'!$A$4), 'Points-Table'!$C$4,
                (Y105 = 'Points-Table'!$A$5), 'Points-Table'!$C$5,
                (Y105 = 'Points-Table'!$A$6), 'Points-Table'!$C$6,
                (Y105 = 'Points-Table'!$A$7), 'Points-Table'!$C$7,
                (Y105 = 'Points-Table'!$A$8), 'Points-Table'!$C$8,
                (Y105 = 'Points-Table'!$A$9), 'Points-Table'!$C$9,
                (Y105 = 'Points-Table'!$A$10), 'Points-Table'!$C$10,
                (Y105 = 'Points-Table'!$A$11), 'Points-Table'!$C$11,
                (Y105 = 'Points-Table'!$A$12), 'Points-Table'!$C$12,
                (Y105 = 'Points-Table'!$A$13), 'Points-Table'!$C$13,
                true, 0
              )
            </f>
      </c>
      <c r="AA105" s="6">
        <f>SUM(V105,X105,Z105)</f>
      </c>
      <c r="AB105" s="6">
        <f>
      Ifs( 
        ISBETWEEN(AA105, 0, 'Points-Table'!C$20, TRUE, False), 'Points-Table'!A$20,
        ISBETWEEN(AA105, 'Points-Table'!C$20, 'Points-Table'!C$21, TRUE, False), 'Points-Table'!A$21,
        ISBETWEEN(AA105, 'Points-Table'!C$22, 10000, TRUE, TRUE), 'Points-Table'!A$22,
        true, 
        0)
      </f>
      </c>
      <c r="AC105" s="6" t="s">
        <v>56</v>
      </c>
      <c r="AD105" s="6" t="s">
        <v>56</v>
      </c>
      <c r="AE105" s="6" t="s">
        <v>56</v>
      </c>
    </row>
    <row r="106" spans="1:31" s="6" customFormat="1" x14ac:dyDescent="0.25">
      <c r="A106" s="6" t="s">
        <v>339</v>
      </c>
      <c r="B106" s="6" t="s">
        <v>349</v>
      </c>
      <c r="C106" s="6" t="s">
        <v>273</v>
      </c>
      <c r="D106" s="6"/>
      <c r="E106" s="6"/>
      <c r="F106" s="6"/>
      <c r="G106" s="6"/>
      <c r="H106" s="6"/>
      <c r="I106" s="6"/>
      <c r="J106" s="6"/>
      <c r="K106" s="6" t="s">
        <v>84</v>
      </c>
      <c r="L106" s="6" t="s">
        <v>272</v>
      </c>
      <c r="M106" s="6"/>
      <c r="N106" s="6"/>
      <c r="O106" s="6"/>
      <c r="P106" s="6"/>
      <c r="Q106" s="11">
        <v>0</v>
      </c>
      <c r="R106" s="12">
        <f>
              Ifs(
                (Q106 = 'Points-Table'!$A$4), 'Points-Table'!$C$4,
                (Q106 = 'Points-Table'!$A$5), 'Points-Table'!$C$5,
                (Q106 = 'Points-Table'!$A$6), 'Points-Table'!$C$6,
                (Q106 = 'Points-Table'!$A$7), 'Points-Table'!$C$7,
                (Q106 = 'Points-Table'!$A$8), 'Points-Table'!$C$8,
                (Q106 = 'Points-Table'!$A$9), 'Points-Table'!$C$9,
                (Q106 = 'Points-Table'!$A$10), 'Points-Table'!$C$10,
                (Q106 = 'Points-Table'!$A$11), 'Points-Table'!$C$11,
                (Q106 = 'Points-Table'!$A$12), 'Points-Table'!$C$12,
                (Q106 = 'Points-Table'!$A$13), 'Points-Table'!$C$13,
                true, 0
              )
            </f>
      </c>
      <c r="S106" s="11">
        <v>0</v>
      </c>
      <c r="T106" s="12">
        <f>
              Ifs(
                (S106 = 'Points-Table'!$A$4), 'Points-Table'!$C$4,
                (S106 = 'Points-Table'!$A$5), 'Points-Table'!$C$5,
                (S106 = 'Points-Table'!$A$6), 'Points-Table'!$C$6,
                (S106 = 'Points-Table'!$A$7), 'Points-Table'!$C$7,
                (S106 = 'Points-Table'!$A$8), 'Points-Table'!$C$8,
                (S106 = 'Points-Table'!$A$9), 'Points-Table'!$C$9,
                (S106 = 'Points-Table'!$A$10), 'Points-Table'!$C$10,
                (S106 = 'Points-Table'!$A$11), 'Points-Table'!$C$11,
                (S106 = 'Points-Table'!$A$12), 'Points-Table'!$C$12,
                (S106 = 'Points-Table'!$A$13), 'Points-Table'!$C$13,
                true, 0
              )
            </f>
      </c>
      <c r="U106" s="11">
        <v>2</v>
      </c>
      <c r="V106" s="12">
        <f>
              Ifs(
                (U106 = 'Points-Table'!$A$4), 'Points-Table'!$C$4,
                (U106 = 'Points-Table'!$A$5), 'Points-Table'!$C$5,
                (U106 = 'Points-Table'!$A$6), 'Points-Table'!$C$6,
                (U106 = 'Points-Table'!$A$7), 'Points-Table'!$C$7,
                (U106 = 'Points-Table'!$A$8), 'Points-Table'!$C$8,
                (U106 = 'Points-Table'!$A$9), 'Points-Table'!$C$9,
                (U106 = 'Points-Table'!$A$10), 'Points-Table'!$C$10,
                (U106 = 'Points-Table'!$A$11), 'Points-Table'!$C$11,
                (U106 = 'Points-Table'!$A$12), 'Points-Table'!$C$12,
                (U106 = 'Points-Table'!$A$13), 'Points-Table'!$C$13,
                true, 0
              )
            </f>
      </c>
      <c r="W106" s="11">
        <v>2</v>
      </c>
      <c r="X106" s="12">
        <f>
              Ifs(
                (W106 = 'Points-Table'!$A$4), 'Points-Table'!$C$4,
                (W106 = 'Points-Table'!$A$5), 'Points-Table'!$C$5,
                (W106 = 'Points-Table'!$A$6), 'Points-Table'!$C$6,
                (W106 = 'Points-Table'!$A$7), 'Points-Table'!$C$7,
                (W106 = 'Points-Table'!$A$8), 'Points-Table'!$C$8,
                (W106 = 'Points-Table'!$A$9), 'Points-Table'!$C$9,
                (W106 = 'Points-Table'!$A$10), 'Points-Table'!$C$10,
                (W106 = 'Points-Table'!$A$11), 'Points-Table'!$C$11,
                (W106 = 'Points-Table'!$A$12), 'Points-Table'!$C$12,
                (W106 = 'Points-Table'!$A$13), 'Points-Table'!$C$13,
                true, 0
              )
            </f>
      </c>
      <c r="Y106" s="11">
        <v>1</v>
      </c>
      <c r="Z106" s="12">
        <f>
              Ifs(
                (Y106 = 'Points-Table'!$A$4), 'Points-Table'!$C$4,
                (Y106 = 'Points-Table'!$A$5), 'Points-Table'!$C$5,
                (Y106 = 'Points-Table'!$A$6), 'Points-Table'!$C$6,
                (Y106 = 'Points-Table'!$A$7), 'Points-Table'!$C$7,
                (Y106 = 'Points-Table'!$A$8), 'Points-Table'!$C$8,
                (Y106 = 'Points-Table'!$A$9), 'Points-Table'!$C$9,
                (Y106 = 'Points-Table'!$A$10), 'Points-Table'!$C$10,
                (Y106 = 'Points-Table'!$A$11), 'Points-Table'!$C$11,
                (Y106 = 'Points-Table'!$A$12), 'Points-Table'!$C$12,
                (Y106 = 'Points-Table'!$A$13), 'Points-Table'!$C$13,
                true, 0
              )
            </f>
      </c>
      <c r="AA106" s="6">
        <f>SUM(V106,X106,Z106)</f>
      </c>
      <c r="AB106" s="6">
        <f>
      Ifs( 
        ISBETWEEN(AA106, 0, 'Points-Table'!C$20, TRUE, False), 'Points-Table'!A$20,
        ISBETWEEN(AA106, 'Points-Table'!C$20, 'Points-Table'!C$21, TRUE, False), 'Points-Table'!A$21,
        ISBETWEEN(AA106, 'Points-Table'!C$22, 10000, TRUE, TRUE), 'Points-Table'!A$22,
        true, 
        0)
      </f>
      </c>
      <c r="AC106" s="6" t="s">
        <v>56</v>
      </c>
      <c r="AD106" s="6" t="s">
        <v>56</v>
      </c>
      <c r="AE106" s="6" t="s">
        <v>56</v>
      </c>
    </row>
    <row r="107" spans="1:31" s="6" customFormat="1" x14ac:dyDescent="0.25">
      <c r="A107" s="6" t="s">
        <v>339</v>
      </c>
      <c r="B107" s="6" t="s">
        <v>349</v>
      </c>
      <c r="C107" s="6" t="s">
        <v>274</v>
      </c>
      <c r="D107" s="6"/>
      <c r="E107" s="6"/>
      <c r="F107" s="6"/>
      <c r="G107" s="6"/>
      <c r="H107" s="6"/>
      <c r="I107" s="6"/>
      <c r="J107" s="6"/>
      <c r="K107" s="6" t="s">
        <v>84</v>
      </c>
      <c r="L107" s="6" t="s">
        <v>272</v>
      </c>
      <c r="M107" s="6"/>
      <c r="N107" s="6"/>
      <c r="O107" s="6"/>
      <c r="P107" s="6"/>
      <c r="Q107" s="11">
        <v>0</v>
      </c>
      <c r="R107" s="12">
        <f>
              Ifs(
                (Q107 = 'Points-Table'!$A$4), 'Points-Table'!$C$4,
                (Q107 = 'Points-Table'!$A$5), 'Points-Table'!$C$5,
                (Q107 = 'Points-Table'!$A$6), 'Points-Table'!$C$6,
                (Q107 = 'Points-Table'!$A$7), 'Points-Table'!$C$7,
                (Q107 = 'Points-Table'!$A$8), 'Points-Table'!$C$8,
                (Q107 = 'Points-Table'!$A$9), 'Points-Table'!$C$9,
                (Q107 = 'Points-Table'!$A$10), 'Points-Table'!$C$10,
                (Q107 = 'Points-Table'!$A$11), 'Points-Table'!$C$11,
                (Q107 = 'Points-Table'!$A$12), 'Points-Table'!$C$12,
                (Q107 = 'Points-Table'!$A$13), 'Points-Table'!$C$13,
                true, 0
              )
            </f>
      </c>
      <c r="S107" s="11">
        <v>0</v>
      </c>
      <c r="T107" s="12">
        <f>
              Ifs(
                (S107 = 'Points-Table'!$A$4), 'Points-Table'!$C$4,
                (S107 = 'Points-Table'!$A$5), 'Points-Table'!$C$5,
                (S107 = 'Points-Table'!$A$6), 'Points-Table'!$C$6,
                (S107 = 'Points-Table'!$A$7), 'Points-Table'!$C$7,
                (S107 = 'Points-Table'!$A$8), 'Points-Table'!$C$8,
                (S107 = 'Points-Table'!$A$9), 'Points-Table'!$C$9,
                (S107 = 'Points-Table'!$A$10), 'Points-Table'!$C$10,
                (S107 = 'Points-Table'!$A$11), 'Points-Table'!$C$11,
                (S107 = 'Points-Table'!$A$12), 'Points-Table'!$C$12,
                (S107 = 'Points-Table'!$A$13), 'Points-Table'!$C$13,
                true, 0
              )
            </f>
      </c>
      <c r="U107" s="11">
        <v>2</v>
      </c>
      <c r="V107" s="12">
        <f>
              Ifs(
                (U107 = 'Points-Table'!$A$4), 'Points-Table'!$C$4,
                (U107 = 'Points-Table'!$A$5), 'Points-Table'!$C$5,
                (U107 = 'Points-Table'!$A$6), 'Points-Table'!$C$6,
                (U107 = 'Points-Table'!$A$7), 'Points-Table'!$C$7,
                (U107 = 'Points-Table'!$A$8), 'Points-Table'!$C$8,
                (U107 = 'Points-Table'!$A$9), 'Points-Table'!$C$9,
                (U107 = 'Points-Table'!$A$10), 'Points-Table'!$C$10,
                (U107 = 'Points-Table'!$A$11), 'Points-Table'!$C$11,
                (U107 = 'Points-Table'!$A$12), 'Points-Table'!$C$12,
                (U107 = 'Points-Table'!$A$13), 'Points-Table'!$C$13,
                true, 0
              )
            </f>
      </c>
      <c r="W107" s="11">
        <v>2</v>
      </c>
      <c r="X107" s="12">
        <f>
              Ifs(
                (W107 = 'Points-Table'!$A$4), 'Points-Table'!$C$4,
                (W107 = 'Points-Table'!$A$5), 'Points-Table'!$C$5,
                (W107 = 'Points-Table'!$A$6), 'Points-Table'!$C$6,
                (W107 = 'Points-Table'!$A$7), 'Points-Table'!$C$7,
                (W107 = 'Points-Table'!$A$8), 'Points-Table'!$C$8,
                (W107 = 'Points-Table'!$A$9), 'Points-Table'!$C$9,
                (W107 = 'Points-Table'!$A$10), 'Points-Table'!$C$10,
                (W107 = 'Points-Table'!$A$11), 'Points-Table'!$C$11,
                (W107 = 'Points-Table'!$A$12), 'Points-Table'!$C$12,
                (W107 = 'Points-Table'!$A$13), 'Points-Table'!$C$13,
                true, 0
              )
            </f>
      </c>
      <c r="Y107" s="11">
        <v>1</v>
      </c>
      <c r="Z107" s="12">
        <f>
              Ifs(
                (Y107 = 'Points-Table'!$A$4), 'Points-Table'!$C$4,
                (Y107 = 'Points-Table'!$A$5), 'Points-Table'!$C$5,
                (Y107 = 'Points-Table'!$A$6), 'Points-Table'!$C$6,
                (Y107 = 'Points-Table'!$A$7), 'Points-Table'!$C$7,
                (Y107 = 'Points-Table'!$A$8), 'Points-Table'!$C$8,
                (Y107 = 'Points-Table'!$A$9), 'Points-Table'!$C$9,
                (Y107 = 'Points-Table'!$A$10), 'Points-Table'!$C$10,
                (Y107 = 'Points-Table'!$A$11), 'Points-Table'!$C$11,
                (Y107 = 'Points-Table'!$A$12), 'Points-Table'!$C$12,
                (Y107 = 'Points-Table'!$A$13), 'Points-Table'!$C$13,
                true, 0
              )
            </f>
      </c>
      <c r="AA107" s="6">
        <f>SUM(V107,X107,Z107)</f>
      </c>
      <c r="AB107" s="6">
        <f>
      Ifs( 
        ISBETWEEN(AA107, 0, 'Points-Table'!C$20, TRUE, False), 'Points-Table'!A$20,
        ISBETWEEN(AA107, 'Points-Table'!C$20, 'Points-Table'!C$21, TRUE, False), 'Points-Table'!A$21,
        ISBETWEEN(AA107, 'Points-Table'!C$22, 10000, TRUE, TRUE), 'Points-Table'!A$22,
        true, 
        0)
      </f>
      </c>
      <c r="AC107" s="6" t="s">
        <v>56</v>
      </c>
      <c r="AD107" s="6" t="s">
        <v>56</v>
      </c>
      <c r="AE107" s="6" t="s">
        <v>56</v>
      </c>
    </row>
    <row r="108" spans="1:31" s="6" customFormat="1" x14ac:dyDescent="0.25">
      <c r="A108" s="6" t="s">
        <v>339</v>
      </c>
      <c r="B108" s="6" t="s">
        <v>349</v>
      </c>
      <c r="C108" s="6" t="s">
        <v>275</v>
      </c>
      <c r="D108" s="6"/>
      <c r="E108" s="6"/>
      <c r="F108" s="6"/>
      <c r="G108" s="6"/>
      <c r="H108" s="6"/>
      <c r="I108" s="6"/>
      <c r="J108" s="6"/>
      <c r="K108" s="6" t="s">
        <v>84</v>
      </c>
      <c r="L108" s="6" t="s">
        <v>85</v>
      </c>
      <c r="M108" s="6"/>
      <c r="N108" s="6"/>
      <c r="O108" s="6"/>
      <c r="P108" s="6"/>
      <c r="Q108" s="11">
        <v>3</v>
      </c>
      <c r="R108" s="12">
        <f>
              Ifs(
                (Q108 = 'Points-Table'!$A$4), 'Points-Table'!$C$4,
                (Q108 = 'Points-Table'!$A$5), 'Points-Table'!$C$5,
                (Q108 = 'Points-Table'!$A$6), 'Points-Table'!$C$6,
                (Q108 = 'Points-Table'!$A$7), 'Points-Table'!$C$7,
                (Q108 = 'Points-Table'!$A$8), 'Points-Table'!$C$8,
                (Q108 = 'Points-Table'!$A$9), 'Points-Table'!$C$9,
                (Q108 = 'Points-Table'!$A$10), 'Points-Table'!$C$10,
                (Q108 = 'Points-Table'!$A$11), 'Points-Table'!$C$11,
                (Q108 = 'Points-Table'!$A$12), 'Points-Table'!$C$12,
                (Q108 = 'Points-Table'!$A$13), 'Points-Table'!$C$13,
                true, 0
              )
            </f>
      </c>
      <c r="S108" s="11">
        <v>3</v>
      </c>
      <c r="T108" s="12">
        <f>
              Ifs(
                (S108 = 'Points-Table'!$A$4), 'Points-Table'!$C$4,
                (S108 = 'Points-Table'!$A$5), 'Points-Table'!$C$5,
                (S108 = 'Points-Table'!$A$6), 'Points-Table'!$C$6,
                (S108 = 'Points-Table'!$A$7), 'Points-Table'!$C$7,
                (S108 = 'Points-Table'!$A$8), 'Points-Table'!$C$8,
                (S108 = 'Points-Table'!$A$9), 'Points-Table'!$C$9,
                (S108 = 'Points-Table'!$A$10), 'Points-Table'!$C$10,
                (S108 = 'Points-Table'!$A$11), 'Points-Table'!$C$11,
                (S108 = 'Points-Table'!$A$12), 'Points-Table'!$C$12,
                (S108 = 'Points-Table'!$A$13), 'Points-Table'!$C$13,
                true, 0
              )
            </f>
      </c>
      <c r="U108" s="11">
        <v>5</v>
      </c>
      <c r="V108" s="12">
        <f>
              Ifs(
                (U108 = 'Points-Table'!$A$4), 'Points-Table'!$C$4,
                (U108 = 'Points-Table'!$A$5), 'Points-Table'!$C$5,
                (U108 = 'Points-Table'!$A$6), 'Points-Table'!$C$6,
                (U108 = 'Points-Table'!$A$7), 'Points-Table'!$C$7,
                (U108 = 'Points-Table'!$A$8), 'Points-Table'!$C$8,
                (U108 = 'Points-Table'!$A$9), 'Points-Table'!$C$9,
                (U108 = 'Points-Table'!$A$10), 'Points-Table'!$C$10,
                (U108 = 'Points-Table'!$A$11), 'Points-Table'!$C$11,
                (U108 = 'Points-Table'!$A$12), 'Points-Table'!$C$12,
                (U108 = 'Points-Table'!$A$13), 'Points-Table'!$C$13,
                true, 0
              )
            </f>
      </c>
      <c r="W108" s="11">
        <v>3</v>
      </c>
      <c r="X108" s="12">
        <f>
              Ifs(
                (W108 = 'Points-Table'!$A$4), 'Points-Table'!$C$4,
                (W108 = 'Points-Table'!$A$5), 'Points-Table'!$C$5,
                (W108 = 'Points-Table'!$A$6), 'Points-Table'!$C$6,
                (W108 = 'Points-Table'!$A$7), 'Points-Table'!$C$7,
                (W108 = 'Points-Table'!$A$8), 'Points-Table'!$C$8,
                (W108 = 'Points-Table'!$A$9), 'Points-Table'!$C$9,
                (W108 = 'Points-Table'!$A$10), 'Points-Table'!$C$10,
                (W108 = 'Points-Table'!$A$11), 'Points-Table'!$C$11,
                (W108 = 'Points-Table'!$A$12), 'Points-Table'!$C$12,
                (W108 = 'Points-Table'!$A$13), 'Points-Table'!$C$13,
                true, 0
              )
            </f>
      </c>
      <c r="Y108" s="11">
        <v>5</v>
      </c>
      <c r="Z108" s="12">
        <f>
              Ifs(
                (Y108 = 'Points-Table'!$A$4), 'Points-Table'!$C$4,
                (Y108 = 'Points-Table'!$A$5), 'Points-Table'!$C$5,
                (Y108 = 'Points-Table'!$A$6), 'Points-Table'!$C$6,
                (Y108 = 'Points-Table'!$A$7), 'Points-Table'!$C$7,
                (Y108 = 'Points-Table'!$A$8), 'Points-Table'!$C$8,
                (Y108 = 'Points-Table'!$A$9), 'Points-Table'!$C$9,
                (Y108 = 'Points-Table'!$A$10), 'Points-Table'!$C$10,
                (Y108 = 'Points-Table'!$A$11), 'Points-Table'!$C$11,
                (Y108 = 'Points-Table'!$A$12), 'Points-Table'!$C$12,
                (Y108 = 'Points-Table'!$A$13), 'Points-Table'!$C$13,
                true, 0
              )
            </f>
      </c>
      <c r="AA108" s="6">
        <f>SUM(V108,X108,Z108)</f>
      </c>
      <c r="AB108" s="6">
        <f>
      Ifs( 
        ISBETWEEN(AA108, 0, 'Points-Table'!C$20, TRUE, False), 'Points-Table'!A$20,
        ISBETWEEN(AA108, 'Points-Table'!C$20, 'Points-Table'!C$21, TRUE, False), 'Points-Table'!A$21,
        ISBETWEEN(AA108, 'Points-Table'!C$22, 10000, TRUE, TRUE), 'Points-Table'!A$22,
        true, 
        0)
      </f>
      </c>
      <c r="AC108" s="6" t="s">
        <v>56</v>
      </c>
      <c r="AD108" s="6" t="s">
        <v>56</v>
      </c>
      <c r="AE108" s="6" t="s">
        <v>56</v>
      </c>
    </row>
    <row r="109" spans="1:31" s="6" customFormat="1" x14ac:dyDescent="0.25">
      <c r="A109" s="6" t="s">
        <v>339</v>
      </c>
      <c r="B109" s="6" t="s">
        <v>350</v>
      </c>
      <c r="C109" s="6" t="s">
        <v>351</v>
      </c>
      <c r="D109" s="6"/>
      <c r="E109" s="6"/>
      <c r="F109" s="6"/>
      <c r="G109" s="6"/>
      <c r="H109" s="6"/>
      <c r="I109" s="6"/>
      <c r="J109" s="6"/>
      <c r="K109" s="6" t="s">
        <v>84</v>
      </c>
      <c r="L109" s="6" t="s">
        <v>85</v>
      </c>
      <c r="M109" s="6"/>
      <c r="N109" s="6"/>
      <c r="O109" s="6"/>
      <c r="P109" s="6"/>
      <c r="Q109" s="11"/>
      <c r="R109" s="12">
        <f>
              Ifs(
                (Q109 = 'Points-Table'!$A$4), 'Points-Table'!$C$4,
                (Q109 = 'Points-Table'!$A$5), 'Points-Table'!$C$5,
                (Q109 = 'Points-Table'!$A$6), 'Points-Table'!$C$6,
                (Q109 = 'Points-Table'!$A$7), 'Points-Table'!$C$7,
                (Q109 = 'Points-Table'!$A$8), 'Points-Table'!$C$8,
                (Q109 = 'Points-Table'!$A$9), 'Points-Table'!$C$9,
                (Q109 = 'Points-Table'!$A$10), 'Points-Table'!$C$10,
                (Q109 = 'Points-Table'!$A$11), 'Points-Table'!$C$11,
                (Q109 = 'Points-Table'!$A$12), 'Points-Table'!$C$12,
                (Q109 = 'Points-Table'!$A$13), 'Points-Table'!$C$13,
                true, 0
              )
            </f>
      </c>
      <c r="S109" s="11"/>
      <c r="T109" s="12">
        <f>
              Ifs(
                (S109 = 'Points-Table'!$A$4), 'Points-Table'!$C$4,
                (S109 = 'Points-Table'!$A$5), 'Points-Table'!$C$5,
                (S109 = 'Points-Table'!$A$6), 'Points-Table'!$C$6,
                (S109 = 'Points-Table'!$A$7), 'Points-Table'!$C$7,
                (S109 = 'Points-Table'!$A$8), 'Points-Table'!$C$8,
                (S109 = 'Points-Table'!$A$9), 'Points-Table'!$C$9,
                (S109 = 'Points-Table'!$A$10), 'Points-Table'!$C$10,
                (S109 = 'Points-Table'!$A$11), 'Points-Table'!$C$11,
                (S109 = 'Points-Table'!$A$12), 'Points-Table'!$C$12,
                (S109 = 'Points-Table'!$A$13), 'Points-Table'!$C$13,
                true, 0
              )
            </f>
      </c>
      <c r="U109" s="11">
        <v>3</v>
      </c>
      <c r="V109" s="12">
        <f>
              Ifs(
                (U109 = 'Points-Table'!$A$4), 'Points-Table'!$C$4,
                (U109 = 'Points-Table'!$A$5), 'Points-Table'!$C$5,
                (U109 = 'Points-Table'!$A$6), 'Points-Table'!$C$6,
                (U109 = 'Points-Table'!$A$7), 'Points-Table'!$C$7,
                (U109 = 'Points-Table'!$A$8), 'Points-Table'!$C$8,
                (U109 = 'Points-Table'!$A$9), 'Points-Table'!$C$9,
                (U109 = 'Points-Table'!$A$10), 'Points-Table'!$C$10,
                (U109 = 'Points-Table'!$A$11), 'Points-Table'!$C$11,
                (U109 = 'Points-Table'!$A$12), 'Points-Table'!$C$12,
                (U109 = 'Points-Table'!$A$13), 'Points-Table'!$C$13,
                true, 0
              )
            </f>
      </c>
      <c r="W109" s="11">
        <v>3</v>
      </c>
      <c r="X109" s="12">
        <f>
              Ifs(
                (W109 = 'Points-Table'!$A$4), 'Points-Table'!$C$4,
                (W109 = 'Points-Table'!$A$5), 'Points-Table'!$C$5,
                (W109 = 'Points-Table'!$A$6), 'Points-Table'!$C$6,
                (W109 = 'Points-Table'!$A$7), 'Points-Table'!$C$7,
                (W109 = 'Points-Table'!$A$8), 'Points-Table'!$C$8,
                (W109 = 'Points-Table'!$A$9), 'Points-Table'!$C$9,
                (W109 = 'Points-Table'!$A$10), 'Points-Table'!$C$10,
                (W109 = 'Points-Table'!$A$11), 'Points-Table'!$C$11,
                (W109 = 'Points-Table'!$A$12), 'Points-Table'!$C$12,
                (W109 = 'Points-Table'!$A$13), 'Points-Table'!$C$13,
                true, 0
              )
            </f>
      </c>
      <c r="Y109" s="11">
        <v>8</v>
      </c>
      <c r="Z109" s="12">
        <f>
              Ifs(
                (Y109 = 'Points-Table'!$A$4), 'Points-Table'!$C$4,
                (Y109 = 'Points-Table'!$A$5), 'Points-Table'!$C$5,
                (Y109 = 'Points-Table'!$A$6), 'Points-Table'!$C$6,
                (Y109 = 'Points-Table'!$A$7), 'Points-Table'!$C$7,
                (Y109 = 'Points-Table'!$A$8), 'Points-Table'!$C$8,
                (Y109 = 'Points-Table'!$A$9), 'Points-Table'!$C$9,
                (Y109 = 'Points-Table'!$A$10), 'Points-Table'!$C$10,
                (Y109 = 'Points-Table'!$A$11), 'Points-Table'!$C$11,
                (Y109 = 'Points-Table'!$A$12), 'Points-Table'!$C$12,
                (Y109 = 'Points-Table'!$A$13), 'Points-Table'!$C$13,
                true, 0
              )
            </f>
      </c>
      <c r="AA109" s="6">
        <f>SUM(V109,X109,Z109)</f>
      </c>
      <c r="AB109" s="6">
        <f>
      Ifs( 
        ISBETWEEN(AA109, 0, 'Points-Table'!C$20, TRUE, False), 'Points-Table'!A$20,
        ISBETWEEN(AA109, 'Points-Table'!C$20, 'Points-Table'!C$21, TRUE, False), 'Points-Table'!A$21,
        ISBETWEEN(AA109, 'Points-Table'!C$22, 10000, TRUE, TRUE), 'Points-Table'!A$22,
        true, 
        0)
      </f>
      </c>
      <c r="AC109" s="6" t="s">
        <v>56</v>
      </c>
      <c r="AD109" s="6" t="s">
        <v>56</v>
      </c>
      <c r="AE109" s="6" t="s">
        <v>56</v>
      </c>
    </row>
    <row r="110" spans="1:31" s="6" customFormat="1" x14ac:dyDescent="0.25">
      <c r="A110" s="6" t="s">
        <v>339</v>
      </c>
      <c r="B110" s="6" t="s">
        <v>350</v>
      </c>
      <c r="C110" s="6" t="s">
        <v>352</v>
      </c>
      <c r="D110" s="6"/>
      <c r="E110" s="6"/>
      <c r="F110" s="6"/>
      <c r="G110" s="6"/>
      <c r="H110" s="6"/>
      <c r="I110" s="6"/>
      <c r="J110" s="6"/>
      <c r="K110" s="6" t="s">
        <v>84</v>
      </c>
      <c r="L110" s="6" t="s">
        <v>85</v>
      </c>
      <c r="M110" s="6"/>
      <c r="N110" s="6"/>
      <c r="O110" s="6"/>
      <c r="P110" s="6"/>
      <c r="Q110" s="11"/>
      <c r="R110" s="12">
        <f>
              Ifs(
                (Q110 = 'Points-Table'!$A$4), 'Points-Table'!$C$4,
                (Q110 = 'Points-Table'!$A$5), 'Points-Table'!$C$5,
                (Q110 = 'Points-Table'!$A$6), 'Points-Table'!$C$6,
                (Q110 = 'Points-Table'!$A$7), 'Points-Table'!$C$7,
                (Q110 = 'Points-Table'!$A$8), 'Points-Table'!$C$8,
                (Q110 = 'Points-Table'!$A$9), 'Points-Table'!$C$9,
                (Q110 = 'Points-Table'!$A$10), 'Points-Table'!$C$10,
                (Q110 = 'Points-Table'!$A$11), 'Points-Table'!$C$11,
                (Q110 = 'Points-Table'!$A$12), 'Points-Table'!$C$12,
                (Q110 = 'Points-Table'!$A$13), 'Points-Table'!$C$13,
                true, 0
              )
            </f>
      </c>
      <c r="S110" s="11"/>
      <c r="T110" s="12">
        <f>
              Ifs(
                (S110 = 'Points-Table'!$A$4), 'Points-Table'!$C$4,
                (S110 = 'Points-Table'!$A$5), 'Points-Table'!$C$5,
                (S110 = 'Points-Table'!$A$6), 'Points-Table'!$C$6,
                (S110 = 'Points-Table'!$A$7), 'Points-Table'!$C$7,
                (S110 = 'Points-Table'!$A$8), 'Points-Table'!$C$8,
                (S110 = 'Points-Table'!$A$9), 'Points-Table'!$C$9,
                (S110 = 'Points-Table'!$A$10), 'Points-Table'!$C$10,
                (S110 = 'Points-Table'!$A$11), 'Points-Table'!$C$11,
                (S110 = 'Points-Table'!$A$12), 'Points-Table'!$C$12,
                (S110 = 'Points-Table'!$A$13), 'Points-Table'!$C$13,
                true, 0
              )
            </f>
      </c>
      <c r="U110" s="11">
        <v>3</v>
      </c>
      <c r="V110" s="12">
        <f>
              Ifs(
                (U110 = 'Points-Table'!$A$4), 'Points-Table'!$C$4,
                (U110 = 'Points-Table'!$A$5), 'Points-Table'!$C$5,
                (U110 = 'Points-Table'!$A$6), 'Points-Table'!$C$6,
                (U110 = 'Points-Table'!$A$7), 'Points-Table'!$C$7,
                (U110 = 'Points-Table'!$A$8), 'Points-Table'!$C$8,
                (U110 = 'Points-Table'!$A$9), 'Points-Table'!$C$9,
                (U110 = 'Points-Table'!$A$10), 'Points-Table'!$C$10,
                (U110 = 'Points-Table'!$A$11), 'Points-Table'!$C$11,
                (U110 = 'Points-Table'!$A$12), 'Points-Table'!$C$12,
                (U110 = 'Points-Table'!$A$13), 'Points-Table'!$C$13,
                true, 0
              )
            </f>
      </c>
      <c r="W110" s="11">
        <v>1</v>
      </c>
      <c r="X110" s="12">
        <f>
              Ifs(
                (W110 = 'Points-Table'!$A$4), 'Points-Table'!$C$4,
                (W110 = 'Points-Table'!$A$5), 'Points-Table'!$C$5,
                (W110 = 'Points-Table'!$A$6), 'Points-Table'!$C$6,
                (W110 = 'Points-Table'!$A$7), 'Points-Table'!$C$7,
                (W110 = 'Points-Table'!$A$8), 'Points-Table'!$C$8,
                (W110 = 'Points-Table'!$A$9), 'Points-Table'!$C$9,
                (W110 = 'Points-Table'!$A$10), 'Points-Table'!$C$10,
                (W110 = 'Points-Table'!$A$11), 'Points-Table'!$C$11,
                (W110 = 'Points-Table'!$A$12), 'Points-Table'!$C$12,
                (W110 = 'Points-Table'!$A$13), 'Points-Table'!$C$13,
                true, 0
              )
            </f>
      </c>
      <c r="Y110" s="11">
        <v>5</v>
      </c>
      <c r="Z110" s="12">
        <f>
              Ifs(
                (Y110 = 'Points-Table'!$A$4), 'Points-Table'!$C$4,
                (Y110 = 'Points-Table'!$A$5), 'Points-Table'!$C$5,
                (Y110 = 'Points-Table'!$A$6), 'Points-Table'!$C$6,
                (Y110 = 'Points-Table'!$A$7), 'Points-Table'!$C$7,
                (Y110 = 'Points-Table'!$A$8), 'Points-Table'!$C$8,
                (Y110 = 'Points-Table'!$A$9), 'Points-Table'!$C$9,
                (Y110 = 'Points-Table'!$A$10), 'Points-Table'!$C$10,
                (Y110 = 'Points-Table'!$A$11), 'Points-Table'!$C$11,
                (Y110 = 'Points-Table'!$A$12), 'Points-Table'!$C$12,
                (Y110 = 'Points-Table'!$A$13), 'Points-Table'!$C$13,
                true, 0
              )
            </f>
      </c>
      <c r="AA110" s="6">
        <f>SUM(V110,X110,Z110)</f>
      </c>
      <c r="AB110" s="6">
        <f>
      Ifs( 
        ISBETWEEN(AA110, 0, 'Points-Table'!C$20, TRUE, False), 'Points-Table'!A$20,
        ISBETWEEN(AA110, 'Points-Table'!C$20, 'Points-Table'!C$21, TRUE, False), 'Points-Table'!A$21,
        ISBETWEEN(AA110, 'Points-Table'!C$22, 10000, TRUE, TRUE), 'Points-Table'!A$22,
        true, 
        0)
      </f>
      </c>
      <c r="AC110" s="6" t="s">
        <v>56</v>
      </c>
      <c r="AD110" s="6" t="s">
        <v>56</v>
      </c>
      <c r="AE110" s="6" t="s">
        <v>56</v>
      </c>
    </row>
    <row r="111" spans="1:31" s="6" customFormat="1" x14ac:dyDescent="0.25">
      <c r="A111" s="6" t="s">
        <v>339</v>
      </c>
      <c r="B111" s="6" t="s">
        <v>350</v>
      </c>
      <c r="C111" s="6" t="s">
        <v>353</v>
      </c>
      <c r="D111" s="6"/>
      <c r="E111" s="6"/>
      <c r="F111" s="6" t="s">
        <v>354</v>
      </c>
      <c r="G111" s="6"/>
      <c r="H111" s="6"/>
      <c r="I111" s="6"/>
      <c r="J111" s="6"/>
      <c r="K111" s="6" t="s">
        <v>84</v>
      </c>
      <c r="L111" s="6" t="s">
        <v>85</v>
      </c>
      <c r="M111" s="6"/>
      <c r="N111" s="6"/>
      <c r="O111" s="6"/>
      <c r="P111" s="6"/>
      <c r="Q111" s="11"/>
      <c r="R111" s="12">
        <f>
              Ifs(
                (Q111 = 'Points-Table'!$A$4), 'Points-Table'!$C$4,
                (Q111 = 'Points-Table'!$A$5), 'Points-Table'!$C$5,
                (Q111 = 'Points-Table'!$A$6), 'Points-Table'!$C$6,
                (Q111 = 'Points-Table'!$A$7), 'Points-Table'!$C$7,
                (Q111 = 'Points-Table'!$A$8), 'Points-Table'!$C$8,
                (Q111 = 'Points-Table'!$A$9), 'Points-Table'!$C$9,
                (Q111 = 'Points-Table'!$A$10), 'Points-Table'!$C$10,
                (Q111 = 'Points-Table'!$A$11), 'Points-Table'!$C$11,
                (Q111 = 'Points-Table'!$A$12), 'Points-Table'!$C$12,
                (Q111 = 'Points-Table'!$A$13), 'Points-Table'!$C$13,
                true, 0
              )
            </f>
      </c>
      <c r="S111" s="11"/>
      <c r="T111" s="12">
        <f>
              Ifs(
                (S111 = 'Points-Table'!$A$4), 'Points-Table'!$C$4,
                (S111 = 'Points-Table'!$A$5), 'Points-Table'!$C$5,
                (S111 = 'Points-Table'!$A$6), 'Points-Table'!$C$6,
                (S111 = 'Points-Table'!$A$7), 'Points-Table'!$C$7,
                (S111 = 'Points-Table'!$A$8), 'Points-Table'!$C$8,
                (S111 = 'Points-Table'!$A$9), 'Points-Table'!$C$9,
                (S111 = 'Points-Table'!$A$10), 'Points-Table'!$C$10,
                (S111 = 'Points-Table'!$A$11), 'Points-Table'!$C$11,
                (S111 = 'Points-Table'!$A$12), 'Points-Table'!$C$12,
                (S111 = 'Points-Table'!$A$13), 'Points-Table'!$C$13,
                true, 0
              )
            </f>
      </c>
      <c r="U111" s="11">
        <v>2</v>
      </c>
      <c r="V111" s="12">
        <f>
              Ifs(
                (U111 = 'Points-Table'!$A$4), 'Points-Table'!$C$4,
                (U111 = 'Points-Table'!$A$5), 'Points-Table'!$C$5,
                (U111 = 'Points-Table'!$A$6), 'Points-Table'!$C$6,
                (U111 = 'Points-Table'!$A$7), 'Points-Table'!$C$7,
                (U111 = 'Points-Table'!$A$8), 'Points-Table'!$C$8,
                (U111 = 'Points-Table'!$A$9), 'Points-Table'!$C$9,
                (U111 = 'Points-Table'!$A$10), 'Points-Table'!$C$10,
                (U111 = 'Points-Table'!$A$11), 'Points-Table'!$C$11,
                (U111 = 'Points-Table'!$A$12), 'Points-Table'!$C$12,
                (U111 = 'Points-Table'!$A$13), 'Points-Table'!$C$13,
                true, 0
              )
            </f>
      </c>
      <c r="W111" s="11">
        <v>1</v>
      </c>
      <c r="X111" s="12">
        <f>
              Ifs(
                (W111 = 'Points-Table'!$A$4), 'Points-Table'!$C$4,
                (W111 = 'Points-Table'!$A$5), 'Points-Table'!$C$5,
                (W111 = 'Points-Table'!$A$6), 'Points-Table'!$C$6,
                (W111 = 'Points-Table'!$A$7), 'Points-Table'!$C$7,
                (W111 = 'Points-Table'!$A$8), 'Points-Table'!$C$8,
                (W111 = 'Points-Table'!$A$9), 'Points-Table'!$C$9,
                (W111 = 'Points-Table'!$A$10), 'Points-Table'!$C$10,
                (W111 = 'Points-Table'!$A$11), 'Points-Table'!$C$11,
                (W111 = 'Points-Table'!$A$12), 'Points-Table'!$C$12,
                (W111 = 'Points-Table'!$A$13), 'Points-Table'!$C$13,
                true, 0
              )
            </f>
      </c>
      <c r="Y111" s="11">
        <v>5</v>
      </c>
      <c r="Z111" s="12">
        <f>
              Ifs(
                (Y111 = 'Points-Table'!$A$4), 'Points-Table'!$C$4,
                (Y111 = 'Points-Table'!$A$5), 'Points-Table'!$C$5,
                (Y111 = 'Points-Table'!$A$6), 'Points-Table'!$C$6,
                (Y111 = 'Points-Table'!$A$7), 'Points-Table'!$C$7,
                (Y111 = 'Points-Table'!$A$8), 'Points-Table'!$C$8,
                (Y111 = 'Points-Table'!$A$9), 'Points-Table'!$C$9,
                (Y111 = 'Points-Table'!$A$10), 'Points-Table'!$C$10,
                (Y111 = 'Points-Table'!$A$11), 'Points-Table'!$C$11,
                (Y111 = 'Points-Table'!$A$12), 'Points-Table'!$C$12,
                (Y111 = 'Points-Table'!$A$13), 'Points-Table'!$C$13,
                true, 0
              )
            </f>
      </c>
      <c r="AA111" s="6">
        <f>SUM(V111,X111,Z111)</f>
      </c>
      <c r="AB111" s="6">
        <f>
      Ifs( 
        ISBETWEEN(AA111, 0, 'Points-Table'!C$20, TRUE, False), 'Points-Table'!A$20,
        ISBETWEEN(AA111, 'Points-Table'!C$20, 'Points-Table'!C$21, TRUE, False), 'Points-Table'!A$21,
        ISBETWEEN(AA111, 'Points-Table'!C$22, 10000, TRUE, TRUE), 'Points-Table'!A$22,
        true, 
        0)
      </f>
      </c>
      <c r="AC111" s="6" t="s">
        <v>56</v>
      </c>
      <c r="AD111" s="6" t="s">
        <v>56</v>
      </c>
      <c r="AE111" s="6" t="s">
        <v>56</v>
      </c>
    </row>
    <row r="112" spans="1:31" s="13" customFormat="1" x14ac:dyDescent="0.25">
      <c r="A112" s="13" t="s">
        <v>339</v>
      </c>
      <c r="B112" s="13" t="s">
        <v>350</v>
      </c>
      <c r="C112" s="13" t="s">
        <v>355</v>
      </c>
      <c r="D112" s="13"/>
      <c r="E112" s="13"/>
      <c r="F112" s="13"/>
      <c r="G112" s="13"/>
      <c r="H112" s="13"/>
      <c r="I112" s="13"/>
      <c r="J112" s="13"/>
      <c r="K112" s="13" t="s">
        <v>84</v>
      </c>
      <c r="L112" s="13" t="s">
        <v>85</v>
      </c>
      <c r="M112" s="13"/>
      <c r="N112" s="13"/>
      <c r="O112" s="13"/>
      <c r="P112" s="13"/>
      <c r="Q112" s="13">
        <v>1</v>
      </c>
      <c r="R112" s="13">
        <f>
              Ifs(
                (Q112 = 'Points-Table'!$A$4), 'Points-Table'!$C$4,
                (Q112 = 'Points-Table'!$A$5), 'Points-Table'!$C$5,
                (Q112 = 'Points-Table'!$A$6), 'Points-Table'!$C$6,
                (Q112 = 'Points-Table'!$A$7), 'Points-Table'!$C$7,
                (Q112 = 'Points-Table'!$A$8), 'Points-Table'!$C$8,
                (Q112 = 'Points-Table'!$A$9), 'Points-Table'!$C$9,
                (Q112 = 'Points-Table'!$A$10), 'Points-Table'!$C$10,
                (Q112 = 'Points-Table'!$A$11), 'Points-Table'!$C$11,
                (Q112 = 'Points-Table'!$A$12), 'Points-Table'!$C$12,
                (Q112 = 'Points-Table'!$A$13), 'Points-Table'!$C$13,
                true, 0
              )
            </f>
      </c>
      <c r="S112" s="13">
        <v>1</v>
      </c>
      <c r="T112" s="13">
        <f>
              Ifs(
                (S112 = 'Points-Table'!$A$4), 'Points-Table'!$C$4,
                (S112 = 'Points-Table'!$A$5), 'Points-Table'!$C$5,
                (S112 = 'Points-Table'!$A$6), 'Points-Table'!$C$6,
                (S112 = 'Points-Table'!$A$7), 'Points-Table'!$C$7,
                (S112 = 'Points-Table'!$A$8), 'Points-Table'!$C$8,
                (S112 = 'Points-Table'!$A$9), 'Points-Table'!$C$9,
                (S112 = 'Points-Table'!$A$10), 'Points-Table'!$C$10,
                (S112 = 'Points-Table'!$A$11), 'Points-Table'!$C$11,
                (S112 = 'Points-Table'!$A$12), 'Points-Table'!$C$12,
                (S112 = 'Points-Table'!$A$13), 'Points-Table'!$C$13,
                true, 0
              )
            </f>
      </c>
      <c r="U112" s="13">
        <v>5</v>
      </c>
      <c r="V112" s="13">
        <f>
              Ifs(
                (U112 = 'Points-Table'!$A$4), 'Points-Table'!$C$4,
                (U112 = 'Points-Table'!$A$5), 'Points-Table'!$C$5,
                (U112 = 'Points-Table'!$A$6), 'Points-Table'!$C$6,
                (U112 = 'Points-Table'!$A$7), 'Points-Table'!$C$7,
                (U112 = 'Points-Table'!$A$8), 'Points-Table'!$C$8,
                (U112 = 'Points-Table'!$A$9), 'Points-Table'!$C$9,
                (U112 = 'Points-Table'!$A$10), 'Points-Table'!$C$10,
                (U112 = 'Points-Table'!$A$11), 'Points-Table'!$C$11,
                (U112 = 'Points-Table'!$A$12), 'Points-Table'!$C$12,
                (U112 = 'Points-Table'!$A$13), 'Points-Table'!$C$13,
                true, 0
              )
            </f>
      </c>
      <c r="W112" s="13">
        <v>3</v>
      </c>
      <c r="X112" s="13">
        <f>
              Ifs(
                (W112 = 'Points-Table'!$A$4), 'Points-Table'!$C$4,
                (W112 = 'Points-Table'!$A$5), 'Points-Table'!$C$5,
                (W112 = 'Points-Table'!$A$6), 'Points-Table'!$C$6,
                (W112 = 'Points-Table'!$A$7), 'Points-Table'!$C$7,
                (W112 = 'Points-Table'!$A$8), 'Points-Table'!$C$8,
                (W112 = 'Points-Table'!$A$9), 'Points-Table'!$C$9,
                (W112 = 'Points-Table'!$A$10), 'Points-Table'!$C$10,
                (W112 = 'Points-Table'!$A$11), 'Points-Table'!$C$11,
                (W112 = 'Points-Table'!$A$12), 'Points-Table'!$C$12,
                (W112 = 'Points-Table'!$A$13), 'Points-Table'!$C$13,
                true, 0
              )
            </f>
      </c>
      <c r="Y112" s="13">
        <v>5</v>
      </c>
      <c r="Z112" s="13">
        <f>
              Ifs(
                (Y112 = 'Points-Table'!$A$4), 'Points-Table'!$C$4,
                (Y112 = 'Points-Table'!$A$5), 'Points-Table'!$C$5,
                (Y112 = 'Points-Table'!$A$6), 'Points-Table'!$C$6,
                (Y112 = 'Points-Table'!$A$7), 'Points-Table'!$C$7,
                (Y112 = 'Points-Table'!$A$8), 'Points-Table'!$C$8,
                (Y112 = 'Points-Table'!$A$9), 'Points-Table'!$C$9,
                (Y112 = 'Points-Table'!$A$10), 'Points-Table'!$C$10,
                (Y112 = 'Points-Table'!$A$11), 'Points-Table'!$C$11,
                (Y112 = 'Points-Table'!$A$12), 'Points-Table'!$C$12,
                (Y112 = 'Points-Table'!$A$13), 'Points-Table'!$C$13,
                true, 0
              )
            </f>
      </c>
      <c r="AA112" s="13">
        <f>SUM(V112,X112,Z112)</f>
      </c>
      <c r="AB112" s="13">
        <f>
      Ifs( 
        ISBETWEEN(AA112, 0, 'Points-Table'!C$20, TRUE, False), 'Points-Table'!A$20,
        ISBETWEEN(AA112, 'Points-Table'!C$20, 'Points-Table'!C$21, TRUE, False), 'Points-Table'!A$21,
        ISBETWEEN(AA112, 'Points-Table'!C$22, 10000, TRUE, TRUE), 'Points-Table'!A$22,
        true, 
        0)
      </f>
      </c>
      <c r="AC112" s="13" t="s">
        <v>56</v>
      </c>
      <c r="AD112" s="13" t="s">
        <v>56</v>
      </c>
      <c r="AE112" s="13" t="s">
        <v>56</v>
      </c>
    </row>
    <row r="113" spans="1:31" s="13" customFormat="1" x14ac:dyDescent="0.25">
      <c r="A113" s="13" t="s">
        <v>339</v>
      </c>
      <c r="B113" s="13" t="s">
        <v>350</v>
      </c>
      <c r="C113" s="13" t="s">
        <v>289</v>
      </c>
      <c r="D113" s="13"/>
      <c r="E113" s="13"/>
      <c r="F113" s="13"/>
      <c r="G113" s="13"/>
      <c r="H113" s="13"/>
      <c r="I113" s="13"/>
      <c r="J113" s="13"/>
      <c r="K113" s="13" t="s">
        <v>84</v>
      </c>
      <c r="L113" s="13" t="s">
        <v>85</v>
      </c>
      <c r="M113" s="13"/>
      <c r="N113" s="13"/>
      <c r="O113" s="13"/>
      <c r="P113" s="13"/>
      <c r="Q113" s="13">
        <v>1</v>
      </c>
      <c r="R113" s="13">
        <f>
              Ifs(
                (Q113 = 'Points-Table'!$A$4), 'Points-Table'!$C$4,
                (Q113 = 'Points-Table'!$A$5), 'Points-Table'!$C$5,
                (Q113 = 'Points-Table'!$A$6), 'Points-Table'!$C$6,
                (Q113 = 'Points-Table'!$A$7), 'Points-Table'!$C$7,
                (Q113 = 'Points-Table'!$A$8), 'Points-Table'!$C$8,
                (Q113 = 'Points-Table'!$A$9), 'Points-Table'!$C$9,
                (Q113 = 'Points-Table'!$A$10), 'Points-Table'!$C$10,
                (Q113 = 'Points-Table'!$A$11), 'Points-Table'!$C$11,
                (Q113 = 'Points-Table'!$A$12), 'Points-Table'!$C$12,
                (Q113 = 'Points-Table'!$A$13), 'Points-Table'!$C$13,
                true, 0
              )
            </f>
      </c>
      <c r="S113" s="13">
        <v>1</v>
      </c>
      <c r="T113" s="13">
        <f>
              Ifs(
                (S113 = 'Points-Table'!$A$4), 'Points-Table'!$C$4,
                (S113 = 'Points-Table'!$A$5), 'Points-Table'!$C$5,
                (S113 = 'Points-Table'!$A$6), 'Points-Table'!$C$6,
                (S113 = 'Points-Table'!$A$7), 'Points-Table'!$C$7,
                (S113 = 'Points-Table'!$A$8), 'Points-Table'!$C$8,
                (S113 = 'Points-Table'!$A$9), 'Points-Table'!$C$9,
                (S113 = 'Points-Table'!$A$10), 'Points-Table'!$C$10,
                (S113 = 'Points-Table'!$A$11), 'Points-Table'!$C$11,
                (S113 = 'Points-Table'!$A$12), 'Points-Table'!$C$12,
                (S113 = 'Points-Table'!$A$13), 'Points-Table'!$C$13,
                true, 0
              )
            </f>
      </c>
      <c r="U113" s="13">
        <v>3</v>
      </c>
      <c r="V113" s="13">
        <f>
              Ifs(
                (U113 = 'Points-Table'!$A$4), 'Points-Table'!$C$4,
                (U113 = 'Points-Table'!$A$5), 'Points-Table'!$C$5,
                (U113 = 'Points-Table'!$A$6), 'Points-Table'!$C$6,
                (U113 = 'Points-Table'!$A$7), 'Points-Table'!$C$7,
                (U113 = 'Points-Table'!$A$8), 'Points-Table'!$C$8,
                (U113 = 'Points-Table'!$A$9), 'Points-Table'!$C$9,
                (U113 = 'Points-Table'!$A$10), 'Points-Table'!$C$10,
                (U113 = 'Points-Table'!$A$11), 'Points-Table'!$C$11,
                (U113 = 'Points-Table'!$A$12), 'Points-Table'!$C$12,
                (U113 = 'Points-Table'!$A$13), 'Points-Table'!$C$13,
                true, 0
              )
            </f>
      </c>
      <c r="W113" s="13">
        <v>2</v>
      </c>
      <c r="X113" s="13">
        <f>
              Ifs(
                (W113 = 'Points-Table'!$A$4), 'Points-Table'!$C$4,
                (W113 = 'Points-Table'!$A$5), 'Points-Table'!$C$5,
                (W113 = 'Points-Table'!$A$6), 'Points-Table'!$C$6,
                (W113 = 'Points-Table'!$A$7), 'Points-Table'!$C$7,
                (W113 = 'Points-Table'!$A$8), 'Points-Table'!$C$8,
                (W113 = 'Points-Table'!$A$9), 'Points-Table'!$C$9,
                (W113 = 'Points-Table'!$A$10), 'Points-Table'!$C$10,
                (W113 = 'Points-Table'!$A$11), 'Points-Table'!$C$11,
                (W113 = 'Points-Table'!$A$12), 'Points-Table'!$C$12,
                (W113 = 'Points-Table'!$A$13), 'Points-Table'!$C$13,
                true, 0
              )
            </f>
      </c>
      <c r="Y113" s="13">
        <v>3</v>
      </c>
      <c r="Z113" s="13">
        <f>
              Ifs(
                (Y113 = 'Points-Table'!$A$4), 'Points-Table'!$C$4,
                (Y113 = 'Points-Table'!$A$5), 'Points-Table'!$C$5,
                (Y113 = 'Points-Table'!$A$6), 'Points-Table'!$C$6,
                (Y113 = 'Points-Table'!$A$7), 'Points-Table'!$C$7,
                (Y113 = 'Points-Table'!$A$8), 'Points-Table'!$C$8,
                (Y113 = 'Points-Table'!$A$9), 'Points-Table'!$C$9,
                (Y113 = 'Points-Table'!$A$10), 'Points-Table'!$C$10,
                (Y113 = 'Points-Table'!$A$11), 'Points-Table'!$C$11,
                (Y113 = 'Points-Table'!$A$12), 'Points-Table'!$C$12,
                (Y113 = 'Points-Table'!$A$13), 'Points-Table'!$C$13,
                true, 0
              )
            </f>
      </c>
      <c r="AA113" s="13">
        <f>SUM(V113,X113,Z113)</f>
      </c>
      <c r="AB113" s="13">
        <f>
      Ifs( 
        ISBETWEEN(AA113, 0, 'Points-Table'!C$20, TRUE, False), 'Points-Table'!A$20,
        ISBETWEEN(AA113, 'Points-Table'!C$20, 'Points-Table'!C$21, TRUE, False), 'Points-Table'!A$21,
        ISBETWEEN(AA113, 'Points-Table'!C$22, 10000, TRUE, TRUE), 'Points-Table'!A$22,
        true, 
        0)
      </f>
      </c>
      <c r="AC113" s="13" t="s">
        <v>56</v>
      </c>
      <c r="AD113" s="13" t="s">
        <v>56</v>
      </c>
      <c r="AE113" s="13" t="s">
        <v>56</v>
      </c>
    </row>
    <row r="114" spans="1:31" s="13" customFormat="1" x14ac:dyDescent="0.25">
      <c r="A114" s="13" t="s">
        <v>339</v>
      </c>
      <c r="B114" s="13" t="s">
        <v>350</v>
      </c>
      <c r="C114" s="13" t="s">
        <v>356</v>
      </c>
      <c r="D114" s="13"/>
      <c r="E114" s="13"/>
      <c r="F114" s="13"/>
      <c r="G114" s="13"/>
      <c r="H114" s="13"/>
      <c r="I114" s="13"/>
      <c r="J114" s="13"/>
      <c r="K114" s="13" t="s">
        <v>84</v>
      </c>
      <c r="L114" s="13" t="s">
        <v>85</v>
      </c>
      <c r="M114" s="13"/>
      <c r="N114" s="13"/>
      <c r="O114" s="13"/>
      <c r="P114" s="13"/>
      <c r="Q114" s="13">
        <v>2</v>
      </c>
      <c r="R114" s="13">
        <f>
              Ifs(
                (Q114 = 'Points-Table'!$A$4), 'Points-Table'!$C$4,
                (Q114 = 'Points-Table'!$A$5), 'Points-Table'!$C$5,
                (Q114 = 'Points-Table'!$A$6), 'Points-Table'!$C$6,
                (Q114 = 'Points-Table'!$A$7), 'Points-Table'!$C$7,
                (Q114 = 'Points-Table'!$A$8), 'Points-Table'!$C$8,
                (Q114 = 'Points-Table'!$A$9), 'Points-Table'!$C$9,
                (Q114 = 'Points-Table'!$A$10), 'Points-Table'!$C$10,
                (Q114 = 'Points-Table'!$A$11), 'Points-Table'!$C$11,
                (Q114 = 'Points-Table'!$A$12), 'Points-Table'!$C$12,
                (Q114 = 'Points-Table'!$A$13), 'Points-Table'!$C$13,
                true, 0
              )
            </f>
      </c>
      <c r="S114" s="13">
        <v>2</v>
      </c>
      <c r="T114" s="13">
        <f>
              Ifs(
                (S114 = 'Points-Table'!$A$4), 'Points-Table'!$C$4,
                (S114 = 'Points-Table'!$A$5), 'Points-Table'!$C$5,
                (S114 = 'Points-Table'!$A$6), 'Points-Table'!$C$6,
                (S114 = 'Points-Table'!$A$7), 'Points-Table'!$C$7,
                (S114 = 'Points-Table'!$A$8), 'Points-Table'!$C$8,
                (S114 = 'Points-Table'!$A$9), 'Points-Table'!$C$9,
                (S114 = 'Points-Table'!$A$10), 'Points-Table'!$C$10,
                (S114 = 'Points-Table'!$A$11), 'Points-Table'!$C$11,
                (S114 = 'Points-Table'!$A$12), 'Points-Table'!$C$12,
                (S114 = 'Points-Table'!$A$13), 'Points-Table'!$C$13,
                true, 0
              )
            </f>
      </c>
      <c r="U114" s="13">
        <v>3</v>
      </c>
      <c r="V114" s="13">
        <f>
              Ifs(
                (U114 = 'Points-Table'!$A$4), 'Points-Table'!$C$4,
                (U114 = 'Points-Table'!$A$5), 'Points-Table'!$C$5,
                (U114 = 'Points-Table'!$A$6), 'Points-Table'!$C$6,
                (U114 = 'Points-Table'!$A$7), 'Points-Table'!$C$7,
                (U114 = 'Points-Table'!$A$8), 'Points-Table'!$C$8,
                (U114 = 'Points-Table'!$A$9), 'Points-Table'!$C$9,
                (U114 = 'Points-Table'!$A$10), 'Points-Table'!$C$10,
                (U114 = 'Points-Table'!$A$11), 'Points-Table'!$C$11,
                (U114 = 'Points-Table'!$A$12), 'Points-Table'!$C$12,
                (U114 = 'Points-Table'!$A$13), 'Points-Table'!$C$13,
                true, 0
              )
            </f>
      </c>
      <c r="W114" s="13">
        <v>2</v>
      </c>
      <c r="X114" s="13">
        <f>
              Ifs(
                (W114 = 'Points-Table'!$A$4), 'Points-Table'!$C$4,
                (W114 = 'Points-Table'!$A$5), 'Points-Table'!$C$5,
                (W114 = 'Points-Table'!$A$6), 'Points-Table'!$C$6,
                (W114 = 'Points-Table'!$A$7), 'Points-Table'!$C$7,
                (W114 = 'Points-Table'!$A$8), 'Points-Table'!$C$8,
                (W114 = 'Points-Table'!$A$9), 'Points-Table'!$C$9,
                (W114 = 'Points-Table'!$A$10), 'Points-Table'!$C$10,
                (W114 = 'Points-Table'!$A$11), 'Points-Table'!$C$11,
                (W114 = 'Points-Table'!$A$12), 'Points-Table'!$C$12,
                (W114 = 'Points-Table'!$A$13), 'Points-Table'!$C$13,
                true, 0
              )
            </f>
      </c>
      <c r="Y114" s="13">
        <v>5</v>
      </c>
      <c r="Z114" s="13">
        <f>
              Ifs(
                (Y114 = 'Points-Table'!$A$4), 'Points-Table'!$C$4,
                (Y114 = 'Points-Table'!$A$5), 'Points-Table'!$C$5,
                (Y114 = 'Points-Table'!$A$6), 'Points-Table'!$C$6,
                (Y114 = 'Points-Table'!$A$7), 'Points-Table'!$C$7,
                (Y114 = 'Points-Table'!$A$8), 'Points-Table'!$C$8,
                (Y114 = 'Points-Table'!$A$9), 'Points-Table'!$C$9,
                (Y114 = 'Points-Table'!$A$10), 'Points-Table'!$C$10,
                (Y114 = 'Points-Table'!$A$11), 'Points-Table'!$C$11,
                (Y114 = 'Points-Table'!$A$12), 'Points-Table'!$C$12,
                (Y114 = 'Points-Table'!$A$13), 'Points-Table'!$C$13,
                true, 0
              )
            </f>
      </c>
      <c r="AA114" s="13">
        <f>SUM(V114,X114,Z114)</f>
      </c>
      <c r="AB114" s="13">
        <f>
      Ifs( 
        ISBETWEEN(AA114, 0, 'Points-Table'!C$20, TRUE, False), 'Points-Table'!A$20,
        ISBETWEEN(AA114, 'Points-Table'!C$20, 'Points-Table'!C$21, TRUE, False), 'Points-Table'!A$21,
        ISBETWEEN(AA114, 'Points-Table'!C$22, 10000, TRUE, TRUE), 'Points-Table'!A$22,
        true, 
        0)
      </f>
      </c>
      <c r="AC114" s="13" t="s">
        <v>56</v>
      </c>
      <c r="AD114" s="13" t="s">
        <v>56</v>
      </c>
      <c r="AE114" s="13" t="s">
        <v>56</v>
      </c>
    </row>
    <row r="115" spans="1:31" s="6" customFormat="1" x14ac:dyDescent="0.25">
      <c r="A115" s="6" t="s">
        <v>339</v>
      </c>
      <c r="B115" s="6" t="s">
        <v>357</v>
      </c>
      <c r="D115" s="6"/>
      <c r="E115" s="6"/>
      <c r="F115" s="6"/>
      <c r="G115" s="6"/>
      <c r="H115" s="6"/>
      <c r="I115" s="6"/>
      <c r="J115" s="6"/>
      <c r="K115" s="6" t="s">
        <v>84</v>
      </c>
      <c r="L115" s="6" t="s">
        <v>272</v>
      </c>
      <c r="M115" s="6"/>
      <c r="N115" s="6"/>
      <c r="O115" s="6"/>
      <c r="P115" s="6"/>
      <c r="Q115" s="11">
        <v>0</v>
      </c>
      <c r="R115" s="12">
        <f>
              Ifs(
                (Q115 = 'Points-Table'!$A$4), 'Points-Table'!$C$4,
                (Q115 = 'Points-Table'!$A$5), 'Points-Table'!$C$5,
                (Q115 = 'Points-Table'!$A$6), 'Points-Table'!$C$6,
                (Q115 = 'Points-Table'!$A$7), 'Points-Table'!$C$7,
                (Q115 = 'Points-Table'!$A$8), 'Points-Table'!$C$8,
                (Q115 = 'Points-Table'!$A$9), 'Points-Table'!$C$9,
                (Q115 = 'Points-Table'!$A$10), 'Points-Table'!$C$10,
                (Q115 = 'Points-Table'!$A$11), 'Points-Table'!$C$11,
                (Q115 = 'Points-Table'!$A$12), 'Points-Table'!$C$12,
                (Q115 = 'Points-Table'!$A$13), 'Points-Table'!$C$13,
                true, 0
              )
            </f>
      </c>
      <c r="S115" s="11">
        <v>0</v>
      </c>
      <c r="T115" s="12">
        <f>
              Ifs(
                (S115 = 'Points-Table'!$A$4), 'Points-Table'!$C$4,
                (S115 = 'Points-Table'!$A$5), 'Points-Table'!$C$5,
                (S115 = 'Points-Table'!$A$6), 'Points-Table'!$C$6,
                (S115 = 'Points-Table'!$A$7), 'Points-Table'!$C$7,
                (S115 = 'Points-Table'!$A$8), 'Points-Table'!$C$8,
                (S115 = 'Points-Table'!$A$9), 'Points-Table'!$C$9,
                (S115 = 'Points-Table'!$A$10), 'Points-Table'!$C$10,
                (S115 = 'Points-Table'!$A$11), 'Points-Table'!$C$11,
                (S115 = 'Points-Table'!$A$12), 'Points-Table'!$C$12,
                (S115 = 'Points-Table'!$A$13), 'Points-Table'!$C$13,
                true, 0
              )
            </f>
      </c>
      <c r="U115" s="11">
        <v>2</v>
      </c>
      <c r="V115" s="12">
        <f>
              Ifs(
                (U115 = 'Points-Table'!$A$4), 'Points-Table'!$C$4,
                (U115 = 'Points-Table'!$A$5), 'Points-Table'!$C$5,
                (U115 = 'Points-Table'!$A$6), 'Points-Table'!$C$6,
                (U115 = 'Points-Table'!$A$7), 'Points-Table'!$C$7,
                (U115 = 'Points-Table'!$A$8), 'Points-Table'!$C$8,
                (U115 = 'Points-Table'!$A$9), 'Points-Table'!$C$9,
                (U115 = 'Points-Table'!$A$10), 'Points-Table'!$C$10,
                (U115 = 'Points-Table'!$A$11), 'Points-Table'!$C$11,
                (U115 = 'Points-Table'!$A$12), 'Points-Table'!$C$12,
                (U115 = 'Points-Table'!$A$13), 'Points-Table'!$C$13,
                true, 0
              )
            </f>
      </c>
      <c r="W115" s="11">
        <v>1</v>
      </c>
      <c r="X115" s="12">
        <f>
              Ifs(
                (W115 = 'Points-Table'!$A$4), 'Points-Table'!$C$4,
                (W115 = 'Points-Table'!$A$5), 'Points-Table'!$C$5,
                (W115 = 'Points-Table'!$A$6), 'Points-Table'!$C$6,
                (W115 = 'Points-Table'!$A$7), 'Points-Table'!$C$7,
                (W115 = 'Points-Table'!$A$8), 'Points-Table'!$C$8,
                (W115 = 'Points-Table'!$A$9), 'Points-Table'!$C$9,
                (W115 = 'Points-Table'!$A$10), 'Points-Table'!$C$10,
                (W115 = 'Points-Table'!$A$11), 'Points-Table'!$C$11,
                (W115 = 'Points-Table'!$A$12), 'Points-Table'!$C$12,
                (W115 = 'Points-Table'!$A$13), 'Points-Table'!$C$13,
                true, 0
              )
            </f>
      </c>
      <c r="Y115" s="11">
        <v>2</v>
      </c>
      <c r="Z115" s="12">
        <f>
              Ifs(
                (Y115 = 'Points-Table'!$A$4), 'Points-Table'!$C$4,
                (Y115 = 'Points-Table'!$A$5), 'Points-Table'!$C$5,
                (Y115 = 'Points-Table'!$A$6), 'Points-Table'!$C$6,
                (Y115 = 'Points-Table'!$A$7), 'Points-Table'!$C$7,
                (Y115 = 'Points-Table'!$A$8), 'Points-Table'!$C$8,
                (Y115 = 'Points-Table'!$A$9), 'Points-Table'!$C$9,
                (Y115 = 'Points-Table'!$A$10), 'Points-Table'!$C$10,
                (Y115 = 'Points-Table'!$A$11), 'Points-Table'!$C$11,
                (Y115 = 'Points-Table'!$A$12), 'Points-Table'!$C$12,
                (Y115 = 'Points-Table'!$A$13), 'Points-Table'!$C$13,
                true, 0
              )
            </f>
      </c>
      <c r="AA115" s="6">
        <f>SUM(V115,X115,Z115)</f>
      </c>
      <c r="AB115" s="6">
        <f>
      Ifs( 
        ISBETWEEN(AA115, 0, 'Points-Table'!C$20, TRUE, False), 'Points-Table'!A$20,
        ISBETWEEN(AA115, 'Points-Table'!C$20, 'Points-Table'!C$21, TRUE, False), 'Points-Table'!A$21,
        ISBETWEEN(AA115, 'Points-Table'!C$22, 10000, TRUE, TRUE), 'Points-Table'!A$22,
        true, 
        0)
      </f>
      </c>
      <c r="AC115" s="6" t="s">
        <v>56</v>
      </c>
      <c r="AD115" s="6" t="s">
        <v>56</v>
      </c>
      <c r="AE115" s="6" t="s">
        <v>56</v>
      </c>
    </row>
    <row r="116" spans="1:31" s="6" customFormat="1" x14ac:dyDescent="0.25">
      <c r="A116" s="6" t="s">
        <v>339</v>
      </c>
      <c r="B116" s="6" t="s">
        <v>358</v>
      </c>
      <c r="D116" s="6"/>
      <c r="E116" s="6"/>
      <c r="F116" s="6"/>
      <c r="G116" s="6"/>
      <c r="H116" s="6"/>
      <c r="I116" s="6"/>
      <c r="J116" s="6"/>
      <c r="K116" s="6" t="s">
        <v>84</v>
      </c>
      <c r="L116" s="6" t="s">
        <v>272</v>
      </c>
      <c r="M116" s="6"/>
      <c r="N116" s="6"/>
      <c r="O116" s="6"/>
      <c r="P116" s="6"/>
      <c r="Q116" s="11">
        <v>0</v>
      </c>
      <c r="R116" s="12">
        <f>
              Ifs(
                (Q116 = 'Points-Table'!$A$4), 'Points-Table'!$C$4,
                (Q116 = 'Points-Table'!$A$5), 'Points-Table'!$C$5,
                (Q116 = 'Points-Table'!$A$6), 'Points-Table'!$C$6,
                (Q116 = 'Points-Table'!$A$7), 'Points-Table'!$C$7,
                (Q116 = 'Points-Table'!$A$8), 'Points-Table'!$C$8,
                (Q116 = 'Points-Table'!$A$9), 'Points-Table'!$C$9,
                (Q116 = 'Points-Table'!$A$10), 'Points-Table'!$C$10,
                (Q116 = 'Points-Table'!$A$11), 'Points-Table'!$C$11,
                (Q116 = 'Points-Table'!$A$12), 'Points-Table'!$C$12,
                (Q116 = 'Points-Table'!$A$13), 'Points-Table'!$C$13,
                true, 0
              )
            </f>
      </c>
      <c r="S116" s="11">
        <v>0</v>
      </c>
      <c r="T116" s="12">
        <f>
              Ifs(
                (S116 = 'Points-Table'!$A$4), 'Points-Table'!$C$4,
                (S116 = 'Points-Table'!$A$5), 'Points-Table'!$C$5,
                (S116 = 'Points-Table'!$A$6), 'Points-Table'!$C$6,
                (S116 = 'Points-Table'!$A$7), 'Points-Table'!$C$7,
                (S116 = 'Points-Table'!$A$8), 'Points-Table'!$C$8,
                (S116 = 'Points-Table'!$A$9), 'Points-Table'!$C$9,
                (S116 = 'Points-Table'!$A$10), 'Points-Table'!$C$10,
                (S116 = 'Points-Table'!$A$11), 'Points-Table'!$C$11,
                (S116 = 'Points-Table'!$A$12), 'Points-Table'!$C$12,
                (S116 = 'Points-Table'!$A$13), 'Points-Table'!$C$13,
                true, 0
              )
            </f>
      </c>
      <c r="U116" s="11">
        <v>1</v>
      </c>
      <c r="V116" s="12">
        <f>
              Ifs(
                (U116 = 'Points-Table'!$A$4), 'Points-Table'!$C$4,
                (U116 = 'Points-Table'!$A$5), 'Points-Table'!$C$5,
                (U116 = 'Points-Table'!$A$6), 'Points-Table'!$C$6,
                (U116 = 'Points-Table'!$A$7), 'Points-Table'!$C$7,
                (U116 = 'Points-Table'!$A$8), 'Points-Table'!$C$8,
                (U116 = 'Points-Table'!$A$9), 'Points-Table'!$C$9,
                (U116 = 'Points-Table'!$A$10), 'Points-Table'!$C$10,
                (U116 = 'Points-Table'!$A$11), 'Points-Table'!$C$11,
                (U116 = 'Points-Table'!$A$12), 'Points-Table'!$C$12,
                (U116 = 'Points-Table'!$A$13), 'Points-Table'!$C$13,
                true, 0
              )
            </f>
      </c>
      <c r="W116" s="11">
        <v>1</v>
      </c>
      <c r="X116" s="12">
        <f>
              Ifs(
                (W116 = 'Points-Table'!$A$4), 'Points-Table'!$C$4,
                (W116 = 'Points-Table'!$A$5), 'Points-Table'!$C$5,
                (W116 = 'Points-Table'!$A$6), 'Points-Table'!$C$6,
                (W116 = 'Points-Table'!$A$7), 'Points-Table'!$C$7,
                (W116 = 'Points-Table'!$A$8), 'Points-Table'!$C$8,
                (W116 = 'Points-Table'!$A$9), 'Points-Table'!$C$9,
                (W116 = 'Points-Table'!$A$10), 'Points-Table'!$C$10,
                (W116 = 'Points-Table'!$A$11), 'Points-Table'!$C$11,
                (W116 = 'Points-Table'!$A$12), 'Points-Table'!$C$12,
                (W116 = 'Points-Table'!$A$13), 'Points-Table'!$C$13,
                true, 0
              )
            </f>
      </c>
      <c r="Y116" s="11">
        <v>3</v>
      </c>
      <c r="Z116" s="12">
        <f>
              Ifs(
                (Y116 = 'Points-Table'!$A$4), 'Points-Table'!$C$4,
                (Y116 = 'Points-Table'!$A$5), 'Points-Table'!$C$5,
                (Y116 = 'Points-Table'!$A$6), 'Points-Table'!$C$6,
                (Y116 = 'Points-Table'!$A$7), 'Points-Table'!$C$7,
                (Y116 = 'Points-Table'!$A$8), 'Points-Table'!$C$8,
                (Y116 = 'Points-Table'!$A$9), 'Points-Table'!$C$9,
                (Y116 = 'Points-Table'!$A$10), 'Points-Table'!$C$10,
                (Y116 = 'Points-Table'!$A$11), 'Points-Table'!$C$11,
                (Y116 = 'Points-Table'!$A$12), 'Points-Table'!$C$12,
                (Y116 = 'Points-Table'!$A$13), 'Points-Table'!$C$13,
                true, 0
              )
            </f>
      </c>
      <c r="AA116" s="6">
        <f>SUM(V116,X116,Z116)</f>
      </c>
      <c r="AB116" s="6">
        <f>
      Ifs( 
        ISBETWEEN(AA116, 0, 'Points-Table'!C$20, TRUE, False), 'Points-Table'!A$20,
        ISBETWEEN(AA116, 'Points-Table'!C$20, 'Points-Table'!C$21, TRUE, False), 'Points-Table'!A$21,
        ISBETWEEN(AA116, 'Points-Table'!C$22, 10000, TRUE, TRUE), 'Points-Table'!A$22,
        true, 
        0)
      </f>
      </c>
      <c r="AC116" s="6" t="s">
        <v>56</v>
      </c>
      <c r="AD116" s="6" t="s">
        <v>56</v>
      </c>
      <c r="AE116" s="6" t="s">
        <v>56</v>
      </c>
    </row>
    <row r="117" spans="1:31" s="13" customFormat="1" x14ac:dyDescent="0.25">
      <c r="A117" s="13" t="s">
        <v>339</v>
      </c>
      <c r="B117" s="13" t="s">
        <v>359</v>
      </c>
      <c r="D117" s="13"/>
      <c r="E117" s="13"/>
      <c r="F117" s="13"/>
      <c r="G117" s="13"/>
      <c r="H117" s="13"/>
      <c r="I117" s="13"/>
      <c r="J117" s="13"/>
      <c r="K117" s="13" t="s">
        <v>84</v>
      </c>
      <c r="L117" s="13" t="s">
        <v>272</v>
      </c>
      <c r="M117" s="13"/>
      <c r="N117" s="13"/>
      <c r="O117" s="13"/>
      <c r="P117" s="13"/>
      <c r="Q117" s="13">
        <v>0</v>
      </c>
      <c r="R117" s="13">
        <f>
              Ifs(
                (Q117 = 'Points-Table'!$A$4), 'Points-Table'!$C$4,
                (Q117 = 'Points-Table'!$A$5), 'Points-Table'!$C$5,
                (Q117 = 'Points-Table'!$A$6), 'Points-Table'!$C$6,
                (Q117 = 'Points-Table'!$A$7), 'Points-Table'!$C$7,
                (Q117 = 'Points-Table'!$A$8), 'Points-Table'!$C$8,
                (Q117 = 'Points-Table'!$A$9), 'Points-Table'!$C$9,
                (Q117 = 'Points-Table'!$A$10), 'Points-Table'!$C$10,
                (Q117 = 'Points-Table'!$A$11), 'Points-Table'!$C$11,
                (Q117 = 'Points-Table'!$A$12), 'Points-Table'!$C$12,
                (Q117 = 'Points-Table'!$A$13), 'Points-Table'!$C$13,
                true, 0
              )
            </f>
      </c>
      <c r="S117" s="13">
        <v>0</v>
      </c>
      <c r="T117" s="13">
        <f>
              Ifs(
                (S117 = 'Points-Table'!$A$4), 'Points-Table'!$C$4,
                (S117 = 'Points-Table'!$A$5), 'Points-Table'!$C$5,
                (S117 = 'Points-Table'!$A$6), 'Points-Table'!$C$6,
                (S117 = 'Points-Table'!$A$7), 'Points-Table'!$C$7,
                (S117 = 'Points-Table'!$A$8), 'Points-Table'!$C$8,
                (S117 = 'Points-Table'!$A$9), 'Points-Table'!$C$9,
                (S117 = 'Points-Table'!$A$10), 'Points-Table'!$C$10,
                (S117 = 'Points-Table'!$A$11), 'Points-Table'!$C$11,
                (S117 = 'Points-Table'!$A$12), 'Points-Table'!$C$12,
                (S117 = 'Points-Table'!$A$13), 'Points-Table'!$C$13,
                true, 0
              )
            </f>
      </c>
      <c r="U117" s="13">
        <v>1</v>
      </c>
      <c r="V117" s="13">
        <f>
              Ifs(
                (U117 = 'Points-Table'!$A$4), 'Points-Table'!$C$4,
                (U117 = 'Points-Table'!$A$5), 'Points-Table'!$C$5,
                (U117 = 'Points-Table'!$A$6), 'Points-Table'!$C$6,
                (U117 = 'Points-Table'!$A$7), 'Points-Table'!$C$7,
                (U117 = 'Points-Table'!$A$8), 'Points-Table'!$C$8,
                (U117 = 'Points-Table'!$A$9), 'Points-Table'!$C$9,
                (U117 = 'Points-Table'!$A$10), 'Points-Table'!$C$10,
                (U117 = 'Points-Table'!$A$11), 'Points-Table'!$C$11,
                (U117 = 'Points-Table'!$A$12), 'Points-Table'!$C$12,
                (U117 = 'Points-Table'!$A$13), 'Points-Table'!$C$13,
                true, 0
              )
            </f>
      </c>
      <c r="W117" s="13">
        <v>1</v>
      </c>
      <c r="X117" s="13">
        <f>
              Ifs(
                (W117 = 'Points-Table'!$A$4), 'Points-Table'!$C$4,
                (W117 = 'Points-Table'!$A$5), 'Points-Table'!$C$5,
                (W117 = 'Points-Table'!$A$6), 'Points-Table'!$C$6,
                (W117 = 'Points-Table'!$A$7), 'Points-Table'!$C$7,
                (W117 = 'Points-Table'!$A$8), 'Points-Table'!$C$8,
                (W117 = 'Points-Table'!$A$9), 'Points-Table'!$C$9,
                (W117 = 'Points-Table'!$A$10), 'Points-Table'!$C$10,
                (W117 = 'Points-Table'!$A$11), 'Points-Table'!$C$11,
                (W117 = 'Points-Table'!$A$12), 'Points-Table'!$C$12,
                (W117 = 'Points-Table'!$A$13), 'Points-Table'!$C$13,
                true, 0
              )
            </f>
      </c>
      <c r="Y117" s="13">
        <v>1</v>
      </c>
      <c r="Z117" s="13">
        <f>
              Ifs(
                (Y117 = 'Points-Table'!$A$4), 'Points-Table'!$C$4,
                (Y117 = 'Points-Table'!$A$5), 'Points-Table'!$C$5,
                (Y117 = 'Points-Table'!$A$6), 'Points-Table'!$C$6,
                (Y117 = 'Points-Table'!$A$7), 'Points-Table'!$C$7,
                (Y117 = 'Points-Table'!$A$8), 'Points-Table'!$C$8,
                (Y117 = 'Points-Table'!$A$9), 'Points-Table'!$C$9,
                (Y117 = 'Points-Table'!$A$10), 'Points-Table'!$C$10,
                (Y117 = 'Points-Table'!$A$11), 'Points-Table'!$C$11,
                (Y117 = 'Points-Table'!$A$12), 'Points-Table'!$C$12,
                (Y117 = 'Points-Table'!$A$13), 'Points-Table'!$C$13,
                true, 0
              )
            </f>
      </c>
      <c r="AA117" s="13">
        <f>SUM(V117,X117,Z117)</f>
      </c>
      <c r="AB117" s="13">
        <f>
      Ifs( 
        ISBETWEEN(AA117, 0, 'Points-Table'!C$20, TRUE, False), 'Points-Table'!A$20,
        ISBETWEEN(AA117, 'Points-Table'!C$20, 'Points-Table'!C$21, TRUE, False), 'Points-Table'!A$21,
        ISBETWEEN(AA117, 'Points-Table'!C$22, 10000, TRUE, TRUE), 'Points-Table'!A$22,
        true, 
        0)
      </f>
      </c>
      <c r="AC117" s="13" t="s">
        <v>56</v>
      </c>
      <c r="AD117" s="13" t="s">
        <v>56</v>
      </c>
      <c r="AE117" s="13" t="s">
        <v>56</v>
      </c>
    </row>
    <row r="118" spans="1:31" s="6" customFormat="1" x14ac:dyDescent="0.25">
      <c r="A118" s="6" t="s">
        <v>360</v>
      </c>
      <c r="B118" s="6" t="s">
        <v>361</v>
      </c>
      <c r="D118" s="6"/>
      <c r="E118" s="6"/>
      <c r="F118" s="6"/>
      <c r="G118" s="6"/>
      <c r="H118" s="6"/>
      <c r="I118" s="6"/>
      <c r="J118" s="6"/>
      <c r="K118" s="6" t="s">
        <v>84</v>
      </c>
      <c r="L118" s="6" t="s">
        <v>85</v>
      </c>
      <c r="M118" s="6"/>
      <c r="N118" s="6"/>
      <c r="O118" s="6"/>
      <c r="P118" s="6"/>
      <c r="Q118" s="11"/>
      <c r="R118" s="12">
        <f>
              Ifs(
                (Q118 = 'Points-Table'!$A$4), 'Points-Table'!$C$4,
                (Q118 = 'Points-Table'!$A$5), 'Points-Table'!$C$5,
                (Q118 = 'Points-Table'!$A$6), 'Points-Table'!$C$6,
                (Q118 = 'Points-Table'!$A$7), 'Points-Table'!$C$7,
                (Q118 = 'Points-Table'!$A$8), 'Points-Table'!$C$8,
                (Q118 = 'Points-Table'!$A$9), 'Points-Table'!$C$9,
                (Q118 = 'Points-Table'!$A$10), 'Points-Table'!$C$10,
                (Q118 = 'Points-Table'!$A$11), 'Points-Table'!$C$11,
                (Q118 = 'Points-Table'!$A$12), 'Points-Table'!$C$12,
                (Q118 = 'Points-Table'!$A$13), 'Points-Table'!$C$13,
                true, 0
              )
            </f>
      </c>
      <c r="S118" s="11"/>
      <c r="T118" s="12">
        <f>
              Ifs(
                (S118 = 'Points-Table'!$A$4), 'Points-Table'!$C$4,
                (S118 = 'Points-Table'!$A$5), 'Points-Table'!$C$5,
                (S118 = 'Points-Table'!$A$6), 'Points-Table'!$C$6,
                (S118 = 'Points-Table'!$A$7), 'Points-Table'!$C$7,
                (S118 = 'Points-Table'!$A$8), 'Points-Table'!$C$8,
                (S118 = 'Points-Table'!$A$9), 'Points-Table'!$C$9,
                (S118 = 'Points-Table'!$A$10), 'Points-Table'!$C$10,
                (S118 = 'Points-Table'!$A$11), 'Points-Table'!$C$11,
                (S118 = 'Points-Table'!$A$12), 'Points-Table'!$C$12,
                (S118 = 'Points-Table'!$A$13), 'Points-Table'!$C$13,
                true, 0
              )
            </f>
      </c>
      <c r="U118" s="11">
        <v>3</v>
      </c>
      <c r="V118" s="12">
        <f>
              Ifs(
                (U118 = 'Points-Table'!$A$4), 'Points-Table'!$C$4,
                (U118 = 'Points-Table'!$A$5), 'Points-Table'!$C$5,
                (U118 = 'Points-Table'!$A$6), 'Points-Table'!$C$6,
                (U118 = 'Points-Table'!$A$7), 'Points-Table'!$C$7,
                (U118 = 'Points-Table'!$A$8), 'Points-Table'!$C$8,
                (U118 = 'Points-Table'!$A$9), 'Points-Table'!$C$9,
                (U118 = 'Points-Table'!$A$10), 'Points-Table'!$C$10,
                (U118 = 'Points-Table'!$A$11), 'Points-Table'!$C$11,
                (U118 = 'Points-Table'!$A$12), 'Points-Table'!$C$12,
                (U118 = 'Points-Table'!$A$13), 'Points-Table'!$C$13,
                true, 0
              )
            </f>
      </c>
      <c r="W118" s="11">
        <v>5</v>
      </c>
      <c r="X118" s="12">
        <f>
              Ifs(
                (W118 = 'Points-Table'!$A$4), 'Points-Table'!$C$4,
                (W118 = 'Points-Table'!$A$5), 'Points-Table'!$C$5,
                (W118 = 'Points-Table'!$A$6), 'Points-Table'!$C$6,
                (W118 = 'Points-Table'!$A$7), 'Points-Table'!$C$7,
                (W118 = 'Points-Table'!$A$8), 'Points-Table'!$C$8,
                (W118 = 'Points-Table'!$A$9), 'Points-Table'!$C$9,
                (W118 = 'Points-Table'!$A$10), 'Points-Table'!$C$10,
                (W118 = 'Points-Table'!$A$11), 'Points-Table'!$C$11,
                (W118 = 'Points-Table'!$A$12), 'Points-Table'!$C$12,
                (W118 = 'Points-Table'!$A$13), 'Points-Table'!$C$13,
                true, 0
              )
            </f>
      </c>
      <c r="Y118" s="11">
        <v>8</v>
      </c>
      <c r="Z118" s="12">
        <f>
              Ifs(
                (Y118 = 'Points-Table'!$A$4), 'Points-Table'!$C$4,
                (Y118 = 'Points-Table'!$A$5), 'Points-Table'!$C$5,
                (Y118 = 'Points-Table'!$A$6), 'Points-Table'!$C$6,
                (Y118 = 'Points-Table'!$A$7), 'Points-Table'!$C$7,
                (Y118 = 'Points-Table'!$A$8), 'Points-Table'!$C$8,
                (Y118 = 'Points-Table'!$A$9), 'Points-Table'!$C$9,
                (Y118 = 'Points-Table'!$A$10), 'Points-Table'!$C$10,
                (Y118 = 'Points-Table'!$A$11), 'Points-Table'!$C$11,
                (Y118 = 'Points-Table'!$A$12), 'Points-Table'!$C$12,
                (Y118 = 'Points-Table'!$A$13), 'Points-Table'!$C$13,
                true, 0
              )
            </f>
      </c>
      <c r="AA118" s="6">
        <f>SUM(V118,X118,Z118)</f>
      </c>
      <c r="AB118" s="6">
        <f>
      Ifs( 
        ISBETWEEN(AA118, 0, 'Points-Table'!C$20, TRUE, False), 'Points-Table'!A$20,
        ISBETWEEN(AA118, 'Points-Table'!C$20, 'Points-Table'!C$21, TRUE, False), 'Points-Table'!A$21,
        ISBETWEEN(AA118, 'Points-Table'!C$22, 10000, TRUE, TRUE), 'Points-Table'!A$22,
        true, 
        0)
      </f>
      </c>
      <c r="AC118" s="6" t="s">
        <v>56</v>
      </c>
      <c r="AD118" s="6" t="s">
        <v>56</v>
      </c>
      <c r="AE118" s="6" t="s">
        <v>56</v>
      </c>
    </row>
    <row r="119" spans="1:31" s="6" customFormat="1" x14ac:dyDescent="0.25">
      <c r="A119" s="6" t="s">
        <v>360</v>
      </c>
      <c r="B119" s="6" t="s">
        <v>362</v>
      </c>
      <c r="C119" s="6" t="s">
        <v>363</v>
      </c>
      <c r="D119" s="6"/>
      <c r="E119" s="6"/>
      <c r="F119" s="6" t="s">
        <v>364</v>
      </c>
      <c r="G119" s="6"/>
      <c r="H119" s="6"/>
      <c r="I119" s="6"/>
      <c r="J119" s="6"/>
      <c r="K119" s="6" t="s">
        <v>84</v>
      </c>
      <c r="L119" s="6" t="s">
        <v>85</v>
      </c>
      <c r="M119" s="6"/>
      <c r="N119" s="6"/>
      <c r="O119" s="6"/>
      <c r="P119" s="6"/>
      <c r="Q119" s="11"/>
      <c r="R119" s="12">
        <f>
              Ifs(
                (Q119 = 'Points-Table'!$A$4), 'Points-Table'!$C$4,
                (Q119 = 'Points-Table'!$A$5), 'Points-Table'!$C$5,
                (Q119 = 'Points-Table'!$A$6), 'Points-Table'!$C$6,
                (Q119 = 'Points-Table'!$A$7), 'Points-Table'!$C$7,
                (Q119 = 'Points-Table'!$A$8), 'Points-Table'!$C$8,
                (Q119 = 'Points-Table'!$A$9), 'Points-Table'!$C$9,
                (Q119 = 'Points-Table'!$A$10), 'Points-Table'!$C$10,
                (Q119 = 'Points-Table'!$A$11), 'Points-Table'!$C$11,
                (Q119 = 'Points-Table'!$A$12), 'Points-Table'!$C$12,
                (Q119 = 'Points-Table'!$A$13), 'Points-Table'!$C$13,
                true, 0
              )
            </f>
      </c>
      <c r="S119" s="11"/>
      <c r="T119" s="12">
        <f>
              Ifs(
                (S119 = 'Points-Table'!$A$4), 'Points-Table'!$C$4,
                (S119 = 'Points-Table'!$A$5), 'Points-Table'!$C$5,
                (S119 = 'Points-Table'!$A$6), 'Points-Table'!$C$6,
                (S119 = 'Points-Table'!$A$7), 'Points-Table'!$C$7,
                (S119 = 'Points-Table'!$A$8), 'Points-Table'!$C$8,
                (S119 = 'Points-Table'!$A$9), 'Points-Table'!$C$9,
                (S119 = 'Points-Table'!$A$10), 'Points-Table'!$C$10,
                (S119 = 'Points-Table'!$A$11), 'Points-Table'!$C$11,
                (S119 = 'Points-Table'!$A$12), 'Points-Table'!$C$12,
                (S119 = 'Points-Table'!$A$13), 'Points-Table'!$C$13,
                true, 0
              )
            </f>
      </c>
      <c r="U119" s="11">
        <v>3</v>
      </c>
      <c r="V119" s="12">
        <f>
              Ifs(
                (U119 = 'Points-Table'!$A$4), 'Points-Table'!$C$4,
                (U119 = 'Points-Table'!$A$5), 'Points-Table'!$C$5,
                (U119 = 'Points-Table'!$A$6), 'Points-Table'!$C$6,
                (U119 = 'Points-Table'!$A$7), 'Points-Table'!$C$7,
                (U119 = 'Points-Table'!$A$8), 'Points-Table'!$C$8,
                (U119 = 'Points-Table'!$A$9), 'Points-Table'!$C$9,
                (U119 = 'Points-Table'!$A$10), 'Points-Table'!$C$10,
                (U119 = 'Points-Table'!$A$11), 'Points-Table'!$C$11,
                (U119 = 'Points-Table'!$A$12), 'Points-Table'!$C$12,
                (U119 = 'Points-Table'!$A$13), 'Points-Table'!$C$13,
                true, 0
              )
            </f>
      </c>
      <c r="W119" s="11">
        <v>1</v>
      </c>
      <c r="X119" s="12">
        <f>
              Ifs(
                (W119 = 'Points-Table'!$A$4), 'Points-Table'!$C$4,
                (W119 = 'Points-Table'!$A$5), 'Points-Table'!$C$5,
                (W119 = 'Points-Table'!$A$6), 'Points-Table'!$C$6,
                (W119 = 'Points-Table'!$A$7), 'Points-Table'!$C$7,
                (W119 = 'Points-Table'!$A$8), 'Points-Table'!$C$8,
                (W119 = 'Points-Table'!$A$9), 'Points-Table'!$C$9,
                (W119 = 'Points-Table'!$A$10), 'Points-Table'!$C$10,
                (W119 = 'Points-Table'!$A$11), 'Points-Table'!$C$11,
                (W119 = 'Points-Table'!$A$12), 'Points-Table'!$C$12,
                (W119 = 'Points-Table'!$A$13), 'Points-Table'!$C$13,
                true, 0
              )
            </f>
      </c>
      <c r="Y119" s="11">
        <v>5</v>
      </c>
      <c r="Z119" s="12">
        <f>
              Ifs(
                (Y119 = 'Points-Table'!$A$4), 'Points-Table'!$C$4,
                (Y119 = 'Points-Table'!$A$5), 'Points-Table'!$C$5,
                (Y119 = 'Points-Table'!$A$6), 'Points-Table'!$C$6,
                (Y119 = 'Points-Table'!$A$7), 'Points-Table'!$C$7,
                (Y119 = 'Points-Table'!$A$8), 'Points-Table'!$C$8,
                (Y119 = 'Points-Table'!$A$9), 'Points-Table'!$C$9,
                (Y119 = 'Points-Table'!$A$10), 'Points-Table'!$C$10,
                (Y119 = 'Points-Table'!$A$11), 'Points-Table'!$C$11,
                (Y119 = 'Points-Table'!$A$12), 'Points-Table'!$C$12,
                (Y119 = 'Points-Table'!$A$13), 'Points-Table'!$C$13,
                true, 0
              )
            </f>
      </c>
      <c r="AA119" s="6">
        <f>SUM(V119,X119,Z119)</f>
      </c>
      <c r="AB119" s="6">
        <f>
      Ifs( 
        ISBETWEEN(AA119, 0, 'Points-Table'!C$20, TRUE, False), 'Points-Table'!A$20,
        ISBETWEEN(AA119, 'Points-Table'!C$20, 'Points-Table'!C$21, TRUE, False), 'Points-Table'!A$21,
        ISBETWEEN(AA119, 'Points-Table'!C$22, 10000, TRUE, TRUE), 'Points-Table'!A$22,
        true, 
        0)
      </f>
      </c>
      <c r="AC119" s="6" t="s">
        <v>56</v>
      </c>
      <c r="AD119" s="6" t="s">
        <v>56</v>
      </c>
      <c r="AE119" s="6" t="s">
        <v>56</v>
      </c>
    </row>
    <row r="120" spans="1:31" s="6" customFormat="1" x14ac:dyDescent="0.25">
      <c r="A120" s="6" t="s">
        <v>360</v>
      </c>
      <c r="B120" s="6" t="s">
        <v>362</v>
      </c>
      <c r="C120" s="6" t="s">
        <v>299</v>
      </c>
      <c r="D120" s="6"/>
      <c r="E120" s="6"/>
      <c r="F120" s="6"/>
      <c r="G120" s="6"/>
      <c r="H120" s="6"/>
      <c r="I120" s="6"/>
      <c r="J120" s="6"/>
      <c r="K120" s="6" t="s">
        <v>84</v>
      </c>
      <c r="L120" s="6" t="s">
        <v>85</v>
      </c>
      <c r="M120" s="6"/>
      <c r="N120" s="6"/>
      <c r="O120" s="6"/>
      <c r="P120" s="6"/>
      <c r="Q120" s="11"/>
      <c r="R120" s="12">
        <f>
              Ifs(
                (Q120 = 'Points-Table'!$A$4), 'Points-Table'!$C$4,
                (Q120 = 'Points-Table'!$A$5), 'Points-Table'!$C$5,
                (Q120 = 'Points-Table'!$A$6), 'Points-Table'!$C$6,
                (Q120 = 'Points-Table'!$A$7), 'Points-Table'!$C$7,
                (Q120 = 'Points-Table'!$A$8), 'Points-Table'!$C$8,
                (Q120 = 'Points-Table'!$A$9), 'Points-Table'!$C$9,
                (Q120 = 'Points-Table'!$A$10), 'Points-Table'!$C$10,
                (Q120 = 'Points-Table'!$A$11), 'Points-Table'!$C$11,
                (Q120 = 'Points-Table'!$A$12), 'Points-Table'!$C$12,
                (Q120 = 'Points-Table'!$A$13), 'Points-Table'!$C$13,
                true, 0
              )
            </f>
      </c>
      <c r="S120" s="11"/>
      <c r="T120" s="12">
        <f>
              Ifs(
                (S120 = 'Points-Table'!$A$4), 'Points-Table'!$C$4,
                (S120 = 'Points-Table'!$A$5), 'Points-Table'!$C$5,
                (S120 = 'Points-Table'!$A$6), 'Points-Table'!$C$6,
                (S120 = 'Points-Table'!$A$7), 'Points-Table'!$C$7,
                (S120 = 'Points-Table'!$A$8), 'Points-Table'!$C$8,
                (S120 = 'Points-Table'!$A$9), 'Points-Table'!$C$9,
                (S120 = 'Points-Table'!$A$10), 'Points-Table'!$C$10,
                (S120 = 'Points-Table'!$A$11), 'Points-Table'!$C$11,
                (S120 = 'Points-Table'!$A$12), 'Points-Table'!$C$12,
                (S120 = 'Points-Table'!$A$13), 'Points-Table'!$C$13,
                true, 0
              )
            </f>
      </c>
      <c r="U120" s="11">
        <v>3</v>
      </c>
      <c r="V120" s="12">
        <f>
              Ifs(
                (U120 = 'Points-Table'!$A$4), 'Points-Table'!$C$4,
                (U120 = 'Points-Table'!$A$5), 'Points-Table'!$C$5,
                (U120 = 'Points-Table'!$A$6), 'Points-Table'!$C$6,
                (U120 = 'Points-Table'!$A$7), 'Points-Table'!$C$7,
                (U120 = 'Points-Table'!$A$8), 'Points-Table'!$C$8,
                (U120 = 'Points-Table'!$A$9), 'Points-Table'!$C$9,
                (U120 = 'Points-Table'!$A$10), 'Points-Table'!$C$10,
                (U120 = 'Points-Table'!$A$11), 'Points-Table'!$C$11,
                (U120 = 'Points-Table'!$A$12), 'Points-Table'!$C$12,
                (U120 = 'Points-Table'!$A$13), 'Points-Table'!$C$13,
                true, 0
              )
            </f>
      </c>
      <c r="W120" s="11">
        <v>1</v>
      </c>
      <c r="X120" s="12">
        <f>
              Ifs(
                (W120 = 'Points-Table'!$A$4), 'Points-Table'!$C$4,
                (W120 = 'Points-Table'!$A$5), 'Points-Table'!$C$5,
                (W120 = 'Points-Table'!$A$6), 'Points-Table'!$C$6,
                (W120 = 'Points-Table'!$A$7), 'Points-Table'!$C$7,
                (W120 = 'Points-Table'!$A$8), 'Points-Table'!$C$8,
                (W120 = 'Points-Table'!$A$9), 'Points-Table'!$C$9,
                (W120 = 'Points-Table'!$A$10), 'Points-Table'!$C$10,
                (W120 = 'Points-Table'!$A$11), 'Points-Table'!$C$11,
                (W120 = 'Points-Table'!$A$12), 'Points-Table'!$C$12,
                (W120 = 'Points-Table'!$A$13), 'Points-Table'!$C$13,
                true, 0
              )
            </f>
      </c>
      <c r="Y120" s="11">
        <v>3</v>
      </c>
      <c r="Z120" s="12">
        <f>
              Ifs(
                (Y120 = 'Points-Table'!$A$4), 'Points-Table'!$C$4,
                (Y120 = 'Points-Table'!$A$5), 'Points-Table'!$C$5,
                (Y120 = 'Points-Table'!$A$6), 'Points-Table'!$C$6,
                (Y120 = 'Points-Table'!$A$7), 'Points-Table'!$C$7,
                (Y120 = 'Points-Table'!$A$8), 'Points-Table'!$C$8,
                (Y120 = 'Points-Table'!$A$9), 'Points-Table'!$C$9,
                (Y120 = 'Points-Table'!$A$10), 'Points-Table'!$C$10,
                (Y120 = 'Points-Table'!$A$11), 'Points-Table'!$C$11,
                (Y120 = 'Points-Table'!$A$12), 'Points-Table'!$C$12,
                (Y120 = 'Points-Table'!$A$13), 'Points-Table'!$C$13,
                true, 0
              )
            </f>
      </c>
      <c r="AA120" s="6">
        <f>SUM(V120,X120,Z120)</f>
      </c>
      <c r="AB120" s="6">
        <f>
      Ifs( 
        ISBETWEEN(AA120, 0, 'Points-Table'!C$20, TRUE, False), 'Points-Table'!A$20,
        ISBETWEEN(AA120, 'Points-Table'!C$20, 'Points-Table'!C$21, TRUE, False), 'Points-Table'!A$21,
        ISBETWEEN(AA120, 'Points-Table'!C$22, 10000, TRUE, TRUE), 'Points-Table'!A$22,
        true, 
        0)
      </f>
      </c>
      <c r="AC120" s="6" t="s">
        <v>56</v>
      </c>
      <c r="AD120" s="6" t="s">
        <v>56</v>
      </c>
      <c r="AE120" s="6" t="s">
        <v>56</v>
      </c>
    </row>
    <row r="121" spans="1:31" s="6" customFormat="1" x14ac:dyDescent="0.25">
      <c r="A121" s="6" t="s">
        <v>360</v>
      </c>
      <c r="B121" s="6" t="s">
        <v>362</v>
      </c>
      <c r="C121" s="6" t="s">
        <v>365</v>
      </c>
      <c r="D121" s="6"/>
      <c r="E121" s="6"/>
      <c r="F121" s="6" t="s">
        <v>366</v>
      </c>
      <c r="G121" s="6"/>
      <c r="H121" s="6"/>
      <c r="I121" s="6"/>
      <c r="J121" s="6"/>
      <c r="K121" s="6" t="s">
        <v>84</v>
      </c>
      <c r="L121" s="6" t="s">
        <v>85</v>
      </c>
      <c r="M121" s="6"/>
      <c r="N121" s="6"/>
      <c r="O121" s="6"/>
      <c r="P121" s="6"/>
      <c r="Q121" s="11"/>
      <c r="R121" s="12">
        <f>
              Ifs(
                (Q121 = 'Points-Table'!$A$4), 'Points-Table'!$C$4,
                (Q121 = 'Points-Table'!$A$5), 'Points-Table'!$C$5,
                (Q121 = 'Points-Table'!$A$6), 'Points-Table'!$C$6,
                (Q121 = 'Points-Table'!$A$7), 'Points-Table'!$C$7,
                (Q121 = 'Points-Table'!$A$8), 'Points-Table'!$C$8,
                (Q121 = 'Points-Table'!$A$9), 'Points-Table'!$C$9,
                (Q121 = 'Points-Table'!$A$10), 'Points-Table'!$C$10,
                (Q121 = 'Points-Table'!$A$11), 'Points-Table'!$C$11,
                (Q121 = 'Points-Table'!$A$12), 'Points-Table'!$C$12,
                (Q121 = 'Points-Table'!$A$13), 'Points-Table'!$C$13,
                true, 0
              )
            </f>
      </c>
      <c r="S121" s="11"/>
      <c r="T121" s="12">
        <f>
              Ifs(
                (S121 = 'Points-Table'!$A$4), 'Points-Table'!$C$4,
                (S121 = 'Points-Table'!$A$5), 'Points-Table'!$C$5,
                (S121 = 'Points-Table'!$A$6), 'Points-Table'!$C$6,
                (S121 = 'Points-Table'!$A$7), 'Points-Table'!$C$7,
                (S121 = 'Points-Table'!$A$8), 'Points-Table'!$C$8,
                (S121 = 'Points-Table'!$A$9), 'Points-Table'!$C$9,
                (S121 = 'Points-Table'!$A$10), 'Points-Table'!$C$10,
                (S121 = 'Points-Table'!$A$11), 'Points-Table'!$C$11,
                (S121 = 'Points-Table'!$A$12), 'Points-Table'!$C$12,
                (S121 = 'Points-Table'!$A$13), 'Points-Table'!$C$13,
                true, 0
              )
            </f>
      </c>
      <c r="U121" s="11">
        <v>2</v>
      </c>
      <c r="V121" s="12">
        <f>
              Ifs(
                (U121 = 'Points-Table'!$A$4), 'Points-Table'!$C$4,
                (U121 = 'Points-Table'!$A$5), 'Points-Table'!$C$5,
                (U121 = 'Points-Table'!$A$6), 'Points-Table'!$C$6,
                (U121 = 'Points-Table'!$A$7), 'Points-Table'!$C$7,
                (U121 = 'Points-Table'!$A$8), 'Points-Table'!$C$8,
                (U121 = 'Points-Table'!$A$9), 'Points-Table'!$C$9,
                (U121 = 'Points-Table'!$A$10), 'Points-Table'!$C$10,
                (U121 = 'Points-Table'!$A$11), 'Points-Table'!$C$11,
                (U121 = 'Points-Table'!$A$12), 'Points-Table'!$C$12,
                (U121 = 'Points-Table'!$A$13), 'Points-Table'!$C$13,
                true, 0
              )
            </f>
      </c>
      <c r="W121" s="11">
        <v>0</v>
      </c>
      <c r="X121" s="12">
        <f>
              Ifs(
                (W121 = 'Points-Table'!$A$4), 'Points-Table'!$C$4,
                (W121 = 'Points-Table'!$A$5), 'Points-Table'!$C$5,
                (W121 = 'Points-Table'!$A$6), 'Points-Table'!$C$6,
                (W121 = 'Points-Table'!$A$7), 'Points-Table'!$C$7,
                (W121 = 'Points-Table'!$A$8), 'Points-Table'!$C$8,
                (W121 = 'Points-Table'!$A$9), 'Points-Table'!$C$9,
                (W121 = 'Points-Table'!$A$10), 'Points-Table'!$C$10,
                (W121 = 'Points-Table'!$A$11), 'Points-Table'!$C$11,
                (W121 = 'Points-Table'!$A$12), 'Points-Table'!$C$12,
                (W121 = 'Points-Table'!$A$13), 'Points-Table'!$C$13,
                true, 0
              )
            </f>
      </c>
      <c r="Y121" s="11">
        <v>5</v>
      </c>
      <c r="Z121" s="12">
        <f>
              Ifs(
                (Y121 = 'Points-Table'!$A$4), 'Points-Table'!$C$4,
                (Y121 = 'Points-Table'!$A$5), 'Points-Table'!$C$5,
                (Y121 = 'Points-Table'!$A$6), 'Points-Table'!$C$6,
                (Y121 = 'Points-Table'!$A$7), 'Points-Table'!$C$7,
                (Y121 = 'Points-Table'!$A$8), 'Points-Table'!$C$8,
                (Y121 = 'Points-Table'!$A$9), 'Points-Table'!$C$9,
                (Y121 = 'Points-Table'!$A$10), 'Points-Table'!$C$10,
                (Y121 = 'Points-Table'!$A$11), 'Points-Table'!$C$11,
                (Y121 = 'Points-Table'!$A$12), 'Points-Table'!$C$12,
                (Y121 = 'Points-Table'!$A$13), 'Points-Table'!$C$13,
                true, 0
              )
            </f>
      </c>
      <c r="AA121" s="6">
        <f>SUM(V121,X121,Z121)</f>
      </c>
      <c r="AB121" s="6">
        <f>
      Ifs( 
        ISBETWEEN(AA121, 0, 'Points-Table'!C$20, TRUE, False), 'Points-Table'!A$20,
        ISBETWEEN(AA121, 'Points-Table'!C$20, 'Points-Table'!C$21, TRUE, False), 'Points-Table'!A$21,
        ISBETWEEN(AA121, 'Points-Table'!C$22, 10000, TRUE, TRUE), 'Points-Table'!A$22,
        true, 
        0)
      </f>
      </c>
      <c r="AC121" s="6" t="s">
        <v>56</v>
      </c>
      <c r="AD121" s="6" t="s">
        <v>56</v>
      </c>
      <c r="AE121" s="6" t="s">
        <v>56</v>
      </c>
    </row>
    <row r="122" spans="1:31" s="6" customFormat="1" x14ac:dyDescent="0.25">
      <c r="A122" s="6" t="s">
        <v>360</v>
      </c>
      <c r="B122" s="6" t="s">
        <v>362</v>
      </c>
      <c r="C122" s="6" t="s">
        <v>367</v>
      </c>
      <c r="D122" s="6"/>
      <c r="E122" s="6"/>
      <c r="F122" s="6" t="s">
        <v>368</v>
      </c>
      <c r="G122" s="6"/>
      <c r="H122" s="6"/>
      <c r="I122" s="6"/>
      <c r="J122" s="6"/>
      <c r="K122" s="6" t="s">
        <v>84</v>
      </c>
      <c r="L122" s="6" t="s">
        <v>85</v>
      </c>
      <c r="M122" s="6"/>
      <c r="N122" s="6"/>
      <c r="O122" s="6"/>
      <c r="P122" s="6"/>
      <c r="Q122" s="11"/>
      <c r="R122" s="12">
        <f>
              Ifs(
                (Q122 = 'Points-Table'!$A$4), 'Points-Table'!$C$4,
                (Q122 = 'Points-Table'!$A$5), 'Points-Table'!$C$5,
                (Q122 = 'Points-Table'!$A$6), 'Points-Table'!$C$6,
                (Q122 = 'Points-Table'!$A$7), 'Points-Table'!$C$7,
                (Q122 = 'Points-Table'!$A$8), 'Points-Table'!$C$8,
                (Q122 = 'Points-Table'!$A$9), 'Points-Table'!$C$9,
                (Q122 = 'Points-Table'!$A$10), 'Points-Table'!$C$10,
                (Q122 = 'Points-Table'!$A$11), 'Points-Table'!$C$11,
                (Q122 = 'Points-Table'!$A$12), 'Points-Table'!$C$12,
                (Q122 = 'Points-Table'!$A$13), 'Points-Table'!$C$13,
                true, 0
              )
            </f>
      </c>
      <c r="S122" s="11"/>
      <c r="T122" s="12">
        <f>
              Ifs(
                (S122 = 'Points-Table'!$A$4), 'Points-Table'!$C$4,
                (S122 = 'Points-Table'!$A$5), 'Points-Table'!$C$5,
                (S122 = 'Points-Table'!$A$6), 'Points-Table'!$C$6,
                (S122 = 'Points-Table'!$A$7), 'Points-Table'!$C$7,
                (S122 = 'Points-Table'!$A$8), 'Points-Table'!$C$8,
                (S122 = 'Points-Table'!$A$9), 'Points-Table'!$C$9,
                (S122 = 'Points-Table'!$A$10), 'Points-Table'!$C$10,
                (S122 = 'Points-Table'!$A$11), 'Points-Table'!$C$11,
                (S122 = 'Points-Table'!$A$12), 'Points-Table'!$C$12,
                (S122 = 'Points-Table'!$A$13), 'Points-Table'!$C$13,
                true, 0
              )
            </f>
      </c>
      <c r="U122" s="11">
        <v>0</v>
      </c>
      <c r="V122" s="12">
        <f>
              Ifs(
                (U122 = 'Points-Table'!$A$4), 'Points-Table'!$C$4,
                (U122 = 'Points-Table'!$A$5), 'Points-Table'!$C$5,
                (U122 = 'Points-Table'!$A$6), 'Points-Table'!$C$6,
                (U122 = 'Points-Table'!$A$7), 'Points-Table'!$C$7,
                (U122 = 'Points-Table'!$A$8), 'Points-Table'!$C$8,
                (U122 = 'Points-Table'!$A$9), 'Points-Table'!$C$9,
                (U122 = 'Points-Table'!$A$10), 'Points-Table'!$C$10,
                (U122 = 'Points-Table'!$A$11), 'Points-Table'!$C$11,
                (U122 = 'Points-Table'!$A$12), 'Points-Table'!$C$12,
                (U122 = 'Points-Table'!$A$13), 'Points-Table'!$C$13,
                true, 0
              )
            </f>
      </c>
      <c r="W122" s="11">
        <v>0</v>
      </c>
      <c r="X122" s="12">
        <f>
              Ifs(
                (W122 = 'Points-Table'!$A$4), 'Points-Table'!$C$4,
                (W122 = 'Points-Table'!$A$5), 'Points-Table'!$C$5,
                (W122 = 'Points-Table'!$A$6), 'Points-Table'!$C$6,
                (W122 = 'Points-Table'!$A$7), 'Points-Table'!$C$7,
                (W122 = 'Points-Table'!$A$8), 'Points-Table'!$C$8,
                (W122 = 'Points-Table'!$A$9), 'Points-Table'!$C$9,
                (W122 = 'Points-Table'!$A$10), 'Points-Table'!$C$10,
                (W122 = 'Points-Table'!$A$11), 'Points-Table'!$C$11,
                (W122 = 'Points-Table'!$A$12), 'Points-Table'!$C$12,
                (W122 = 'Points-Table'!$A$13), 'Points-Table'!$C$13,
                true, 0
              )
            </f>
      </c>
      <c r="Y122" s="11">
        <v>5</v>
      </c>
      <c r="Z122" s="12">
        <f>
              Ifs(
                (Y122 = 'Points-Table'!$A$4), 'Points-Table'!$C$4,
                (Y122 = 'Points-Table'!$A$5), 'Points-Table'!$C$5,
                (Y122 = 'Points-Table'!$A$6), 'Points-Table'!$C$6,
                (Y122 = 'Points-Table'!$A$7), 'Points-Table'!$C$7,
                (Y122 = 'Points-Table'!$A$8), 'Points-Table'!$C$8,
                (Y122 = 'Points-Table'!$A$9), 'Points-Table'!$C$9,
                (Y122 = 'Points-Table'!$A$10), 'Points-Table'!$C$10,
                (Y122 = 'Points-Table'!$A$11), 'Points-Table'!$C$11,
                (Y122 = 'Points-Table'!$A$12), 'Points-Table'!$C$12,
                (Y122 = 'Points-Table'!$A$13), 'Points-Table'!$C$13,
                true, 0
              )
            </f>
      </c>
      <c r="AA122" s="6">
        <f>SUM(V122,X122,Z122)</f>
      </c>
      <c r="AB122" s="6">
        <f>
      Ifs( 
        ISBETWEEN(AA122, 0, 'Points-Table'!C$20, TRUE, False), 'Points-Table'!A$20,
        ISBETWEEN(AA122, 'Points-Table'!C$20, 'Points-Table'!C$21, TRUE, False), 'Points-Table'!A$21,
        ISBETWEEN(AA122, 'Points-Table'!C$22, 10000, TRUE, TRUE), 'Points-Table'!A$22,
        true, 
        0)
      </f>
      </c>
      <c r="AC122" s="6" t="s">
        <v>56</v>
      </c>
      <c r="AD122" s="6" t="s">
        <v>56</v>
      </c>
      <c r="AE122" s="6" t="s">
        <v>56</v>
      </c>
    </row>
    <row r="123" spans="1:31" s="6" customFormat="1" x14ac:dyDescent="0.25">
      <c r="A123" s="6" t="s">
        <v>360</v>
      </c>
      <c r="B123" s="6" t="s">
        <v>369</v>
      </c>
      <c r="C123" s="6" t="s">
        <v>253</v>
      </c>
      <c r="D123" s="6"/>
      <c r="E123" s="6"/>
      <c r="F123" s="6"/>
      <c r="G123" s="6"/>
      <c r="H123" s="6"/>
      <c r="I123" s="6"/>
      <c r="J123" s="6"/>
      <c r="K123" s="6" t="s">
        <v>84</v>
      </c>
      <c r="L123" s="6" t="s">
        <v>85</v>
      </c>
      <c r="M123" s="6"/>
      <c r="N123" s="6"/>
      <c r="O123" s="6"/>
      <c r="P123" s="6"/>
      <c r="Q123" s="11">
        <v>0</v>
      </c>
      <c r="R123" s="12">
        <f>
              Ifs(
                (Q123 = 'Points-Table'!$A$4), 'Points-Table'!$C$4,
                (Q123 = 'Points-Table'!$A$5), 'Points-Table'!$C$5,
                (Q123 = 'Points-Table'!$A$6), 'Points-Table'!$C$6,
                (Q123 = 'Points-Table'!$A$7), 'Points-Table'!$C$7,
                (Q123 = 'Points-Table'!$A$8), 'Points-Table'!$C$8,
                (Q123 = 'Points-Table'!$A$9), 'Points-Table'!$C$9,
                (Q123 = 'Points-Table'!$A$10), 'Points-Table'!$C$10,
                (Q123 = 'Points-Table'!$A$11), 'Points-Table'!$C$11,
                (Q123 = 'Points-Table'!$A$12), 'Points-Table'!$C$12,
                (Q123 = 'Points-Table'!$A$13), 'Points-Table'!$C$13,
                true, 0
              )
            </f>
      </c>
      <c r="S123" s="11">
        <v>0</v>
      </c>
      <c r="T123" s="12">
        <f>
              Ifs(
                (S123 = 'Points-Table'!$A$4), 'Points-Table'!$C$4,
                (S123 = 'Points-Table'!$A$5), 'Points-Table'!$C$5,
                (S123 = 'Points-Table'!$A$6), 'Points-Table'!$C$6,
                (S123 = 'Points-Table'!$A$7), 'Points-Table'!$C$7,
                (S123 = 'Points-Table'!$A$8), 'Points-Table'!$C$8,
                (S123 = 'Points-Table'!$A$9), 'Points-Table'!$C$9,
                (S123 = 'Points-Table'!$A$10), 'Points-Table'!$C$10,
                (S123 = 'Points-Table'!$A$11), 'Points-Table'!$C$11,
                (S123 = 'Points-Table'!$A$12), 'Points-Table'!$C$12,
                (S123 = 'Points-Table'!$A$13), 'Points-Table'!$C$13,
                true, 0
              )
            </f>
      </c>
      <c r="U123" s="11">
        <v>2</v>
      </c>
      <c r="V123" s="12">
        <f>
              Ifs(
                (U123 = 'Points-Table'!$A$4), 'Points-Table'!$C$4,
                (U123 = 'Points-Table'!$A$5), 'Points-Table'!$C$5,
                (U123 = 'Points-Table'!$A$6), 'Points-Table'!$C$6,
                (U123 = 'Points-Table'!$A$7), 'Points-Table'!$C$7,
                (U123 = 'Points-Table'!$A$8), 'Points-Table'!$C$8,
                (U123 = 'Points-Table'!$A$9), 'Points-Table'!$C$9,
                (U123 = 'Points-Table'!$A$10), 'Points-Table'!$C$10,
                (U123 = 'Points-Table'!$A$11), 'Points-Table'!$C$11,
                (U123 = 'Points-Table'!$A$12), 'Points-Table'!$C$12,
                (U123 = 'Points-Table'!$A$13), 'Points-Table'!$C$13,
                true, 0
              )
            </f>
      </c>
      <c r="W123" s="11">
        <v>3</v>
      </c>
      <c r="X123" s="12">
        <f>
              Ifs(
                (W123 = 'Points-Table'!$A$4), 'Points-Table'!$C$4,
                (W123 = 'Points-Table'!$A$5), 'Points-Table'!$C$5,
                (W123 = 'Points-Table'!$A$6), 'Points-Table'!$C$6,
                (W123 = 'Points-Table'!$A$7), 'Points-Table'!$C$7,
                (W123 = 'Points-Table'!$A$8), 'Points-Table'!$C$8,
                (W123 = 'Points-Table'!$A$9), 'Points-Table'!$C$9,
                (W123 = 'Points-Table'!$A$10), 'Points-Table'!$C$10,
                (W123 = 'Points-Table'!$A$11), 'Points-Table'!$C$11,
                (W123 = 'Points-Table'!$A$12), 'Points-Table'!$C$12,
                (W123 = 'Points-Table'!$A$13), 'Points-Table'!$C$13,
                true, 0
              )
            </f>
      </c>
      <c r="Y123" s="11">
        <v>3</v>
      </c>
      <c r="Z123" s="12">
        <f>
              Ifs(
                (Y123 = 'Points-Table'!$A$4), 'Points-Table'!$C$4,
                (Y123 = 'Points-Table'!$A$5), 'Points-Table'!$C$5,
                (Y123 = 'Points-Table'!$A$6), 'Points-Table'!$C$6,
                (Y123 = 'Points-Table'!$A$7), 'Points-Table'!$C$7,
                (Y123 = 'Points-Table'!$A$8), 'Points-Table'!$C$8,
                (Y123 = 'Points-Table'!$A$9), 'Points-Table'!$C$9,
                (Y123 = 'Points-Table'!$A$10), 'Points-Table'!$C$10,
                (Y123 = 'Points-Table'!$A$11), 'Points-Table'!$C$11,
                (Y123 = 'Points-Table'!$A$12), 'Points-Table'!$C$12,
                (Y123 = 'Points-Table'!$A$13), 'Points-Table'!$C$13,
                true, 0
              )
            </f>
      </c>
      <c r="AA123" s="6">
        <f>SUM(V123,X123,Z123)</f>
      </c>
      <c r="AB123" s="6">
        <f>
      Ifs( 
        ISBETWEEN(AA123, 0, 'Points-Table'!C$20, TRUE, False), 'Points-Table'!A$20,
        ISBETWEEN(AA123, 'Points-Table'!C$20, 'Points-Table'!C$21, TRUE, False), 'Points-Table'!A$21,
        ISBETWEEN(AA123, 'Points-Table'!C$22, 10000, TRUE, TRUE), 'Points-Table'!A$22,
        true, 
        0)
      </f>
      </c>
      <c r="AC123" s="6" t="s">
        <v>56</v>
      </c>
      <c r="AD123" s="6" t="s">
        <v>56</v>
      </c>
      <c r="AE123" s="6" t="s">
        <v>56</v>
      </c>
    </row>
    <row r="124" spans="1:31" s="6" customFormat="1" x14ac:dyDescent="0.25">
      <c r="A124" s="6" t="s">
        <v>360</v>
      </c>
      <c r="B124" s="6" t="s">
        <v>369</v>
      </c>
      <c r="C124" s="6" t="s">
        <v>274</v>
      </c>
      <c r="D124" s="6"/>
      <c r="E124" s="6"/>
      <c r="F124" s="6"/>
      <c r="G124" s="6"/>
      <c r="H124" s="6"/>
      <c r="I124" s="6"/>
      <c r="J124" s="6"/>
      <c r="K124" s="6" t="s">
        <v>84</v>
      </c>
      <c r="L124" s="6" t="s">
        <v>85</v>
      </c>
      <c r="M124" s="6"/>
      <c r="N124" s="6"/>
      <c r="O124" s="6"/>
      <c r="P124" s="6"/>
      <c r="Q124" s="11">
        <v>0</v>
      </c>
      <c r="R124" s="12">
        <f>
              Ifs(
                (Q124 = 'Points-Table'!$A$4), 'Points-Table'!$C$4,
                (Q124 = 'Points-Table'!$A$5), 'Points-Table'!$C$5,
                (Q124 = 'Points-Table'!$A$6), 'Points-Table'!$C$6,
                (Q124 = 'Points-Table'!$A$7), 'Points-Table'!$C$7,
                (Q124 = 'Points-Table'!$A$8), 'Points-Table'!$C$8,
                (Q124 = 'Points-Table'!$A$9), 'Points-Table'!$C$9,
                (Q124 = 'Points-Table'!$A$10), 'Points-Table'!$C$10,
                (Q124 = 'Points-Table'!$A$11), 'Points-Table'!$C$11,
                (Q124 = 'Points-Table'!$A$12), 'Points-Table'!$C$12,
                (Q124 = 'Points-Table'!$A$13), 'Points-Table'!$C$13,
                true, 0
              )
            </f>
      </c>
      <c r="S124" s="11">
        <v>0</v>
      </c>
      <c r="T124" s="12">
        <f>
              Ifs(
                (S124 = 'Points-Table'!$A$4), 'Points-Table'!$C$4,
                (S124 = 'Points-Table'!$A$5), 'Points-Table'!$C$5,
                (S124 = 'Points-Table'!$A$6), 'Points-Table'!$C$6,
                (S124 = 'Points-Table'!$A$7), 'Points-Table'!$C$7,
                (S124 = 'Points-Table'!$A$8), 'Points-Table'!$C$8,
                (S124 = 'Points-Table'!$A$9), 'Points-Table'!$C$9,
                (S124 = 'Points-Table'!$A$10), 'Points-Table'!$C$10,
                (S124 = 'Points-Table'!$A$11), 'Points-Table'!$C$11,
                (S124 = 'Points-Table'!$A$12), 'Points-Table'!$C$12,
                (S124 = 'Points-Table'!$A$13), 'Points-Table'!$C$13,
                true, 0
              )
            </f>
      </c>
      <c r="U124" s="11">
        <v>2</v>
      </c>
      <c r="V124" s="12">
        <f>
              Ifs(
                (U124 = 'Points-Table'!$A$4), 'Points-Table'!$C$4,
                (U124 = 'Points-Table'!$A$5), 'Points-Table'!$C$5,
                (U124 = 'Points-Table'!$A$6), 'Points-Table'!$C$6,
                (U124 = 'Points-Table'!$A$7), 'Points-Table'!$C$7,
                (U124 = 'Points-Table'!$A$8), 'Points-Table'!$C$8,
                (U124 = 'Points-Table'!$A$9), 'Points-Table'!$C$9,
                (U124 = 'Points-Table'!$A$10), 'Points-Table'!$C$10,
                (U124 = 'Points-Table'!$A$11), 'Points-Table'!$C$11,
                (U124 = 'Points-Table'!$A$12), 'Points-Table'!$C$12,
                (U124 = 'Points-Table'!$A$13), 'Points-Table'!$C$13,
                true, 0
              )
            </f>
      </c>
      <c r="W124" s="11">
        <v>2</v>
      </c>
      <c r="X124" s="12">
        <f>
              Ifs(
                (W124 = 'Points-Table'!$A$4), 'Points-Table'!$C$4,
                (W124 = 'Points-Table'!$A$5), 'Points-Table'!$C$5,
                (W124 = 'Points-Table'!$A$6), 'Points-Table'!$C$6,
                (W124 = 'Points-Table'!$A$7), 'Points-Table'!$C$7,
                (W124 = 'Points-Table'!$A$8), 'Points-Table'!$C$8,
                (W124 = 'Points-Table'!$A$9), 'Points-Table'!$C$9,
                (W124 = 'Points-Table'!$A$10), 'Points-Table'!$C$10,
                (W124 = 'Points-Table'!$A$11), 'Points-Table'!$C$11,
                (W124 = 'Points-Table'!$A$12), 'Points-Table'!$C$12,
                (W124 = 'Points-Table'!$A$13), 'Points-Table'!$C$13,
                true, 0
              )
            </f>
      </c>
      <c r="Y124" s="11">
        <v>2</v>
      </c>
      <c r="Z124" s="12">
        <f>
              Ifs(
                (Y124 = 'Points-Table'!$A$4), 'Points-Table'!$C$4,
                (Y124 = 'Points-Table'!$A$5), 'Points-Table'!$C$5,
                (Y124 = 'Points-Table'!$A$6), 'Points-Table'!$C$6,
                (Y124 = 'Points-Table'!$A$7), 'Points-Table'!$C$7,
                (Y124 = 'Points-Table'!$A$8), 'Points-Table'!$C$8,
                (Y124 = 'Points-Table'!$A$9), 'Points-Table'!$C$9,
                (Y124 = 'Points-Table'!$A$10), 'Points-Table'!$C$10,
                (Y124 = 'Points-Table'!$A$11), 'Points-Table'!$C$11,
                (Y124 = 'Points-Table'!$A$12), 'Points-Table'!$C$12,
                (Y124 = 'Points-Table'!$A$13), 'Points-Table'!$C$13,
                true, 0
              )
            </f>
      </c>
      <c r="AA124" s="6">
        <f>SUM(V124,X124,Z124)</f>
      </c>
      <c r="AB124" s="6">
        <f>
      Ifs( 
        ISBETWEEN(AA124, 0, 'Points-Table'!C$20, TRUE, False), 'Points-Table'!A$20,
        ISBETWEEN(AA124, 'Points-Table'!C$20, 'Points-Table'!C$21, TRUE, False), 'Points-Table'!A$21,
        ISBETWEEN(AA124, 'Points-Table'!C$22, 10000, TRUE, TRUE), 'Points-Table'!A$22,
        true, 
        0)
      </f>
      </c>
      <c r="AC124" s="6" t="s">
        <v>56</v>
      </c>
      <c r="AD124" s="6" t="s">
        <v>56</v>
      </c>
      <c r="AE124" s="6" t="s">
        <v>56</v>
      </c>
    </row>
    <row r="125" spans="1:31" s="6" customFormat="1" x14ac:dyDescent="0.25">
      <c r="A125" s="6" t="s">
        <v>360</v>
      </c>
      <c r="B125" s="6" t="s">
        <v>369</v>
      </c>
      <c r="C125" s="6" t="s">
        <v>273</v>
      </c>
      <c r="D125" s="6"/>
      <c r="E125" s="6"/>
      <c r="F125" s="6"/>
      <c r="G125" s="6"/>
      <c r="H125" s="6"/>
      <c r="I125" s="6"/>
      <c r="J125" s="6"/>
      <c r="K125" s="6" t="s">
        <v>84</v>
      </c>
      <c r="L125" s="6" t="s">
        <v>85</v>
      </c>
      <c r="M125" s="6"/>
      <c r="N125" s="6"/>
      <c r="O125" s="6"/>
      <c r="P125" s="6"/>
      <c r="Q125" s="11">
        <v>0</v>
      </c>
      <c r="R125" s="12">
        <f>
              Ifs(
                (Q125 = 'Points-Table'!$A$4), 'Points-Table'!$C$4,
                (Q125 = 'Points-Table'!$A$5), 'Points-Table'!$C$5,
                (Q125 = 'Points-Table'!$A$6), 'Points-Table'!$C$6,
                (Q125 = 'Points-Table'!$A$7), 'Points-Table'!$C$7,
                (Q125 = 'Points-Table'!$A$8), 'Points-Table'!$C$8,
                (Q125 = 'Points-Table'!$A$9), 'Points-Table'!$C$9,
                (Q125 = 'Points-Table'!$A$10), 'Points-Table'!$C$10,
                (Q125 = 'Points-Table'!$A$11), 'Points-Table'!$C$11,
                (Q125 = 'Points-Table'!$A$12), 'Points-Table'!$C$12,
                (Q125 = 'Points-Table'!$A$13), 'Points-Table'!$C$13,
                true, 0
              )
            </f>
      </c>
      <c r="S125" s="11">
        <v>0</v>
      </c>
      <c r="T125" s="12">
        <f>
              Ifs(
                (S125 = 'Points-Table'!$A$4), 'Points-Table'!$C$4,
                (S125 = 'Points-Table'!$A$5), 'Points-Table'!$C$5,
                (S125 = 'Points-Table'!$A$6), 'Points-Table'!$C$6,
                (S125 = 'Points-Table'!$A$7), 'Points-Table'!$C$7,
                (S125 = 'Points-Table'!$A$8), 'Points-Table'!$C$8,
                (S125 = 'Points-Table'!$A$9), 'Points-Table'!$C$9,
                (S125 = 'Points-Table'!$A$10), 'Points-Table'!$C$10,
                (S125 = 'Points-Table'!$A$11), 'Points-Table'!$C$11,
                (S125 = 'Points-Table'!$A$12), 'Points-Table'!$C$12,
                (S125 = 'Points-Table'!$A$13), 'Points-Table'!$C$13,
                true, 0
              )
            </f>
      </c>
      <c r="U125" s="11">
        <v>2</v>
      </c>
      <c r="V125" s="12">
        <f>
              Ifs(
                (U125 = 'Points-Table'!$A$4), 'Points-Table'!$C$4,
                (U125 = 'Points-Table'!$A$5), 'Points-Table'!$C$5,
                (U125 = 'Points-Table'!$A$6), 'Points-Table'!$C$6,
                (U125 = 'Points-Table'!$A$7), 'Points-Table'!$C$7,
                (U125 = 'Points-Table'!$A$8), 'Points-Table'!$C$8,
                (U125 = 'Points-Table'!$A$9), 'Points-Table'!$C$9,
                (U125 = 'Points-Table'!$A$10), 'Points-Table'!$C$10,
                (U125 = 'Points-Table'!$A$11), 'Points-Table'!$C$11,
                (U125 = 'Points-Table'!$A$12), 'Points-Table'!$C$12,
                (U125 = 'Points-Table'!$A$13), 'Points-Table'!$C$13,
                true, 0
              )
            </f>
      </c>
      <c r="W125" s="11">
        <v>2</v>
      </c>
      <c r="X125" s="12">
        <f>
              Ifs(
                (W125 = 'Points-Table'!$A$4), 'Points-Table'!$C$4,
                (W125 = 'Points-Table'!$A$5), 'Points-Table'!$C$5,
                (W125 = 'Points-Table'!$A$6), 'Points-Table'!$C$6,
                (W125 = 'Points-Table'!$A$7), 'Points-Table'!$C$7,
                (W125 = 'Points-Table'!$A$8), 'Points-Table'!$C$8,
                (W125 = 'Points-Table'!$A$9), 'Points-Table'!$C$9,
                (W125 = 'Points-Table'!$A$10), 'Points-Table'!$C$10,
                (W125 = 'Points-Table'!$A$11), 'Points-Table'!$C$11,
                (W125 = 'Points-Table'!$A$12), 'Points-Table'!$C$12,
                (W125 = 'Points-Table'!$A$13), 'Points-Table'!$C$13,
                true, 0
              )
            </f>
      </c>
      <c r="Y125" s="11">
        <v>2</v>
      </c>
      <c r="Z125" s="12">
        <f>
              Ifs(
                (Y125 = 'Points-Table'!$A$4), 'Points-Table'!$C$4,
                (Y125 = 'Points-Table'!$A$5), 'Points-Table'!$C$5,
                (Y125 = 'Points-Table'!$A$6), 'Points-Table'!$C$6,
                (Y125 = 'Points-Table'!$A$7), 'Points-Table'!$C$7,
                (Y125 = 'Points-Table'!$A$8), 'Points-Table'!$C$8,
                (Y125 = 'Points-Table'!$A$9), 'Points-Table'!$C$9,
                (Y125 = 'Points-Table'!$A$10), 'Points-Table'!$C$10,
                (Y125 = 'Points-Table'!$A$11), 'Points-Table'!$C$11,
                (Y125 = 'Points-Table'!$A$12), 'Points-Table'!$C$12,
                (Y125 = 'Points-Table'!$A$13), 'Points-Table'!$C$13,
                true, 0
              )
            </f>
      </c>
      <c r="AA125" s="6">
        <f>SUM(V125,X125,Z125)</f>
      </c>
      <c r="AB125" s="6">
        <f>
      Ifs( 
        ISBETWEEN(AA125, 0, 'Points-Table'!C$20, TRUE, False), 'Points-Table'!A$20,
        ISBETWEEN(AA125, 'Points-Table'!C$20, 'Points-Table'!C$21, TRUE, False), 'Points-Table'!A$21,
        ISBETWEEN(AA125, 'Points-Table'!C$22, 10000, TRUE, TRUE), 'Points-Table'!A$22,
        true, 
        0)
      </f>
      </c>
      <c r="AC125" s="6" t="s">
        <v>56</v>
      </c>
      <c r="AD125" s="6" t="s">
        <v>56</v>
      </c>
      <c r="AE125" s="6" t="s">
        <v>56</v>
      </c>
    </row>
    <row r="126" spans="1:31" s="6" customFormat="1" x14ac:dyDescent="0.25">
      <c r="A126" s="6" t="s">
        <v>360</v>
      </c>
      <c r="B126" s="6" t="s">
        <v>369</v>
      </c>
      <c r="C126" s="6" t="s">
        <v>275</v>
      </c>
      <c r="D126" s="6"/>
      <c r="E126" s="6"/>
      <c r="F126" s="6"/>
      <c r="G126" s="6"/>
      <c r="H126" s="6"/>
      <c r="I126" s="6"/>
      <c r="J126" s="6"/>
      <c r="K126" s="6" t="s">
        <v>84</v>
      </c>
      <c r="L126" s="6" t="s">
        <v>85</v>
      </c>
      <c r="M126" s="6"/>
      <c r="N126" s="6"/>
      <c r="O126" s="6"/>
      <c r="P126" s="6"/>
      <c r="Q126" s="11">
        <v>3</v>
      </c>
      <c r="R126" s="12">
        <f>
              Ifs(
                (Q126 = 'Points-Table'!$A$4), 'Points-Table'!$C$4,
                (Q126 = 'Points-Table'!$A$5), 'Points-Table'!$C$5,
                (Q126 = 'Points-Table'!$A$6), 'Points-Table'!$C$6,
                (Q126 = 'Points-Table'!$A$7), 'Points-Table'!$C$7,
                (Q126 = 'Points-Table'!$A$8), 'Points-Table'!$C$8,
                (Q126 = 'Points-Table'!$A$9), 'Points-Table'!$C$9,
                (Q126 = 'Points-Table'!$A$10), 'Points-Table'!$C$10,
                (Q126 = 'Points-Table'!$A$11), 'Points-Table'!$C$11,
                (Q126 = 'Points-Table'!$A$12), 'Points-Table'!$C$12,
                (Q126 = 'Points-Table'!$A$13), 'Points-Table'!$C$13,
                true, 0
              )
            </f>
      </c>
      <c r="S126" s="11">
        <v>3</v>
      </c>
      <c r="T126" s="12">
        <f>
              Ifs(
                (S126 = 'Points-Table'!$A$4), 'Points-Table'!$C$4,
                (S126 = 'Points-Table'!$A$5), 'Points-Table'!$C$5,
                (S126 = 'Points-Table'!$A$6), 'Points-Table'!$C$6,
                (S126 = 'Points-Table'!$A$7), 'Points-Table'!$C$7,
                (S126 = 'Points-Table'!$A$8), 'Points-Table'!$C$8,
                (S126 = 'Points-Table'!$A$9), 'Points-Table'!$C$9,
                (S126 = 'Points-Table'!$A$10), 'Points-Table'!$C$10,
                (S126 = 'Points-Table'!$A$11), 'Points-Table'!$C$11,
                (S126 = 'Points-Table'!$A$12), 'Points-Table'!$C$12,
                (S126 = 'Points-Table'!$A$13), 'Points-Table'!$C$13,
                true, 0
              )
            </f>
      </c>
      <c r="U126" s="11">
        <v>5</v>
      </c>
      <c r="V126" s="12">
        <f>
              Ifs(
                (U126 = 'Points-Table'!$A$4), 'Points-Table'!$C$4,
                (U126 = 'Points-Table'!$A$5), 'Points-Table'!$C$5,
                (U126 = 'Points-Table'!$A$6), 'Points-Table'!$C$6,
                (U126 = 'Points-Table'!$A$7), 'Points-Table'!$C$7,
                (U126 = 'Points-Table'!$A$8), 'Points-Table'!$C$8,
                (U126 = 'Points-Table'!$A$9), 'Points-Table'!$C$9,
                (U126 = 'Points-Table'!$A$10), 'Points-Table'!$C$10,
                (U126 = 'Points-Table'!$A$11), 'Points-Table'!$C$11,
                (U126 = 'Points-Table'!$A$12), 'Points-Table'!$C$12,
                (U126 = 'Points-Table'!$A$13), 'Points-Table'!$C$13,
                true, 0
              )
            </f>
      </c>
      <c r="W126" s="11">
        <v>3</v>
      </c>
      <c r="X126" s="12">
        <f>
              Ifs(
                (W126 = 'Points-Table'!$A$4), 'Points-Table'!$C$4,
                (W126 = 'Points-Table'!$A$5), 'Points-Table'!$C$5,
                (W126 = 'Points-Table'!$A$6), 'Points-Table'!$C$6,
                (W126 = 'Points-Table'!$A$7), 'Points-Table'!$C$7,
                (W126 = 'Points-Table'!$A$8), 'Points-Table'!$C$8,
                (W126 = 'Points-Table'!$A$9), 'Points-Table'!$C$9,
                (W126 = 'Points-Table'!$A$10), 'Points-Table'!$C$10,
                (W126 = 'Points-Table'!$A$11), 'Points-Table'!$C$11,
                (W126 = 'Points-Table'!$A$12), 'Points-Table'!$C$12,
                (W126 = 'Points-Table'!$A$13), 'Points-Table'!$C$13,
                true, 0
              )
            </f>
      </c>
      <c r="Y126" s="11">
        <v>5</v>
      </c>
      <c r="Z126" s="12">
        <f>
              Ifs(
                (Y126 = 'Points-Table'!$A$4), 'Points-Table'!$C$4,
                (Y126 = 'Points-Table'!$A$5), 'Points-Table'!$C$5,
                (Y126 = 'Points-Table'!$A$6), 'Points-Table'!$C$6,
                (Y126 = 'Points-Table'!$A$7), 'Points-Table'!$C$7,
                (Y126 = 'Points-Table'!$A$8), 'Points-Table'!$C$8,
                (Y126 = 'Points-Table'!$A$9), 'Points-Table'!$C$9,
                (Y126 = 'Points-Table'!$A$10), 'Points-Table'!$C$10,
                (Y126 = 'Points-Table'!$A$11), 'Points-Table'!$C$11,
                (Y126 = 'Points-Table'!$A$12), 'Points-Table'!$C$12,
                (Y126 = 'Points-Table'!$A$13), 'Points-Table'!$C$13,
                true, 0
              )
            </f>
      </c>
      <c r="AA126" s="6">
        <f>SUM(V126,X126,Z126)</f>
      </c>
      <c r="AB126" s="6">
        <f>
      Ifs( 
        ISBETWEEN(AA126, 0, 'Points-Table'!C$20, TRUE, False), 'Points-Table'!A$20,
        ISBETWEEN(AA126, 'Points-Table'!C$20, 'Points-Table'!C$21, TRUE, False), 'Points-Table'!A$21,
        ISBETWEEN(AA126, 'Points-Table'!C$22, 10000, TRUE, TRUE), 'Points-Table'!A$22,
        true, 
        0)
      </f>
      </c>
      <c r="AC126" s="6" t="s">
        <v>56</v>
      </c>
      <c r="AD126" s="6" t="s">
        <v>56</v>
      </c>
      <c r="AE126" s="6" t="s">
        <v>56</v>
      </c>
    </row>
    <row r="127" spans="1:31" s="6" customFormat="1" x14ac:dyDescent="0.25">
      <c r="A127" s="6" t="s">
        <v>360</v>
      </c>
      <c r="B127" s="6" t="s">
        <v>369</v>
      </c>
      <c r="C127" s="6" t="s">
        <v>370</v>
      </c>
      <c r="D127" s="6" t="s">
        <v>371</v>
      </c>
      <c r="E127" s="6"/>
      <c r="F127" s="6"/>
      <c r="G127" s="6"/>
      <c r="H127" s="6"/>
      <c r="I127" s="6"/>
      <c r="J127" s="6"/>
      <c r="K127" s="6" t="s">
        <v>84</v>
      </c>
      <c r="L127" s="6" t="s">
        <v>85</v>
      </c>
      <c r="M127" s="6"/>
      <c r="N127" s="6"/>
      <c r="O127" s="6"/>
      <c r="P127" s="6"/>
      <c r="Q127" s="11"/>
      <c r="R127" s="12">
        <f>
              Ifs(
                (Q127 = 'Points-Table'!$A$4), 'Points-Table'!$C$4,
                (Q127 = 'Points-Table'!$A$5), 'Points-Table'!$C$5,
                (Q127 = 'Points-Table'!$A$6), 'Points-Table'!$C$6,
                (Q127 = 'Points-Table'!$A$7), 'Points-Table'!$C$7,
                (Q127 = 'Points-Table'!$A$8), 'Points-Table'!$C$8,
                (Q127 = 'Points-Table'!$A$9), 'Points-Table'!$C$9,
                (Q127 = 'Points-Table'!$A$10), 'Points-Table'!$C$10,
                (Q127 = 'Points-Table'!$A$11), 'Points-Table'!$C$11,
                (Q127 = 'Points-Table'!$A$12), 'Points-Table'!$C$12,
                (Q127 = 'Points-Table'!$A$13), 'Points-Table'!$C$13,
                true, 0
              )
            </f>
      </c>
      <c r="S127" s="11"/>
      <c r="T127" s="12">
        <f>
              Ifs(
                (S127 = 'Points-Table'!$A$4), 'Points-Table'!$C$4,
                (S127 = 'Points-Table'!$A$5), 'Points-Table'!$C$5,
                (S127 = 'Points-Table'!$A$6), 'Points-Table'!$C$6,
                (S127 = 'Points-Table'!$A$7), 'Points-Table'!$C$7,
                (S127 = 'Points-Table'!$A$8), 'Points-Table'!$C$8,
                (S127 = 'Points-Table'!$A$9), 'Points-Table'!$C$9,
                (S127 = 'Points-Table'!$A$10), 'Points-Table'!$C$10,
                (S127 = 'Points-Table'!$A$11), 'Points-Table'!$C$11,
                (S127 = 'Points-Table'!$A$12), 'Points-Table'!$C$12,
                (S127 = 'Points-Table'!$A$13), 'Points-Table'!$C$13,
                true, 0
              )
            </f>
      </c>
      <c r="U127" s="11">
        <v>2</v>
      </c>
      <c r="V127" s="12">
        <f>
              Ifs(
                (U127 = 'Points-Table'!$A$4), 'Points-Table'!$C$4,
                (U127 = 'Points-Table'!$A$5), 'Points-Table'!$C$5,
                (U127 = 'Points-Table'!$A$6), 'Points-Table'!$C$6,
                (U127 = 'Points-Table'!$A$7), 'Points-Table'!$C$7,
                (U127 = 'Points-Table'!$A$8), 'Points-Table'!$C$8,
                (U127 = 'Points-Table'!$A$9), 'Points-Table'!$C$9,
                (U127 = 'Points-Table'!$A$10), 'Points-Table'!$C$10,
                (U127 = 'Points-Table'!$A$11), 'Points-Table'!$C$11,
                (U127 = 'Points-Table'!$A$12), 'Points-Table'!$C$12,
                (U127 = 'Points-Table'!$A$13), 'Points-Table'!$C$13,
                true, 0
              )
            </f>
      </c>
      <c r="W127" s="11">
        <v>0</v>
      </c>
      <c r="X127" s="12">
        <f>
              Ifs(
                (W127 = 'Points-Table'!$A$4), 'Points-Table'!$C$4,
                (W127 = 'Points-Table'!$A$5), 'Points-Table'!$C$5,
                (W127 = 'Points-Table'!$A$6), 'Points-Table'!$C$6,
                (W127 = 'Points-Table'!$A$7), 'Points-Table'!$C$7,
                (W127 = 'Points-Table'!$A$8), 'Points-Table'!$C$8,
                (W127 = 'Points-Table'!$A$9), 'Points-Table'!$C$9,
                (W127 = 'Points-Table'!$A$10), 'Points-Table'!$C$10,
                (W127 = 'Points-Table'!$A$11), 'Points-Table'!$C$11,
                (W127 = 'Points-Table'!$A$12), 'Points-Table'!$C$12,
                (W127 = 'Points-Table'!$A$13), 'Points-Table'!$C$13,
                true, 0
              )
            </f>
      </c>
      <c r="Y127" s="11">
        <v>5</v>
      </c>
      <c r="Z127" s="12">
        <f>
              Ifs(
                (Y127 = 'Points-Table'!$A$4), 'Points-Table'!$C$4,
                (Y127 = 'Points-Table'!$A$5), 'Points-Table'!$C$5,
                (Y127 = 'Points-Table'!$A$6), 'Points-Table'!$C$6,
                (Y127 = 'Points-Table'!$A$7), 'Points-Table'!$C$7,
                (Y127 = 'Points-Table'!$A$8), 'Points-Table'!$C$8,
                (Y127 = 'Points-Table'!$A$9), 'Points-Table'!$C$9,
                (Y127 = 'Points-Table'!$A$10), 'Points-Table'!$C$10,
                (Y127 = 'Points-Table'!$A$11), 'Points-Table'!$C$11,
                (Y127 = 'Points-Table'!$A$12), 'Points-Table'!$C$12,
                (Y127 = 'Points-Table'!$A$13), 'Points-Table'!$C$13,
                true, 0
              )
            </f>
      </c>
      <c r="AA127" s="6">
        <f>SUM(V127,X127,Z127)</f>
      </c>
      <c r="AB127" s="6">
        <f>
      Ifs( 
        ISBETWEEN(AA127, 0, 'Points-Table'!C$20, TRUE, False), 'Points-Table'!A$20,
        ISBETWEEN(AA127, 'Points-Table'!C$20, 'Points-Table'!C$21, TRUE, False), 'Points-Table'!A$21,
        ISBETWEEN(AA127, 'Points-Table'!C$22, 10000, TRUE, TRUE), 'Points-Table'!A$22,
        true, 
        0)
      </f>
      </c>
      <c r="AC127" s="6" t="s">
        <v>56</v>
      </c>
      <c r="AD127" s="6" t="s">
        <v>56</v>
      </c>
      <c r="AE127" s="6" t="s">
        <v>56</v>
      </c>
    </row>
    <row r="128" spans="1:31" s="6" customFormat="1" x14ac:dyDescent="0.25">
      <c r="A128" s="6" t="s">
        <v>360</v>
      </c>
      <c r="B128" s="6" t="s">
        <v>372</v>
      </c>
      <c r="C128" s="6" t="s">
        <v>373</v>
      </c>
      <c r="D128" s="6"/>
      <c r="E128" s="6"/>
      <c r="F128" s="6"/>
      <c r="G128" s="6"/>
      <c r="H128" s="6"/>
      <c r="I128" s="6"/>
      <c r="J128" s="6"/>
      <c r="K128" s="6" t="s">
        <v>84</v>
      </c>
      <c r="L128" s="6" t="s">
        <v>85</v>
      </c>
      <c r="M128" s="6"/>
      <c r="N128" s="6"/>
      <c r="O128" s="6"/>
      <c r="P128" s="6"/>
      <c r="Q128" s="11">
        <v>0</v>
      </c>
      <c r="R128" s="12">
        <f>
              Ifs(
                (Q128 = 'Points-Table'!$A$4), 'Points-Table'!$C$4,
                (Q128 = 'Points-Table'!$A$5), 'Points-Table'!$C$5,
                (Q128 = 'Points-Table'!$A$6), 'Points-Table'!$C$6,
                (Q128 = 'Points-Table'!$A$7), 'Points-Table'!$C$7,
                (Q128 = 'Points-Table'!$A$8), 'Points-Table'!$C$8,
                (Q128 = 'Points-Table'!$A$9), 'Points-Table'!$C$9,
                (Q128 = 'Points-Table'!$A$10), 'Points-Table'!$C$10,
                (Q128 = 'Points-Table'!$A$11), 'Points-Table'!$C$11,
                (Q128 = 'Points-Table'!$A$12), 'Points-Table'!$C$12,
                (Q128 = 'Points-Table'!$A$13), 'Points-Table'!$C$13,
                true, 0
              )
            </f>
      </c>
      <c r="S128" s="11">
        <v>0</v>
      </c>
      <c r="T128" s="12">
        <f>
              Ifs(
                (S128 = 'Points-Table'!$A$4), 'Points-Table'!$C$4,
                (S128 = 'Points-Table'!$A$5), 'Points-Table'!$C$5,
                (S128 = 'Points-Table'!$A$6), 'Points-Table'!$C$6,
                (S128 = 'Points-Table'!$A$7), 'Points-Table'!$C$7,
                (S128 = 'Points-Table'!$A$8), 'Points-Table'!$C$8,
                (S128 = 'Points-Table'!$A$9), 'Points-Table'!$C$9,
                (S128 = 'Points-Table'!$A$10), 'Points-Table'!$C$10,
                (S128 = 'Points-Table'!$A$11), 'Points-Table'!$C$11,
                (S128 = 'Points-Table'!$A$12), 'Points-Table'!$C$12,
                (S128 = 'Points-Table'!$A$13), 'Points-Table'!$C$13,
                true, 0
              )
            </f>
      </c>
      <c r="U128" s="11">
        <v>3</v>
      </c>
      <c r="V128" s="12">
        <f>
              Ifs(
                (U128 = 'Points-Table'!$A$4), 'Points-Table'!$C$4,
                (U128 = 'Points-Table'!$A$5), 'Points-Table'!$C$5,
                (U128 = 'Points-Table'!$A$6), 'Points-Table'!$C$6,
                (U128 = 'Points-Table'!$A$7), 'Points-Table'!$C$7,
                (U128 = 'Points-Table'!$A$8), 'Points-Table'!$C$8,
                (U128 = 'Points-Table'!$A$9), 'Points-Table'!$C$9,
                (U128 = 'Points-Table'!$A$10), 'Points-Table'!$C$10,
                (U128 = 'Points-Table'!$A$11), 'Points-Table'!$C$11,
                (U128 = 'Points-Table'!$A$12), 'Points-Table'!$C$12,
                (U128 = 'Points-Table'!$A$13), 'Points-Table'!$C$13,
                true, 0
              )
            </f>
      </c>
      <c r="W128" s="11">
        <v>2</v>
      </c>
      <c r="X128" s="12">
        <f>
              Ifs(
                (W128 = 'Points-Table'!$A$4), 'Points-Table'!$C$4,
                (W128 = 'Points-Table'!$A$5), 'Points-Table'!$C$5,
                (W128 = 'Points-Table'!$A$6), 'Points-Table'!$C$6,
                (W128 = 'Points-Table'!$A$7), 'Points-Table'!$C$7,
                (W128 = 'Points-Table'!$A$8), 'Points-Table'!$C$8,
                (W128 = 'Points-Table'!$A$9), 'Points-Table'!$C$9,
                (W128 = 'Points-Table'!$A$10), 'Points-Table'!$C$10,
                (W128 = 'Points-Table'!$A$11), 'Points-Table'!$C$11,
                (W128 = 'Points-Table'!$A$12), 'Points-Table'!$C$12,
                (W128 = 'Points-Table'!$A$13), 'Points-Table'!$C$13,
                true, 0
              )
            </f>
      </c>
      <c r="Y128" s="11">
        <v>5</v>
      </c>
      <c r="Z128" s="12">
        <f>
              Ifs(
                (Y128 = 'Points-Table'!$A$4), 'Points-Table'!$C$4,
                (Y128 = 'Points-Table'!$A$5), 'Points-Table'!$C$5,
                (Y128 = 'Points-Table'!$A$6), 'Points-Table'!$C$6,
                (Y128 = 'Points-Table'!$A$7), 'Points-Table'!$C$7,
                (Y128 = 'Points-Table'!$A$8), 'Points-Table'!$C$8,
                (Y128 = 'Points-Table'!$A$9), 'Points-Table'!$C$9,
                (Y128 = 'Points-Table'!$A$10), 'Points-Table'!$C$10,
                (Y128 = 'Points-Table'!$A$11), 'Points-Table'!$C$11,
                (Y128 = 'Points-Table'!$A$12), 'Points-Table'!$C$12,
                (Y128 = 'Points-Table'!$A$13), 'Points-Table'!$C$13,
                true, 0
              )
            </f>
      </c>
      <c r="AA128" s="6">
        <f>SUM(V128,X128,Z128)</f>
      </c>
      <c r="AB128" s="6">
        <f>
      Ifs( 
        ISBETWEEN(AA128, 0, 'Points-Table'!C$20, TRUE, False), 'Points-Table'!A$20,
        ISBETWEEN(AA128, 'Points-Table'!C$20, 'Points-Table'!C$21, TRUE, False), 'Points-Table'!A$21,
        ISBETWEEN(AA128, 'Points-Table'!C$22, 10000, TRUE, TRUE), 'Points-Table'!A$22,
        true, 
        0)
      </f>
      </c>
      <c r="AC128" s="6" t="s">
        <v>56</v>
      </c>
      <c r="AD128" s="6" t="s">
        <v>56</v>
      </c>
      <c r="AE128" s="6" t="s">
        <v>56</v>
      </c>
    </row>
    <row r="129" spans="1:31" s="13" customFormat="1" x14ac:dyDescent="0.25">
      <c r="A129" s="13" t="s">
        <v>360</v>
      </c>
      <c r="B129" s="13" t="s">
        <v>372</v>
      </c>
      <c r="C129" s="13" t="s">
        <v>374</v>
      </c>
      <c r="D129" s="13"/>
      <c r="E129" s="13"/>
      <c r="F129" s="13"/>
      <c r="G129" s="13"/>
      <c r="H129" s="13"/>
      <c r="I129" s="13"/>
      <c r="J129" s="13"/>
      <c r="K129" s="13" t="s">
        <v>84</v>
      </c>
      <c r="L129" s="13" t="s">
        <v>85</v>
      </c>
      <c r="M129" s="13"/>
      <c r="N129" s="13"/>
      <c r="O129" s="13"/>
      <c r="P129" s="13"/>
      <c r="Q129" s="13">
        <v>3</v>
      </c>
      <c r="R129" s="13">
        <f>
              Ifs(
                (Q129 = 'Points-Table'!$A$4), 'Points-Table'!$C$4,
                (Q129 = 'Points-Table'!$A$5), 'Points-Table'!$C$5,
                (Q129 = 'Points-Table'!$A$6), 'Points-Table'!$C$6,
                (Q129 = 'Points-Table'!$A$7), 'Points-Table'!$C$7,
                (Q129 = 'Points-Table'!$A$8), 'Points-Table'!$C$8,
                (Q129 = 'Points-Table'!$A$9), 'Points-Table'!$C$9,
                (Q129 = 'Points-Table'!$A$10), 'Points-Table'!$C$10,
                (Q129 = 'Points-Table'!$A$11), 'Points-Table'!$C$11,
                (Q129 = 'Points-Table'!$A$12), 'Points-Table'!$C$12,
                (Q129 = 'Points-Table'!$A$13), 'Points-Table'!$C$13,
                true, 0
              )
            </f>
      </c>
      <c r="S129" s="13">
        <v>3</v>
      </c>
      <c r="T129" s="13">
        <f>
              Ifs(
                (S129 = 'Points-Table'!$A$4), 'Points-Table'!$C$4,
                (S129 = 'Points-Table'!$A$5), 'Points-Table'!$C$5,
                (S129 = 'Points-Table'!$A$6), 'Points-Table'!$C$6,
                (S129 = 'Points-Table'!$A$7), 'Points-Table'!$C$7,
                (S129 = 'Points-Table'!$A$8), 'Points-Table'!$C$8,
                (S129 = 'Points-Table'!$A$9), 'Points-Table'!$C$9,
                (S129 = 'Points-Table'!$A$10), 'Points-Table'!$C$10,
                (S129 = 'Points-Table'!$A$11), 'Points-Table'!$C$11,
                (S129 = 'Points-Table'!$A$12), 'Points-Table'!$C$12,
                (S129 = 'Points-Table'!$A$13), 'Points-Table'!$C$13,
                true, 0
              )
            </f>
      </c>
      <c r="U129" s="13">
        <v>5</v>
      </c>
      <c r="V129" s="13">
        <f>
              Ifs(
                (U129 = 'Points-Table'!$A$4), 'Points-Table'!$C$4,
                (U129 = 'Points-Table'!$A$5), 'Points-Table'!$C$5,
                (U129 = 'Points-Table'!$A$6), 'Points-Table'!$C$6,
                (U129 = 'Points-Table'!$A$7), 'Points-Table'!$C$7,
                (U129 = 'Points-Table'!$A$8), 'Points-Table'!$C$8,
                (U129 = 'Points-Table'!$A$9), 'Points-Table'!$C$9,
                (U129 = 'Points-Table'!$A$10), 'Points-Table'!$C$10,
                (U129 = 'Points-Table'!$A$11), 'Points-Table'!$C$11,
                (U129 = 'Points-Table'!$A$12), 'Points-Table'!$C$12,
                (U129 = 'Points-Table'!$A$13), 'Points-Table'!$C$13,
                true, 0
              )
            </f>
      </c>
      <c r="W129" s="13">
        <v>3</v>
      </c>
      <c r="X129" s="13">
        <f>
              Ifs(
                (W129 = 'Points-Table'!$A$4), 'Points-Table'!$C$4,
                (W129 = 'Points-Table'!$A$5), 'Points-Table'!$C$5,
                (W129 = 'Points-Table'!$A$6), 'Points-Table'!$C$6,
                (W129 = 'Points-Table'!$A$7), 'Points-Table'!$C$7,
                (W129 = 'Points-Table'!$A$8), 'Points-Table'!$C$8,
                (W129 = 'Points-Table'!$A$9), 'Points-Table'!$C$9,
                (W129 = 'Points-Table'!$A$10), 'Points-Table'!$C$10,
                (W129 = 'Points-Table'!$A$11), 'Points-Table'!$C$11,
                (W129 = 'Points-Table'!$A$12), 'Points-Table'!$C$12,
                (W129 = 'Points-Table'!$A$13), 'Points-Table'!$C$13,
                true, 0
              )
            </f>
      </c>
      <c r="Y129" s="13">
        <v>5</v>
      </c>
      <c r="Z129" s="13">
        <f>
              Ifs(
                (Y129 = 'Points-Table'!$A$4), 'Points-Table'!$C$4,
                (Y129 = 'Points-Table'!$A$5), 'Points-Table'!$C$5,
                (Y129 = 'Points-Table'!$A$6), 'Points-Table'!$C$6,
                (Y129 = 'Points-Table'!$A$7), 'Points-Table'!$C$7,
                (Y129 = 'Points-Table'!$A$8), 'Points-Table'!$C$8,
                (Y129 = 'Points-Table'!$A$9), 'Points-Table'!$C$9,
                (Y129 = 'Points-Table'!$A$10), 'Points-Table'!$C$10,
                (Y129 = 'Points-Table'!$A$11), 'Points-Table'!$C$11,
                (Y129 = 'Points-Table'!$A$12), 'Points-Table'!$C$12,
                (Y129 = 'Points-Table'!$A$13), 'Points-Table'!$C$13,
                true, 0
              )
            </f>
      </c>
      <c r="AA129" s="13">
        <f>SUM(V129,X129,Z129)</f>
      </c>
      <c r="AB129" s="13">
        <f>
      Ifs( 
        ISBETWEEN(AA129, 0, 'Points-Table'!C$20, TRUE, False), 'Points-Table'!A$20,
        ISBETWEEN(AA129, 'Points-Table'!C$20, 'Points-Table'!C$21, TRUE, False), 'Points-Table'!A$21,
        ISBETWEEN(AA129, 'Points-Table'!C$22, 10000, TRUE, TRUE), 'Points-Table'!A$22,
        true, 
        0)
      </f>
      </c>
      <c r="AC129" s="13" t="s">
        <v>56</v>
      </c>
      <c r="AD129" s="13" t="s">
        <v>56</v>
      </c>
      <c r="AE129" s="13" t="s">
        <v>56</v>
      </c>
    </row>
    <row r="130" spans="1:31" s="13" customFormat="1" x14ac:dyDescent="0.25">
      <c r="A130" s="13" t="s">
        <v>360</v>
      </c>
      <c r="B130" s="13" t="s">
        <v>372</v>
      </c>
      <c r="C130" s="13" t="s">
        <v>375</v>
      </c>
      <c r="D130" s="13"/>
      <c r="E130" s="13"/>
      <c r="F130" s="13"/>
      <c r="G130" s="13"/>
      <c r="H130" s="13"/>
      <c r="I130" s="13"/>
      <c r="J130" s="13"/>
      <c r="K130" s="13" t="s">
        <v>84</v>
      </c>
      <c r="L130" s="13" t="s">
        <v>85</v>
      </c>
      <c r="M130" s="13"/>
      <c r="N130" s="13"/>
      <c r="O130" s="13"/>
      <c r="P130" s="13"/>
      <c r="Q130" s="13"/>
      <c r="R130" s="13">
        <f>
              Ifs(
                (Q130 = 'Points-Table'!$A$4), 'Points-Table'!$C$4,
                (Q130 = 'Points-Table'!$A$5), 'Points-Table'!$C$5,
                (Q130 = 'Points-Table'!$A$6), 'Points-Table'!$C$6,
                (Q130 = 'Points-Table'!$A$7), 'Points-Table'!$C$7,
                (Q130 = 'Points-Table'!$A$8), 'Points-Table'!$C$8,
                (Q130 = 'Points-Table'!$A$9), 'Points-Table'!$C$9,
                (Q130 = 'Points-Table'!$A$10), 'Points-Table'!$C$10,
                (Q130 = 'Points-Table'!$A$11), 'Points-Table'!$C$11,
                (Q130 = 'Points-Table'!$A$12), 'Points-Table'!$C$12,
                (Q130 = 'Points-Table'!$A$13), 'Points-Table'!$C$13,
                true, 0
              )
            </f>
      </c>
      <c r="S130" s="13"/>
      <c r="T130" s="13">
        <f>
              Ifs(
                (S130 = 'Points-Table'!$A$4), 'Points-Table'!$C$4,
                (S130 = 'Points-Table'!$A$5), 'Points-Table'!$C$5,
                (S130 = 'Points-Table'!$A$6), 'Points-Table'!$C$6,
                (S130 = 'Points-Table'!$A$7), 'Points-Table'!$C$7,
                (S130 = 'Points-Table'!$A$8), 'Points-Table'!$C$8,
                (S130 = 'Points-Table'!$A$9), 'Points-Table'!$C$9,
                (S130 = 'Points-Table'!$A$10), 'Points-Table'!$C$10,
                (S130 = 'Points-Table'!$A$11), 'Points-Table'!$C$11,
                (S130 = 'Points-Table'!$A$12), 'Points-Table'!$C$12,
                (S130 = 'Points-Table'!$A$13), 'Points-Table'!$C$13,
                true, 0
              )
            </f>
      </c>
      <c r="U130" s="13">
        <v>2</v>
      </c>
      <c r="V130" s="13">
        <f>
              Ifs(
                (U130 = 'Points-Table'!$A$4), 'Points-Table'!$C$4,
                (U130 = 'Points-Table'!$A$5), 'Points-Table'!$C$5,
                (U130 = 'Points-Table'!$A$6), 'Points-Table'!$C$6,
                (U130 = 'Points-Table'!$A$7), 'Points-Table'!$C$7,
                (U130 = 'Points-Table'!$A$8), 'Points-Table'!$C$8,
                (U130 = 'Points-Table'!$A$9), 'Points-Table'!$C$9,
                (U130 = 'Points-Table'!$A$10), 'Points-Table'!$C$10,
                (U130 = 'Points-Table'!$A$11), 'Points-Table'!$C$11,
                (U130 = 'Points-Table'!$A$12), 'Points-Table'!$C$12,
                (U130 = 'Points-Table'!$A$13), 'Points-Table'!$C$13,
                true, 0
              )
            </f>
      </c>
      <c r="W130" s="13">
        <v>1</v>
      </c>
      <c r="X130" s="13">
        <f>
              Ifs(
                (W130 = 'Points-Table'!$A$4), 'Points-Table'!$C$4,
                (W130 = 'Points-Table'!$A$5), 'Points-Table'!$C$5,
                (W130 = 'Points-Table'!$A$6), 'Points-Table'!$C$6,
                (W130 = 'Points-Table'!$A$7), 'Points-Table'!$C$7,
                (W130 = 'Points-Table'!$A$8), 'Points-Table'!$C$8,
                (W130 = 'Points-Table'!$A$9), 'Points-Table'!$C$9,
                (W130 = 'Points-Table'!$A$10), 'Points-Table'!$C$10,
                (W130 = 'Points-Table'!$A$11), 'Points-Table'!$C$11,
                (W130 = 'Points-Table'!$A$12), 'Points-Table'!$C$12,
                (W130 = 'Points-Table'!$A$13), 'Points-Table'!$C$13,
                true, 0
              )
            </f>
      </c>
      <c r="Y130" s="13">
        <v>1</v>
      </c>
      <c r="Z130" s="13">
        <f>
              Ifs(
                (Y130 = 'Points-Table'!$A$4), 'Points-Table'!$C$4,
                (Y130 = 'Points-Table'!$A$5), 'Points-Table'!$C$5,
                (Y130 = 'Points-Table'!$A$6), 'Points-Table'!$C$6,
                (Y130 = 'Points-Table'!$A$7), 'Points-Table'!$C$7,
                (Y130 = 'Points-Table'!$A$8), 'Points-Table'!$C$8,
                (Y130 = 'Points-Table'!$A$9), 'Points-Table'!$C$9,
                (Y130 = 'Points-Table'!$A$10), 'Points-Table'!$C$10,
                (Y130 = 'Points-Table'!$A$11), 'Points-Table'!$C$11,
                (Y130 = 'Points-Table'!$A$12), 'Points-Table'!$C$12,
                (Y130 = 'Points-Table'!$A$13), 'Points-Table'!$C$13,
                true, 0
              )
            </f>
      </c>
      <c r="AA130" s="13">
        <f>SUM(V130,X130,Z130)</f>
      </c>
      <c r="AB130" s="13">
        <f>
      Ifs( 
        ISBETWEEN(AA130, 0, 'Points-Table'!C$20, TRUE, False), 'Points-Table'!A$20,
        ISBETWEEN(AA130, 'Points-Table'!C$20, 'Points-Table'!C$21, TRUE, False), 'Points-Table'!A$21,
        ISBETWEEN(AA130, 'Points-Table'!C$22, 10000, TRUE, TRUE), 'Points-Table'!A$22,
        true, 
        0)
      </f>
      </c>
      <c r="AC130" s="13" t="s">
        <v>56</v>
      </c>
      <c r="AD130" s="13" t="s">
        <v>56</v>
      </c>
      <c r="AE130" s="13" t="s">
        <v>56</v>
      </c>
    </row>
    <row r="131" spans="1:31" s="13" customFormat="1" x14ac:dyDescent="0.25">
      <c r="A131" s="13" t="s">
        <v>360</v>
      </c>
      <c r="B131" s="13" t="s">
        <v>372</v>
      </c>
      <c r="C131" s="13" t="s">
        <v>376</v>
      </c>
      <c r="D131" s="13"/>
      <c r="E131" s="13"/>
      <c r="F131" s="13"/>
      <c r="G131" s="13"/>
      <c r="H131" s="13"/>
      <c r="I131" s="13"/>
      <c r="J131" s="13"/>
      <c r="K131" s="13" t="s">
        <v>84</v>
      </c>
      <c r="L131" s="13" t="s">
        <v>85</v>
      </c>
      <c r="M131" s="13"/>
      <c r="N131" s="13"/>
      <c r="O131" s="13"/>
      <c r="P131" s="13"/>
      <c r="Q131" s="13"/>
      <c r="R131" s="13">
        <f>
              Ifs(
                (Q131 = 'Points-Table'!$A$4), 'Points-Table'!$C$4,
                (Q131 = 'Points-Table'!$A$5), 'Points-Table'!$C$5,
                (Q131 = 'Points-Table'!$A$6), 'Points-Table'!$C$6,
                (Q131 = 'Points-Table'!$A$7), 'Points-Table'!$C$7,
                (Q131 = 'Points-Table'!$A$8), 'Points-Table'!$C$8,
                (Q131 = 'Points-Table'!$A$9), 'Points-Table'!$C$9,
                (Q131 = 'Points-Table'!$A$10), 'Points-Table'!$C$10,
                (Q131 = 'Points-Table'!$A$11), 'Points-Table'!$C$11,
                (Q131 = 'Points-Table'!$A$12), 'Points-Table'!$C$12,
                (Q131 = 'Points-Table'!$A$13), 'Points-Table'!$C$13,
                true, 0
              )
            </f>
      </c>
      <c r="S131" s="13"/>
      <c r="T131" s="13">
        <f>
              Ifs(
                (S131 = 'Points-Table'!$A$4), 'Points-Table'!$C$4,
                (S131 = 'Points-Table'!$A$5), 'Points-Table'!$C$5,
                (S131 = 'Points-Table'!$A$6), 'Points-Table'!$C$6,
                (S131 = 'Points-Table'!$A$7), 'Points-Table'!$C$7,
                (S131 = 'Points-Table'!$A$8), 'Points-Table'!$C$8,
                (S131 = 'Points-Table'!$A$9), 'Points-Table'!$C$9,
                (S131 = 'Points-Table'!$A$10), 'Points-Table'!$C$10,
                (S131 = 'Points-Table'!$A$11), 'Points-Table'!$C$11,
                (S131 = 'Points-Table'!$A$12), 'Points-Table'!$C$12,
                (S131 = 'Points-Table'!$A$13), 'Points-Table'!$C$13,
                true, 0
              )
            </f>
      </c>
      <c r="U131" s="13">
        <v>3</v>
      </c>
      <c r="V131" s="13">
        <f>
              Ifs(
                (U131 = 'Points-Table'!$A$4), 'Points-Table'!$C$4,
                (U131 = 'Points-Table'!$A$5), 'Points-Table'!$C$5,
                (U131 = 'Points-Table'!$A$6), 'Points-Table'!$C$6,
                (U131 = 'Points-Table'!$A$7), 'Points-Table'!$C$7,
                (U131 = 'Points-Table'!$A$8), 'Points-Table'!$C$8,
                (U131 = 'Points-Table'!$A$9), 'Points-Table'!$C$9,
                (U131 = 'Points-Table'!$A$10), 'Points-Table'!$C$10,
                (U131 = 'Points-Table'!$A$11), 'Points-Table'!$C$11,
                (U131 = 'Points-Table'!$A$12), 'Points-Table'!$C$12,
                (U131 = 'Points-Table'!$A$13), 'Points-Table'!$C$13,
                true, 0
              )
            </f>
      </c>
      <c r="W131" s="13">
        <v>2</v>
      </c>
      <c r="X131" s="13">
        <f>
              Ifs(
                (W131 = 'Points-Table'!$A$4), 'Points-Table'!$C$4,
                (W131 = 'Points-Table'!$A$5), 'Points-Table'!$C$5,
                (W131 = 'Points-Table'!$A$6), 'Points-Table'!$C$6,
                (W131 = 'Points-Table'!$A$7), 'Points-Table'!$C$7,
                (W131 = 'Points-Table'!$A$8), 'Points-Table'!$C$8,
                (W131 = 'Points-Table'!$A$9), 'Points-Table'!$C$9,
                (W131 = 'Points-Table'!$A$10), 'Points-Table'!$C$10,
                (W131 = 'Points-Table'!$A$11), 'Points-Table'!$C$11,
                (W131 = 'Points-Table'!$A$12), 'Points-Table'!$C$12,
                (W131 = 'Points-Table'!$A$13), 'Points-Table'!$C$13,
                true, 0
              )
            </f>
      </c>
      <c r="Y131" s="13">
        <v>2</v>
      </c>
      <c r="Z131" s="13">
        <f>
              Ifs(
                (Y131 = 'Points-Table'!$A$4), 'Points-Table'!$C$4,
                (Y131 = 'Points-Table'!$A$5), 'Points-Table'!$C$5,
                (Y131 = 'Points-Table'!$A$6), 'Points-Table'!$C$6,
                (Y131 = 'Points-Table'!$A$7), 'Points-Table'!$C$7,
                (Y131 = 'Points-Table'!$A$8), 'Points-Table'!$C$8,
                (Y131 = 'Points-Table'!$A$9), 'Points-Table'!$C$9,
                (Y131 = 'Points-Table'!$A$10), 'Points-Table'!$C$10,
                (Y131 = 'Points-Table'!$A$11), 'Points-Table'!$C$11,
                (Y131 = 'Points-Table'!$A$12), 'Points-Table'!$C$12,
                (Y131 = 'Points-Table'!$A$13), 'Points-Table'!$C$13,
                true, 0
              )
            </f>
      </c>
      <c r="AA131" s="13">
        <f>SUM(V131,X131,Z131)</f>
      </c>
      <c r="AB131" s="13">
        <f>
      Ifs( 
        ISBETWEEN(AA131, 0, 'Points-Table'!C$20, TRUE, False), 'Points-Table'!A$20,
        ISBETWEEN(AA131, 'Points-Table'!C$20, 'Points-Table'!C$21, TRUE, False), 'Points-Table'!A$21,
        ISBETWEEN(AA131, 'Points-Table'!C$22, 10000, TRUE, TRUE), 'Points-Table'!A$22,
        true, 
        0)
      </f>
      </c>
      <c r="AC131" s="13" t="s">
        <v>56</v>
      </c>
      <c r="AD131" s="13" t="s">
        <v>56</v>
      </c>
      <c r="AE131" s="13" t="s">
        <v>56</v>
      </c>
    </row>
    <row r="132" spans="1:31" s="13" customFormat="1" x14ac:dyDescent="0.25">
      <c r="A132" s="13" t="s">
        <v>360</v>
      </c>
      <c r="B132" s="13" t="s">
        <v>372</v>
      </c>
      <c r="C132" s="13" t="s">
        <v>377</v>
      </c>
      <c r="D132" s="13"/>
      <c r="E132" s="13"/>
      <c r="F132" s="13"/>
      <c r="G132" s="13"/>
      <c r="H132" s="13"/>
      <c r="I132" s="13"/>
      <c r="J132" s="13"/>
      <c r="K132" s="13" t="s">
        <v>84</v>
      </c>
      <c r="L132" s="13" t="s">
        <v>85</v>
      </c>
      <c r="M132" s="13"/>
      <c r="N132" s="13"/>
      <c r="O132" s="13"/>
      <c r="P132" s="13"/>
      <c r="Q132" s="13"/>
      <c r="R132" s="13">
        <f>
              Ifs(
                (Q132 = 'Points-Table'!$A$4), 'Points-Table'!$C$4,
                (Q132 = 'Points-Table'!$A$5), 'Points-Table'!$C$5,
                (Q132 = 'Points-Table'!$A$6), 'Points-Table'!$C$6,
                (Q132 = 'Points-Table'!$A$7), 'Points-Table'!$C$7,
                (Q132 = 'Points-Table'!$A$8), 'Points-Table'!$C$8,
                (Q132 = 'Points-Table'!$A$9), 'Points-Table'!$C$9,
                (Q132 = 'Points-Table'!$A$10), 'Points-Table'!$C$10,
                (Q132 = 'Points-Table'!$A$11), 'Points-Table'!$C$11,
                (Q132 = 'Points-Table'!$A$12), 'Points-Table'!$C$12,
                (Q132 = 'Points-Table'!$A$13), 'Points-Table'!$C$13,
                true, 0
              )
            </f>
      </c>
      <c r="S132" s="13"/>
      <c r="T132" s="13">
        <f>
              Ifs(
                (S132 = 'Points-Table'!$A$4), 'Points-Table'!$C$4,
                (S132 = 'Points-Table'!$A$5), 'Points-Table'!$C$5,
                (S132 = 'Points-Table'!$A$6), 'Points-Table'!$C$6,
                (S132 = 'Points-Table'!$A$7), 'Points-Table'!$C$7,
                (S132 = 'Points-Table'!$A$8), 'Points-Table'!$C$8,
                (S132 = 'Points-Table'!$A$9), 'Points-Table'!$C$9,
                (S132 = 'Points-Table'!$A$10), 'Points-Table'!$C$10,
                (S132 = 'Points-Table'!$A$11), 'Points-Table'!$C$11,
                (S132 = 'Points-Table'!$A$12), 'Points-Table'!$C$12,
                (S132 = 'Points-Table'!$A$13), 'Points-Table'!$C$13,
                true, 0
              )
            </f>
      </c>
      <c r="U132" s="13">
        <v>5</v>
      </c>
      <c r="V132" s="13">
        <f>
              Ifs(
                (U132 = 'Points-Table'!$A$4), 'Points-Table'!$C$4,
                (U132 = 'Points-Table'!$A$5), 'Points-Table'!$C$5,
                (U132 = 'Points-Table'!$A$6), 'Points-Table'!$C$6,
                (U132 = 'Points-Table'!$A$7), 'Points-Table'!$C$7,
                (U132 = 'Points-Table'!$A$8), 'Points-Table'!$C$8,
                (U132 = 'Points-Table'!$A$9), 'Points-Table'!$C$9,
                (U132 = 'Points-Table'!$A$10), 'Points-Table'!$C$10,
                (U132 = 'Points-Table'!$A$11), 'Points-Table'!$C$11,
                (U132 = 'Points-Table'!$A$12), 'Points-Table'!$C$12,
                (U132 = 'Points-Table'!$A$13), 'Points-Table'!$C$13,
                true, 0
              )
            </f>
      </c>
      <c r="W132" s="13">
        <v>3</v>
      </c>
      <c r="X132" s="13">
        <f>
              Ifs(
                (W132 = 'Points-Table'!$A$4), 'Points-Table'!$C$4,
                (W132 = 'Points-Table'!$A$5), 'Points-Table'!$C$5,
                (W132 = 'Points-Table'!$A$6), 'Points-Table'!$C$6,
                (W132 = 'Points-Table'!$A$7), 'Points-Table'!$C$7,
                (W132 = 'Points-Table'!$A$8), 'Points-Table'!$C$8,
                (W132 = 'Points-Table'!$A$9), 'Points-Table'!$C$9,
                (W132 = 'Points-Table'!$A$10), 'Points-Table'!$C$10,
                (W132 = 'Points-Table'!$A$11), 'Points-Table'!$C$11,
                (W132 = 'Points-Table'!$A$12), 'Points-Table'!$C$12,
                (W132 = 'Points-Table'!$A$13), 'Points-Table'!$C$13,
                true, 0
              )
            </f>
      </c>
      <c r="Y132" s="13">
        <v>3</v>
      </c>
      <c r="Z132" s="13">
        <f>
              Ifs(
                (Y132 = 'Points-Table'!$A$4), 'Points-Table'!$C$4,
                (Y132 = 'Points-Table'!$A$5), 'Points-Table'!$C$5,
                (Y132 = 'Points-Table'!$A$6), 'Points-Table'!$C$6,
                (Y132 = 'Points-Table'!$A$7), 'Points-Table'!$C$7,
                (Y132 = 'Points-Table'!$A$8), 'Points-Table'!$C$8,
                (Y132 = 'Points-Table'!$A$9), 'Points-Table'!$C$9,
                (Y132 = 'Points-Table'!$A$10), 'Points-Table'!$C$10,
                (Y132 = 'Points-Table'!$A$11), 'Points-Table'!$C$11,
                (Y132 = 'Points-Table'!$A$12), 'Points-Table'!$C$12,
                (Y132 = 'Points-Table'!$A$13), 'Points-Table'!$C$13,
                true, 0
              )
            </f>
      </c>
      <c r="AA132" s="13">
        <f>SUM(V132,X132,Z132)</f>
      </c>
      <c r="AB132" s="13">
        <f>
      Ifs( 
        ISBETWEEN(AA132, 0, 'Points-Table'!C$20, TRUE, False), 'Points-Table'!A$20,
        ISBETWEEN(AA132, 'Points-Table'!C$20, 'Points-Table'!C$21, TRUE, False), 'Points-Table'!A$21,
        ISBETWEEN(AA132, 'Points-Table'!C$22, 10000, TRUE, TRUE), 'Points-Table'!A$22,
        true, 
        0)
      </f>
      </c>
      <c r="AC132" s="13" t="s">
        <v>56</v>
      </c>
      <c r="AD132" s="13" t="s">
        <v>56</v>
      </c>
      <c r="AE132" s="13" t="s">
        <v>56</v>
      </c>
    </row>
    <row r="133" spans="1:31" s="6" customFormat="1" x14ac:dyDescent="0.25">
      <c r="A133" s="6" t="s">
        <v>360</v>
      </c>
      <c r="B133" s="6" t="s">
        <v>378</v>
      </c>
      <c r="D133" s="6" t="s">
        <v>379</v>
      </c>
      <c r="E133" s="6"/>
      <c r="F133" s="6"/>
      <c r="G133" s="6"/>
      <c r="H133" s="6"/>
      <c r="I133" s="6"/>
      <c r="J133" s="6"/>
      <c r="K133" s="6" t="s">
        <v>84</v>
      </c>
      <c r="L133" s="6" t="s">
        <v>85</v>
      </c>
      <c r="M133" s="6"/>
      <c r="N133" s="6"/>
      <c r="O133" s="6"/>
      <c r="P133" s="6"/>
      <c r="Q133" s="11">
        <v>0</v>
      </c>
      <c r="R133" s="12">
        <f>
              Ifs(
                (Q133 = 'Points-Table'!$A$4), 'Points-Table'!$C$4,
                (Q133 = 'Points-Table'!$A$5), 'Points-Table'!$C$5,
                (Q133 = 'Points-Table'!$A$6), 'Points-Table'!$C$6,
                (Q133 = 'Points-Table'!$A$7), 'Points-Table'!$C$7,
                (Q133 = 'Points-Table'!$A$8), 'Points-Table'!$C$8,
                (Q133 = 'Points-Table'!$A$9), 'Points-Table'!$C$9,
                (Q133 = 'Points-Table'!$A$10), 'Points-Table'!$C$10,
                (Q133 = 'Points-Table'!$A$11), 'Points-Table'!$C$11,
                (Q133 = 'Points-Table'!$A$12), 'Points-Table'!$C$12,
                (Q133 = 'Points-Table'!$A$13), 'Points-Table'!$C$13,
                true, 0
              )
            </f>
      </c>
      <c r="S133" s="11">
        <v>0</v>
      </c>
      <c r="T133" s="12">
        <f>
              Ifs(
                (S133 = 'Points-Table'!$A$4), 'Points-Table'!$C$4,
                (S133 = 'Points-Table'!$A$5), 'Points-Table'!$C$5,
                (S133 = 'Points-Table'!$A$6), 'Points-Table'!$C$6,
                (S133 = 'Points-Table'!$A$7), 'Points-Table'!$C$7,
                (S133 = 'Points-Table'!$A$8), 'Points-Table'!$C$8,
                (S133 = 'Points-Table'!$A$9), 'Points-Table'!$C$9,
                (S133 = 'Points-Table'!$A$10), 'Points-Table'!$C$10,
                (S133 = 'Points-Table'!$A$11), 'Points-Table'!$C$11,
                (S133 = 'Points-Table'!$A$12), 'Points-Table'!$C$12,
                (S133 = 'Points-Table'!$A$13), 'Points-Table'!$C$13,
                true, 0
              )
            </f>
      </c>
      <c r="U133" s="11">
        <v>3</v>
      </c>
      <c r="V133" s="12">
        <f>
              Ifs(
                (U133 = 'Points-Table'!$A$4), 'Points-Table'!$C$4,
                (U133 = 'Points-Table'!$A$5), 'Points-Table'!$C$5,
                (U133 = 'Points-Table'!$A$6), 'Points-Table'!$C$6,
                (U133 = 'Points-Table'!$A$7), 'Points-Table'!$C$7,
                (U133 = 'Points-Table'!$A$8), 'Points-Table'!$C$8,
                (U133 = 'Points-Table'!$A$9), 'Points-Table'!$C$9,
                (U133 = 'Points-Table'!$A$10), 'Points-Table'!$C$10,
                (U133 = 'Points-Table'!$A$11), 'Points-Table'!$C$11,
                (U133 = 'Points-Table'!$A$12), 'Points-Table'!$C$12,
                (U133 = 'Points-Table'!$A$13), 'Points-Table'!$C$13,
                true, 0
              )
            </f>
      </c>
      <c r="W133" s="11">
        <v>3</v>
      </c>
      <c r="X133" s="12">
        <f>
              Ifs(
                (W133 = 'Points-Table'!$A$4), 'Points-Table'!$C$4,
                (W133 = 'Points-Table'!$A$5), 'Points-Table'!$C$5,
                (W133 = 'Points-Table'!$A$6), 'Points-Table'!$C$6,
                (W133 = 'Points-Table'!$A$7), 'Points-Table'!$C$7,
                (W133 = 'Points-Table'!$A$8), 'Points-Table'!$C$8,
                (W133 = 'Points-Table'!$A$9), 'Points-Table'!$C$9,
                (W133 = 'Points-Table'!$A$10), 'Points-Table'!$C$10,
                (W133 = 'Points-Table'!$A$11), 'Points-Table'!$C$11,
                (W133 = 'Points-Table'!$A$12), 'Points-Table'!$C$12,
                (W133 = 'Points-Table'!$A$13), 'Points-Table'!$C$13,
                true, 0
              )
            </f>
      </c>
      <c r="Y133" s="11">
        <v>5</v>
      </c>
      <c r="Z133" s="12">
        <f>
              Ifs(
                (Y133 = 'Points-Table'!$A$4), 'Points-Table'!$C$4,
                (Y133 = 'Points-Table'!$A$5), 'Points-Table'!$C$5,
                (Y133 = 'Points-Table'!$A$6), 'Points-Table'!$C$6,
                (Y133 = 'Points-Table'!$A$7), 'Points-Table'!$C$7,
                (Y133 = 'Points-Table'!$A$8), 'Points-Table'!$C$8,
                (Y133 = 'Points-Table'!$A$9), 'Points-Table'!$C$9,
                (Y133 = 'Points-Table'!$A$10), 'Points-Table'!$C$10,
                (Y133 = 'Points-Table'!$A$11), 'Points-Table'!$C$11,
                (Y133 = 'Points-Table'!$A$12), 'Points-Table'!$C$12,
                (Y133 = 'Points-Table'!$A$13), 'Points-Table'!$C$13,
                true, 0
              )
            </f>
      </c>
      <c r="AA133" s="6">
        <f>SUM(V133,X133,Z133)</f>
      </c>
      <c r="AB133" s="6">
        <f>
      Ifs( 
        ISBETWEEN(AA133, 0, 'Points-Table'!C$20, TRUE, False), 'Points-Table'!A$20,
        ISBETWEEN(AA133, 'Points-Table'!C$20, 'Points-Table'!C$21, TRUE, False), 'Points-Table'!A$21,
        ISBETWEEN(AA133, 'Points-Table'!C$22, 10000, TRUE, TRUE), 'Points-Table'!A$22,
        true, 
        0)
      </f>
      </c>
      <c r="AC133" s="6" t="s">
        <v>56</v>
      </c>
      <c r="AD133" s="6" t="s">
        <v>56</v>
      </c>
      <c r="AE133" s="6" t="s">
        <v>56</v>
      </c>
    </row>
    <row r="134" spans="1:31" s="6" customFormat="1" x14ac:dyDescent="0.25">
      <c r="A134" s="6" t="s">
        <v>360</v>
      </c>
      <c r="B134" s="6" t="s">
        <v>380</v>
      </c>
      <c r="D134" s="6"/>
      <c r="E134" s="6"/>
      <c r="F134" s="6"/>
      <c r="G134" s="6"/>
      <c r="H134" s="6"/>
      <c r="I134" s="6"/>
      <c r="J134" s="6"/>
      <c r="K134" s="6" t="s">
        <v>84</v>
      </c>
      <c r="L134" s="6" t="s">
        <v>85</v>
      </c>
      <c r="M134" s="6"/>
      <c r="N134" s="6"/>
      <c r="O134" s="6"/>
      <c r="P134" s="6"/>
      <c r="Q134" s="11">
        <v>0</v>
      </c>
      <c r="R134" s="12">
        <f>
              Ifs(
                (Q134 = 'Points-Table'!$A$4), 'Points-Table'!$C$4,
                (Q134 = 'Points-Table'!$A$5), 'Points-Table'!$C$5,
                (Q134 = 'Points-Table'!$A$6), 'Points-Table'!$C$6,
                (Q134 = 'Points-Table'!$A$7), 'Points-Table'!$C$7,
                (Q134 = 'Points-Table'!$A$8), 'Points-Table'!$C$8,
                (Q134 = 'Points-Table'!$A$9), 'Points-Table'!$C$9,
                (Q134 = 'Points-Table'!$A$10), 'Points-Table'!$C$10,
                (Q134 = 'Points-Table'!$A$11), 'Points-Table'!$C$11,
                (Q134 = 'Points-Table'!$A$12), 'Points-Table'!$C$12,
                (Q134 = 'Points-Table'!$A$13), 'Points-Table'!$C$13,
                true, 0
              )
            </f>
      </c>
      <c r="S134" s="11">
        <v>0</v>
      </c>
      <c r="T134" s="12">
        <f>
              Ifs(
                (S134 = 'Points-Table'!$A$4), 'Points-Table'!$C$4,
                (S134 = 'Points-Table'!$A$5), 'Points-Table'!$C$5,
                (S134 = 'Points-Table'!$A$6), 'Points-Table'!$C$6,
                (S134 = 'Points-Table'!$A$7), 'Points-Table'!$C$7,
                (S134 = 'Points-Table'!$A$8), 'Points-Table'!$C$8,
                (S134 = 'Points-Table'!$A$9), 'Points-Table'!$C$9,
                (S134 = 'Points-Table'!$A$10), 'Points-Table'!$C$10,
                (S134 = 'Points-Table'!$A$11), 'Points-Table'!$C$11,
                (S134 = 'Points-Table'!$A$12), 'Points-Table'!$C$12,
                (S134 = 'Points-Table'!$A$13), 'Points-Table'!$C$13,
                true, 0
              )
            </f>
      </c>
      <c r="U134" s="11">
        <v>1</v>
      </c>
      <c r="V134" s="12">
        <f>
              Ifs(
                (U134 = 'Points-Table'!$A$4), 'Points-Table'!$C$4,
                (U134 = 'Points-Table'!$A$5), 'Points-Table'!$C$5,
                (U134 = 'Points-Table'!$A$6), 'Points-Table'!$C$6,
                (U134 = 'Points-Table'!$A$7), 'Points-Table'!$C$7,
                (U134 = 'Points-Table'!$A$8), 'Points-Table'!$C$8,
                (U134 = 'Points-Table'!$A$9), 'Points-Table'!$C$9,
                (U134 = 'Points-Table'!$A$10), 'Points-Table'!$C$10,
                (U134 = 'Points-Table'!$A$11), 'Points-Table'!$C$11,
                (U134 = 'Points-Table'!$A$12), 'Points-Table'!$C$12,
                (U134 = 'Points-Table'!$A$13), 'Points-Table'!$C$13,
                true, 0
              )
            </f>
      </c>
      <c r="W134" s="11">
        <v>1</v>
      </c>
      <c r="X134" s="12">
        <f>
              Ifs(
                (W134 = 'Points-Table'!$A$4), 'Points-Table'!$C$4,
                (W134 = 'Points-Table'!$A$5), 'Points-Table'!$C$5,
                (W134 = 'Points-Table'!$A$6), 'Points-Table'!$C$6,
                (W134 = 'Points-Table'!$A$7), 'Points-Table'!$C$7,
                (W134 = 'Points-Table'!$A$8), 'Points-Table'!$C$8,
                (W134 = 'Points-Table'!$A$9), 'Points-Table'!$C$9,
                (W134 = 'Points-Table'!$A$10), 'Points-Table'!$C$10,
                (W134 = 'Points-Table'!$A$11), 'Points-Table'!$C$11,
                (W134 = 'Points-Table'!$A$12), 'Points-Table'!$C$12,
                (W134 = 'Points-Table'!$A$13), 'Points-Table'!$C$13,
                true, 0
              )
            </f>
      </c>
      <c r="Y134" s="11">
        <v>2</v>
      </c>
      <c r="Z134" s="12">
        <f>
              Ifs(
                (Y134 = 'Points-Table'!$A$4), 'Points-Table'!$C$4,
                (Y134 = 'Points-Table'!$A$5), 'Points-Table'!$C$5,
                (Y134 = 'Points-Table'!$A$6), 'Points-Table'!$C$6,
                (Y134 = 'Points-Table'!$A$7), 'Points-Table'!$C$7,
                (Y134 = 'Points-Table'!$A$8), 'Points-Table'!$C$8,
                (Y134 = 'Points-Table'!$A$9), 'Points-Table'!$C$9,
                (Y134 = 'Points-Table'!$A$10), 'Points-Table'!$C$10,
                (Y134 = 'Points-Table'!$A$11), 'Points-Table'!$C$11,
                (Y134 = 'Points-Table'!$A$12), 'Points-Table'!$C$12,
                (Y134 = 'Points-Table'!$A$13), 'Points-Table'!$C$13,
                true, 0
              )
            </f>
      </c>
      <c r="AA134" s="6">
        <f>SUM(V134,X134,Z134)</f>
      </c>
      <c r="AB134" s="6">
        <f>
      Ifs( 
        ISBETWEEN(AA134, 0, 'Points-Table'!C$20, TRUE, False), 'Points-Table'!A$20,
        ISBETWEEN(AA134, 'Points-Table'!C$20, 'Points-Table'!C$21, TRUE, False), 'Points-Table'!A$21,
        ISBETWEEN(AA134, 'Points-Table'!C$22, 10000, TRUE, TRUE), 'Points-Table'!A$22,
        true, 
        0)
      </f>
      </c>
      <c r="AC134" s="6" t="s">
        <v>56</v>
      </c>
      <c r="AD134" s="6" t="s">
        <v>56</v>
      </c>
      <c r="AE134" s="6" t="s">
        <v>56</v>
      </c>
    </row>
    <row r="135" spans="1:31" s="6" customFormat="1" x14ac:dyDescent="0.25">
      <c r="A135" s="6" t="s">
        <v>360</v>
      </c>
      <c r="B135" s="6" t="s">
        <v>381</v>
      </c>
      <c r="D135" s="6"/>
      <c r="E135" s="6"/>
      <c r="F135" s="6"/>
      <c r="G135" s="6"/>
      <c r="H135" s="6"/>
      <c r="I135" s="6"/>
      <c r="J135" s="6"/>
      <c r="K135" s="6" t="s">
        <v>84</v>
      </c>
      <c r="L135" s="6" t="s">
        <v>85</v>
      </c>
      <c r="M135" s="6"/>
      <c r="N135" s="6"/>
      <c r="O135" s="6"/>
      <c r="P135" s="6"/>
      <c r="Q135" s="11"/>
      <c r="R135" s="12">
        <f>
              Ifs(
                (Q135 = 'Points-Table'!$A$4), 'Points-Table'!$C$4,
                (Q135 = 'Points-Table'!$A$5), 'Points-Table'!$C$5,
                (Q135 = 'Points-Table'!$A$6), 'Points-Table'!$C$6,
                (Q135 = 'Points-Table'!$A$7), 'Points-Table'!$C$7,
                (Q135 = 'Points-Table'!$A$8), 'Points-Table'!$C$8,
                (Q135 = 'Points-Table'!$A$9), 'Points-Table'!$C$9,
                (Q135 = 'Points-Table'!$A$10), 'Points-Table'!$C$10,
                (Q135 = 'Points-Table'!$A$11), 'Points-Table'!$C$11,
                (Q135 = 'Points-Table'!$A$12), 'Points-Table'!$C$12,
                (Q135 = 'Points-Table'!$A$13), 'Points-Table'!$C$13,
                true, 0
              )
            </f>
      </c>
      <c r="S135" s="11"/>
      <c r="T135" s="12">
        <f>
              Ifs(
                (S135 = 'Points-Table'!$A$4), 'Points-Table'!$C$4,
                (S135 = 'Points-Table'!$A$5), 'Points-Table'!$C$5,
                (S135 = 'Points-Table'!$A$6), 'Points-Table'!$C$6,
                (S135 = 'Points-Table'!$A$7), 'Points-Table'!$C$7,
                (S135 = 'Points-Table'!$A$8), 'Points-Table'!$C$8,
                (S135 = 'Points-Table'!$A$9), 'Points-Table'!$C$9,
                (S135 = 'Points-Table'!$A$10), 'Points-Table'!$C$10,
                (S135 = 'Points-Table'!$A$11), 'Points-Table'!$C$11,
                (S135 = 'Points-Table'!$A$12), 'Points-Table'!$C$12,
                (S135 = 'Points-Table'!$A$13), 'Points-Table'!$C$13,
                true, 0
              )
            </f>
      </c>
      <c r="U135" s="11">
        <v>1</v>
      </c>
      <c r="V135" s="12">
        <f>
              Ifs(
                (U135 = 'Points-Table'!$A$4), 'Points-Table'!$C$4,
                (U135 = 'Points-Table'!$A$5), 'Points-Table'!$C$5,
                (U135 = 'Points-Table'!$A$6), 'Points-Table'!$C$6,
                (U135 = 'Points-Table'!$A$7), 'Points-Table'!$C$7,
                (U135 = 'Points-Table'!$A$8), 'Points-Table'!$C$8,
                (U135 = 'Points-Table'!$A$9), 'Points-Table'!$C$9,
                (U135 = 'Points-Table'!$A$10), 'Points-Table'!$C$10,
                (U135 = 'Points-Table'!$A$11), 'Points-Table'!$C$11,
                (U135 = 'Points-Table'!$A$12), 'Points-Table'!$C$12,
                (U135 = 'Points-Table'!$A$13), 'Points-Table'!$C$13,
                true, 0
              )
            </f>
      </c>
      <c r="W135" s="11">
        <v>0</v>
      </c>
      <c r="X135" s="12">
        <f>
              Ifs(
                (W135 = 'Points-Table'!$A$4), 'Points-Table'!$C$4,
                (W135 = 'Points-Table'!$A$5), 'Points-Table'!$C$5,
                (W135 = 'Points-Table'!$A$6), 'Points-Table'!$C$6,
                (W135 = 'Points-Table'!$A$7), 'Points-Table'!$C$7,
                (W135 = 'Points-Table'!$A$8), 'Points-Table'!$C$8,
                (W135 = 'Points-Table'!$A$9), 'Points-Table'!$C$9,
                (W135 = 'Points-Table'!$A$10), 'Points-Table'!$C$10,
                (W135 = 'Points-Table'!$A$11), 'Points-Table'!$C$11,
                (W135 = 'Points-Table'!$A$12), 'Points-Table'!$C$12,
                (W135 = 'Points-Table'!$A$13), 'Points-Table'!$C$13,
                true, 0
              )
            </f>
      </c>
      <c r="Y135" s="11">
        <v>3</v>
      </c>
      <c r="Z135" s="12">
        <f>
              Ifs(
                (Y135 = 'Points-Table'!$A$4), 'Points-Table'!$C$4,
                (Y135 = 'Points-Table'!$A$5), 'Points-Table'!$C$5,
                (Y135 = 'Points-Table'!$A$6), 'Points-Table'!$C$6,
                (Y135 = 'Points-Table'!$A$7), 'Points-Table'!$C$7,
                (Y135 = 'Points-Table'!$A$8), 'Points-Table'!$C$8,
                (Y135 = 'Points-Table'!$A$9), 'Points-Table'!$C$9,
                (Y135 = 'Points-Table'!$A$10), 'Points-Table'!$C$10,
                (Y135 = 'Points-Table'!$A$11), 'Points-Table'!$C$11,
                (Y135 = 'Points-Table'!$A$12), 'Points-Table'!$C$12,
                (Y135 = 'Points-Table'!$A$13), 'Points-Table'!$C$13,
                true, 0
              )
            </f>
      </c>
      <c r="AA135" s="6">
        <f>SUM(V135,X135,Z135)</f>
      </c>
      <c r="AB135" s="6">
        <f>
      Ifs( 
        ISBETWEEN(AA135, 0, 'Points-Table'!C$20, TRUE, False), 'Points-Table'!A$20,
        ISBETWEEN(AA135, 'Points-Table'!C$20, 'Points-Table'!C$21, TRUE, False), 'Points-Table'!A$21,
        ISBETWEEN(AA135, 'Points-Table'!C$22, 10000, TRUE, TRUE), 'Points-Table'!A$22,
        true, 
        0)
      </f>
      </c>
      <c r="AC135" s="6" t="s">
        <v>56</v>
      </c>
      <c r="AD135" s="6" t="s">
        <v>56</v>
      </c>
      <c r="AE135" s="6" t="s">
        <v>56</v>
      </c>
    </row>
    <row r="136" spans="1:31" s="6" customFormat="1" x14ac:dyDescent="0.25">
      <c r="A136" s="6" t="s">
        <v>360</v>
      </c>
      <c r="B136" s="6" t="s">
        <v>382</v>
      </c>
      <c r="D136" s="6" t="s">
        <v>383</v>
      </c>
      <c r="E136" s="6"/>
      <c r="F136" s="6" t="s">
        <v>384</v>
      </c>
      <c r="G136" s="6"/>
      <c r="H136" s="6"/>
      <c r="I136" s="6"/>
      <c r="J136" s="6"/>
      <c r="K136" s="6" t="s">
        <v>84</v>
      </c>
      <c r="L136" s="6" t="s">
        <v>85</v>
      </c>
      <c r="M136" s="6"/>
      <c r="N136" s="6"/>
      <c r="O136" s="6"/>
      <c r="P136" s="6"/>
      <c r="Q136" s="11"/>
      <c r="R136" s="12">
        <f>
              Ifs(
                (Q136 = 'Points-Table'!$A$4), 'Points-Table'!$C$4,
                (Q136 = 'Points-Table'!$A$5), 'Points-Table'!$C$5,
                (Q136 = 'Points-Table'!$A$6), 'Points-Table'!$C$6,
                (Q136 = 'Points-Table'!$A$7), 'Points-Table'!$C$7,
                (Q136 = 'Points-Table'!$A$8), 'Points-Table'!$C$8,
                (Q136 = 'Points-Table'!$A$9), 'Points-Table'!$C$9,
                (Q136 = 'Points-Table'!$A$10), 'Points-Table'!$C$10,
                (Q136 = 'Points-Table'!$A$11), 'Points-Table'!$C$11,
                (Q136 = 'Points-Table'!$A$12), 'Points-Table'!$C$12,
                (Q136 = 'Points-Table'!$A$13), 'Points-Table'!$C$13,
                true, 0
              )
            </f>
      </c>
      <c r="S136" s="11"/>
      <c r="T136" s="12">
        <f>
              Ifs(
                (S136 = 'Points-Table'!$A$4), 'Points-Table'!$C$4,
                (S136 = 'Points-Table'!$A$5), 'Points-Table'!$C$5,
                (S136 = 'Points-Table'!$A$6), 'Points-Table'!$C$6,
                (S136 = 'Points-Table'!$A$7), 'Points-Table'!$C$7,
                (S136 = 'Points-Table'!$A$8), 'Points-Table'!$C$8,
                (S136 = 'Points-Table'!$A$9), 'Points-Table'!$C$9,
                (S136 = 'Points-Table'!$A$10), 'Points-Table'!$C$10,
                (S136 = 'Points-Table'!$A$11), 'Points-Table'!$C$11,
                (S136 = 'Points-Table'!$A$12), 'Points-Table'!$C$12,
                (S136 = 'Points-Table'!$A$13), 'Points-Table'!$C$13,
                true, 0
              )
            </f>
      </c>
      <c r="U136" s="11">
        <v>5</v>
      </c>
      <c r="V136" s="12">
        <f>
              Ifs(
                (U136 = 'Points-Table'!$A$4), 'Points-Table'!$C$4,
                (U136 = 'Points-Table'!$A$5), 'Points-Table'!$C$5,
                (U136 = 'Points-Table'!$A$6), 'Points-Table'!$C$6,
                (U136 = 'Points-Table'!$A$7), 'Points-Table'!$C$7,
                (U136 = 'Points-Table'!$A$8), 'Points-Table'!$C$8,
                (U136 = 'Points-Table'!$A$9), 'Points-Table'!$C$9,
                (U136 = 'Points-Table'!$A$10), 'Points-Table'!$C$10,
                (U136 = 'Points-Table'!$A$11), 'Points-Table'!$C$11,
                (U136 = 'Points-Table'!$A$12), 'Points-Table'!$C$12,
                (U136 = 'Points-Table'!$A$13), 'Points-Table'!$C$13,
                true, 0
              )
            </f>
      </c>
      <c r="W136" s="11">
        <v>1</v>
      </c>
      <c r="X136" s="12">
        <f>
              Ifs(
                (W136 = 'Points-Table'!$A$4), 'Points-Table'!$C$4,
                (W136 = 'Points-Table'!$A$5), 'Points-Table'!$C$5,
                (W136 = 'Points-Table'!$A$6), 'Points-Table'!$C$6,
                (W136 = 'Points-Table'!$A$7), 'Points-Table'!$C$7,
                (W136 = 'Points-Table'!$A$8), 'Points-Table'!$C$8,
                (W136 = 'Points-Table'!$A$9), 'Points-Table'!$C$9,
                (W136 = 'Points-Table'!$A$10), 'Points-Table'!$C$10,
                (W136 = 'Points-Table'!$A$11), 'Points-Table'!$C$11,
                (W136 = 'Points-Table'!$A$12), 'Points-Table'!$C$12,
                (W136 = 'Points-Table'!$A$13), 'Points-Table'!$C$13,
                true, 0
              )
            </f>
      </c>
      <c r="Y136" s="11">
        <v>3</v>
      </c>
      <c r="Z136" s="12">
        <f>
              Ifs(
                (Y136 = 'Points-Table'!$A$4), 'Points-Table'!$C$4,
                (Y136 = 'Points-Table'!$A$5), 'Points-Table'!$C$5,
                (Y136 = 'Points-Table'!$A$6), 'Points-Table'!$C$6,
                (Y136 = 'Points-Table'!$A$7), 'Points-Table'!$C$7,
                (Y136 = 'Points-Table'!$A$8), 'Points-Table'!$C$8,
                (Y136 = 'Points-Table'!$A$9), 'Points-Table'!$C$9,
                (Y136 = 'Points-Table'!$A$10), 'Points-Table'!$C$10,
                (Y136 = 'Points-Table'!$A$11), 'Points-Table'!$C$11,
                (Y136 = 'Points-Table'!$A$12), 'Points-Table'!$C$12,
                (Y136 = 'Points-Table'!$A$13), 'Points-Table'!$C$13,
                true, 0
              )
            </f>
      </c>
      <c r="AA136" s="6">
        <f>SUM(V136,X136,Z136)</f>
      </c>
      <c r="AB136" s="6">
        <f>
      Ifs( 
        ISBETWEEN(AA136, 0, 'Points-Table'!C$20, TRUE, False), 'Points-Table'!A$20,
        ISBETWEEN(AA136, 'Points-Table'!C$20, 'Points-Table'!C$21, TRUE, False), 'Points-Table'!A$21,
        ISBETWEEN(AA136, 'Points-Table'!C$22, 10000, TRUE, TRUE), 'Points-Table'!A$22,
        true, 
        0)
      </f>
      </c>
      <c r="AC136" s="6" t="s">
        <v>56</v>
      </c>
      <c r="AD136" s="6" t="s">
        <v>56</v>
      </c>
      <c r="AE136" s="6" t="s">
        <v>56</v>
      </c>
    </row>
    <row r="137" spans="1:31" s="13" customFormat="1" x14ac:dyDescent="0.25">
      <c r="A137" s="13" t="s">
        <v>360</v>
      </c>
      <c r="B137" s="13" t="s">
        <v>385</v>
      </c>
      <c r="D137" s="13"/>
      <c r="E137" s="13"/>
      <c r="F137" s="13" t="s">
        <v>386</v>
      </c>
      <c r="G137" s="13"/>
      <c r="H137" s="13"/>
      <c r="I137" s="13"/>
      <c r="J137" s="13"/>
      <c r="K137" s="13" t="s">
        <v>84</v>
      </c>
      <c r="L137" s="13" t="s">
        <v>85</v>
      </c>
      <c r="M137" s="13"/>
      <c r="N137" s="13"/>
      <c r="O137" s="13"/>
      <c r="P137" s="13"/>
      <c r="Q137" s="13">
        <v>0</v>
      </c>
      <c r="R137" s="13">
        <f>
              Ifs(
                (Q137 = 'Points-Table'!$A$4), 'Points-Table'!$C$4,
                (Q137 = 'Points-Table'!$A$5), 'Points-Table'!$C$5,
                (Q137 = 'Points-Table'!$A$6), 'Points-Table'!$C$6,
                (Q137 = 'Points-Table'!$A$7), 'Points-Table'!$C$7,
                (Q137 = 'Points-Table'!$A$8), 'Points-Table'!$C$8,
                (Q137 = 'Points-Table'!$A$9), 'Points-Table'!$C$9,
                (Q137 = 'Points-Table'!$A$10), 'Points-Table'!$C$10,
                (Q137 = 'Points-Table'!$A$11), 'Points-Table'!$C$11,
                (Q137 = 'Points-Table'!$A$12), 'Points-Table'!$C$12,
                (Q137 = 'Points-Table'!$A$13), 'Points-Table'!$C$13,
                true, 0
              )
            </f>
      </c>
      <c r="S137" s="13">
        <v>0</v>
      </c>
      <c r="T137" s="13">
        <f>
              Ifs(
                (S137 = 'Points-Table'!$A$4), 'Points-Table'!$C$4,
                (S137 = 'Points-Table'!$A$5), 'Points-Table'!$C$5,
                (S137 = 'Points-Table'!$A$6), 'Points-Table'!$C$6,
                (S137 = 'Points-Table'!$A$7), 'Points-Table'!$C$7,
                (S137 = 'Points-Table'!$A$8), 'Points-Table'!$C$8,
                (S137 = 'Points-Table'!$A$9), 'Points-Table'!$C$9,
                (S137 = 'Points-Table'!$A$10), 'Points-Table'!$C$10,
                (S137 = 'Points-Table'!$A$11), 'Points-Table'!$C$11,
                (S137 = 'Points-Table'!$A$12), 'Points-Table'!$C$12,
                (S137 = 'Points-Table'!$A$13), 'Points-Table'!$C$13,
                true, 0
              )
            </f>
      </c>
      <c r="U137" s="13">
        <v>5</v>
      </c>
      <c r="V137" s="13">
        <f>
              Ifs(
                (U137 = 'Points-Table'!$A$4), 'Points-Table'!$C$4,
                (U137 = 'Points-Table'!$A$5), 'Points-Table'!$C$5,
                (U137 = 'Points-Table'!$A$6), 'Points-Table'!$C$6,
                (U137 = 'Points-Table'!$A$7), 'Points-Table'!$C$7,
                (U137 = 'Points-Table'!$A$8), 'Points-Table'!$C$8,
                (U137 = 'Points-Table'!$A$9), 'Points-Table'!$C$9,
                (U137 = 'Points-Table'!$A$10), 'Points-Table'!$C$10,
                (U137 = 'Points-Table'!$A$11), 'Points-Table'!$C$11,
                (U137 = 'Points-Table'!$A$12), 'Points-Table'!$C$12,
                (U137 = 'Points-Table'!$A$13), 'Points-Table'!$C$13,
                true, 0
              )
            </f>
      </c>
      <c r="W137" s="13">
        <v>3</v>
      </c>
      <c r="X137" s="13">
        <f>
              Ifs(
                (W137 = 'Points-Table'!$A$4), 'Points-Table'!$C$4,
                (W137 = 'Points-Table'!$A$5), 'Points-Table'!$C$5,
                (W137 = 'Points-Table'!$A$6), 'Points-Table'!$C$6,
                (W137 = 'Points-Table'!$A$7), 'Points-Table'!$C$7,
                (W137 = 'Points-Table'!$A$8), 'Points-Table'!$C$8,
                (W137 = 'Points-Table'!$A$9), 'Points-Table'!$C$9,
                (W137 = 'Points-Table'!$A$10), 'Points-Table'!$C$10,
                (W137 = 'Points-Table'!$A$11), 'Points-Table'!$C$11,
                (W137 = 'Points-Table'!$A$12), 'Points-Table'!$C$12,
                (W137 = 'Points-Table'!$A$13), 'Points-Table'!$C$13,
                true, 0
              )
            </f>
      </c>
      <c r="Y137" s="13">
        <v>5</v>
      </c>
      <c r="Z137" s="13">
        <f>
              Ifs(
                (Y137 = 'Points-Table'!$A$4), 'Points-Table'!$C$4,
                (Y137 = 'Points-Table'!$A$5), 'Points-Table'!$C$5,
                (Y137 = 'Points-Table'!$A$6), 'Points-Table'!$C$6,
                (Y137 = 'Points-Table'!$A$7), 'Points-Table'!$C$7,
                (Y137 = 'Points-Table'!$A$8), 'Points-Table'!$C$8,
                (Y137 = 'Points-Table'!$A$9), 'Points-Table'!$C$9,
                (Y137 = 'Points-Table'!$A$10), 'Points-Table'!$C$10,
                (Y137 = 'Points-Table'!$A$11), 'Points-Table'!$C$11,
                (Y137 = 'Points-Table'!$A$12), 'Points-Table'!$C$12,
                (Y137 = 'Points-Table'!$A$13), 'Points-Table'!$C$13,
                true, 0
              )
            </f>
      </c>
      <c r="AA137" s="13">
        <f>SUM(V137,X137,Z137)</f>
      </c>
      <c r="AB137" s="13">
        <f>
      Ifs( 
        ISBETWEEN(AA137, 0, 'Points-Table'!C$20, TRUE, False), 'Points-Table'!A$20,
        ISBETWEEN(AA137, 'Points-Table'!C$20, 'Points-Table'!C$21, TRUE, False), 'Points-Table'!A$21,
        ISBETWEEN(AA137, 'Points-Table'!C$22, 10000, TRUE, TRUE), 'Points-Table'!A$22,
        true, 
        0)
      </f>
      </c>
      <c r="AC137" s="13" t="s">
        <v>56</v>
      </c>
      <c r="AD137" s="13" t="s">
        <v>56</v>
      </c>
      <c r="AE137" s="13" t="s">
        <v>56</v>
      </c>
    </row>
    <row r="138" spans="1:31" s="6" customFormat="1" x14ac:dyDescent="0.25">
      <c r="A138" s="6" t="s">
        <v>387</v>
      </c>
      <c r="B138" s="6" t="s">
        <v>388</v>
      </c>
      <c r="D138" s="6"/>
      <c r="E138" s="6"/>
      <c r="F138" s="6"/>
      <c r="G138" s="6"/>
      <c r="H138" s="6"/>
      <c r="I138" s="6"/>
      <c r="J138" s="6"/>
      <c r="K138" s="6" t="s">
        <v>84</v>
      </c>
      <c r="L138" s="6" t="s">
        <v>85</v>
      </c>
      <c r="M138" s="6"/>
      <c r="N138" s="6"/>
      <c r="O138" s="6"/>
      <c r="P138" s="6"/>
      <c r="Q138" s="11"/>
      <c r="R138" s="12">
        <f>
              Ifs(
                (Q138 = 'Points-Table'!$A$4), 'Points-Table'!$C$4,
                (Q138 = 'Points-Table'!$A$5), 'Points-Table'!$C$5,
                (Q138 = 'Points-Table'!$A$6), 'Points-Table'!$C$6,
                (Q138 = 'Points-Table'!$A$7), 'Points-Table'!$C$7,
                (Q138 = 'Points-Table'!$A$8), 'Points-Table'!$C$8,
                (Q138 = 'Points-Table'!$A$9), 'Points-Table'!$C$9,
                (Q138 = 'Points-Table'!$A$10), 'Points-Table'!$C$10,
                (Q138 = 'Points-Table'!$A$11), 'Points-Table'!$C$11,
                (Q138 = 'Points-Table'!$A$12), 'Points-Table'!$C$12,
                (Q138 = 'Points-Table'!$A$13), 'Points-Table'!$C$13,
                true, 0
              )
            </f>
      </c>
      <c r="S138" s="11"/>
      <c r="T138" s="12">
        <f>
              Ifs(
                (S138 = 'Points-Table'!$A$4), 'Points-Table'!$C$4,
                (S138 = 'Points-Table'!$A$5), 'Points-Table'!$C$5,
                (S138 = 'Points-Table'!$A$6), 'Points-Table'!$C$6,
                (S138 = 'Points-Table'!$A$7), 'Points-Table'!$C$7,
                (S138 = 'Points-Table'!$A$8), 'Points-Table'!$C$8,
                (S138 = 'Points-Table'!$A$9), 'Points-Table'!$C$9,
                (S138 = 'Points-Table'!$A$10), 'Points-Table'!$C$10,
                (S138 = 'Points-Table'!$A$11), 'Points-Table'!$C$11,
                (S138 = 'Points-Table'!$A$12), 'Points-Table'!$C$12,
                (S138 = 'Points-Table'!$A$13), 'Points-Table'!$C$13,
                true, 0
              )
            </f>
      </c>
      <c r="U138" s="11">
        <v>1</v>
      </c>
      <c r="V138" s="12">
        <f>
              Ifs(
                (U138 = 'Points-Table'!$A$4), 'Points-Table'!$C$4,
                (U138 = 'Points-Table'!$A$5), 'Points-Table'!$C$5,
                (U138 = 'Points-Table'!$A$6), 'Points-Table'!$C$6,
                (U138 = 'Points-Table'!$A$7), 'Points-Table'!$C$7,
                (U138 = 'Points-Table'!$A$8), 'Points-Table'!$C$8,
                (U138 = 'Points-Table'!$A$9), 'Points-Table'!$C$9,
                (U138 = 'Points-Table'!$A$10), 'Points-Table'!$C$10,
                (U138 = 'Points-Table'!$A$11), 'Points-Table'!$C$11,
                (U138 = 'Points-Table'!$A$12), 'Points-Table'!$C$12,
                (U138 = 'Points-Table'!$A$13), 'Points-Table'!$C$13,
                true, 0
              )
            </f>
      </c>
      <c r="W138" s="11">
        <v>0</v>
      </c>
      <c r="X138" s="12">
        <f>
              Ifs(
                (W138 = 'Points-Table'!$A$4), 'Points-Table'!$C$4,
                (W138 = 'Points-Table'!$A$5), 'Points-Table'!$C$5,
                (W138 = 'Points-Table'!$A$6), 'Points-Table'!$C$6,
                (W138 = 'Points-Table'!$A$7), 'Points-Table'!$C$7,
                (W138 = 'Points-Table'!$A$8), 'Points-Table'!$C$8,
                (W138 = 'Points-Table'!$A$9), 'Points-Table'!$C$9,
                (W138 = 'Points-Table'!$A$10), 'Points-Table'!$C$10,
                (W138 = 'Points-Table'!$A$11), 'Points-Table'!$C$11,
                (W138 = 'Points-Table'!$A$12), 'Points-Table'!$C$12,
                (W138 = 'Points-Table'!$A$13), 'Points-Table'!$C$13,
                true, 0
              )
            </f>
      </c>
      <c r="Y138" s="11">
        <v>3</v>
      </c>
      <c r="Z138" s="12">
        <f>
              Ifs(
                (Y138 = 'Points-Table'!$A$4), 'Points-Table'!$C$4,
                (Y138 = 'Points-Table'!$A$5), 'Points-Table'!$C$5,
                (Y138 = 'Points-Table'!$A$6), 'Points-Table'!$C$6,
                (Y138 = 'Points-Table'!$A$7), 'Points-Table'!$C$7,
                (Y138 = 'Points-Table'!$A$8), 'Points-Table'!$C$8,
                (Y138 = 'Points-Table'!$A$9), 'Points-Table'!$C$9,
                (Y138 = 'Points-Table'!$A$10), 'Points-Table'!$C$10,
                (Y138 = 'Points-Table'!$A$11), 'Points-Table'!$C$11,
                (Y138 = 'Points-Table'!$A$12), 'Points-Table'!$C$12,
                (Y138 = 'Points-Table'!$A$13), 'Points-Table'!$C$13,
                true, 0
              )
            </f>
      </c>
      <c r="AA138" s="6">
        <f>SUM(V138,X138,Z138)</f>
      </c>
      <c r="AB138" s="6">
        <f>
      Ifs( 
        ISBETWEEN(AA138, 0, 'Points-Table'!C$20, TRUE, False), 'Points-Table'!A$20,
        ISBETWEEN(AA138, 'Points-Table'!C$20, 'Points-Table'!C$21, TRUE, False), 'Points-Table'!A$21,
        ISBETWEEN(AA138, 'Points-Table'!C$22, 10000, TRUE, TRUE), 'Points-Table'!A$22,
        true, 
        0)
      </f>
      </c>
      <c r="AC138" s="6" t="s">
        <v>56</v>
      </c>
      <c r="AD138" s="6" t="s">
        <v>56</v>
      </c>
      <c r="AE138" s="6" t="s">
        <v>56</v>
      </c>
    </row>
    <row r="139" spans="1:31" s="6" customFormat="1" x14ac:dyDescent="0.25">
      <c r="A139" s="6" t="s">
        <v>387</v>
      </c>
      <c r="B139" s="6" t="s">
        <v>389</v>
      </c>
      <c r="D139" s="6" t="s">
        <v>56</v>
      </c>
      <c r="E139" s="6"/>
      <c r="F139" s="6"/>
      <c r="G139" s="6"/>
      <c r="H139" s="6"/>
      <c r="I139" s="6"/>
      <c r="J139" s="6"/>
      <c r="K139" s="6" t="s">
        <v>84</v>
      </c>
      <c r="L139" s="6" t="s">
        <v>85</v>
      </c>
      <c r="M139" s="6"/>
      <c r="N139" s="6"/>
      <c r="O139" s="6"/>
      <c r="P139" s="6"/>
      <c r="Q139" s="11"/>
      <c r="R139" s="12">
        <f>
              Ifs(
                (Q139 = 'Points-Table'!$A$4), 'Points-Table'!$C$4,
                (Q139 = 'Points-Table'!$A$5), 'Points-Table'!$C$5,
                (Q139 = 'Points-Table'!$A$6), 'Points-Table'!$C$6,
                (Q139 = 'Points-Table'!$A$7), 'Points-Table'!$C$7,
                (Q139 = 'Points-Table'!$A$8), 'Points-Table'!$C$8,
                (Q139 = 'Points-Table'!$A$9), 'Points-Table'!$C$9,
                (Q139 = 'Points-Table'!$A$10), 'Points-Table'!$C$10,
                (Q139 = 'Points-Table'!$A$11), 'Points-Table'!$C$11,
                (Q139 = 'Points-Table'!$A$12), 'Points-Table'!$C$12,
                (Q139 = 'Points-Table'!$A$13), 'Points-Table'!$C$13,
                true, 0
              )
            </f>
      </c>
      <c r="S139" s="11"/>
      <c r="T139" s="12">
        <f>
              Ifs(
                (S139 = 'Points-Table'!$A$4), 'Points-Table'!$C$4,
                (S139 = 'Points-Table'!$A$5), 'Points-Table'!$C$5,
                (S139 = 'Points-Table'!$A$6), 'Points-Table'!$C$6,
                (S139 = 'Points-Table'!$A$7), 'Points-Table'!$C$7,
                (S139 = 'Points-Table'!$A$8), 'Points-Table'!$C$8,
                (S139 = 'Points-Table'!$A$9), 'Points-Table'!$C$9,
                (S139 = 'Points-Table'!$A$10), 'Points-Table'!$C$10,
                (S139 = 'Points-Table'!$A$11), 'Points-Table'!$C$11,
                (S139 = 'Points-Table'!$A$12), 'Points-Table'!$C$12,
                (S139 = 'Points-Table'!$A$13), 'Points-Table'!$C$13,
                true, 0
              )
            </f>
      </c>
      <c r="U139" s="11">
        <v>1</v>
      </c>
      <c r="V139" s="12">
        <f>
              Ifs(
                (U139 = 'Points-Table'!$A$4), 'Points-Table'!$C$4,
                (U139 = 'Points-Table'!$A$5), 'Points-Table'!$C$5,
                (U139 = 'Points-Table'!$A$6), 'Points-Table'!$C$6,
                (U139 = 'Points-Table'!$A$7), 'Points-Table'!$C$7,
                (U139 = 'Points-Table'!$A$8), 'Points-Table'!$C$8,
                (U139 = 'Points-Table'!$A$9), 'Points-Table'!$C$9,
                (U139 = 'Points-Table'!$A$10), 'Points-Table'!$C$10,
                (U139 = 'Points-Table'!$A$11), 'Points-Table'!$C$11,
                (U139 = 'Points-Table'!$A$12), 'Points-Table'!$C$12,
                (U139 = 'Points-Table'!$A$13), 'Points-Table'!$C$13,
                true, 0
              )
            </f>
      </c>
      <c r="W139" s="11">
        <v>3</v>
      </c>
      <c r="X139" s="12">
        <f>
              Ifs(
                (W139 = 'Points-Table'!$A$4), 'Points-Table'!$C$4,
                (W139 = 'Points-Table'!$A$5), 'Points-Table'!$C$5,
                (W139 = 'Points-Table'!$A$6), 'Points-Table'!$C$6,
                (W139 = 'Points-Table'!$A$7), 'Points-Table'!$C$7,
                (W139 = 'Points-Table'!$A$8), 'Points-Table'!$C$8,
                (W139 = 'Points-Table'!$A$9), 'Points-Table'!$C$9,
                (W139 = 'Points-Table'!$A$10), 'Points-Table'!$C$10,
                (W139 = 'Points-Table'!$A$11), 'Points-Table'!$C$11,
                (W139 = 'Points-Table'!$A$12), 'Points-Table'!$C$12,
                (W139 = 'Points-Table'!$A$13), 'Points-Table'!$C$13,
                true, 0
              )
            </f>
      </c>
      <c r="Y139" s="11">
        <v>3</v>
      </c>
      <c r="Z139" s="12">
        <f>
              Ifs(
                (Y139 = 'Points-Table'!$A$4), 'Points-Table'!$C$4,
                (Y139 = 'Points-Table'!$A$5), 'Points-Table'!$C$5,
                (Y139 = 'Points-Table'!$A$6), 'Points-Table'!$C$6,
                (Y139 = 'Points-Table'!$A$7), 'Points-Table'!$C$7,
                (Y139 = 'Points-Table'!$A$8), 'Points-Table'!$C$8,
                (Y139 = 'Points-Table'!$A$9), 'Points-Table'!$C$9,
                (Y139 = 'Points-Table'!$A$10), 'Points-Table'!$C$10,
                (Y139 = 'Points-Table'!$A$11), 'Points-Table'!$C$11,
                (Y139 = 'Points-Table'!$A$12), 'Points-Table'!$C$12,
                (Y139 = 'Points-Table'!$A$13), 'Points-Table'!$C$13,
                true, 0
              )
            </f>
      </c>
      <c r="AA139" s="6">
        <f>SUM(V139,X139,Z139)</f>
      </c>
      <c r="AB139" s="6">
        <f>
      Ifs( 
        ISBETWEEN(AA139, 0, 'Points-Table'!C$20, TRUE, False), 'Points-Table'!A$20,
        ISBETWEEN(AA139, 'Points-Table'!C$20, 'Points-Table'!C$21, TRUE, False), 'Points-Table'!A$21,
        ISBETWEEN(AA139, 'Points-Table'!C$22, 10000, TRUE, TRUE), 'Points-Table'!A$22,
        true, 
        0)
      </f>
      </c>
      <c r="AC139" s="6" t="s">
        <v>56</v>
      </c>
      <c r="AD139" s="6" t="s">
        <v>56</v>
      </c>
      <c r="AE139" s="6" t="s">
        <v>56</v>
      </c>
    </row>
    <row r="140" spans="1:31" s="6" customFormat="1" x14ac:dyDescent="0.25">
      <c r="A140" s="6" t="s">
        <v>387</v>
      </c>
      <c r="B140" s="6" t="s">
        <v>390</v>
      </c>
      <c r="D140" s="6"/>
      <c r="E140" s="6"/>
      <c r="F140" s="6"/>
      <c r="G140" s="6"/>
      <c r="H140" s="6"/>
      <c r="I140" s="6"/>
      <c r="J140" s="6"/>
      <c r="K140" s="6" t="s">
        <v>84</v>
      </c>
      <c r="L140" s="6" t="s">
        <v>85</v>
      </c>
      <c r="M140" s="6"/>
      <c r="N140" s="6"/>
      <c r="O140" s="6"/>
      <c r="P140" s="6"/>
      <c r="Q140" s="11"/>
      <c r="R140" s="12">
        <f>
              Ifs(
                (Q140 = 'Points-Table'!$A$4), 'Points-Table'!$C$4,
                (Q140 = 'Points-Table'!$A$5), 'Points-Table'!$C$5,
                (Q140 = 'Points-Table'!$A$6), 'Points-Table'!$C$6,
                (Q140 = 'Points-Table'!$A$7), 'Points-Table'!$C$7,
                (Q140 = 'Points-Table'!$A$8), 'Points-Table'!$C$8,
                (Q140 = 'Points-Table'!$A$9), 'Points-Table'!$C$9,
                (Q140 = 'Points-Table'!$A$10), 'Points-Table'!$C$10,
                (Q140 = 'Points-Table'!$A$11), 'Points-Table'!$C$11,
                (Q140 = 'Points-Table'!$A$12), 'Points-Table'!$C$12,
                (Q140 = 'Points-Table'!$A$13), 'Points-Table'!$C$13,
                true, 0
              )
            </f>
      </c>
      <c r="S140" s="11"/>
      <c r="T140" s="12">
        <f>
              Ifs(
                (S140 = 'Points-Table'!$A$4), 'Points-Table'!$C$4,
                (S140 = 'Points-Table'!$A$5), 'Points-Table'!$C$5,
                (S140 = 'Points-Table'!$A$6), 'Points-Table'!$C$6,
                (S140 = 'Points-Table'!$A$7), 'Points-Table'!$C$7,
                (S140 = 'Points-Table'!$A$8), 'Points-Table'!$C$8,
                (S140 = 'Points-Table'!$A$9), 'Points-Table'!$C$9,
                (S140 = 'Points-Table'!$A$10), 'Points-Table'!$C$10,
                (S140 = 'Points-Table'!$A$11), 'Points-Table'!$C$11,
                (S140 = 'Points-Table'!$A$12), 'Points-Table'!$C$12,
                (S140 = 'Points-Table'!$A$13), 'Points-Table'!$C$13,
                true, 0
              )
            </f>
      </c>
      <c r="U140" s="11">
        <v>1</v>
      </c>
      <c r="V140" s="12">
        <f>
              Ifs(
                (U140 = 'Points-Table'!$A$4), 'Points-Table'!$C$4,
                (U140 = 'Points-Table'!$A$5), 'Points-Table'!$C$5,
                (U140 = 'Points-Table'!$A$6), 'Points-Table'!$C$6,
                (U140 = 'Points-Table'!$A$7), 'Points-Table'!$C$7,
                (U140 = 'Points-Table'!$A$8), 'Points-Table'!$C$8,
                (U140 = 'Points-Table'!$A$9), 'Points-Table'!$C$9,
                (U140 = 'Points-Table'!$A$10), 'Points-Table'!$C$10,
                (U140 = 'Points-Table'!$A$11), 'Points-Table'!$C$11,
                (U140 = 'Points-Table'!$A$12), 'Points-Table'!$C$12,
                (U140 = 'Points-Table'!$A$13), 'Points-Table'!$C$13,
                true, 0
              )
            </f>
      </c>
      <c r="W140" s="11">
        <v>0</v>
      </c>
      <c r="X140" s="12">
        <f>
              Ifs(
                (W140 = 'Points-Table'!$A$4), 'Points-Table'!$C$4,
                (W140 = 'Points-Table'!$A$5), 'Points-Table'!$C$5,
                (W140 = 'Points-Table'!$A$6), 'Points-Table'!$C$6,
                (W140 = 'Points-Table'!$A$7), 'Points-Table'!$C$7,
                (W140 = 'Points-Table'!$A$8), 'Points-Table'!$C$8,
                (W140 = 'Points-Table'!$A$9), 'Points-Table'!$C$9,
                (W140 = 'Points-Table'!$A$10), 'Points-Table'!$C$10,
                (W140 = 'Points-Table'!$A$11), 'Points-Table'!$C$11,
                (W140 = 'Points-Table'!$A$12), 'Points-Table'!$C$12,
                (W140 = 'Points-Table'!$A$13), 'Points-Table'!$C$13,
                true, 0
              )
            </f>
      </c>
      <c r="Y140" s="11">
        <v>3</v>
      </c>
      <c r="Z140" s="12">
        <f>
              Ifs(
                (Y140 = 'Points-Table'!$A$4), 'Points-Table'!$C$4,
                (Y140 = 'Points-Table'!$A$5), 'Points-Table'!$C$5,
                (Y140 = 'Points-Table'!$A$6), 'Points-Table'!$C$6,
                (Y140 = 'Points-Table'!$A$7), 'Points-Table'!$C$7,
                (Y140 = 'Points-Table'!$A$8), 'Points-Table'!$C$8,
                (Y140 = 'Points-Table'!$A$9), 'Points-Table'!$C$9,
                (Y140 = 'Points-Table'!$A$10), 'Points-Table'!$C$10,
                (Y140 = 'Points-Table'!$A$11), 'Points-Table'!$C$11,
                (Y140 = 'Points-Table'!$A$12), 'Points-Table'!$C$12,
                (Y140 = 'Points-Table'!$A$13), 'Points-Table'!$C$13,
                true, 0
              )
            </f>
      </c>
      <c r="AA140" s="6">
        <f>SUM(V140,X140,Z140)</f>
      </c>
      <c r="AB140" s="6">
        <f>
      Ifs( 
        ISBETWEEN(AA140, 0, 'Points-Table'!C$20, TRUE, False), 'Points-Table'!A$20,
        ISBETWEEN(AA140, 'Points-Table'!C$20, 'Points-Table'!C$21, TRUE, False), 'Points-Table'!A$21,
        ISBETWEEN(AA140, 'Points-Table'!C$22, 10000, TRUE, TRUE), 'Points-Table'!A$22,
        true, 
        0)
      </f>
      </c>
      <c r="AC140" s="6" t="s">
        <v>56</v>
      </c>
      <c r="AD140" s="6" t="s">
        <v>56</v>
      </c>
      <c r="AE140" s="6" t="s">
        <v>56</v>
      </c>
    </row>
    <row r="141" spans="1:31" s="6" customFormat="1" x14ac:dyDescent="0.25">
      <c r="A141" s="6" t="s">
        <v>387</v>
      </c>
      <c r="B141" s="6" t="s">
        <v>391</v>
      </c>
      <c r="D141" s="6" t="s">
        <v>56</v>
      </c>
      <c r="E141" s="6"/>
      <c r="F141" s="6"/>
      <c r="G141" s="6"/>
      <c r="H141" s="6"/>
      <c r="I141" s="6"/>
      <c r="J141" s="6"/>
      <c r="K141" s="6" t="s">
        <v>84</v>
      </c>
      <c r="L141" s="6" t="s">
        <v>85</v>
      </c>
      <c r="M141" s="6"/>
      <c r="N141" s="6"/>
      <c r="O141" s="6"/>
      <c r="P141" s="6"/>
      <c r="Q141" s="11"/>
      <c r="R141" s="12">
        <f>
              Ifs(
                (Q141 = 'Points-Table'!$A$4), 'Points-Table'!$C$4,
                (Q141 = 'Points-Table'!$A$5), 'Points-Table'!$C$5,
                (Q141 = 'Points-Table'!$A$6), 'Points-Table'!$C$6,
                (Q141 = 'Points-Table'!$A$7), 'Points-Table'!$C$7,
                (Q141 = 'Points-Table'!$A$8), 'Points-Table'!$C$8,
                (Q141 = 'Points-Table'!$A$9), 'Points-Table'!$C$9,
                (Q141 = 'Points-Table'!$A$10), 'Points-Table'!$C$10,
                (Q141 = 'Points-Table'!$A$11), 'Points-Table'!$C$11,
                (Q141 = 'Points-Table'!$A$12), 'Points-Table'!$C$12,
                (Q141 = 'Points-Table'!$A$13), 'Points-Table'!$C$13,
                true, 0
              )
            </f>
      </c>
      <c r="S141" s="11"/>
      <c r="T141" s="12">
        <f>
              Ifs(
                (S141 = 'Points-Table'!$A$4), 'Points-Table'!$C$4,
                (S141 = 'Points-Table'!$A$5), 'Points-Table'!$C$5,
                (S141 = 'Points-Table'!$A$6), 'Points-Table'!$C$6,
                (S141 = 'Points-Table'!$A$7), 'Points-Table'!$C$7,
                (S141 = 'Points-Table'!$A$8), 'Points-Table'!$C$8,
                (S141 = 'Points-Table'!$A$9), 'Points-Table'!$C$9,
                (S141 = 'Points-Table'!$A$10), 'Points-Table'!$C$10,
                (S141 = 'Points-Table'!$A$11), 'Points-Table'!$C$11,
                (S141 = 'Points-Table'!$A$12), 'Points-Table'!$C$12,
                (S141 = 'Points-Table'!$A$13), 'Points-Table'!$C$13,
                true, 0
              )
            </f>
      </c>
      <c r="U141" s="11">
        <v>1</v>
      </c>
      <c r="V141" s="12">
        <f>
              Ifs(
                (U141 = 'Points-Table'!$A$4), 'Points-Table'!$C$4,
                (U141 = 'Points-Table'!$A$5), 'Points-Table'!$C$5,
                (U141 = 'Points-Table'!$A$6), 'Points-Table'!$C$6,
                (U141 = 'Points-Table'!$A$7), 'Points-Table'!$C$7,
                (U141 = 'Points-Table'!$A$8), 'Points-Table'!$C$8,
                (U141 = 'Points-Table'!$A$9), 'Points-Table'!$C$9,
                (U141 = 'Points-Table'!$A$10), 'Points-Table'!$C$10,
                (U141 = 'Points-Table'!$A$11), 'Points-Table'!$C$11,
                (U141 = 'Points-Table'!$A$12), 'Points-Table'!$C$12,
                (U141 = 'Points-Table'!$A$13), 'Points-Table'!$C$13,
                true, 0
              )
            </f>
      </c>
      <c r="W141" s="11">
        <v>0</v>
      </c>
      <c r="X141" s="12">
        <f>
              Ifs(
                (W141 = 'Points-Table'!$A$4), 'Points-Table'!$C$4,
                (W141 = 'Points-Table'!$A$5), 'Points-Table'!$C$5,
                (W141 = 'Points-Table'!$A$6), 'Points-Table'!$C$6,
                (W141 = 'Points-Table'!$A$7), 'Points-Table'!$C$7,
                (W141 = 'Points-Table'!$A$8), 'Points-Table'!$C$8,
                (W141 = 'Points-Table'!$A$9), 'Points-Table'!$C$9,
                (W141 = 'Points-Table'!$A$10), 'Points-Table'!$C$10,
                (W141 = 'Points-Table'!$A$11), 'Points-Table'!$C$11,
                (W141 = 'Points-Table'!$A$12), 'Points-Table'!$C$12,
                (W141 = 'Points-Table'!$A$13), 'Points-Table'!$C$13,
                true, 0
              )
            </f>
      </c>
      <c r="Y141" s="11">
        <v>3</v>
      </c>
      <c r="Z141" s="12">
        <f>
              Ifs(
                (Y141 = 'Points-Table'!$A$4), 'Points-Table'!$C$4,
                (Y141 = 'Points-Table'!$A$5), 'Points-Table'!$C$5,
                (Y141 = 'Points-Table'!$A$6), 'Points-Table'!$C$6,
                (Y141 = 'Points-Table'!$A$7), 'Points-Table'!$C$7,
                (Y141 = 'Points-Table'!$A$8), 'Points-Table'!$C$8,
                (Y141 = 'Points-Table'!$A$9), 'Points-Table'!$C$9,
                (Y141 = 'Points-Table'!$A$10), 'Points-Table'!$C$10,
                (Y141 = 'Points-Table'!$A$11), 'Points-Table'!$C$11,
                (Y141 = 'Points-Table'!$A$12), 'Points-Table'!$C$12,
                (Y141 = 'Points-Table'!$A$13), 'Points-Table'!$C$13,
                true, 0
              )
            </f>
      </c>
      <c r="AA141" s="6">
        <f>SUM(V141,X141,Z141)</f>
      </c>
      <c r="AB141" s="6">
        <f>
      Ifs( 
        ISBETWEEN(AA141, 0, 'Points-Table'!C$20, TRUE, False), 'Points-Table'!A$20,
        ISBETWEEN(AA141, 'Points-Table'!C$20, 'Points-Table'!C$21, TRUE, False), 'Points-Table'!A$21,
        ISBETWEEN(AA141, 'Points-Table'!C$22, 10000, TRUE, TRUE), 'Points-Table'!A$22,
        true, 
        0)
      </f>
      </c>
      <c r="AC141" s="6" t="s">
        <v>56</v>
      </c>
      <c r="AD141" s="6" t="s">
        <v>56</v>
      </c>
      <c r="AE141" s="6" t="s">
        <v>56</v>
      </c>
    </row>
    <row r="142" spans="1:31" s="6" customFormat="1" x14ac:dyDescent="0.25">
      <c r="A142" s="6" t="s">
        <v>387</v>
      </c>
      <c r="B142" s="6" t="s">
        <v>392</v>
      </c>
      <c r="D142" s="6"/>
      <c r="E142" s="6"/>
      <c r="F142" s="6"/>
      <c r="G142" s="6"/>
      <c r="H142" s="6"/>
      <c r="I142" s="6"/>
      <c r="J142" s="6"/>
      <c r="K142" s="6" t="s">
        <v>84</v>
      </c>
      <c r="L142" s="6" t="s">
        <v>85</v>
      </c>
      <c r="M142" s="6"/>
      <c r="N142" s="6"/>
      <c r="O142" s="6"/>
      <c r="P142" s="6"/>
      <c r="Q142" s="11"/>
      <c r="R142" s="12">
        <f>
              Ifs(
                (Q142 = 'Points-Table'!$A$4), 'Points-Table'!$C$4,
                (Q142 = 'Points-Table'!$A$5), 'Points-Table'!$C$5,
                (Q142 = 'Points-Table'!$A$6), 'Points-Table'!$C$6,
                (Q142 = 'Points-Table'!$A$7), 'Points-Table'!$C$7,
                (Q142 = 'Points-Table'!$A$8), 'Points-Table'!$C$8,
                (Q142 = 'Points-Table'!$A$9), 'Points-Table'!$C$9,
                (Q142 = 'Points-Table'!$A$10), 'Points-Table'!$C$10,
                (Q142 = 'Points-Table'!$A$11), 'Points-Table'!$C$11,
                (Q142 = 'Points-Table'!$A$12), 'Points-Table'!$C$12,
                (Q142 = 'Points-Table'!$A$13), 'Points-Table'!$C$13,
                true, 0
              )
            </f>
      </c>
      <c r="S142" s="11"/>
      <c r="T142" s="12">
        <f>
              Ifs(
                (S142 = 'Points-Table'!$A$4), 'Points-Table'!$C$4,
                (S142 = 'Points-Table'!$A$5), 'Points-Table'!$C$5,
                (S142 = 'Points-Table'!$A$6), 'Points-Table'!$C$6,
                (S142 = 'Points-Table'!$A$7), 'Points-Table'!$C$7,
                (S142 = 'Points-Table'!$A$8), 'Points-Table'!$C$8,
                (S142 = 'Points-Table'!$A$9), 'Points-Table'!$C$9,
                (S142 = 'Points-Table'!$A$10), 'Points-Table'!$C$10,
                (S142 = 'Points-Table'!$A$11), 'Points-Table'!$C$11,
                (S142 = 'Points-Table'!$A$12), 'Points-Table'!$C$12,
                (S142 = 'Points-Table'!$A$13), 'Points-Table'!$C$13,
                true, 0
              )
            </f>
      </c>
      <c r="U142" s="11">
        <v>1</v>
      </c>
      <c r="V142" s="12">
        <f>
              Ifs(
                (U142 = 'Points-Table'!$A$4), 'Points-Table'!$C$4,
                (U142 = 'Points-Table'!$A$5), 'Points-Table'!$C$5,
                (U142 = 'Points-Table'!$A$6), 'Points-Table'!$C$6,
                (U142 = 'Points-Table'!$A$7), 'Points-Table'!$C$7,
                (U142 = 'Points-Table'!$A$8), 'Points-Table'!$C$8,
                (U142 = 'Points-Table'!$A$9), 'Points-Table'!$C$9,
                (U142 = 'Points-Table'!$A$10), 'Points-Table'!$C$10,
                (U142 = 'Points-Table'!$A$11), 'Points-Table'!$C$11,
                (U142 = 'Points-Table'!$A$12), 'Points-Table'!$C$12,
                (U142 = 'Points-Table'!$A$13), 'Points-Table'!$C$13,
                true, 0
              )
            </f>
      </c>
      <c r="W142" s="11">
        <v>0</v>
      </c>
      <c r="X142" s="12">
        <f>
              Ifs(
                (W142 = 'Points-Table'!$A$4), 'Points-Table'!$C$4,
                (W142 = 'Points-Table'!$A$5), 'Points-Table'!$C$5,
                (W142 = 'Points-Table'!$A$6), 'Points-Table'!$C$6,
                (W142 = 'Points-Table'!$A$7), 'Points-Table'!$C$7,
                (W142 = 'Points-Table'!$A$8), 'Points-Table'!$C$8,
                (W142 = 'Points-Table'!$A$9), 'Points-Table'!$C$9,
                (W142 = 'Points-Table'!$A$10), 'Points-Table'!$C$10,
                (W142 = 'Points-Table'!$A$11), 'Points-Table'!$C$11,
                (W142 = 'Points-Table'!$A$12), 'Points-Table'!$C$12,
                (W142 = 'Points-Table'!$A$13), 'Points-Table'!$C$13,
                true, 0
              )
            </f>
      </c>
      <c r="Y142" s="11">
        <v>2</v>
      </c>
      <c r="Z142" s="12">
        <f>
              Ifs(
                (Y142 = 'Points-Table'!$A$4), 'Points-Table'!$C$4,
                (Y142 = 'Points-Table'!$A$5), 'Points-Table'!$C$5,
                (Y142 = 'Points-Table'!$A$6), 'Points-Table'!$C$6,
                (Y142 = 'Points-Table'!$A$7), 'Points-Table'!$C$7,
                (Y142 = 'Points-Table'!$A$8), 'Points-Table'!$C$8,
                (Y142 = 'Points-Table'!$A$9), 'Points-Table'!$C$9,
                (Y142 = 'Points-Table'!$A$10), 'Points-Table'!$C$10,
                (Y142 = 'Points-Table'!$A$11), 'Points-Table'!$C$11,
                (Y142 = 'Points-Table'!$A$12), 'Points-Table'!$C$12,
                (Y142 = 'Points-Table'!$A$13), 'Points-Table'!$C$13,
                true, 0
              )
            </f>
      </c>
      <c r="AA142" s="6">
        <f>SUM(V142,X142,Z142)</f>
      </c>
      <c r="AB142" s="6">
        <f>
      Ifs( 
        ISBETWEEN(AA142, 0, 'Points-Table'!C$20, TRUE, False), 'Points-Table'!A$20,
        ISBETWEEN(AA142, 'Points-Table'!C$20, 'Points-Table'!C$21, TRUE, False), 'Points-Table'!A$21,
        ISBETWEEN(AA142, 'Points-Table'!C$22, 10000, TRUE, TRUE), 'Points-Table'!A$22,
        true, 
        0)
      </f>
      </c>
      <c r="AC142" s="6" t="s">
        <v>56</v>
      </c>
      <c r="AD142" s="6" t="s">
        <v>56</v>
      </c>
      <c r="AE142" s="6" t="s">
        <v>56</v>
      </c>
    </row>
    <row r="143" spans="1:31" s="6" customFormat="1" x14ac:dyDescent="0.25">
      <c r="A143" s="6" t="s">
        <v>387</v>
      </c>
      <c r="B143" s="6" t="s">
        <v>393</v>
      </c>
      <c r="D143" s="6"/>
      <c r="E143" s="6"/>
      <c r="F143" s="6"/>
      <c r="G143" s="6"/>
      <c r="H143" s="6"/>
      <c r="I143" s="6"/>
      <c r="J143" s="6"/>
      <c r="K143" s="6" t="s">
        <v>84</v>
      </c>
      <c r="L143" s="6" t="s">
        <v>85</v>
      </c>
      <c r="M143" s="6"/>
      <c r="N143" s="6"/>
      <c r="O143" s="6"/>
      <c r="P143" s="6"/>
      <c r="Q143" s="11"/>
      <c r="R143" s="12">
        <f>
              Ifs(
                (Q143 = 'Points-Table'!$A$4), 'Points-Table'!$C$4,
                (Q143 = 'Points-Table'!$A$5), 'Points-Table'!$C$5,
                (Q143 = 'Points-Table'!$A$6), 'Points-Table'!$C$6,
                (Q143 = 'Points-Table'!$A$7), 'Points-Table'!$C$7,
                (Q143 = 'Points-Table'!$A$8), 'Points-Table'!$C$8,
                (Q143 = 'Points-Table'!$A$9), 'Points-Table'!$C$9,
                (Q143 = 'Points-Table'!$A$10), 'Points-Table'!$C$10,
                (Q143 = 'Points-Table'!$A$11), 'Points-Table'!$C$11,
                (Q143 = 'Points-Table'!$A$12), 'Points-Table'!$C$12,
                (Q143 = 'Points-Table'!$A$13), 'Points-Table'!$C$13,
                true, 0
              )
            </f>
      </c>
      <c r="S143" s="11"/>
      <c r="T143" s="12">
        <f>
              Ifs(
                (S143 = 'Points-Table'!$A$4), 'Points-Table'!$C$4,
                (S143 = 'Points-Table'!$A$5), 'Points-Table'!$C$5,
                (S143 = 'Points-Table'!$A$6), 'Points-Table'!$C$6,
                (S143 = 'Points-Table'!$A$7), 'Points-Table'!$C$7,
                (S143 = 'Points-Table'!$A$8), 'Points-Table'!$C$8,
                (S143 = 'Points-Table'!$A$9), 'Points-Table'!$C$9,
                (S143 = 'Points-Table'!$A$10), 'Points-Table'!$C$10,
                (S143 = 'Points-Table'!$A$11), 'Points-Table'!$C$11,
                (S143 = 'Points-Table'!$A$12), 'Points-Table'!$C$12,
                (S143 = 'Points-Table'!$A$13), 'Points-Table'!$C$13,
                true, 0
              )
            </f>
      </c>
      <c r="U143" s="11">
        <v>1</v>
      </c>
      <c r="V143" s="12">
        <f>
              Ifs(
                (U143 = 'Points-Table'!$A$4), 'Points-Table'!$C$4,
                (U143 = 'Points-Table'!$A$5), 'Points-Table'!$C$5,
                (U143 = 'Points-Table'!$A$6), 'Points-Table'!$C$6,
                (U143 = 'Points-Table'!$A$7), 'Points-Table'!$C$7,
                (U143 = 'Points-Table'!$A$8), 'Points-Table'!$C$8,
                (U143 = 'Points-Table'!$A$9), 'Points-Table'!$C$9,
                (U143 = 'Points-Table'!$A$10), 'Points-Table'!$C$10,
                (U143 = 'Points-Table'!$A$11), 'Points-Table'!$C$11,
                (U143 = 'Points-Table'!$A$12), 'Points-Table'!$C$12,
                (U143 = 'Points-Table'!$A$13), 'Points-Table'!$C$13,
                true, 0
              )
            </f>
      </c>
      <c r="W143" s="11">
        <v>0</v>
      </c>
      <c r="X143" s="12">
        <f>
              Ifs(
                (W143 = 'Points-Table'!$A$4), 'Points-Table'!$C$4,
                (W143 = 'Points-Table'!$A$5), 'Points-Table'!$C$5,
                (W143 = 'Points-Table'!$A$6), 'Points-Table'!$C$6,
                (W143 = 'Points-Table'!$A$7), 'Points-Table'!$C$7,
                (W143 = 'Points-Table'!$A$8), 'Points-Table'!$C$8,
                (W143 = 'Points-Table'!$A$9), 'Points-Table'!$C$9,
                (W143 = 'Points-Table'!$A$10), 'Points-Table'!$C$10,
                (W143 = 'Points-Table'!$A$11), 'Points-Table'!$C$11,
                (W143 = 'Points-Table'!$A$12), 'Points-Table'!$C$12,
                (W143 = 'Points-Table'!$A$13), 'Points-Table'!$C$13,
                true, 0
              )
            </f>
      </c>
      <c r="Y143" s="11">
        <v>3</v>
      </c>
      <c r="Z143" s="12">
        <f>
              Ifs(
                (Y143 = 'Points-Table'!$A$4), 'Points-Table'!$C$4,
                (Y143 = 'Points-Table'!$A$5), 'Points-Table'!$C$5,
                (Y143 = 'Points-Table'!$A$6), 'Points-Table'!$C$6,
                (Y143 = 'Points-Table'!$A$7), 'Points-Table'!$C$7,
                (Y143 = 'Points-Table'!$A$8), 'Points-Table'!$C$8,
                (Y143 = 'Points-Table'!$A$9), 'Points-Table'!$C$9,
                (Y143 = 'Points-Table'!$A$10), 'Points-Table'!$C$10,
                (Y143 = 'Points-Table'!$A$11), 'Points-Table'!$C$11,
                (Y143 = 'Points-Table'!$A$12), 'Points-Table'!$C$12,
                (Y143 = 'Points-Table'!$A$13), 'Points-Table'!$C$13,
                true, 0
              )
            </f>
      </c>
      <c r="AA143" s="6">
        <f>SUM(V143,X143,Z143)</f>
      </c>
      <c r="AB143" s="6">
        <f>
      Ifs( 
        ISBETWEEN(AA143, 0, 'Points-Table'!C$20, TRUE, False), 'Points-Table'!A$20,
        ISBETWEEN(AA143, 'Points-Table'!C$20, 'Points-Table'!C$21, TRUE, False), 'Points-Table'!A$21,
        ISBETWEEN(AA143, 'Points-Table'!C$22, 10000, TRUE, TRUE), 'Points-Table'!A$22,
        true, 
        0)
      </f>
      </c>
      <c r="AC143" s="6" t="s">
        <v>56</v>
      </c>
      <c r="AD143" s="6" t="s">
        <v>56</v>
      </c>
      <c r="AE143" s="6" t="s">
        <v>56</v>
      </c>
    </row>
    <row r="144" spans="1:31" s="6" customFormat="1" x14ac:dyDescent="0.25">
      <c r="A144" s="6" t="s">
        <v>387</v>
      </c>
      <c r="B144" s="6" t="s">
        <v>394</v>
      </c>
      <c r="D144" s="6"/>
      <c r="E144" s="6"/>
      <c r="F144" s="6"/>
      <c r="G144" s="6"/>
      <c r="H144" s="6"/>
      <c r="I144" s="6"/>
      <c r="J144" s="6"/>
      <c r="K144" s="6" t="s">
        <v>84</v>
      </c>
      <c r="L144" s="6" t="s">
        <v>85</v>
      </c>
      <c r="M144" s="6"/>
      <c r="N144" s="6"/>
      <c r="O144" s="6"/>
      <c r="P144" s="6"/>
      <c r="Q144" s="11"/>
      <c r="R144" s="12">
        <f>
              Ifs(
                (Q144 = 'Points-Table'!$A$4), 'Points-Table'!$C$4,
                (Q144 = 'Points-Table'!$A$5), 'Points-Table'!$C$5,
                (Q144 = 'Points-Table'!$A$6), 'Points-Table'!$C$6,
                (Q144 = 'Points-Table'!$A$7), 'Points-Table'!$C$7,
                (Q144 = 'Points-Table'!$A$8), 'Points-Table'!$C$8,
                (Q144 = 'Points-Table'!$A$9), 'Points-Table'!$C$9,
                (Q144 = 'Points-Table'!$A$10), 'Points-Table'!$C$10,
                (Q144 = 'Points-Table'!$A$11), 'Points-Table'!$C$11,
                (Q144 = 'Points-Table'!$A$12), 'Points-Table'!$C$12,
                (Q144 = 'Points-Table'!$A$13), 'Points-Table'!$C$13,
                true, 0
              )
            </f>
      </c>
      <c r="S144" s="11"/>
      <c r="T144" s="12">
        <f>
              Ifs(
                (S144 = 'Points-Table'!$A$4), 'Points-Table'!$C$4,
                (S144 = 'Points-Table'!$A$5), 'Points-Table'!$C$5,
                (S144 = 'Points-Table'!$A$6), 'Points-Table'!$C$6,
                (S144 = 'Points-Table'!$A$7), 'Points-Table'!$C$7,
                (S144 = 'Points-Table'!$A$8), 'Points-Table'!$C$8,
                (S144 = 'Points-Table'!$A$9), 'Points-Table'!$C$9,
                (S144 = 'Points-Table'!$A$10), 'Points-Table'!$C$10,
                (S144 = 'Points-Table'!$A$11), 'Points-Table'!$C$11,
                (S144 = 'Points-Table'!$A$12), 'Points-Table'!$C$12,
                (S144 = 'Points-Table'!$A$13), 'Points-Table'!$C$13,
                true, 0
              )
            </f>
      </c>
      <c r="U144" s="11">
        <v>1</v>
      </c>
      <c r="V144" s="12">
        <f>
              Ifs(
                (U144 = 'Points-Table'!$A$4), 'Points-Table'!$C$4,
                (U144 = 'Points-Table'!$A$5), 'Points-Table'!$C$5,
                (U144 = 'Points-Table'!$A$6), 'Points-Table'!$C$6,
                (U144 = 'Points-Table'!$A$7), 'Points-Table'!$C$7,
                (U144 = 'Points-Table'!$A$8), 'Points-Table'!$C$8,
                (U144 = 'Points-Table'!$A$9), 'Points-Table'!$C$9,
                (U144 = 'Points-Table'!$A$10), 'Points-Table'!$C$10,
                (U144 = 'Points-Table'!$A$11), 'Points-Table'!$C$11,
                (U144 = 'Points-Table'!$A$12), 'Points-Table'!$C$12,
                (U144 = 'Points-Table'!$A$13), 'Points-Table'!$C$13,
                true, 0
              )
            </f>
      </c>
      <c r="W144" s="11">
        <v>0</v>
      </c>
      <c r="X144" s="12">
        <f>
              Ifs(
                (W144 = 'Points-Table'!$A$4), 'Points-Table'!$C$4,
                (W144 = 'Points-Table'!$A$5), 'Points-Table'!$C$5,
                (W144 = 'Points-Table'!$A$6), 'Points-Table'!$C$6,
                (W144 = 'Points-Table'!$A$7), 'Points-Table'!$C$7,
                (W144 = 'Points-Table'!$A$8), 'Points-Table'!$C$8,
                (W144 = 'Points-Table'!$A$9), 'Points-Table'!$C$9,
                (W144 = 'Points-Table'!$A$10), 'Points-Table'!$C$10,
                (W144 = 'Points-Table'!$A$11), 'Points-Table'!$C$11,
                (W144 = 'Points-Table'!$A$12), 'Points-Table'!$C$12,
                (W144 = 'Points-Table'!$A$13), 'Points-Table'!$C$13,
                true, 0
              )
            </f>
      </c>
      <c r="Y144" s="11">
        <v>2</v>
      </c>
      <c r="Z144" s="12">
        <f>
              Ifs(
                (Y144 = 'Points-Table'!$A$4), 'Points-Table'!$C$4,
                (Y144 = 'Points-Table'!$A$5), 'Points-Table'!$C$5,
                (Y144 = 'Points-Table'!$A$6), 'Points-Table'!$C$6,
                (Y144 = 'Points-Table'!$A$7), 'Points-Table'!$C$7,
                (Y144 = 'Points-Table'!$A$8), 'Points-Table'!$C$8,
                (Y144 = 'Points-Table'!$A$9), 'Points-Table'!$C$9,
                (Y144 = 'Points-Table'!$A$10), 'Points-Table'!$C$10,
                (Y144 = 'Points-Table'!$A$11), 'Points-Table'!$C$11,
                (Y144 = 'Points-Table'!$A$12), 'Points-Table'!$C$12,
                (Y144 = 'Points-Table'!$A$13), 'Points-Table'!$C$13,
                true, 0
              )
            </f>
      </c>
      <c r="AA144" s="6">
        <f>SUM(V144,X144,Z144)</f>
      </c>
      <c r="AB144" s="6">
        <f>
      Ifs( 
        ISBETWEEN(AA144, 0, 'Points-Table'!C$20, TRUE, False), 'Points-Table'!A$20,
        ISBETWEEN(AA144, 'Points-Table'!C$20, 'Points-Table'!C$21, TRUE, False), 'Points-Table'!A$21,
        ISBETWEEN(AA144, 'Points-Table'!C$22, 10000, TRUE, TRUE), 'Points-Table'!A$22,
        true, 
        0)
      </f>
      </c>
      <c r="AC144" s="6" t="s">
        <v>56</v>
      </c>
      <c r="AD144" s="6" t="s">
        <v>56</v>
      </c>
      <c r="AE144" s="6" t="s">
        <v>56</v>
      </c>
    </row>
    <row r="145" spans="1:31" s="6" customFormat="1" x14ac:dyDescent="0.25">
      <c r="A145" s="6" t="s">
        <v>387</v>
      </c>
      <c r="B145" s="6" t="s">
        <v>395</v>
      </c>
      <c r="C145" s="6" t="s">
        <v>396</v>
      </c>
      <c r="D145" s="6"/>
      <c r="E145" s="6"/>
      <c r="F145" s="6" t="s">
        <v>397</v>
      </c>
      <c r="G145" s="6"/>
      <c r="H145" s="6"/>
      <c r="I145" s="6"/>
      <c r="J145" s="6"/>
      <c r="K145" s="6" t="s">
        <v>84</v>
      </c>
      <c r="L145" s="6" t="s">
        <v>85</v>
      </c>
      <c r="M145" s="6"/>
      <c r="N145" s="6"/>
      <c r="O145" s="6"/>
      <c r="P145" s="6"/>
      <c r="Q145" s="11"/>
      <c r="R145" s="12">
        <f>
              Ifs(
                (Q145 = 'Points-Table'!$A$4), 'Points-Table'!$C$4,
                (Q145 = 'Points-Table'!$A$5), 'Points-Table'!$C$5,
                (Q145 = 'Points-Table'!$A$6), 'Points-Table'!$C$6,
                (Q145 = 'Points-Table'!$A$7), 'Points-Table'!$C$7,
                (Q145 = 'Points-Table'!$A$8), 'Points-Table'!$C$8,
                (Q145 = 'Points-Table'!$A$9), 'Points-Table'!$C$9,
                (Q145 = 'Points-Table'!$A$10), 'Points-Table'!$C$10,
                (Q145 = 'Points-Table'!$A$11), 'Points-Table'!$C$11,
                (Q145 = 'Points-Table'!$A$12), 'Points-Table'!$C$12,
                (Q145 = 'Points-Table'!$A$13), 'Points-Table'!$C$13,
                true, 0
              )
            </f>
      </c>
      <c r="S145" s="11"/>
      <c r="T145" s="12">
        <f>
              Ifs(
                (S145 = 'Points-Table'!$A$4), 'Points-Table'!$C$4,
                (S145 = 'Points-Table'!$A$5), 'Points-Table'!$C$5,
                (S145 = 'Points-Table'!$A$6), 'Points-Table'!$C$6,
                (S145 = 'Points-Table'!$A$7), 'Points-Table'!$C$7,
                (S145 = 'Points-Table'!$A$8), 'Points-Table'!$C$8,
                (S145 = 'Points-Table'!$A$9), 'Points-Table'!$C$9,
                (S145 = 'Points-Table'!$A$10), 'Points-Table'!$C$10,
                (S145 = 'Points-Table'!$A$11), 'Points-Table'!$C$11,
                (S145 = 'Points-Table'!$A$12), 'Points-Table'!$C$12,
                (S145 = 'Points-Table'!$A$13), 'Points-Table'!$C$13,
                true, 0
              )
            </f>
      </c>
      <c r="U145" s="11">
        <v>5</v>
      </c>
      <c r="V145" s="12">
        <f>
              Ifs(
                (U145 = 'Points-Table'!$A$4), 'Points-Table'!$C$4,
                (U145 = 'Points-Table'!$A$5), 'Points-Table'!$C$5,
                (U145 = 'Points-Table'!$A$6), 'Points-Table'!$C$6,
                (U145 = 'Points-Table'!$A$7), 'Points-Table'!$C$7,
                (U145 = 'Points-Table'!$A$8), 'Points-Table'!$C$8,
                (U145 = 'Points-Table'!$A$9), 'Points-Table'!$C$9,
                (U145 = 'Points-Table'!$A$10), 'Points-Table'!$C$10,
                (U145 = 'Points-Table'!$A$11), 'Points-Table'!$C$11,
                (U145 = 'Points-Table'!$A$12), 'Points-Table'!$C$12,
                (U145 = 'Points-Table'!$A$13), 'Points-Table'!$C$13,
                true, 0
              )
            </f>
      </c>
      <c r="W145" s="11">
        <v>2</v>
      </c>
      <c r="X145" s="12">
        <f>
              Ifs(
                (W145 = 'Points-Table'!$A$4), 'Points-Table'!$C$4,
                (W145 = 'Points-Table'!$A$5), 'Points-Table'!$C$5,
                (W145 = 'Points-Table'!$A$6), 'Points-Table'!$C$6,
                (W145 = 'Points-Table'!$A$7), 'Points-Table'!$C$7,
                (W145 = 'Points-Table'!$A$8), 'Points-Table'!$C$8,
                (W145 = 'Points-Table'!$A$9), 'Points-Table'!$C$9,
                (W145 = 'Points-Table'!$A$10), 'Points-Table'!$C$10,
                (W145 = 'Points-Table'!$A$11), 'Points-Table'!$C$11,
                (W145 = 'Points-Table'!$A$12), 'Points-Table'!$C$12,
                (W145 = 'Points-Table'!$A$13), 'Points-Table'!$C$13,
                true, 0
              )
            </f>
      </c>
      <c r="Y145" s="11">
        <v>13</v>
      </c>
      <c r="Z145" s="12">
        <f>
              Ifs(
                (Y145 = 'Points-Table'!$A$4), 'Points-Table'!$C$4,
                (Y145 = 'Points-Table'!$A$5), 'Points-Table'!$C$5,
                (Y145 = 'Points-Table'!$A$6), 'Points-Table'!$C$6,
                (Y145 = 'Points-Table'!$A$7), 'Points-Table'!$C$7,
                (Y145 = 'Points-Table'!$A$8), 'Points-Table'!$C$8,
                (Y145 = 'Points-Table'!$A$9), 'Points-Table'!$C$9,
                (Y145 = 'Points-Table'!$A$10), 'Points-Table'!$C$10,
                (Y145 = 'Points-Table'!$A$11), 'Points-Table'!$C$11,
                (Y145 = 'Points-Table'!$A$12), 'Points-Table'!$C$12,
                (Y145 = 'Points-Table'!$A$13), 'Points-Table'!$C$13,
                true, 0
              )
            </f>
      </c>
      <c r="AA145" s="6">
        <f>SUM(V145,X145,Z145)</f>
      </c>
      <c r="AB145" s="6">
        <f>
      Ifs( 
        ISBETWEEN(AA145, 0, 'Points-Table'!C$20, TRUE, False), 'Points-Table'!A$20,
        ISBETWEEN(AA145, 'Points-Table'!C$20, 'Points-Table'!C$21, TRUE, False), 'Points-Table'!A$21,
        ISBETWEEN(AA145, 'Points-Table'!C$22, 10000, TRUE, TRUE), 'Points-Table'!A$22,
        true, 
        0)
      </f>
      </c>
      <c r="AC145" s="6" t="s">
        <v>56</v>
      </c>
      <c r="AD145" s="6" t="s">
        <v>56</v>
      </c>
      <c r="AE145" s="6" t="s">
        <v>56</v>
      </c>
    </row>
    <row r="146" spans="1:31" s="6" customFormat="1" x14ac:dyDescent="0.25">
      <c r="A146" s="6" t="s">
        <v>387</v>
      </c>
      <c r="B146" s="6" t="s">
        <v>395</v>
      </c>
      <c r="C146" s="6" t="s">
        <v>398</v>
      </c>
      <c r="D146" s="6"/>
      <c r="E146" s="6"/>
      <c r="F146" s="6"/>
      <c r="G146" s="6"/>
      <c r="H146" s="6"/>
      <c r="I146" s="6"/>
      <c r="J146" s="6"/>
      <c r="K146" s="6" t="s">
        <v>84</v>
      </c>
      <c r="L146" s="6" t="s">
        <v>85</v>
      </c>
      <c r="M146" s="6"/>
      <c r="N146" s="6"/>
      <c r="O146" s="6"/>
      <c r="P146" s="6"/>
      <c r="Q146" s="11"/>
      <c r="R146" s="12">
        <f>
              Ifs(
                (Q146 = 'Points-Table'!$A$4), 'Points-Table'!$C$4,
                (Q146 = 'Points-Table'!$A$5), 'Points-Table'!$C$5,
                (Q146 = 'Points-Table'!$A$6), 'Points-Table'!$C$6,
                (Q146 = 'Points-Table'!$A$7), 'Points-Table'!$C$7,
                (Q146 = 'Points-Table'!$A$8), 'Points-Table'!$C$8,
                (Q146 = 'Points-Table'!$A$9), 'Points-Table'!$C$9,
                (Q146 = 'Points-Table'!$A$10), 'Points-Table'!$C$10,
                (Q146 = 'Points-Table'!$A$11), 'Points-Table'!$C$11,
                (Q146 = 'Points-Table'!$A$12), 'Points-Table'!$C$12,
                (Q146 = 'Points-Table'!$A$13), 'Points-Table'!$C$13,
                true, 0
              )
            </f>
      </c>
      <c r="S146" s="11"/>
      <c r="T146" s="12">
        <f>
              Ifs(
                (S146 = 'Points-Table'!$A$4), 'Points-Table'!$C$4,
                (S146 = 'Points-Table'!$A$5), 'Points-Table'!$C$5,
                (S146 = 'Points-Table'!$A$6), 'Points-Table'!$C$6,
                (S146 = 'Points-Table'!$A$7), 'Points-Table'!$C$7,
                (S146 = 'Points-Table'!$A$8), 'Points-Table'!$C$8,
                (S146 = 'Points-Table'!$A$9), 'Points-Table'!$C$9,
                (S146 = 'Points-Table'!$A$10), 'Points-Table'!$C$10,
                (S146 = 'Points-Table'!$A$11), 'Points-Table'!$C$11,
                (S146 = 'Points-Table'!$A$12), 'Points-Table'!$C$12,
                (S146 = 'Points-Table'!$A$13), 'Points-Table'!$C$13,
                true, 0
              )
            </f>
      </c>
      <c r="U146" s="11">
        <v>5</v>
      </c>
      <c r="V146" s="12">
        <f>
              Ifs(
                (U146 = 'Points-Table'!$A$4), 'Points-Table'!$C$4,
                (U146 = 'Points-Table'!$A$5), 'Points-Table'!$C$5,
                (U146 = 'Points-Table'!$A$6), 'Points-Table'!$C$6,
                (U146 = 'Points-Table'!$A$7), 'Points-Table'!$C$7,
                (U146 = 'Points-Table'!$A$8), 'Points-Table'!$C$8,
                (U146 = 'Points-Table'!$A$9), 'Points-Table'!$C$9,
                (U146 = 'Points-Table'!$A$10), 'Points-Table'!$C$10,
                (U146 = 'Points-Table'!$A$11), 'Points-Table'!$C$11,
                (U146 = 'Points-Table'!$A$12), 'Points-Table'!$C$12,
                (U146 = 'Points-Table'!$A$13), 'Points-Table'!$C$13,
                true, 0
              )
            </f>
      </c>
      <c r="W146" s="11">
        <v>1</v>
      </c>
      <c r="X146" s="12">
        <f>
              Ifs(
                (W146 = 'Points-Table'!$A$4), 'Points-Table'!$C$4,
                (W146 = 'Points-Table'!$A$5), 'Points-Table'!$C$5,
                (W146 = 'Points-Table'!$A$6), 'Points-Table'!$C$6,
                (W146 = 'Points-Table'!$A$7), 'Points-Table'!$C$7,
                (W146 = 'Points-Table'!$A$8), 'Points-Table'!$C$8,
                (W146 = 'Points-Table'!$A$9), 'Points-Table'!$C$9,
                (W146 = 'Points-Table'!$A$10), 'Points-Table'!$C$10,
                (W146 = 'Points-Table'!$A$11), 'Points-Table'!$C$11,
                (W146 = 'Points-Table'!$A$12), 'Points-Table'!$C$12,
                (W146 = 'Points-Table'!$A$13), 'Points-Table'!$C$13,
                true, 0
              )
            </f>
      </c>
      <c r="Y146" s="11">
        <v>8</v>
      </c>
      <c r="Z146" s="12">
        <f>
              Ifs(
                (Y146 = 'Points-Table'!$A$4), 'Points-Table'!$C$4,
                (Y146 = 'Points-Table'!$A$5), 'Points-Table'!$C$5,
                (Y146 = 'Points-Table'!$A$6), 'Points-Table'!$C$6,
                (Y146 = 'Points-Table'!$A$7), 'Points-Table'!$C$7,
                (Y146 = 'Points-Table'!$A$8), 'Points-Table'!$C$8,
                (Y146 = 'Points-Table'!$A$9), 'Points-Table'!$C$9,
                (Y146 = 'Points-Table'!$A$10), 'Points-Table'!$C$10,
                (Y146 = 'Points-Table'!$A$11), 'Points-Table'!$C$11,
                (Y146 = 'Points-Table'!$A$12), 'Points-Table'!$C$12,
                (Y146 = 'Points-Table'!$A$13), 'Points-Table'!$C$13,
                true, 0
              )
            </f>
      </c>
      <c r="AA146" s="6">
        <f>SUM(V146,X146,Z146)</f>
      </c>
      <c r="AB146" s="6">
        <f>
      Ifs( 
        ISBETWEEN(AA146, 0, 'Points-Table'!C$20, TRUE, False), 'Points-Table'!A$20,
        ISBETWEEN(AA146, 'Points-Table'!C$20, 'Points-Table'!C$21, TRUE, False), 'Points-Table'!A$21,
        ISBETWEEN(AA146, 'Points-Table'!C$22, 10000, TRUE, TRUE), 'Points-Table'!A$22,
        true, 
        0)
      </f>
      </c>
      <c r="AC146" s="6" t="s">
        <v>56</v>
      </c>
      <c r="AD146" s="6" t="s">
        <v>56</v>
      </c>
      <c r="AE146" s="6" t="s">
        <v>56</v>
      </c>
    </row>
    <row r="147" spans="1:31" s="6" customFormat="1" x14ac:dyDescent="0.25">
      <c r="A147" s="6" t="s">
        <v>387</v>
      </c>
      <c r="B147" s="6" t="s">
        <v>399</v>
      </c>
      <c r="C147" s="6" t="s">
        <v>400</v>
      </c>
      <c r="D147" s="6"/>
      <c r="E147" s="6"/>
      <c r="F147" s="6"/>
      <c r="G147" s="6"/>
      <c r="H147" s="6"/>
      <c r="I147" s="6"/>
      <c r="J147" s="6"/>
      <c r="K147" s="6" t="s">
        <v>84</v>
      </c>
      <c r="L147" s="6" t="s">
        <v>85</v>
      </c>
      <c r="M147" s="6"/>
      <c r="N147" s="6"/>
      <c r="O147" s="6"/>
      <c r="P147" s="6"/>
      <c r="Q147" s="11"/>
      <c r="R147" s="12">
        <f>
              Ifs(
                (Q147 = 'Points-Table'!$A$4), 'Points-Table'!$C$4,
                (Q147 = 'Points-Table'!$A$5), 'Points-Table'!$C$5,
                (Q147 = 'Points-Table'!$A$6), 'Points-Table'!$C$6,
                (Q147 = 'Points-Table'!$A$7), 'Points-Table'!$C$7,
                (Q147 = 'Points-Table'!$A$8), 'Points-Table'!$C$8,
                (Q147 = 'Points-Table'!$A$9), 'Points-Table'!$C$9,
                (Q147 = 'Points-Table'!$A$10), 'Points-Table'!$C$10,
                (Q147 = 'Points-Table'!$A$11), 'Points-Table'!$C$11,
                (Q147 = 'Points-Table'!$A$12), 'Points-Table'!$C$12,
                (Q147 = 'Points-Table'!$A$13), 'Points-Table'!$C$13,
                true, 0
              )
            </f>
      </c>
      <c r="S147" s="11"/>
      <c r="T147" s="12">
        <f>
              Ifs(
                (S147 = 'Points-Table'!$A$4), 'Points-Table'!$C$4,
                (S147 = 'Points-Table'!$A$5), 'Points-Table'!$C$5,
                (S147 = 'Points-Table'!$A$6), 'Points-Table'!$C$6,
                (S147 = 'Points-Table'!$A$7), 'Points-Table'!$C$7,
                (S147 = 'Points-Table'!$A$8), 'Points-Table'!$C$8,
                (S147 = 'Points-Table'!$A$9), 'Points-Table'!$C$9,
                (S147 = 'Points-Table'!$A$10), 'Points-Table'!$C$10,
                (S147 = 'Points-Table'!$A$11), 'Points-Table'!$C$11,
                (S147 = 'Points-Table'!$A$12), 'Points-Table'!$C$12,
                (S147 = 'Points-Table'!$A$13), 'Points-Table'!$C$13,
                true, 0
              )
            </f>
      </c>
      <c r="U147" s="11">
        <v>5</v>
      </c>
      <c r="V147" s="12">
        <f>
              Ifs(
                (U147 = 'Points-Table'!$A$4), 'Points-Table'!$C$4,
                (U147 = 'Points-Table'!$A$5), 'Points-Table'!$C$5,
                (U147 = 'Points-Table'!$A$6), 'Points-Table'!$C$6,
                (U147 = 'Points-Table'!$A$7), 'Points-Table'!$C$7,
                (U147 = 'Points-Table'!$A$8), 'Points-Table'!$C$8,
                (U147 = 'Points-Table'!$A$9), 'Points-Table'!$C$9,
                (U147 = 'Points-Table'!$A$10), 'Points-Table'!$C$10,
                (U147 = 'Points-Table'!$A$11), 'Points-Table'!$C$11,
                (U147 = 'Points-Table'!$A$12), 'Points-Table'!$C$12,
                (U147 = 'Points-Table'!$A$13), 'Points-Table'!$C$13,
                true, 0
              )
            </f>
      </c>
      <c r="W147" s="11">
        <v>1</v>
      </c>
      <c r="X147" s="12">
        <f>
              Ifs(
                (W147 = 'Points-Table'!$A$4), 'Points-Table'!$C$4,
                (W147 = 'Points-Table'!$A$5), 'Points-Table'!$C$5,
                (W147 = 'Points-Table'!$A$6), 'Points-Table'!$C$6,
                (W147 = 'Points-Table'!$A$7), 'Points-Table'!$C$7,
                (W147 = 'Points-Table'!$A$8), 'Points-Table'!$C$8,
                (W147 = 'Points-Table'!$A$9), 'Points-Table'!$C$9,
                (W147 = 'Points-Table'!$A$10), 'Points-Table'!$C$10,
                (W147 = 'Points-Table'!$A$11), 'Points-Table'!$C$11,
                (W147 = 'Points-Table'!$A$12), 'Points-Table'!$C$12,
                (W147 = 'Points-Table'!$A$13), 'Points-Table'!$C$13,
                true, 0
              )
            </f>
      </c>
      <c r="Y147" s="11">
        <v>5</v>
      </c>
      <c r="Z147" s="12">
        <f>
              Ifs(
                (Y147 = 'Points-Table'!$A$4), 'Points-Table'!$C$4,
                (Y147 = 'Points-Table'!$A$5), 'Points-Table'!$C$5,
                (Y147 = 'Points-Table'!$A$6), 'Points-Table'!$C$6,
                (Y147 = 'Points-Table'!$A$7), 'Points-Table'!$C$7,
                (Y147 = 'Points-Table'!$A$8), 'Points-Table'!$C$8,
                (Y147 = 'Points-Table'!$A$9), 'Points-Table'!$C$9,
                (Y147 = 'Points-Table'!$A$10), 'Points-Table'!$C$10,
                (Y147 = 'Points-Table'!$A$11), 'Points-Table'!$C$11,
                (Y147 = 'Points-Table'!$A$12), 'Points-Table'!$C$12,
                (Y147 = 'Points-Table'!$A$13), 'Points-Table'!$C$13,
                true, 0
              )
            </f>
      </c>
      <c r="AA147" s="6">
        <f>SUM(V147,X147,Z147)</f>
      </c>
      <c r="AB147" s="6">
        <f>
      Ifs( 
        ISBETWEEN(AA147, 0, 'Points-Table'!C$20, TRUE, False), 'Points-Table'!A$20,
        ISBETWEEN(AA147, 'Points-Table'!C$20, 'Points-Table'!C$21, TRUE, False), 'Points-Table'!A$21,
        ISBETWEEN(AA147, 'Points-Table'!C$22, 10000, TRUE, TRUE), 'Points-Table'!A$22,
        true, 
        0)
      </f>
      </c>
      <c r="AC147" s="6" t="s">
        <v>56</v>
      </c>
      <c r="AD147" s="6" t="s">
        <v>56</v>
      </c>
      <c r="AE147" s="6" t="s">
        <v>56</v>
      </c>
    </row>
    <row r="148" spans="1:31" s="6" customFormat="1" x14ac:dyDescent="0.25">
      <c r="A148" s="6" t="s">
        <v>387</v>
      </c>
      <c r="B148" s="6" t="s">
        <v>399</v>
      </c>
      <c r="C148" s="6" t="s">
        <v>401</v>
      </c>
      <c r="D148" s="6"/>
      <c r="E148" s="6"/>
      <c r="F148" s="6"/>
      <c r="G148" s="6"/>
      <c r="H148" s="6"/>
      <c r="I148" s="6"/>
      <c r="J148" s="6"/>
      <c r="K148" s="6" t="s">
        <v>84</v>
      </c>
      <c r="L148" s="6" t="s">
        <v>85</v>
      </c>
      <c r="M148" s="6"/>
      <c r="N148" s="6"/>
      <c r="O148" s="6"/>
      <c r="P148" s="6"/>
      <c r="Q148" s="11"/>
      <c r="R148" s="12">
        <f>
              Ifs(
                (Q148 = 'Points-Table'!$A$4), 'Points-Table'!$C$4,
                (Q148 = 'Points-Table'!$A$5), 'Points-Table'!$C$5,
                (Q148 = 'Points-Table'!$A$6), 'Points-Table'!$C$6,
                (Q148 = 'Points-Table'!$A$7), 'Points-Table'!$C$7,
                (Q148 = 'Points-Table'!$A$8), 'Points-Table'!$C$8,
                (Q148 = 'Points-Table'!$A$9), 'Points-Table'!$C$9,
                (Q148 = 'Points-Table'!$A$10), 'Points-Table'!$C$10,
                (Q148 = 'Points-Table'!$A$11), 'Points-Table'!$C$11,
                (Q148 = 'Points-Table'!$A$12), 'Points-Table'!$C$12,
                (Q148 = 'Points-Table'!$A$13), 'Points-Table'!$C$13,
                true, 0
              )
            </f>
      </c>
      <c r="S148" s="11"/>
      <c r="T148" s="12">
        <f>
              Ifs(
                (S148 = 'Points-Table'!$A$4), 'Points-Table'!$C$4,
                (S148 = 'Points-Table'!$A$5), 'Points-Table'!$C$5,
                (S148 = 'Points-Table'!$A$6), 'Points-Table'!$C$6,
                (S148 = 'Points-Table'!$A$7), 'Points-Table'!$C$7,
                (S148 = 'Points-Table'!$A$8), 'Points-Table'!$C$8,
                (S148 = 'Points-Table'!$A$9), 'Points-Table'!$C$9,
                (S148 = 'Points-Table'!$A$10), 'Points-Table'!$C$10,
                (S148 = 'Points-Table'!$A$11), 'Points-Table'!$C$11,
                (S148 = 'Points-Table'!$A$12), 'Points-Table'!$C$12,
                (S148 = 'Points-Table'!$A$13), 'Points-Table'!$C$13,
                true, 0
              )
            </f>
      </c>
      <c r="U148" s="11">
        <v>5</v>
      </c>
      <c r="V148" s="12">
        <f>
              Ifs(
                (U148 = 'Points-Table'!$A$4), 'Points-Table'!$C$4,
                (U148 = 'Points-Table'!$A$5), 'Points-Table'!$C$5,
                (U148 = 'Points-Table'!$A$6), 'Points-Table'!$C$6,
                (U148 = 'Points-Table'!$A$7), 'Points-Table'!$C$7,
                (U148 = 'Points-Table'!$A$8), 'Points-Table'!$C$8,
                (U148 = 'Points-Table'!$A$9), 'Points-Table'!$C$9,
                (U148 = 'Points-Table'!$A$10), 'Points-Table'!$C$10,
                (U148 = 'Points-Table'!$A$11), 'Points-Table'!$C$11,
                (U148 = 'Points-Table'!$A$12), 'Points-Table'!$C$12,
                (U148 = 'Points-Table'!$A$13), 'Points-Table'!$C$13,
                true, 0
              )
            </f>
      </c>
      <c r="W148" s="11">
        <v>1</v>
      </c>
      <c r="X148" s="12">
        <f>
              Ifs(
                (W148 = 'Points-Table'!$A$4), 'Points-Table'!$C$4,
                (W148 = 'Points-Table'!$A$5), 'Points-Table'!$C$5,
                (W148 = 'Points-Table'!$A$6), 'Points-Table'!$C$6,
                (W148 = 'Points-Table'!$A$7), 'Points-Table'!$C$7,
                (W148 = 'Points-Table'!$A$8), 'Points-Table'!$C$8,
                (W148 = 'Points-Table'!$A$9), 'Points-Table'!$C$9,
                (W148 = 'Points-Table'!$A$10), 'Points-Table'!$C$10,
                (W148 = 'Points-Table'!$A$11), 'Points-Table'!$C$11,
                (W148 = 'Points-Table'!$A$12), 'Points-Table'!$C$12,
                (W148 = 'Points-Table'!$A$13), 'Points-Table'!$C$13,
                true, 0
              )
            </f>
      </c>
      <c r="Y148" s="11">
        <v>5</v>
      </c>
      <c r="Z148" s="12">
        <f>
              Ifs(
                (Y148 = 'Points-Table'!$A$4), 'Points-Table'!$C$4,
                (Y148 = 'Points-Table'!$A$5), 'Points-Table'!$C$5,
                (Y148 = 'Points-Table'!$A$6), 'Points-Table'!$C$6,
                (Y148 = 'Points-Table'!$A$7), 'Points-Table'!$C$7,
                (Y148 = 'Points-Table'!$A$8), 'Points-Table'!$C$8,
                (Y148 = 'Points-Table'!$A$9), 'Points-Table'!$C$9,
                (Y148 = 'Points-Table'!$A$10), 'Points-Table'!$C$10,
                (Y148 = 'Points-Table'!$A$11), 'Points-Table'!$C$11,
                (Y148 = 'Points-Table'!$A$12), 'Points-Table'!$C$12,
                (Y148 = 'Points-Table'!$A$13), 'Points-Table'!$C$13,
                true, 0
              )
            </f>
      </c>
      <c r="AA148" s="6">
        <f>SUM(V148,X148,Z148)</f>
      </c>
      <c r="AB148" s="6">
        <f>
      Ifs( 
        ISBETWEEN(AA148, 0, 'Points-Table'!C$20, TRUE, False), 'Points-Table'!A$20,
        ISBETWEEN(AA148, 'Points-Table'!C$20, 'Points-Table'!C$21, TRUE, False), 'Points-Table'!A$21,
        ISBETWEEN(AA148, 'Points-Table'!C$22, 10000, TRUE, TRUE), 'Points-Table'!A$22,
        true, 
        0)
      </f>
      </c>
      <c r="AC148" s="6" t="s">
        <v>56</v>
      </c>
      <c r="AD148" s="6" t="s">
        <v>56</v>
      </c>
      <c r="AE148" s="6" t="s">
        <v>56</v>
      </c>
    </row>
    <row r="149" spans="1:31" s="6" customFormat="1" x14ac:dyDescent="0.25">
      <c r="A149" s="6" t="s">
        <v>387</v>
      </c>
      <c r="B149" s="6" t="s">
        <v>399</v>
      </c>
      <c r="C149" s="6" t="s">
        <v>402</v>
      </c>
      <c r="D149" s="6"/>
      <c r="E149" s="6"/>
      <c r="F149" s="6"/>
      <c r="G149" s="6"/>
      <c r="H149" s="6"/>
      <c r="I149" s="6"/>
      <c r="J149" s="6"/>
      <c r="K149" s="6" t="s">
        <v>84</v>
      </c>
      <c r="L149" s="6" t="s">
        <v>85</v>
      </c>
      <c r="M149" s="6"/>
      <c r="N149" s="6"/>
      <c r="O149" s="6"/>
      <c r="P149" s="6"/>
      <c r="Q149" s="11"/>
      <c r="R149" s="12">
        <f>
              Ifs(
                (Q149 = 'Points-Table'!$A$4), 'Points-Table'!$C$4,
                (Q149 = 'Points-Table'!$A$5), 'Points-Table'!$C$5,
                (Q149 = 'Points-Table'!$A$6), 'Points-Table'!$C$6,
                (Q149 = 'Points-Table'!$A$7), 'Points-Table'!$C$7,
                (Q149 = 'Points-Table'!$A$8), 'Points-Table'!$C$8,
                (Q149 = 'Points-Table'!$A$9), 'Points-Table'!$C$9,
                (Q149 = 'Points-Table'!$A$10), 'Points-Table'!$C$10,
                (Q149 = 'Points-Table'!$A$11), 'Points-Table'!$C$11,
                (Q149 = 'Points-Table'!$A$12), 'Points-Table'!$C$12,
                (Q149 = 'Points-Table'!$A$13), 'Points-Table'!$C$13,
                true, 0
              )
            </f>
      </c>
      <c r="S149" s="11"/>
      <c r="T149" s="12">
        <f>
              Ifs(
                (S149 = 'Points-Table'!$A$4), 'Points-Table'!$C$4,
                (S149 = 'Points-Table'!$A$5), 'Points-Table'!$C$5,
                (S149 = 'Points-Table'!$A$6), 'Points-Table'!$C$6,
                (S149 = 'Points-Table'!$A$7), 'Points-Table'!$C$7,
                (S149 = 'Points-Table'!$A$8), 'Points-Table'!$C$8,
                (S149 = 'Points-Table'!$A$9), 'Points-Table'!$C$9,
                (S149 = 'Points-Table'!$A$10), 'Points-Table'!$C$10,
                (S149 = 'Points-Table'!$A$11), 'Points-Table'!$C$11,
                (S149 = 'Points-Table'!$A$12), 'Points-Table'!$C$12,
                (S149 = 'Points-Table'!$A$13), 'Points-Table'!$C$13,
                true, 0
              )
            </f>
      </c>
      <c r="U149" s="11">
        <v>3</v>
      </c>
      <c r="V149" s="12">
        <f>
              Ifs(
                (U149 = 'Points-Table'!$A$4), 'Points-Table'!$C$4,
                (U149 = 'Points-Table'!$A$5), 'Points-Table'!$C$5,
                (U149 = 'Points-Table'!$A$6), 'Points-Table'!$C$6,
                (U149 = 'Points-Table'!$A$7), 'Points-Table'!$C$7,
                (U149 = 'Points-Table'!$A$8), 'Points-Table'!$C$8,
                (U149 = 'Points-Table'!$A$9), 'Points-Table'!$C$9,
                (U149 = 'Points-Table'!$A$10), 'Points-Table'!$C$10,
                (U149 = 'Points-Table'!$A$11), 'Points-Table'!$C$11,
                (U149 = 'Points-Table'!$A$12), 'Points-Table'!$C$12,
                (U149 = 'Points-Table'!$A$13), 'Points-Table'!$C$13,
                true, 0
              )
            </f>
      </c>
      <c r="W149" s="11">
        <v>1</v>
      </c>
      <c r="X149" s="12">
        <f>
              Ifs(
                (W149 = 'Points-Table'!$A$4), 'Points-Table'!$C$4,
                (W149 = 'Points-Table'!$A$5), 'Points-Table'!$C$5,
                (W149 = 'Points-Table'!$A$6), 'Points-Table'!$C$6,
                (W149 = 'Points-Table'!$A$7), 'Points-Table'!$C$7,
                (W149 = 'Points-Table'!$A$8), 'Points-Table'!$C$8,
                (W149 = 'Points-Table'!$A$9), 'Points-Table'!$C$9,
                (W149 = 'Points-Table'!$A$10), 'Points-Table'!$C$10,
                (W149 = 'Points-Table'!$A$11), 'Points-Table'!$C$11,
                (W149 = 'Points-Table'!$A$12), 'Points-Table'!$C$12,
                (W149 = 'Points-Table'!$A$13), 'Points-Table'!$C$13,
                true, 0
              )
            </f>
      </c>
      <c r="Y149" s="11">
        <v>5</v>
      </c>
      <c r="Z149" s="12">
        <f>
              Ifs(
                (Y149 = 'Points-Table'!$A$4), 'Points-Table'!$C$4,
                (Y149 = 'Points-Table'!$A$5), 'Points-Table'!$C$5,
                (Y149 = 'Points-Table'!$A$6), 'Points-Table'!$C$6,
                (Y149 = 'Points-Table'!$A$7), 'Points-Table'!$C$7,
                (Y149 = 'Points-Table'!$A$8), 'Points-Table'!$C$8,
                (Y149 = 'Points-Table'!$A$9), 'Points-Table'!$C$9,
                (Y149 = 'Points-Table'!$A$10), 'Points-Table'!$C$10,
                (Y149 = 'Points-Table'!$A$11), 'Points-Table'!$C$11,
                (Y149 = 'Points-Table'!$A$12), 'Points-Table'!$C$12,
                (Y149 = 'Points-Table'!$A$13), 'Points-Table'!$C$13,
                true, 0
              )
            </f>
      </c>
      <c r="AA149" s="6">
        <f>SUM(V149,X149,Z149)</f>
      </c>
      <c r="AB149" s="6">
        <f>
      Ifs( 
        ISBETWEEN(AA149, 0, 'Points-Table'!C$20, TRUE, False), 'Points-Table'!A$20,
        ISBETWEEN(AA149, 'Points-Table'!C$20, 'Points-Table'!C$21, TRUE, False), 'Points-Table'!A$21,
        ISBETWEEN(AA149, 'Points-Table'!C$22, 10000, TRUE, TRUE), 'Points-Table'!A$22,
        true, 
        0)
      </f>
      </c>
      <c r="AC149" s="6" t="s">
        <v>56</v>
      </c>
      <c r="AD149" s="6" t="s">
        <v>56</v>
      </c>
      <c r="AE149" s="6" t="s">
        <v>56</v>
      </c>
    </row>
    <row r="150" spans="1:31" s="6" customFormat="1" x14ac:dyDescent="0.25">
      <c r="A150" s="6" t="s">
        <v>387</v>
      </c>
      <c r="B150" s="6" t="s">
        <v>399</v>
      </c>
      <c r="C150" s="6" t="s">
        <v>403</v>
      </c>
      <c r="D150" s="6"/>
      <c r="E150" s="6"/>
      <c r="F150" s="6"/>
      <c r="G150" s="6"/>
      <c r="H150" s="6"/>
      <c r="I150" s="6"/>
      <c r="J150" s="6"/>
      <c r="K150" s="6" t="s">
        <v>84</v>
      </c>
      <c r="L150" s="6" t="s">
        <v>85</v>
      </c>
      <c r="M150" s="6"/>
      <c r="N150" s="6"/>
      <c r="O150" s="6"/>
      <c r="P150" s="6"/>
      <c r="Q150" s="11"/>
      <c r="R150" s="12">
        <f>
              Ifs(
                (Q150 = 'Points-Table'!$A$4), 'Points-Table'!$C$4,
                (Q150 = 'Points-Table'!$A$5), 'Points-Table'!$C$5,
                (Q150 = 'Points-Table'!$A$6), 'Points-Table'!$C$6,
                (Q150 = 'Points-Table'!$A$7), 'Points-Table'!$C$7,
                (Q150 = 'Points-Table'!$A$8), 'Points-Table'!$C$8,
                (Q150 = 'Points-Table'!$A$9), 'Points-Table'!$C$9,
                (Q150 = 'Points-Table'!$A$10), 'Points-Table'!$C$10,
                (Q150 = 'Points-Table'!$A$11), 'Points-Table'!$C$11,
                (Q150 = 'Points-Table'!$A$12), 'Points-Table'!$C$12,
                (Q150 = 'Points-Table'!$A$13), 'Points-Table'!$C$13,
                true, 0
              )
            </f>
      </c>
      <c r="S150" s="11"/>
      <c r="T150" s="12">
        <f>
              Ifs(
                (S150 = 'Points-Table'!$A$4), 'Points-Table'!$C$4,
                (S150 = 'Points-Table'!$A$5), 'Points-Table'!$C$5,
                (S150 = 'Points-Table'!$A$6), 'Points-Table'!$C$6,
                (S150 = 'Points-Table'!$A$7), 'Points-Table'!$C$7,
                (S150 = 'Points-Table'!$A$8), 'Points-Table'!$C$8,
                (S150 = 'Points-Table'!$A$9), 'Points-Table'!$C$9,
                (S150 = 'Points-Table'!$A$10), 'Points-Table'!$C$10,
                (S150 = 'Points-Table'!$A$11), 'Points-Table'!$C$11,
                (S150 = 'Points-Table'!$A$12), 'Points-Table'!$C$12,
                (S150 = 'Points-Table'!$A$13), 'Points-Table'!$C$13,
                true, 0
              )
            </f>
      </c>
      <c r="U150" s="11">
        <v>5</v>
      </c>
      <c r="V150" s="12">
        <f>
              Ifs(
                (U150 = 'Points-Table'!$A$4), 'Points-Table'!$C$4,
                (U150 = 'Points-Table'!$A$5), 'Points-Table'!$C$5,
                (U150 = 'Points-Table'!$A$6), 'Points-Table'!$C$6,
                (U150 = 'Points-Table'!$A$7), 'Points-Table'!$C$7,
                (U150 = 'Points-Table'!$A$8), 'Points-Table'!$C$8,
                (U150 = 'Points-Table'!$A$9), 'Points-Table'!$C$9,
                (U150 = 'Points-Table'!$A$10), 'Points-Table'!$C$10,
                (U150 = 'Points-Table'!$A$11), 'Points-Table'!$C$11,
                (U150 = 'Points-Table'!$A$12), 'Points-Table'!$C$12,
                (U150 = 'Points-Table'!$A$13), 'Points-Table'!$C$13,
                true, 0
              )
            </f>
      </c>
      <c r="W150" s="11">
        <v>1</v>
      </c>
      <c r="X150" s="12">
        <f>
              Ifs(
                (W150 = 'Points-Table'!$A$4), 'Points-Table'!$C$4,
                (W150 = 'Points-Table'!$A$5), 'Points-Table'!$C$5,
                (W150 = 'Points-Table'!$A$6), 'Points-Table'!$C$6,
                (W150 = 'Points-Table'!$A$7), 'Points-Table'!$C$7,
                (W150 = 'Points-Table'!$A$8), 'Points-Table'!$C$8,
                (W150 = 'Points-Table'!$A$9), 'Points-Table'!$C$9,
                (W150 = 'Points-Table'!$A$10), 'Points-Table'!$C$10,
                (W150 = 'Points-Table'!$A$11), 'Points-Table'!$C$11,
                (W150 = 'Points-Table'!$A$12), 'Points-Table'!$C$12,
                (W150 = 'Points-Table'!$A$13), 'Points-Table'!$C$13,
                true, 0
              )
            </f>
      </c>
      <c r="Y150" s="11">
        <v>5</v>
      </c>
      <c r="Z150" s="12">
        <f>
              Ifs(
                (Y150 = 'Points-Table'!$A$4), 'Points-Table'!$C$4,
                (Y150 = 'Points-Table'!$A$5), 'Points-Table'!$C$5,
                (Y150 = 'Points-Table'!$A$6), 'Points-Table'!$C$6,
                (Y150 = 'Points-Table'!$A$7), 'Points-Table'!$C$7,
                (Y150 = 'Points-Table'!$A$8), 'Points-Table'!$C$8,
                (Y150 = 'Points-Table'!$A$9), 'Points-Table'!$C$9,
                (Y150 = 'Points-Table'!$A$10), 'Points-Table'!$C$10,
                (Y150 = 'Points-Table'!$A$11), 'Points-Table'!$C$11,
                (Y150 = 'Points-Table'!$A$12), 'Points-Table'!$C$12,
                (Y150 = 'Points-Table'!$A$13), 'Points-Table'!$C$13,
                true, 0
              )
            </f>
      </c>
      <c r="AA150" s="6">
        <f>SUM(V150,X150,Z150)</f>
      </c>
      <c r="AB150" s="6">
        <f>
      Ifs( 
        ISBETWEEN(AA150, 0, 'Points-Table'!C$20, TRUE, False), 'Points-Table'!A$20,
        ISBETWEEN(AA150, 'Points-Table'!C$20, 'Points-Table'!C$21, TRUE, False), 'Points-Table'!A$21,
        ISBETWEEN(AA150, 'Points-Table'!C$22, 10000, TRUE, TRUE), 'Points-Table'!A$22,
        true, 
        0)
      </f>
      </c>
      <c r="AC150" s="6" t="s">
        <v>56</v>
      </c>
      <c r="AD150" s="6" t="s">
        <v>56</v>
      </c>
      <c r="AE150" s="6" t="s">
        <v>56</v>
      </c>
    </row>
    <row r="151" spans="1:31" s="6" customFormat="1" x14ac:dyDescent="0.25">
      <c r="A151" s="6" t="s">
        <v>387</v>
      </c>
      <c r="B151" s="6" t="s">
        <v>404</v>
      </c>
      <c r="D151" s="6"/>
      <c r="E151" s="6"/>
      <c r="F151" s="6" t="s">
        <v>405</v>
      </c>
      <c r="G151" s="6"/>
      <c r="H151" s="6"/>
      <c r="I151" s="6"/>
      <c r="J151" s="6"/>
      <c r="K151" s="6" t="s">
        <v>84</v>
      </c>
      <c r="L151" s="6" t="s">
        <v>85</v>
      </c>
      <c r="M151" s="6"/>
      <c r="N151" s="6"/>
      <c r="O151" s="6"/>
      <c r="P151" s="6"/>
      <c r="Q151" s="11"/>
      <c r="R151" s="12">
        <f>
              Ifs(
                (Q151 = 'Points-Table'!$A$4), 'Points-Table'!$C$4,
                (Q151 = 'Points-Table'!$A$5), 'Points-Table'!$C$5,
                (Q151 = 'Points-Table'!$A$6), 'Points-Table'!$C$6,
                (Q151 = 'Points-Table'!$A$7), 'Points-Table'!$C$7,
                (Q151 = 'Points-Table'!$A$8), 'Points-Table'!$C$8,
                (Q151 = 'Points-Table'!$A$9), 'Points-Table'!$C$9,
                (Q151 = 'Points-Table'!$A$10), 'Points-Table'!$C$10,
                (Q151 = 'Points-Table'!$A$11), 'Points-Table'!$C$11,
                (Q151 = 'Points-Table'!$A$12), 'Points-Table'!$C$12,
                (Q151 = 'Points-Table'!$A$13), 'Points-Table'!$C$13,
                true, 0
              )
            </f>
      </c>
      <c r="S151" s="11"/>
      <c r="T151" s="12">
        <f>
              Ifs(
                (S151 = 'Points-Table'!$A$4), 'Points-Table'!$C$4,
                (S151 = 'Points-Table'!$A$5), 'Points-Table'!$C$5,
                (S151 = 'Points-Table'!$A$6), 'Points-Table'!$C$6,
                (S151 = 'Points-Table'!$A$7), 'Points-Table'!$C$7,
                (S151 = 'Points-Table'!$A$8), 'Points-Table'!$C$8,
                (S151 = 'Points-Table'!$A$9), 'Points-Table'!$C$9,
                (S151 = 'Points-Table'!$A$10), 'Points-Table'!$C$10,
                (S151 = 'Points-Table'!$A$11), 'Points-Table'!$C$11,
                (S151 = 'Points-Table'!$A$12), 'Points-Table'!$C$12,
                (S151 = 'Points-Table'!$A$13), 'Points-Table'!$C$13,
                true, 0
              )
            </f>
      </c>
      <c r="U151" s="11">
        <v>3</v>
      </c>
      <c r="V151" s="12">
        <f>
              Ifs(
                (U151 = 'Points-Table'!$A$4), 'Points-Table'!$C$4,
                (U151 = 'Points-Table'!$A$5), 'Points-Table'!$C$5,
                (U151 = 'Points-Table'!$A$6), 'Points-Table'!$C$6,
                (U151 = 'Points-Table'!$A$7), 'Points-Table'!$C$7,
                (U151 = 'Points-Table'!$A$8), 'Points-Table'!$C$8,
                (U151 = 'Points-Table'!$A$9), 'Points-Table'!$C$9,
                (U151 = 'Points-Table'!$A$10), 'Points-Table'!$C$10,
                (U151 = 'Points-Table'!$A$11), 'Points-Table'!$C$11,
                (U151 = 'Points-Table'!$A$12), 'Points-Table'!$C$12,
                (U151 = 'Points-Table'!$A$13), 'Points-Table'!$C$13,
                true, 0
              )
            </f>
      </c>
      <c r="W151" s="11">
        <v>3</v>
      </c>
      <c r="X151" s="12">
        <f>
              Ifs(
                (W151 = 'Points-Table'!$A$4), 'Points-Table'!$C$4,
                (W151 = 'Points-Table'!$A$5), 'Points-Table'!$C$5,
                (W151 = 'Points-Table'!$A$6), 'Points-Table'!$C$6,
                (W151 = 'Points-Table'!$A$7), 'Points-Table'!$C$7,
                (W151 = 'Points-Table'!$A$8), 'Points-Table'!$C$8,
                (W151 = 'Points-Table'!$A$9), 'Points-Table'!$C$9,
                (W151 = 'Points-Table'!$A$10), 'Points-Table'!$C$10,
                (W151 = 'Points-Table'!$A$11), 'Points-Table'!$C$11,
                (W151 = 'Points-Table'!$A$12), 'Points-Table'!$C$12,
                (W151 = 'Points-Table'!$A$13), 'Points-Table'!$C$13,
                true, 0
              )
            </f>
      </c>
      <c r="Y151" s="11">
        <v>8</v>
      </c>
      <c r="Z151" s="12">
        <f>
              Ifs(
                (Y151 = 'Points-Table'!$A$4), 'Points-Table'!$C$4,
                (Y151 = 'Points-Table'!$A$5), 'Points-Table'!$C$5,
                (Y151 = 'Points-Table'!$A$6), 'Points-Table'!$C$6,
                (Y151 = 'Points-Table'!$A$7), 'Points-Table'!$C$7,
                (Y151 = 'Points-Table'!$A$8), 'Points-Table'!$C$8,
                (Y151 = 'Points-Table'!$A$9), 'Points-Table'!$C$9,
                (Y151 = 'Points-Table'!$A$10), 'Points-Table'!$C$10,
                (Y151 = 'Points-Table'!$A$11), 'Points-Table'!$C$11,
                (Y151 = 'Points-Table'!$A$12), 'Points-Table'!$C$12,
                (Y151 = 'Points-Table'!$A$13), 'Points-Table'!$C$13,
                true, 0
              )
            </f>
      </c>
      <c r="AA151" s="6">
        <f>SUM(V151,X151,Z151)</f>
      </c>
      <c r="AB151" s="6">
        <f>
      Ifs( 
        ISBETWEEN(AA151, 0, 'Points-Table'!C$20, TRUE, False), 'Points-Table'!A$20,
        ISBETWEEN(AA151, 'Points-Table'!C$20, 'Points-Table'!C$21, TRUE, False), 'Points-Table'!A$21,
        ISBETWEEN(AA151, 'Points-Table'!C$22, 10000, TRUE, TRUE), 'Points-Table'!A$22,
        true, 
        0)
      </f>
      </c>
      <c r="AC151" s="6" t="s">
        <v>56</v>
      </c>
      <c r="AD151" s="6" t="s">
        <v>56</v>
      </c>
      <c r="AE151" s="6" t="s">
        <v>56</v>
      </c>
    </row>
    <row r="152" spans="1:31" s="6" customFormat="1" x14ac:dyDescent="0.25">
      <c r="A152" s="6" t="s">
        <v>387</v>
      </c>
      <c r="B152" s="6" t="s">
        <v>406</v>
      </c>
      <c r="C152" s="6" t="s">
        <v>407</v>
      </c>
      <c r="D152" s="6"/>
      <c r="E152" s="6"/>
      <c r="F152" s="6" t="s">
        <v>408</v>
      </c>
      <c r="G152" s="6"/>
      <c r="H152" s="6"/>
      <c r="I152" s="6"/>
      <c r="J152" s="6"/>
      <c r="K152" s="6" t="s">
        <v>84</v>
      </c>
      <c r="L152" s="6" t="s">
        <v>85</v>
      </c>
      <c r="M152" s="6"/>
      <c r="N152" s="6"/>
      <c r="O152" s="6"/>
      <c r="P152" s="6"/>
      <c r="Q152" s="11"/>
      <c r="R152" s="12">
        <f>
              Ifs(
                (Q152 = 'Points-Table'!$A$4), 'Points-Table'!$C$4,
                (Q152 = 'Points-Table'!$A$5), 'Points-Table'!$C$5,
                (Q152 = 'Points-Table'!$A$6), 'Points-Table'!$C$6,
                (Q152 = 'Points-Table'!$A$7), 'Points-Table'!$C$7,
                (Q152 = 'Points-Table'!$A$8), 'Points-Table'!$C$8,
                (Q152 = 'Points-Table'!$A$9), 'Points-Table'!$C$9,
                (Q152 = 'Points-Table'!$A$10), 'Points-Table'!$C$10,
                (Q152 = 'Points-Table'!$A$11), 'Points-Table'!$C$11,
                (Q152 = 'Points-Table'!$A$12), 'Points-Table'!$C$12,
                (Q152 = 'Points-Table'!$A$13), 'Points-Table'!$C$13,
                true, 0
              )
            </f>
      </c>
      <c r="S152" s="11"/>
      <c r="T152" s="12">
        <f>
              Ifs(
                (S152 = 'Points-Table'!$A$4), 'Points-Table'!$C$4,
                (S152 = 'Points-Table'!$A$5), 'Points-Table'!$C$5,
                (S152 = 'Points-Table'!$A$6), 'Points-Table'!$C$6,
                (S152 = 'Points-Table'!$A$7), 'Points-Table'!$C$7,
                (S152 = 'Points-Table'!$A$8), 'Points-Table'!$C$8,
                (S152 = 'Points-Table'!$A$9), 'Points-Table'!$C$9,
                (S152 = 'Points-Table'!$A$10), 'Points-Table'!$C$10,
                (S152 = 'Points-Table'!$A$11), 'Points-Table'!$C$11,
                (S152 = 'Points-Table'!$A$12), 'Points-Table'!$C$12,
                (S152 = 'Points-Table'!$A$13), 'Points-Table'!$C$13,
                true, 0
              )
            </f>
      </c>
      <c r="U152" s="11">
        <v>0</v>
      </c>
      <c r="V152" s="12">
        <f>
              Ifs(
                (U152 = 'Points-Table'!$A$4), 'Points-Table'!$C$4,
                (U152 = 'Points-Table'!$A$5), 'Points-Table'!$C$5,
                (U152 = 'Points-Table'!$A$6), 'Points-Table'!$C$6,
                (U152 = 'Points-Table'!$A$7), 'Points-Table'!$C$7,
                (U152 = 'Points-Table'!$A$8), 'Points-Table'!$C$8,
                (U152 = 'Points-Table'!$A$9), 'Points-Table'!$C$9,
                (U152 = 'Points-Table'!$A$10), 'Points-Table'!$C$10,
                (U152 = 'Points-Table'!$A$11), 'Points-Table'!$C$11,
                (U152 = 'Points-Table'!$A$12), 'Points-Table'!$C$12,
                (U152 = 'Points-Table'!$A$13), 'Points-Table'!$C$13,
                true, 0
              )
            </f>
      </c>
      <c r="W152" s="11">
        <v>0</v>
      </c>
      <c r="X152" s="12">
        <f>
              Ifs(
                (W152 = 'Points-Table'!$A$4), 'Points-Table'!$C$4,
                (W152 = 'Points-Table'!$A$5), 'Points-Table'!$C$5,
                (W152 = 'Points-Table'!$A$6), 'Points-Table'!$C$6,
                (W152 = 'Points-Table'!$A$7), 'Points-Table'!$C$7,
                (W152 = 'Points-Table'!$A$8), 'Points-Table'!$C$8,
                (W152 = 'Points-Table'!$A$9), 'Points-Table'!$C$9,
                (W152 = 'Points-Table'!$A$10), 'Points-Table'!$C$10,
                (W152 = 'Points-Table'!$A$11), 'Points-Table'!$C$11,
                (W152 = 'Points-Table'!$A$12), 'Points-Table'!$C$12,
                (W152 = 'Points-Table'!$A$13), 'Points-Table'!$C$13,
                true, 0
              )
            </f>
      </c>
      <c r="Y152" s="11">
        <v>8</v>
      </c>
      <c r="Z152" s="12">
        <f>
              Ifs(
                (Y152 = 'Points-Table'!$A$4), 'Points-Table'!$C$4,
                (Y152 = 'Points-Table'!$A$5), 'Points-Table'!$C$5,
                (Y152 = 'Points-Table'!$A$6), 'Points-Table'!$C$6,
                (Y152 = 'Points-Table'!$A$7), 'Points-Table'!$C$7,
                (Y152 = 'Points-Table'!$A$8), 'Points-Table'!$C$8,
                (Y152 = 'Points-Table'!$A$9), 'Points-Table'!$C$9,
                (Y152 = 'Points-Table'!$A$10), 'Points-Table'!$C$10,
                (Y152 = 'Points-Table'!$A$11), 'Points-Table'!$C$11,
                (Y152 = 'Points-Table'!$A$12), 'Points-Table'!$C$12,
                (Y152 = 'Points-Table'!$A$13), 'Points-Table'!$C$13,
                true, 0
              )
            </f>
      </c>
      <c r="AA152" s="6">
        <f>SUM(V152,X152,Z152)</f>
      </c>
      <c r="AB152" s="6">
        <f>
      Ifs( 
        ISBETWEEN(AA152, 0, 'Points-Table'!C$20, TRUE, False), 'Points-Table'!A$20,
        ISBETWEEN(AA152, 'Points-Table'!C$20, 'Points-Table'!C$21, TRUE, False), 'Points-Table'!A$21,
        ISBETWEEN(AA152, 'Points-Table'!C$22, 10000, TRUE, TRUE), 'Points-Table'!A$22,
        true, 
        0)
      </f>
      </c>
      <c r="AC152" s="6" t="s">
        <v>56</v>
      </c>
      <c r="AD152" s="6" t="s">
        <v>56</v>
      </c>
      <c r="AE152" s="6" t="s">
        <v>56</v>
      </c>
    </row>
    <row r="153" spans="1:31" s="6" customFormat="1" x14ac:dyDescent="0.25">
      <c r="A153" s="6" t="s">
        <v>387</v>
      </c>
      <c r="B153" s="6" t="s">
        <v>406</v>
      </c>
      <c r="C153" s="6" t="s">
        <v>409</v>
      </c>
      <c r="D153" s="6"/>
      <c r="E153" s="6"/>
      <c r="F153" s="6"/>
      <c r="G153" s="6"/>
      <c r="H153" s="6"/>
      <c r="I153" s="6"/>
      <c r="J153" s="6"/>
      <c r="K153" s="6" t="s">
        <v>84</v>
      </c>
      <c r="L153" s="6" t="s">
        <v>85</v>
      </c>
      <c r="M153" s="6"/>
      <c r="N153" s="6"/>
      <c r="O153" s="6"/>
      <c r="P153" s="6"/>
      <c r="Q153" s="11"/>
      <c r="R153" s="12">
        <f>
              Ifs(
                (Q153 = 'Points-Table'!$A$4), 'Points-Table'!$C$4,
                (Q153 = 'Points-Table'!$A$5), 'Points-Table'!$C$5,
                (Q153 = 'Points-Table'!$A$6), 'Points-Table'!$C$6,
                (Q153 = 'Points-Table'!$A$7), 'Points-Table'!$C$7,
                (Q153 = 'Points-Table'!$A$8), 'Points-Table'!$C$8,
                (Q153 = 'Points-Table'!$A$9), 'Points-Table'!$C$9,
                (Q153 = 'Points-Table'!$A$10), 'Points-Table'!$C$10,
                (Q153 = 'Points-Table'!$A$11), 'Points-Table'!$C$11,
                (Q153 = 'Points-Table'!$A$12), 'Points-Table'!$C$12,
                (Q153 = 'Points-Table'!$A$13), 'Points-Table'!$C$13,
                true, 0
              )
            </f>
      </c>
      <c r="S153" s="11"/>
      <c r="T153" s="12">
        <f>
              Ifs(
                (S153 = 'Points-Table'!$A$4), 'Points-Table'!$C$4,
                (S153 = 'Points-Table'!$A$5), 'Points-Table'!$C$5,
                (S153 = 'Points-Table'!$A$6), 'Points-Table'!$C$6,
                (S153 = 'Points-Table'!$A$7), 'Points-Table'!$C$7,
                (S153 = 'Points-Table'!$A$8), 'Points-Table'!$C$8,
                (S153 = 'Points-Table'!$A$9), 'Points-Table'!$C$9,
                (S153 = 'Points-Table'!$A$10), 'Points-Table'!$C$10,
                (S153 = 'Points-Table'!$A$11), 'Points-Table'!$C$11,
                (S153 = 'Points-Table'!$A$12), 'Points-Table'!$C$12,
                (S153 = 'Points-Table'!$A$13), 'Points-Table'!$C$13,
                true, 0
              )
            </f>
      </c>
      <c r="U153" s="11">
        <v>2</v>
      </c>
      <c r="V153" s="12">
        <f>
              Ifs(
                (U153 = 'Points-Table'!$A$4), 'Points-Table'!$C$4,
                (U153 = 'Points-Table'!$A$5), 'Points-Table'!$C$5,
                (U153 = 'Points-Table'!$A$6), 'Points-Table'!$C$6,
                (U153 = 'Points-Table'!$A$7), 'Points-Table'!$C$7,
                (U153 = 'Points-Table'!$A$8), 'Points-Table'!$C$8,
                (U153 = 'Points-Table'!$A$9), 'Points-Table'!$C$9,
                (U153 = 'Points-Table'!$A$10), 'Points-Table'!$C$10,
                (U153 = 'Points-Table'!$A$11), 'Points-Table'!$C$11,
                (U153 = 'Points-Table'!$A$12), 'Points-Table'!$C$12,
                (U153 = 'Points-Table'!$A$13), 'Points-Table'!$C$13,
                true, 0
              )
            </f>
      </c>
      <c r="W153" s="11">
        <v>1</v>
      </c>
      <c r="X153" s="12">
        <f>
              Ifs(
                (W153 = 'Points-Table'!$A$4), 'Points-Table'!$C$4,
                (W153 = 'Points-Table'!$A$5), 'Points-Table'!$C$5,
                (W153 = 'Points-Table'!$A$6), 'Points-Table'!$C$6,
                (W153 = 'Points-Table'!$A$7), 'Points-Table'!$C$7,
                (W153 = 'Points-Table'!$A$8), 'Points-Table'!$C$8,
                (W153 = 'Points-Table'!$A$9), 'Points-Table'!$C$9,
                (W153 = 'Points-Table'!$A$10), 'Points-Table'!$C$10,
                (W153 = 'Points-Table'!$A$11), 'Points-Table'!$C$11,
                (W153 = 'Points-Table'!$A$12), 'Points-Table'!$C$12,
                (W153 = 'Points-Table'!$A$13), 'Points-Table'!$C$13,
                true, 0
              )
            </f>
      </c>
      <c r="Y153" s="11">
        <v>2</v>
      </c>
      <c r="Z153" s="12">
        <f>
              Ifs(
                (Y153 = 'Points-Table'!$A$4), 'Points-Table'!$C$4,
                (Y153 = 'Points-Table'!$A$5), 'Points-Table'!$C$5,
                (Y153 = 'Points-Table'!$A$6), 'Points-Table'!$C$6,
                (Y153 = 'Points-Table'!$A$7), 'Points-Table'!$C$7,
                (Y153 = 'Points-Table'!$A$8), 'Points-Table'!$C$8,
                (Y153 = 'Points-Table'!$A$9), 'Points-Table'!$C$9,
                (Y153 = 'Points-Table'!$A$10), 'Points-Table'!$C$10,
                (Y153 = 'Points-Table'!$A$11), 'Points-Table'!$C$11,
                (Y153 = 'Points-Table'!$A$12), 'Points-Table'!$C$12,
                (Y153 = 'Points-Table'!$A$13), 'Points-Table'!$C$13,
                true, 0
              )
            </f>
      </c>
      <c r="AA153" s="6">
        <f>SUM(V153,X153,Z153)</f>
      </c>
      <c r="AB153" s="6">
        <f>
      Ifs( 
        ISBETWEEN(AA153, 0, 'Points-Table'!C$20, TRUE, False), 'Points-Table'!A$20,
        ISBETWEEN(AA153, 'Points-Table'!C$20, 'Points-Table'!C$21, TRUE, False), 'Points-Table'!A$21,
        ISBETWEEN(AA153, 'Points-Table'!C$22, 10000, TRUE, TRUE), 'Points-Table'!A$22,
        true, 
        0)
      </f>
      </c>
      <c r="AC153" s="6" t="s">
        <v>56</v>
      </c>
      <c r="AD153" s="6" t="s">
        <v>56</v>
      </c>
      <c r="AE153" s="6" t="s">
        <v>56</v>
      </c>
    </row>
    <row r="154" spans="1:31" s="6" customFormat="1" x14ac:dyDescent="0.25">
      <c r="A154" s="6" t="s">
        <v>387</v>
      </c>
      <c r="B154" s="6" t="s">
        <v>406</v>
      </c>
      <c r="C154" s="6" t="s">
        <v>410</v>
      </c>
      <c r="D154" s="6"/>
      <c r="E154" s="6"/>
      <c r="F154" s="6"/>
      <c r="G154" s="6"/>
      <c r="H154" s="6"/>
      <c r="I154" s="6"/>
      <c r="J154" s="6"/>
      <c r="K154" s="6" t="s">
        <v>84</v>
      </c>
      <c r="L154" s="6" t="s">
        <v>85</v>
      </c>
      <c r="M154" s="6"/>
      <c r="N154" s="6"/>
      <c r="O154" s="6"/>
      <c r="P154" s="6"/>
      <c r="Q154" s="11"/>
      <c r="R154" s="12">
        <f>
              Ifs(
                (Q154 = 'Points-Table'!$A$4), 'Points-Table'!$C$4,
                (Q154 = 'Points-Table'!$A$5), 'Points-Table'!$C$5,
                (Q154 = 'Points-Table'!$A$6), 'Points-Table'!$C$6,
                (Q154 = 'Points-Table'!$A$7), 'Points-Table'!$C$7,
                (Q154 = 'Points-Table'!$A$8), 'Points-Table'!$C$8,
                (Q154 = 'Points-Table'!$A$9), 'Points-Table'!$C$9,
                (Q154 = 'Points-Table'!$A$10), 'Points-Table'!$C$10,
                (Q154 = 'Points-Table'!$A$11), 'Points-Table'!$C$11,
                (Q154 = 'Points-Table'!$A$12), 'Points-Table'!$C$12,
                (Q154 = 'Points-Table'!$A$13), 'Points-Table'!$C$13,
                true, 0
              )
            </f>
      </c>
      <c r="S154" s="11"/>
      <c r="T154" s="12">
        <f>
              Ifs(
                (S154 = 'Points-Table'!$A$4), 'Points-Table'!$C$4,
                (S154 = 'Points-Table'!$A$5), 'Points-Table'!$C$5,
                (S154 = 'Points-Table'!$A$6), 'Points-Table'!$C$6,
                (S154 = 'Points-Table'!$A$7), 'Points-Table'!$C$7,
                (S154 = 'Points-Table'!$A$8), 'Points-Table'!$C$8,
                (S154 = 'Points-Table'!$A$9), 'Points-Table'!$C$9,
                (S154 = 'Points-Table'!$A$10), 'Points-Table'!$C$10,
                (S154 = 'Points-Table'!$A$11), 'Points-Table'!$C$11,
                (S154 = 'Points-Table'!$A$12), 'Points-Table'!$C$12,
                (S154 = 'Points-Table'!$A$13), 'Points-Table'!$C$13,
                true, 0
              )
            </f>
      </c>
      <c r="U154" s="11">
        <v>1</v>
      </c>
      <c r="V154" s="12">
        <f>
              Ifs(
                (U154 = 'Points-Table'!$A$4), 'Points-Table'!$C$4,
                (U154 = 'Points-Table'!$A$5), 'Points-Table'!$C$5,
                (U154 = 'Points-Table'!$A$6), 'Points-Table'!$C$6,
                (U154 = 'Points-Table'!$A$7), 'Points-Table'!$C$7,
                (U154 = 'Points-Table'!$A$8), 'Points-Table'!$C$8,
                (U154 = 'Points-Table'!$A$9), 'Points-Table'!$C$9,
                (U154 = 'Points-Table'!$A$10), 'Points-Table'!$C$10,
                (U154 = 'Points-Table'!$A$11), 'Points-Table'!$C$11,
                (U154 = 'Points-Table'!$A$12), 'Points-Table'!$C$12,
                (U154 = 'Points-Table'!$A$13), 'Points-Table'!$C$13,
                true, 0
              )
            </f>
      </c>
      <c r="W154" s="11">
        <v>1</v>
      </c>
      <c r="X154" s="12">
        <f>
              Ifs(
                (W154 = 'Points-Table'!$A$4), 'Points-Table'!$C$4,
                (W154 = 'Points-Table'!$A$5), 'Points-Table'!$C$5,
                (W154 = 'Points-Table'!$A$6), 'Points-Table'!$C$6,
                (W154 = 'Points-Table'!$A$7), 'Points-Table'!$C$7,
                (W154 = 'Points-Table'!$A$8), 'Points-Table'!$C$8,
                (W154 = 'Points-Table'!$A$9), 'Points-Table'!$C$9,
                (W154 = 'Points-Table'!$A$10), 'Points-Table'!$C$10,
                (W154 = 'Points-Table'!$A$11), 'Points-Table'!$C$11,
                (W154 = 'Points-Table'!$A$12), 'Points-Table'!$C$12,
                (W154 = 'Points-Table'!$A$13), 'Points-Table'!$C$13,
                true, 0
              )
            </f>
      </c>
      <c r="Y154" s="11">
        <v>2</v>
      </c>
      <c r="Z154" s="12">
        <f>
              Ifs(
                (Y154 = 'Points-Table'!$A$4), 'Points-Table'!$C$4,
                (Y154 = 'Points-Table'!$A$5), 'Points-Table'!$C$5,
                (Y154 = 'Points-Table'!$A$6), 'Points-Table'!$C$6,
                (Y154 = 'Points-Table'!$A$7), 'Points-Table'!$C$7,
                (Y154 = 'Points-Table'!$A$8), 'Points-Table'!$C$8,
                (Y154 = 'Points-Table'!$A$9), 'Points-Table'!$C$9,
                (Y154 = 'Points-Table'!$A$10), 'Points-Table'!$C$10,
                (Y154 = 'Points-Table'!$A$11), 'Points-Table'!$C$11,
                (Y154 = 'Points-Table'!$A$12), 'Points-Table'!$C$12,
                (Y154 = 'Points-Table'!$A$13), 'Points-Table'!$C$13,
                true, 0
              )
            </f>
      </c>
      <c r="AA154" s="6">
        <f>SUM(V154,X154,Z154)</f>
      </c>
      <c r="AB154" s="6">
        <f>
      Ifs( 
        ISBETWEEN(AA154, 0, 'Points-Table'!C$20, TRUE, False), 'Points-Table'!A$20,
        ISBETWEEN(AA154, 'Points-Table'!C$20, 'Points-Table'!C$21, TRUE, False), 'Points-Table'!A$21,
        ISBETWEEN(AA154, 'Points-Table'!C$22, 10000, TRUE, TRUE), 'Points-Table'!A$22,
        true, 
        0)
      </f>
      </c>
      <c r="AC154" s="6" t="s">
        <v>56</v>
      </c>
      <c r="AD154" s="6" t="s">
        <v>56</v>
      </c>
      <c r="AE154" s="6" t="s">
        <v>56</v>
      </c>
    </row>
    <row r="155" spans="1:31" s="6" customFormat="1" x14ac:dyDescent="0.25">
      <c r="A155" s="6" t="s">
        <v>387</v>
      </c>
      <c r="B155" s="6" t="s">
        <v>406</v>
      </c>
      <c r="C155" s="6" t="s">
        <v>411</v>
      </c>
      <c r="D155" s="6"/>
      <c r="E155" s="6"/>
      <c r="F155" s="6"/>
      <c r="G155" s="6"/>
      <c r="H155" s="6"/>
      <c r="I155" s="6"/>
      <c r="J155" s="6"/>
      <c r="K155" s="6" t="s">
        <v>84</v>
      </c>
      <c r="L155" s="6" t="s">
        <v>85</v>
      </c>
      <c r="M155" s="6"/>
      <c r="N155" s="6"/>
      <c r="O155" s="6"/>
      <c r="P155" s="6"/>
      <c r="Q155" s="11"/>
      <c r="R155" s="12">
        <f>
              Ifs(
                (Q155 = 'Points-Table'!$A$4), 'Points-Table'!$C$4,
                (Q155 = 'Points-Table'!$A$5), 'Points-Table'!$C$5,
                (Q155 = 'Points-Table'!$A$6), 'Points-Table'!$C$6,
                (Q155 = 'Points-Table'!$A$7), 'Points-Table'!$C$7,
                (Q155 = 'Points-Table'!$A$8), 'Points-Table'!$C$8,
                (Q155 = 'Points-Table'!$A$9), 'Points-Table'!$C$9,
                (Q155 = 'Points-Table'!$A$10), 'Points-Table'!$C$10,
                (Q155 = 'Points-Table'!$A$11), 'Points-Table'!$C$11,
                (Q155 = 'Points-Table'!$A$12), 'Points-Table'!$C$12,
                (Q155 = 'Points-Table'!$A$13), 'Points-Table'!$C$13,
                true, 0
              )
            </f>
      </c>
      <c r="S155" s="11"/>
      <c r="T155" s="12">
        <f>
              Ifs(
                (S155 = 'Points-Table'!$A$4), 'Points-Table'!$C$4,
                (S155 = 'Points-Table'!$A$5), 'Points-Table'!$C$5,
                (S155 = 'Points-Table'!$A$6), 'Points-Table'!$C$6,
                (S155 = 'Points-Table'!$A$7), 'Points-Table'!$C$7,
                (S155 = 'Points-Table'!$A$8), 'Points-Table'!$C$8,
                (S155 = 'Points-Table'!$A$9), 'Points-Table'!$C$9,
                (S155 = 'Points-Table'!$A$10), 'Points-Table'!$C$10,
                (S155 = 'Points-Table'!$A$11), 'Points-Table'!$C$11,
                (S155 = 'Points-Table'!$A$12), 'Points-Table'!$C$12,
                (S155 = 'Points-Table'!$A$13), 'Points-Table'!$C$13,
                true, 0
              )
            </f>
      </c>
      <c r="U155" s="11">
        <v>5</v>
      </c>
      <c r="V155" s="12">
        <f>
              Ifs(
                (U155 = 'Points-Table'!$A$4), 'Points-Table'!$C$4,
                (U155 = 'Points-Table'!$A$5), 'Points-Table'!$C$5,
                (U155 = 'Points-Table'!$A$6), 'Points-Table'!$C$6,
                (U155 = 'Points-Table'!$A$7), 'Points-Table'!$C$7,
                (U155 = 'Points-Table'!$A$8), 'Points-Table'!$C$8,
                (U155 = 'Points-Table'!$A$9), 'Points-Table'!$C$9,
                (U155 = 'Points-Table'!$A$10), 'Points-Table'!$C$10,
                (U155 = 'Points-Table'!$A$11), 'Points-Table'!$C$11,
                (U155 = 'Points-Table'!$A$12), 'Points-Table'!$C$12,
                (U155 = 'Points-Table'!$A$13), 'Points-Table'!$C$13,
                true, 0
              )
            </f>
      </c>
      <c r="W155" s="11">
        <v>2</v>
      </c>
      <c r="X155" s="12">
        <f>
              Ifs(
                (W155 = 'Points-Table'!$A$4), 'Points-Table'!$C$4,
                (W155 = 'Points-Table'!$A$5), 'Points-Table'!$C$5,
                (W155 = 'Points-Table'!$A$6), 'Points-Table'!$C$6,
                (W155 = 'Points-Table'!$A$7), 'Points-Table'!$C$7,
                (W155 = 'Points-Table'!$A$8), 'Points-Table'!$C$8,
                (W155 = 'Points-Table'!$A$9), 'Points-Table'!$C$9,
                (W155 = 'Points-Table'!$A$10), 'Points-Table'!$C$10,
                (W155 = 'Points-Table'!$A$11), 'Points-Table'!$C$11,
                (W155 = 'Points-Table'!$A$12), 'Points-Table'!$C$12,
                (W155 = 'Points-Table'!$A$13), 'Points-Table'!$C$13,
                true, 0
              )
            </f>
      </c>
      <c r="Y155" s="11">
        <v>5</v>
      </c>
      <c r="Z155" s="12">
        <f>
              Ifs(
                (Y155 = 'Points-Table'!$A$4), 'Points-Table'!$C$4,
                (Y155 = 'Points-Table'!$A$5), 'Points-Table'!$C$5,
                (Y155 = 'Points-Table'!$A$6), 'Points-Table'!$C$6,
                (Y155 = 'Points-Table'!$A$7), 'Points-Table'!$C$7,
                (Y155 = 'Points-Table'!$A$8), 'Points-Table'!$C$8,
                (Y155 = 'Points-Table'!$A$9), 'Points-Table'!$C$9,
                (Y155 = 'Points-Table'!$A$10), 'Points-Table'!$C$10,
                (Y155 = 'Points-Table'!$A$11), 'Points-Table'!$C$11,
                (Y155 = 'Points-Table'!$A$12), 'Points-Table'!$C$12,
                (Y155 = 'Points-Table'!$A$13), 'Points-Table'!$C$13,
                true, 0
              )
            </f>
      </c>
      <c r="AA155" s="6">
        <f>SUM(V155,X155,Z155)</f>
      </c>
      <c r="AB155" s="6">
        <f>
      Ifs( 
        ISBETWEEN(AA155, 0, 'Points-Table'!C$20, TRUE, False), 'Points-Table'!A$20,
        ISBETWEEN(AA155, 'Points-Table'!C$20, 'Points-Table'!C$21, TRUE, False), 'Points-Table'!A$21,
        ISBETWEEN(AA155, 'Points-Table'!C$22, 10000, TRUE, TRUE), 'Points-Table'!A$22,
        true, 
        0)
      </f>
      </c>
      <c r="AC155" s="6" t="s">
        <v>56</v>
      </c>
      <c r="AD155" s="6" t="s">
        <v>56</v>
      </c>
      <c r="AE155" s="6" t="s">
        <v>56</v>
      </c>
    </row>
    <row r="156" spans="1:31" s="13" customFormat="1" x14ac:dyDescent="0.25">
      <c r="A156" s="13" t="s">
        <v>387</v>
      </c>
      <c r="B156" s="13" t="s">
        <v>412</v>
      </c>
      <c r="C156" s="13" t="s">
        <v>413</v>
      </c>
      <c r="D156" s="13"/>
      <c r="E156" s="13"/>
      <c r="F156" s="13"/>
      <c r="G156" s="13"/>
      <c r="H156" s="13"/>
      <c r="I156" s="13"/>
      <c r="J156" s="13"/>
      <c r="K156" s="13" t="s">
        <v>84</v>
      </c>
      <c r="L156" s="13" t="s">
        <v>85</v>
      </c>
      <c r="M156" s="13"/>
      <c r="N156" s="13"/>
      <c r="O156" s="13"/>
      <c r="P156" s="13"/>
      <c r="Q156" s="13">
        <v>3</v>
      </c>
      <c r="R156" s="13">
        <f>
              Ifs(
                (Q156 = 'Points-Table'!$A$4), 'Points-Table'!$C$4,
                (Q156 = 'Points-Table'!$A$5), 'Points-Table'!$C$5,
                (Q156 = 'Points-Table'!$A$6), 'Points-Table'!$C$6,
                (Q156 = 'Points-Table'!$A$7), 'Points-Table'!$C$7,
                (Q156 = 'Points-Table'!$A$8), 'Points-Table'!$C$8,
                (Q156 = 'Points-Table'!$A$9), 'Points-Table'!$C$9,
                (Q156 = 'Points-Table'!$A$10), 'Points-Table'!$C$10,
                (Q156 = 'Points-Table'!$A$11), 'Points-Table'!$C$11,
                (Q156 = 'Points-Table'!$A$12), 'Points-Table'!$C$12,
                (Q156 = 'Points-Table'!$A$13), 'Points-Table'!$C$13,
                true, 0
              )
            </f>
      </c>
      <c r="S156" s="13">
        <v>3</v>
      </c>
      <c r="T156" s="13">
        <f>
              Ifs(
                (S156 = 'Points-Table'!$A$4), 'Points-Table'!$C$4,
                (S156 = 'Points-Table'!$A$5), 'Points-Table'!$C$5,
                (S156 = 'Points-Table'!$A$6), 'Points-Table'!$C$6,
                (S156 = 'Points-Table'!$A$7), 'Points-Table'!$C$7,
                (S156 = 'Points-Table'!$A$8), 'Points-Table'!$C$8,
                (S156 = 'Points-Table'!$A$9), 'Points-Table'!$C$9,
                (S156 = 'Points-Table'!$A$10), 'Points-Table'!$C$10,
                (S156 = 'Points-Table'!$A$11), 'Points-Table'!$C$11,
                (S156 = 'Points-Table'!$A$12), 'Points-Table'!$C$12,
                (S156 = 'Points-Table'!$A$13), 'Points-Table'!$C$13,
                true, 0
              )
            </f>
      </c>
      <c r="U156" s="13">
        <v>8</v>
      </c>
      <c r="V156" s="13">
        <f>
              Ifs(
                (U156 = 'Points-Table'!$A$4), 'Points-Table'!$C$4,
                (U156 = 'Points-Table'!$A$5), 'Points-Table'!$C$5,
                (U156 = 'Points-Table'!$A$6), 'Points-Table'!$C$6,
                (U156 = 'Points-Table'!$A$7), 'Points-Table'!$C$7,
                (U156 = 'Points-Table'!$A$8), 'Points-Table'!$C$8,
                (U156 = 'Points-Table'!$A$9), 'Points-Table'!$C$9,
                (U156 = 'Points-Table'!$A$10), 'Points-Table'!$C$10,
                (U156 = 'Points-Table'!$A$11), 'Points-Table'!$C$11,
                (U156 = 'Points-Table'!$A$12), 'Points-Table'!$C$12,
                (U156 = 'Points-Table'!$A$13), 'Points-Table'!$C$13,
                true, 0
              )
            </f>
      </c>
      <c r="W156" s="13">
        <v>5</v>
      </c>
      <c r="X156" s="13">
        <f>
              Ifs(
                (W156 = 'Points-Table'!$A$4), 'Points-Table'!$C$4,
                (W156 = 'Points-Table'!$A$5), 'Points-Table'!$C$5,
                (W156 = 'Points-Table'!$A$6), 'Points-Table'!$C$6,
                (W156 = 'Points-Table'!$A$7), 'Points-Table'!$C$7,
                (W156 = 'Points-Table'!$A$8), 'Points-Table'!$C$8,
                (W156 = 'Points-Table'!$A$9), 'Points-Table'!$C$9,
                (W156 = 'Points-Table'!$A$10), 'Points-Table'!$C$10,
                (W156 = 'Points-Table'!$A$11), 'Points-Table'!$C$11,
                (W156 = 'Points-Table'!$A$12), 'Points-Table'!$C$12,
                (W156 = 'Points-Table'!$A$13), 'Points-Table'!$C$13,
                true, 0
              )
            </f>
      </c>
      <c r="Y156" s="13">
        <v>8</v>
      </c>
      <c r="Z156" s="13">
        <f>
              Ifs(
                (Y156 = 'Points-Table'!$A$4), 'Points-Table'!$C$4,
                (Y156 = 'Points-Table'!$A$5), 'Points-Table'!$C$5,
                (Y156 = 'Points-Table'!$A$6), 'Points-Table'!$C$6,
                (Y156 = 'Points-Table'!$A$7), 'Points-Table'!$C$7,
                (Y156 = 'Points-Table'!$A$8), 'Points-Table'!$C$8,
                (Y156 = 'Points-Table'!$A$9), 'Points-Table'!$C$9,
                (Y156 = 'Points-Table'!$A$10), 'Points-Table'!$C$10,
                (Y156 = 'Points-Table'!$A$11), 'Points-Table'!$C$11,
                (Y156 = 'Points-Table'!$A$12), 'Points-Table'!$C$12,
                (Y156 = 'Points-Table'!$A$13), 'Points-Table'!$C$13,
                true, 0
              )
            </f>
      </c>
      <c r="AA156" s="13">
        <f>SUM(V156,X156,Z156)</f>
      </c>
      <c r="AB156" s="13">
        <f>
      Ifs( 
        ISBETWEEN(AA156, 0, 'Points-Table'!C$20, TRUE, False), 'Points-Table'!A$20,
        ISBETWEEN(AA156, 'Points-Table'!C$20, 'Points-Table'!C$21, TRUE, False), 'Points-Table'!A$21,
        ISBETWEEN(AA156, 'Points-Table'!C$22, 10000, TRUE, TRUE), 'Points-Table'!A$22,
        true, 
        0)
      </f>
      </c>
      <c r="AC156" s="13" t="s">
        <v>56</v>
      </c>
      <c r="AD156" s="13" t="s">
        <v>56</v>
      </c>
      <c r="AE156" s="13" t="s">
        <v>56</v>
      </c>
    </row>
    <row r="157" spans="1:31" s="13" customFormat="1" x14ac:dyDescent="0.25">
      <c r="A157" s="13" t="s">
        <v>387</v>
      </c>
      <c r="B157" s="13" t="s">
        <v>412</v>
      </c>
      <c r="C157" s="13" t="s">
        <v>414</v>
      </c>
      <c r="D157" s="13"/>
      <c r="E157" s="13"/>
      <c r="F157" s="13"/>
      <c r="G157" s="13"/>
      <c r="H157" s="13"/>
      <c r="I157" s="13"/>
      <c r="J157" s="13"/>
      <c r="K157" s="13" t="s">
        <v>84</v>
      </c>
      <c r="L157" s="13" t="s">
        <v>85</v>
      </c>
      <c r="M157" s="13"/>
      <c r="N157" s="13"/>
      <c r="O157" s="13"/>
      <c r="P157" s="13"/>
      <c r="Q157" s="13">
        <v>0</v>
      </c>
      <c r="R157" s="13">
        <f>
              Ifs(
                (Q157 = 'Points-Table'!$A$4), 'Points-Table'!$C$4,
                (Q157 = 'Points-Table'!$A$5), 'Points-Table'!$C$5,
                (Q157 = 'Points-Table'!$A$6), 'Points-Table'!$C$6,
                (Q157 = 'Points-Table'!$A$7), 'Points-Table'!$C$7,
                (Q157 = 'Points-Table'!$A$8), 'Points-Table'!$C$8,
                (Q157 = 'Points-Table'!$A$9), 'Points-Table'!$C$9,
                (Q157 = 'Points-Table'!$A$10), 'Points-Table'!$C$10,
                (Q157 = 'Points-Table'!$A$11), 'Points-Table'!$C$11,
                (Q157 = 'Points-Table'!$A$12), 'Points-Table'!$C$12,
                (Q157 = 'Points-Table'!$A$13), 'Points-Table'!$C$13,
                true, 0
              )
            </f>
      </c>
      <c r="S157" s="13">
        <v>0</v>
      </c>
      <c r="T157" s="13">
        <f>
              Ifs(
                (S157 = 'Points-Table'!$A$4), 'Points-Table'!$C$4,
                (S157 = 'Points-Table'!$A$5), 'Points-Table'!$C$5,
                (S157 = 'Points-Table'!$A$6), 'Points-Table'!$C$6,
                (S157 = 'Points-Table'!$A$7), 'Points-Table'!$C$7,
                (S157 = 'Points-Table'!$A$8), 'Points-Table'!$C$8,
                (S157 = 'Points-Table'!$A$9), 'Points-Table'!$C$9,
                (S157 = 'Points-Table'!$A$10), 'Points-Table'!$C$10,
                (S157 = 'Points-Table'!$A$11), 'Points-Table'!$C$11,
                (S157 = 'Points-Table'!$A$12), 'Points-Table'!$C$12,
                (S157 = 'Points-Table'!$A$13), 'Points-Table'!$C$13,
                true, 0
              )
            </f>
      </c>
      <c r="U157" s="13">
        <v>5</v>
      </c>
      <c r="V157" s="13">
        <f>
              Ifs(
                (U157 = 'Points-Table'!$A$4), 'Points-Table'!$C$4,
                (U157 = 'Points-Table'!$A$5), 'Points-Table'!$C$5,
                (U157 = 'Points-Table'!$A$6), 'Points-Table'!$C$6,
                (U157 = 'Points-Table'!$A$7), 'Points-Table'!$C$7,
                (U157 = 'Points-Table'!$A$8), 'Points-Table'!$C$8,
                (U157 = 'Points-Table'!$A$9), 'Points-Table'!$C$9,
                (U157 = 'Points-Table'!$A$10), 'Points-Table'!$C$10,
                (U157 = 'Points-Table'!$A$11), 'Points-Table'!$C$11,
                (U157 = 'Points-Table'!$A$12), 'Points-Table'!$C$12,
                (U157 = 'Points-Table'!$A$13), 'Points-Table'!$C$13,
                true, 0
              )
            </f>
      </c>
      <c r="W157" s="13">
        <v>3</v>
      </c>
      <c r="X157" s="13">
        <f>
              Ifs(
                (W157 = 'Points-Table'!$A$4), 'Points-Table'!$C$4,
                (W157 = 'Points-Table'!$A$5), 'Points-Table'!$C$5,
                (W157 = 'Points-Table'!$A$6), 'Points-Table'!$C$6,
                (W157 = 'Points-Table'!$A$7), 'Points-Table'!$C$7,
                (W157 = 'Points-Table'!$A$8), 'Points-Table'!$C$8,
                (W157 = 'Points-Table'!$A$9), 'Points-Table'!$C$9,
                (W157 = 'Points-Table'!$A$10), 'Points-Table'!$C$10,
                (W157 = 'Points-Table'!$A$11), 'Points-Table'!$C$11,
                (W157 = 'Points-Table'!$A$12), 'Points-Table'!$C$12,
                (W157 = 'Points-Table'!$A$13), 'Points-Table'!$C$13,
                true, 0
              )
            </f>
      </c>
      <c r="Y157" s="13">
        <v>5</v>
      </c>
      <c r="Z157" s="13">
        <f>
              Ifs(
                (Y157 = 'Points-Table'!$A$4), 'Points-Table'!$C$4,
                (Y157 = 'Points-Table'!$A$5), 'Points-Table'!$C$5,
                (Y157 = 'Points-Table'!$A$6), 'Points-Table'!$C$6,
                (Y157 = 'Points-Table'!$A$7), 'Points-Table'!$C$7,
                (Y157 = 'Points-Table'!$A$8), 'Points-Table'!$C$8,
                (Y157 = 'Points-Table'!$A$9), 'Points-Table'!$C$9,
                (Y157 = 'Points-Table'!$A$10), 'Points-Table'!$C$10,
                (Y157 = 'Points-Table'!$A$11), 'Points-Table'!$C$11,
                (Y157 = 'Points-Table'!$A$12), 'Points-Table'!$C$12,
                (Y157 = 'Points-Table'!$A$13), 'Points-Table'!$C$13,
                true, 0
              )
            </f>
      </c>
      <c r="AA157" s="13">
        <f>SUM(V157,X157,Z157)</f>
      </c>
      <c r="AB157" s="13">
        <f>
      Ifs( 
        ISBETWEEN(AA157, 0, 'Points-Table'!C$20, TRUE, False), 'Points-Table'!A$20,
        ISBETWEEN(AA157, 'Points-Table'!C$20, 'Points-Table'!C$21, TRUE, False), 'Points-Table'!A$21,
        ISBETWEEN(AA157, 'Points-Table'!C$22, 10000, TRUE, TRUE), 'Points-Table'!A$22,
        true, 
        0)
      </f>
      </c>
      <c r="AC157" s="13" t="s">
        <v>56</v>
      </c>
      <c r="AD157" s="13" t="s">
        <v>56</v>
      </c>
      <c r="AE157" s="13" t="s">
        <v>56</v>
      </c>
    </row>
    <row r="158" spans="1:31" s="13" customFormat="1" x14ac:dyDescent="0.25">
      <c r="A158" s="13" t="s">
        <v>387</v>
      </c>
      <c r="B158" s="13" t="s">
        <v>412</v>
      </c>
      <c r="C158" s="13" t="s">
        <v>415</v>
      </c>
      <c r="D158" s="13"/>
      <c r="E158" s="13"/>
      <c r="F158" s="13"/>
      <c r="G158" s="13"/>
      <c r="H158" s="13"/>
      <c r="I158" s="13"/>
      <c r="J158" s="13"/>
      <c r="K158" s="13" t="s">
        <v>84</v>
      </c>
      <c r="L158" s="13" t="s">
        <v>85</v>
      </c>
      <c r="M158" s="13"/>
      <c r="N158" s="13"/>
      <c r="O158" s="13"/>
      <c r="P158" s="13"/>
      <c r="Q158" s="13">
        <v>0</v>
      </c>
      <c r="R158" s="13">
        <f>
              Ifs(
                (Q158 = 'Points-Table'!$A$4), 'Points-Table'!$C$4,
                (Q158 = 'Points-Table'!$A$5), 'Points-Table'!$C$5,
                (Q158 = 'Points-Table'!$A$6), 'Points-Table'!$C$6,
                (Q158 = 'Points-Table'!$A$7), 'Points-Table'!$C$7,
                (Q158 = 'Points-Table'!$A$8), 'Points-Table'!$C$8,
                (Q158 = 'Points-Table'!$A$9), 'Points-Table'!$C$9,
                (Q158 = 'Points-Table'!$A$10), 'Points-Table'!$C$10,
                (Q158 = 'Points-Table'!$A$11), 'Points-Table'!$C$11,
                (Q158 = 'Points-Table'!$A$12), 'Points-Table'!$C$12,
                (Q158 = 'Points-Table'!$A$13), 'Points-Table'!$C$13,
                true, 0
              )
            </f>
      </c>
      <c r="S158" s="13">
        <v>0</v>
      </c>
      <c r="T158" s="13">
        <f>
              Ifs(
                (S158 = 'Points-Table'!$A$4), 'Points-Table'!$C$4,
                (S158 = 'Points-Table'!$A$5), 'Points-Table'!$C$5,
                (S158 = 'Points-Table'!$A$6), 'Points-Table'!$C$6,
                (S158 = 'Points-Table'!$A$7), 'Points-Table'!$C$7,
                (S158 = 'Points-Table'!$A$8), 'Points-Table'!$C$8,
                (S158 = 'Points-Table'!$A$9), 'Points-Table'!$C$9,
                (S158 = 'Points-Table'!$A$10), 'Points-Table'!$C$10,
                (S158 = 'Points-Table'!$A$11), 'Points-Table'!$C$11,
                (S158 = 'Points-Table'!$A$12), 'Points-Table'!$C$12,
                (S158 = 'Points-Table'!$A$13), 'Points-Table'!$C$13,
                true, 0
              )
            </f>
      </c>
      <c r="U158" s="13">
        <v>5</v>
      </c>
      <c r="V158" s="13">
        <f>
              Ifs(
                (U158 = 'Points-Table'!$A$4), 'Points-Table'!$C$4,
                (U158 = 'Points-Table'!$A$5), 'Points-Table'!$C$5,
                (U158 = 'Points-Table'!$A$6), 'Points-Table'!$C$6,
                (U158 = 'Points-Table'!$A$7), 'Points-Table'!$C$7,
                (U158 = 'Points-Table'!$A$8), 'Points-Table'!$C$8,
                (U158 = 'Points-Table'!$A$9), 'Points-Table'!$C$9,
                (U158 = 'Points-Table'!$A$10), 'Points-Table'!$C$10,
                (U158 = 'Points-Table'!$A$11), 'Points-Table'!$C$11,
                (U158 = 'Points-Table'!$A$12), 'Points-Table'!$C$12,
                (U158 = 'Points-Table'!$A$13), 'Points-Table'!$C$13,
                true, 0
              )
            </f>
      </c>
      <c r="W158" s="13">
        <v>3</v>
      </c>
      <c r="X158" s="13">
        <f>
              Ifs(
                (W158 = 'Points-Table'!$A$4), 'Points-Table'!$C$4,
                (W158 = 'Points-Table'!$A$5), 'Points-Table'!$C$5,
                (W158 = 'Points-Table'!$A$6), 'Points-Table'!$C$6,
                (W158 = 'Points-Table'!$A$7), 'Points-Table'!$C$7,
                (W158 = 'Points-Table'!$A$8), 'Points-Table'!$C$8,
                (W158 = 'Points-Table'!$A$9), 'Points-Table'!$C$9,
                (W158 = 'Points-Table'!$A$10), 'Points-Table'!$C$10,
                (W158 = 'Points-Table'!$A$11), 'Points-Table'!$C$11,
                (W158 = 'Points-Table'!$A$12), 'Points-Table'!$C$12,
                (W158 = 'Points-Table'!$A$13), 'Points-Table'!$C$13,
                true, 0
              )
            </f>
      </c>
      <c r="Y158" s="13">
        <v>5</v>
      </c>
      <c r="Z158" s="13">
        <f>
              Ifs(
                (Y158 = 'Points-Table'!$A$4), 'Points-Table'!$C$4,
                (Y158 = 'Points-Table'!$A$5), 'Points-Table'!$C$5,
                (Y158 = 'Points-Table'!$A$6), 'Points-Table'!$C$6,
                (Y158 = 'Points-Table'!$A$7), 'Points-Table'!$C$7,
                (Y158 = 'Points-Table'!$A$8), 'Points-Table'!$C$8,
                (Y158 = 'Points-Table'!$A$9), 'Points-Table'!$C$9,
                (Y158 = 'Points-Table'!$A$10), 'Points-Table'!$C$10,
                (Y158 = 'Points-Table'!$A$11), 'Points-Table'!$C$11,
                (Y158 = 'Points-Table'!$A$12), 'Points-Table'!$C$12,
                (Y158 = 'Points-Table'!$A$13), 'Points-Table'!$C$13,
                true, 0
              )
            </f>
      </c>
      <c r="AA158" s="13">
        <f>SUM(V158,X158,Z158)</f>
      </c>
      <c r="AB158" s="13">
        <f>
      Ifs( 
        ISBETWEEN(AA158, 0, 'Points-Table'!C$20, TRUE, False), 'Points-Table'!A$20,
        ISBETWEEN(AA158, 'Points-Table'!C$20, 'Points-Table'!C$21, TRUE, False), 'Points-Table'!A$21,
        ISBETWEEN(AA158, 'Points-Table'!C$22, 10000, TRUE, TRUE), 'Points-Table'!A$22,
        true, 
        0)
      </f>
      </c>
      <c r="AC158" s="13" t="s">
        <v>56</v>
      </c>
      <c r="AD158" s="13" t="s">
        <v>56</v>
      </c>
      <c r="AE158" s="13" t="s">
        <v>56</v>
      </c>
    </row>
    <row r="159" spans="1:31" s="13" customFormat="1" x14ac:dyDescent="0.25">
      <c r="A159" s="13" t="s">
        <v>387</v>
      </c>
      <c r="B159" s="13" t="s">
        <v>412</v>
      </c>
      <c r="C159" s="13" t="s">
        <v>416</v>
      </c>
      <c r="D159" s="13"/>
      <c r="E159" s="13"/>
      <c r="F159" s="13"/>
      <c r="G159" s="13"/>
      <c r="H159" s="13"/>
      <c r="I159" s="13"/>
      <c r="J159" s="13"/>
      <c r="K159" s="13" t="s">
        <v>84</v>
      </c>
      <c r="L159" s="13" t="s">
        <v>85</v>
      </c>
      <c r="M159" s="13"/>
      <c r="N159" s="13"/>
      <c r="O159" s="13"/>
      <c r="P159" s="13"/>
      <c r="Q159" s="13"/>
      <c r="R159" s="13">
        <f>
              Ifs(
                (Q159 = 'Points-Table'!$A$4), 'Points-Table'!$C$4,
                (Q159 = 'Points-Table'!$A$5), 'Points-Table'!$C$5,
                (Q159 = 'Points-Table'!$A$6), 'Points-Table'!$C$6,
                (Q159 = 'Points-Table'!$A$7), 'Points-Table'!$C$7,
                (Q159 = 'Points-Table'!$A$8), 'Points-Table'!$C$8,
                (Q159 = 'Points-Table'!$A$9), 'Points-Table'!$C$9,
                (Q159 = 'Points-Table'!$A$10), 'Points-Table'!$C$10,
                (Q159 = 'Points-Table'!$A$11), 'Points-Table'!$C$11,
                (Q159 = 'Points-Table'!$A$12), 'Points-Table'!$C$12,
                (Q159 = 'Points-Table'!$A$13), 'Points-Table'!$C$13,
                true, 0
              )
            </f>
      </c>
      <c r="S159" s="13"/>
      <c r="T159" s="13">
        <f>
              Ifs(
                (S159 = 'Points-Table'!$A$4), 'Points-Table'!$C$4,
                (S159 = 'Points-Table'!$A$5), 'Points-Table'!$C$5,
                (S159 = 'Points-Table'!$A$6), 'Points-Table'!$C$6,
                (S159 = 'Points-Table'!$A$7), 'Points-Table'!$C$7,
                (S159 = 'Points-Table'!$A$8), 'Points-Table'!$C$8,
                (S159 = 'Points-Table'!$A$9), 'Points-Table'!$C$9,
                (S159 = 'Points-Table'!$A$10), 'Points-Table'!$C$10,
                (S159 = 'Points-Table'!$A$11), 'Points-Table'!$C$11,
                (S159 = 'Points-Table'!$A$12), 'Points-Table'!$C$12,
                (S159 = 'Points-Table'!$A$13), 'Points-Table'!$C$13,
                true, 0
              )
            </f>
      </c>
      <c r="U159" s="13">
        <v>5</v>
      </c>
      <c r="V159" s="13">
        <f>
              Ifs(
                (U159 = 'Points-Table'!$A$4), 'Points-Table'!$C$4,
                (U159 = 'Points-Table'!$A$5), 'Points-Table'!$C$5,
                (U159 = 'Points-Table'!$A$6), 'Points-Table'!$C$6,
                (U159 = 'Points-Table'!$A$7), 'Points-Table'!$C$7,
                (U159 = 'Points-Table'!$A$8), 'Points-Table'!$C$8,
                (U159 = 'Points-Table'!$A$9), 'Points-Table'!$C$9,
                (U159 = 'Points-Table'!$A$10), 'Points-Table'!$C$10,
                (U159 = 'Points-Table'!$A$11), 'Points-Table'!$C$11,
                (U159 = 'Points-Table'!$A$12), 'Points-Table'!$C$12,
                (U159 = 'Points-Table'!$A$13), 'Points-Table'!$C$13,
                true, 0
              )
            </f>
      </c>
      <c r="W159" s="13">
        <v>3</v>
      </c>
      <c r="X159" s="13">
        <f>
              Ifs(
                (W159 = 'Points-Table'!$A$4), 'Points-Table'!$C$4,
                (W159 = 'Points-Table'!$A$5), 'Points-Table'!$C$5,
                (W159 = 'Points-Table'!$A$6), 'Points-Table'!$C$6,
                (W159 = 'Points-Table'!$A$7), 'Points-Table'!$C$7,
                (W159 = 'Points-Table'!$A$8), 'Points-Table'!$C$8,
                (W159 = 'Points-Table'!$A$9), 'Points-Table'!$C$9,
                (W159 = 'Points-Table'!$A$10), 'Points-Table'!$C$10,
                (W159 = 'Points-Table'!$A$11), 'Points-Table'!$C$11,
                (W159 = 'Points-Table'!$A$12), 'Points-Table'!$C$12,
                (W159 = 'Points-Table'!$A$13), 'Points-Table'!$C$13,
                true, 0
              )
            </f>
      </c>
      <c r="Y159" s="13">
        <v>5</v>
      </c>
      <c r="Z159" s="13">
        <f>
              Ifs(
                (Y159 = 'Points-Table'!$A$4), 'Points-Table'!$C$4,
                (Y159 = 'Points-Table'!$A$5), 'Points-Table'!$C$5,
                (Y159 = 'Points-Table'!$A$6), 'Points-Table'!$C$6,
                (Y159 = 'Points-Table'!$A$7), 'Points-Table'!$C$7,
                (Y159 = 'Points-Table'!$A$8), 'Points-Table'!$C$8,
                (Y159 = 'Points-Table'!$A$9), 'Points-Table'!$C$9,
                (Y159 = 'Points-Table'!$A$10), 'Points-Table'!$C$10,
                (Y159 = 'Points-Table'!$A$11), 'Points-Table'!$C$11,
                (Y159 = 'Points-Table'!$A$12), 'Points-Table'!$C$12,
                (Y159 = 'Points-Table'!$A$13), 'Points-Table'!$C$13,
                true, 0
              )
            </f>
      </c>
      <c r="AA159" s="13">
        <f>SUM(V159,X159,Z159)</f>
      </c>
      <c r="AB159" s="13">
        <f>
      Ifs( 
        ISBETWEEN(AA159, 0, 'Points-Table'!C$20, TRUE, False), 'Points-Table'!A$20,
        ISBETWEEN(AA159, 'Points-Table'!C$20, 'Points-Table'!C$21, TRUE, False), 'Points-Table'!A$21,
        ISBETWEEN(AA159, 'Points-Table'!C$22, 10000, TRUE, TRUE), 'Points-Table'!A$22,
        true, 
        0)
      </f>
      </c>
      <c r="AC159" s="13" t="s">
        <v>56</v>
      </c>
      <c r="AD159" s="13" t="s">
        <v>56</v>
      </c>
      <c r="AE159" s="13" t="s">
        <v>56</v>
      </c>
    </row>
    <row r="160" spans="1:31" s="13" customFormat="1" x14ac:dyDescent="0.25">
      <c r="A160" s="13" t="s">
        <v>387</v>
      </c>
      <c r="B160" s="13" t="s">
        <v>417</v>
      </c>
      <c r="C160" s="13" t="s">
        <v>418</v>
      </c>
      <c r="D160" s="13"/>
      <c r="E160" s="13"/>
      <c r="F160" s="13"/>
      <c r="G160" s="13"/>
      <c r="H160" s="13"/>
      <c r="I160" s="13"/>
      <c r="J160" s="13"/>
      <c r="K160" s="13" t="s">
        <v>84</v>
      </c>
      <c r="L160" s="13" t="s">
        <v>85</v>
      </c>
      <c r="M160" s="13"/>
      <c r="N160" s="13"/>
      <c r="O160" s="13"/>
      <c r="P160" s="13"/>
      <c r="Q160" s="13">
        <v>2</v>
      </c>
      <c r="R160" s="13">
        <f>
              Ifs(
                (Q160 = 'Points-Table'!$A$4), 'Points-Table'!$C$4,
                (Q160 = 'Points-Table'!$A$5), 'Points-Table'!$C$5,
                (Q160 = 'Points-Table'!$A$6), 'Points-Table'!$C$6,
                (Q160 = 'Points-Table'!$A$7), 'Points-Table'!$C$7,
                (Q160 = 'Points-Table'!$A$8), 'Points-Table'!$C$8,
                (Q160 = 'Points-Table'!$A$9), 'Points-Table'!$C$9,
                (Q160 = 'Points-Table'!$A$10), 'Points-Table'!$C$10,
                (Q160 = 'Points-Table'!$A$11), 'Points-Table'!$C$11,
                (Q160 = 'Points-Table'!$A$12), 'Points-Table'!$C$12,
                (Q160 = 'Points-Table'!$A$13), 'Points-Table'!$C$13,
                true, 0
              )
            </f>
      </c>
      <c r="S160" s="13">
        <v>2</v>
      </c>
      <c r="T160" s="13">
        <f>
              Ifs(
                (S160 = 'Points-Table'!$A$4), 'Points-Table'!$C$4,
                (S160 = 'Points-Table'!$A$5), 'Points-Table'!$C$5,
                (S160 = 'Points-Table'!$A$6), 'Points-Table'!$C$6,
                (S160 = 'Points-Table'!$A$7), 'Points-Table'!$C$7,
                (S160 = 'Points-Table'!$A$8), 'Points-Table'!$C$8,
                (S160 = 'Points-Table'!$A$9), 'Points-Table'!$C$9,
                (S160 = 'Points-Table'!$A$10), 'Points-Table'!$C$10,
                (S160 = 'Points-Table'!$A$11), 'Points-Table'!$C$11,
                (S160 = 'Points-Table'!$A$12), 'Points-Table'!$C$12,
                (S160 = 'Points-Table'!$A$13), 'Points-Table'!$C$13,
                true, 0
              )
            </f>
      </c>
      <c r="U160" s="13">
        <v>8</v>
      </c>
      <c r="V160" s="13">
        <f>
              Ifs(
                (U160 = 'Points-Table'!$A$4), 'Points-Table'!$C$4,
                (U160 = 'Points-Table'!$A$5), 'Points-Table'!$C$5,
                (U160 = 'Points-Table'!$A$6), 'Points-Table'!$C$6,
                (U160 = 'Points-Table'!$A$7), 'Points-Table'!$C$7,
                (U160 = 'Points-Table'!$A$8), 'Points-Table'!$C$8,
                (U160 = 'Points-Table'!$A$9), 'Points-Table'!$C$9,
                (U160 = 'Points-Table'!$A$10), 'Points-Table'!$C$10,
                (U160 = 'Points-Table'!$A$11), 'Points-Table'!$C$11,
                (U160 = 'Points-Table'!$A$12), 'Points-Table'!$C$12,
                (U160 = 'Points-Table'!$A$13), 'Points-Table'!$C$13,
                true, 0
              )
            </f>
      </c>
      <c r="W160" s="13">
        <v>5</v>
      </c>
      <c r="X160" s="13">
        <f>
              Ifs(
                (W160 = 'Points-Table'!$A$4), 'Points-Table'!$C$4,
                (W160 = 'Points-Table'!$A$5), 'Points-Table'!$C$5,
                (W160 = 'Points-Table'!$A$6), 'Points-Table'!$C$6,
                (W160 = 'Points-Table'!$A$7), 'Points-Table'!$C$7,
                (W160 = 'Points-Table'!$A$8), 'Points-Table'!$C$8,
                (W160 = 'Points-Table'!$A$9), 'Points-Table'!$C$9,
                (W160 = 'Points-Table'!$A$10), 'Points-Table'!$C$10,
                (W160 = 'Points-Table'!$A$11), 'Points-Table'!$C$11,
                (W160 = 'Points-Table'!$A$12), 'Points-Table'!$C$12,
                (W160 = 'Points-Table'!$A$13), 'Points-Table'!$C$13,
                true, 0
              )
            </f>
      </c>
      <c r="Y160" s="13">
        <v>8</v>
      </c>
      <c r="Z160" s="13">
        <f>
              Ifs(
                (Y160 = 'Points-Table'!$A$4), 'Points-Table'!$C$4,
                (Y160 = 'Points-Table'!$A$5), 'Points-Table'!$C$5,
                (Y160 = 'Points-Table'!$A$6), 'Points-Table'!$C$6,
                (Y160 = 'Points-Table'!$A$7), 'Points-Table'!$C$7,
                (Y160 = 'Points-Table'!$A$8), 'Points-Table'!$C$8,
                (Y160 = 'Points-Table'!$A$9), 'Points-Table'!$C$9,
                (Y160 = 'Points-Table'!$A$10), 'Points-Table'!$C$10,
                (Y160 = 'Points-Table'!$A$11), 'Points-Table'!$C$11,
                (Y160 = 'Points-Table'!$A$12), 'Points-Table'!$C$12,
                (Y160 = 'Points-Table'!$A$13), 'Points-Table'!$C$13,
                true, 0
              )
            </f>
      </c>
      <c r="AA160" s="13">
        <f>SUM(V160,X160,Z160)</f>
      </c>
      <c r="AB160" s="13">
        <f>
      Ifs( 
        ISBETWEEN(AA160, 0, 'Points-Table'!C$20, TRUE, False), 'Points-Table'!A$20,
        ISBETWEEN(AA160, 'Points-Table'!C$20, 'Points-Table'!C$21, TRUE, False), 'Points-Table'!A$21,
        ISBETWEEN(AA160, 'Points-Table'!C$22, 10000, TRUE, TRUE), 'Points-Table'!A$22,
        true, 
        0)
      </f>
      </c>
      <c r="AC160" s="13" t="s">
        <v>56</v>
      </c>
      <c r="AD160" s="13" t="s">
        <v>56</v>
      </c>
      <c r="AE160" s="13" t="s">
        <v>56</v>
      </c>
    </row>
    <row r="161" spans="1:31" s="13" customFormat="1" x14ac:dyDescent="0.25">
      <c r="A161" s="13" t="s">
        <v>387</v>
      </c>
      <c r="B161" s="13" t="s">
        <v>417</v>
      </c>
      <c r="C161" s="13" t="s">
        <v>419</v>
      </c>
      <c r="D161" s="13"/>
      <c r="E161" s="13"/>
      <c r="F161" s="13"/>
      <c r="G161" s="13"/>
      <c r="H161" s="13"/>
      <c r="I161" s="13"/>
      <c r="J161" s="13"/>
      <c r="K161" s="13" t="s">
        <v>84</v>
      </c>
      <c r="L161" s="13" t="s">
        <v>85</v>
      </c>
      <c r="M161" s="13"/>
      <c r="N161" s="13"/>
      <c r="O161" s="13"/>
      <c r="P161" s="13"/>
      <c r="Q161" s="13">
        <v>2</v>
      </c>
      <c r="R161" s="13">
        <f>
              Ifs(
                (Q161 = 'Points-Table'!$A$4), 'Points-Table'!$C$4,
                (Q161 = 'Points-Table'!$A$5), 'Points-Table'!$C$5,
                (Q161 = 'Points-Table'!$A$6), 'Points-Table'!$C$6,
                (Q161 = 'Points-Table'!$A$7), 'Points-Table'!$C$7,
                (Q161 = 'Points-Table'!$A$8), 'Points-Table'!$C$8,
                (Q161 = 'Points-Table'!$A$9), 'Points-Table'!$C$9,
                (Q161 = 'Points-Table'!$A$10), 'Points-Table'!$C$10,
                (Q161 = 'Points-Table'!$A$11), 'Points-Table'!$C$11,
                (Q161 = 'Points-Table'!$A$12), 'Points-Table'!$C$12,
                (Q161 = 'Points-Table'!$A$13), 'Points-Table'!$C$13,
                true, 0
              )
            </f>
      </c>
      <c r="S161" s="13">
        <v>2</v>
      </c>
      <c r="T161" s="13">
        <f>
              Ifs(
                (S161 = 'Points-Table'!$A$4), 'Points-Table'!$C$4,
                (S161 = 'Points-Table'!$A$5), 'Points-Table'!$C$5,
                (S161 = 'Points-Table'!$A$6), 'Points-Table'!$C$6,
                (S161 = 'Points-Table'!$A$7), 'Points-Table'!$C$7,
                (S161 = 'Points-Table'!$A$8), 'Points-Table'!$C$8,
                (S161 = 'Points-Table'!$A$9), 'Points-Table'!$C$9,
                (S161 = 'Points-Table'!$A$10), 'Points-Table'!$C$10,
                (S161 = 'Points-Table'!$A$11), 'Points-Table'!$C$11,
                (S161 = 'Points-Table'!$A$12), 'Points-Table'!$C$12,
                (S161 = 'Points-Table'!$A$13), 'Points-Table'!$C$13,
                true, 0
              )
            </f>
      </c>
      <c r="U161" s="13">
        <v>1</v>
      </c>
      <c r="V161" s="13">
        <f>
              Ifs(
                (U161 = 'Points-Table'!$A$4), 'Points-Table'!$C$4,
                (U161 = 'Points-Table'!$A$5), 'Points-Table'!$C$5,
                (U161 = 'Points-Table'!$A$6), 'Points-Table'!$C$6,
                (U161 = 'Points-Table'!$A$7), 'Points-Table'!$C$7,
                (U161 = 'Points-Table'!$A$8), 'Points-Table'!$C$8,
                (U161 = 'Points-Table'!$A$9), 'Points-Table'!$C$9,
                (U161 = 'Points-Table'!$A$10), 'Points-Table'!$C$10,
                (U161 = 'Points-Table'!$A$11), 'Points-Table'!$C$11,
                (U161 = 'Points-Table'!$A$12), 'Points-Table'!$C$12,
                (U161 = 'Points-Table'!$A$13), 'Points-Table'!$C$13,
                true, 0
              )
            </f>
      </c>
      <c r="W161" s="13">
        <v>1</v>
      </c>
      <c r="X161" s="13">
        <f>
              Ifs(
                (W161 = 'Points-Table'!$A$4), 'Points-Table'!$C$4,
                (W161 = 'Points-Table'!$A$5), 'Points-Table'!$C$5,
                (W161 = 'Points-Table'!$A$6), 'Points-Table'!$C$6,
                (W161 = 'Points-Table'!$A$7), 'Points-Table'!$C$7,
                (W161 = 'Points-Table'!$A$8), 'Points-Table'!$C$8,
                (W161 = 'Points-Table'!$A$9), 'Points-Table'!$C$9,
                (W161 = 'Points-Table'!$A$10), 'Points-Table'!$C$10,
                (W161 = 'Points-Table'!$A$11), 'Points-Table'!$C$11,
                (W161 = 'Points-Table'!$A$12), 'Points-Table'!$C$12,
                (W161 = 'Points-Table'!$A$13), 'Points-Table'!$C$13,
                true, 0
              )
            </f>
      </c>
      <c r="Y161" s="13">
        <v>1</v>
      </c>
      <c r="Z161" s="13">
        <f>
              Ifs(
                (Y161 = 'Points-Table'!$A$4), 'Points-Table'!$C$4,
                (Y161 = 'Points-Table'!$A$5), 'Points-Table'!$C$5,
                (Y161 = 'Points-Table'!$A$6), 'Points-Table'!$C$6,
                (Y161 = 'Points-Table'!$A$7), 'Points-Table'!$C$7,
                (Y161 = 'Points-Table'!$A$8), 'Points-Table'!$C$8,
                (Y161 = 'Points-Table'!$A$9), 'Points-Table'!$C$9,
                (Y161 = 'Points-Table'!$A$10), 'Points-Table'!$C$10,
                (Y161 = 'Points-Table'!$A$11), 'Points-Table'!$C$11,
                (Y161 = 'Points-Table'!$A$12), 'Points-Table'!$C$12,
                (Y161 = 'Points-Table'!$A$13), 'Points-Table'!$C$13,
                true, 0
              )
            </f>
      </c>
      <c r="AA161" s="13">
        <f>SUM(V161,X161,Z161)</f>
      </c>
      <c r="AB161" s="13">
        <f>
      Ifs( 
        ISBETWEEN(AA161, 0, 'Points-Table'!C$20, TRUE, False), 'Points-Table'!A$20,
        ISBETWEEN(AA161, 'Points-Table'!C$20, 'Points-Table'!C$21, TRUE, False), 'Points-Table'!A$21,
        ISBETWEEN(AA161, 'Points-Table'!C$22, 10000, TRUE, TRUE), 'Points-Table'!A$22,
        true, 
        0)
      </f>
      </c>
      <c r="AC161" s="13" t="s">
        <v>56</v>
      </c>
      <c r="AD161" s="13" t="s">
        <v>56</v>
      </c>
      <c r="AE161" s="13" t="s">
        <v>56</v>
      </c>
    </row>
    <row r="162" spans="1:31" s="13" customFormat="1" x14ac:dyDescent="0.25">
      <c r="A162" s="13" t="s">
        <v>387</v>
      </c>
      <c r="B162" s="13" t="s">
        <v>417</v>
      </c>
      <c r="C162" s="13" t="s">
        <v>420</v>
      </c>
      <c r="D162" s="13"/>
      <c r="E162" s="13"/>
      <c r="F162" s="13"/>
      <c r="G162" s="13"/>
      <c r="H162" s="13"/>
      <c r="I162" s="13"/>
      <c r="J162" s="13"/>
      <c r="K162" s="13" t="s">
        <v>84</v>
      </c>
      <c r="L162" s="13" t="s">
        <v>85</v>
      </c>
      <c r="M162" s="13"/>
      <c r="N162" s="13"/>
      <c r="O162" s="13"/>
      <c r="P162" s="13"/>
      <c r="Q162" s="13"/>
      <c r="R162" s="13">
        <f>
              Ifs(
                (Q162 = 'Points-Table'!$A$4), 'Points-Table'!$C$4,
                (Q162 = 'Points-Table'!$A$5), 'Points-Table'!$C$5,
                (Q162 = 'Points-Table'!$A$6), 'Points-Table'!$C$6,
                (Q162 = 'Points-Table'!$A$7), 'Points-Table'!$C$7,
                (Q162 = 'Points-Table'!$A$8), 'Points-Table'!$C$8,
                (Q162 = 'Points-Table'!$A$9), 'Points-Table'!$C$9,
                (Q162 = 'Points-Table'!$A$10), 'Points-Table'!$C$10,
                (Q162 = 'Points-Table'!$A$11), 'Points-Table'!$C$11,
                (Q162 = 'Points-Table'!$A$12), 'Points-Table'!$C$12,
                (Q162 = 'Points-Table'!$A$13), 'Points-Table'!$C$13,
                true, 0
              )
            </f>
      </c>
      <c r="S162" s="13"/>
      <c r="T162" s="13">
        <f>
              Ifs(
                (S162 = 'Points-Table'!$A$4), 'Points-Table'!$C$4,
                (S162 = 'Points-Table'!$A$5), 'Points-Table'!$C$5,
                (S162 = 'Points-Table'!$A$6), 'Points-Table'!$C$6,
                (S162 = 'Points-Table'!$A$7), 'Points-Table'!$C$7,
                (S162 = 'Points-Table'!$A$8), 'Points-Table'!$C$8,
                (S162 = 'Points-Table'!$A$9), 'Points-Table'!$C$9,
                (S162 = 'Points-Table'!$A$10), 'Points-Table'!$C$10,
                (S162 = 'Points-Table'!$A$11), 'Points-Table'!$C$11,
                (S162 = 'Points-Table'!$A$12), 'Points-Table'!$C$12,
                (S162 = 'Points-Table'!$A$13), 'Points-Table'!$C$13,
                true, 0
              )
            </f>
      </c>
      <c r="U162" s="13">
        <v>1</v>
      </c>
      <c r="V162" s="13">
        <f>
              Ifs(
                (U162 = 'Points-Table'!$A$4), 'Points-Table'!$C$4,
                (U162 = 'Points-Table'!$A$5), 'Points-Table'!$C$5,
                (U162 = 'Points-Table'!$A$6), 'Points-Table'!$C$6,
                (U162 = 'Points-Table'!$A$7), 'Points-Table'!$C$7,
                (U162 = 'Points-Table'!$A$8), 'Points-Table'!$C$8,
                (U162 = 'Points-Table'!$A$9), 'Points-Table'!$C$9,
                (U162 = 'Points-Table'!$A$10), 'Points-Table'!$C$10,
                (U162 = 'Points-Table'!$A$11), 'Points-Table'!$C$11,
                (U162 = 'Points-Table'!$A$12), 'Points-Table'!$C$12,
                (U162 = 'Points-Table'!$A$13), 'Points-Table'!$C$13,
                true, 0
              )
            </f>
      </c>
      <c r="W162" s="13">
        <v>1</v>
      </c>
      <c r="X162" s="13">
        <f>
              Ifs(
                (W162 = 'Points-Table'!$A$4), 'Points-Table'!$C$4,
                (W162 = 'Points-Table'!$A$5), 'Points-Table'!$C$5,
                (W162 = 'Points-Table'!$A$6), 'Points-Table'!$C$6,
                (W162 = 'Points-Table'!$A$7), 'Points-Table'!$C$7,
                (W162 = 'Points-Table'!$A$8), 'Points-Table'!$C$8,
                (W162 = 'Points-Table'!$A$9), 'Points-Table'!$C$9,
                (W162 = 'Points-Table'!$A$10), 'Points-Table'!$C$10,
                (W162 = 'Points-Table'!$A$11), 'Points-Table'!$C$11,
                (W162 = 'Points-Table'!$A$12), 'Points-Table'!$C$12,
                (W162 = 'Points-Table'!$A$13), 'Points-Table'!$C$13,
                true, 0
              )
            </f>
      </c>
      <c r="Y162" s="13">
        <v>1</v>
      </c>
      <c r="Z162" s="13">
        <f>
              Ifs(
                (Y162 = 'Points-Table'!$A$4), 'Points-Table'!$C$4,
                (Y162 = 'Points-Table'!$A$5), 'Points-Table'!$C$5,
                (Y162 = 'Points-Table'!$A$6), 'Points-Table'!$C$6,
                (Y162 = 'Points-Table'!$A$7), 'Points-Table'!$C$7,
                (Y162 = 'Points-Table'!$A$8), 'Points-Table'!$C$8,
                (Y162 = 'Points-Table'!$A$9), 'Points-Table'!$C$9,
                (Y162 = 'Points-Table'!$A$10), 'Points-Table'!$C$10,
                (Y162 = 'Points-Table'!$A$11), 'Points-Table'!$C$11,
                (Y162 = 'Points-Table'!$A$12), 'Points-Table'!$C$12,
                (Y162 = 'Points-Table'!$A$13), 'Points-Table'!$C$13,
                true, 0
              )
            </f>
      </c>
      <c r="AA162" s="13">
        <f>SUM(V162,X162,Z162)</f>
      </c>
      <c r="AB162" s="13">
        <f>
      Ifs( 
        ISBETWEEN(AA162, 0, 'Points-Table'!C$20, TRUE, False), 'Points-Table'!A$20,
        ISBETWEEN(AA162, 'Points-Table'!C$20, 'Points-Table'!C$21, TRUE, False), 'Points-Table'!A$21,
        ISBETWEEN(AA162, 'Points-Table'!C$22, 10000, TRUE, TRUE), 'Points-Table'!A$22,
        true, 
        0)
      </f>
      </c>
      <c r="AC162" s="13" t="s">
        <v>56</v>
      </c>
      <c r="AD162" s="13" t="s">
        <v>56</v>
      </c>
      <c r="AE162" s="13" t="s">
        <v>56</v>
      </c>
    </row>
    <row r="163" spans="1:31" s="13" customFormat="1" x14ac:dyDescent="0.25">
      <c r="A163" s="13" t="s">
        <v>387</v>
      </c>
      <c r="B163" s="13" t="s">
        <v>417</v>
      </c>
      <c r="C163" s="13" t="s">
        <v>421</v>
      </c>
      <c r="D163" s="13" t="s">
        <v>422</v>
      </c>
      <c r="E163" s="13"/>
      <c r="F163" s="13"/>
      <c r="G163" s="13"/>
      <c r="H163" s="13"/>
      <c r="I163" s="13"/>
      <c r="J163" s="13"/>
      <c r="K163" s="13" t="s">
        <v>84</v>
      </c>
      <c r="L163" s="13" t="s">
        <v>85</v>
      </c>
      <c r="M163" s="13"/>
      <c r="N163" s="13"/>
      <c r="O163" s="13"/>
      <c r="P163" s="13"/>
      <c r="Q163" s="13">
        <v>3</v>
      </c>
      <c r="R163" s="13">
        <f>
              Ifs(
                (Q163 = 'Points-Table'!$A$4), 'Points-Table'!$C$4,
                (Q163 = 'Points-Table'!$A$5), 'Points-Table'!$C$5,
                (Q163 = 'Points-Table'!$A$6), 'Points-Table'!$C$6,
                (Q163 = 'Points-Table'!$A$7), 'Points-Table'!$C$7,
                (Q163 = 'Points-Table'!$A$8), 'Points-Table'!$C$8,
                (Q163 = 'Points-Table'!$A$9), 'Points-Table'!$C$9,
                (Q163 = 'Points-Table'!$A$10), 'Points-Table'!$C$10,
                (Q163 = 'Points-Table'!$A$11), 'Points-Table'!$C$11,
                (Q163 = 'Points-Table'!$A$12), 'Points-Table'!$C$12,
                (Q163 = 'Points-Table'!$A$13), 'Points-Table'!$C$13,
                true, 0
              )
            </f>
      </c>
      <c r="S163" s="13">
        <v>3</v>
      </c>
      <c r="T163" s="13">
        <f>
              Ifs(
                (S163 = 'Points-Table'!$A$4), 'Points-Table'!$C$4,
                (S163 = 'Points-Table'!$A$5), 'Points-Table'!$C$5,
                (S163 = 'Points-Table'!$A$6), 'Points-Table'!$C$6,
                (S163 = 'Points-Table'!$A$7), 'Points-Table'!$C$7,
                (S163 = 'Points-Table'!$A$8), 'Points-Table'!$C$8,
                (S163 = 'Points-Table'!$A$9), 'Points-Table'!$C$9,
                (S163 = 'Points-Table'!$A$10), 'Points-Table'!$C$10,
                (S163 = 'Points-Table'!$A$11), 'Points-Table'!$C$11,
                (S163 = 'Points-Table'!$A$12), 'Points-Table'!$C$12,
                (S163 = 'Points-Table'!$A$13), 'Points-Table'!$C$13,
                true, 0
              )
            </f>
      </c>
      <c r="U163" s="13">
        <v>8</v>
      </c>
      <c r="V163" s="13">
        <f>
              Ifs(
                (U163 = 'Points-Table'!$A$4), 'Points-Table'!$C$4,
                (U163 = 'Points-Table'!$A$5), 'Points-Table'!$C$5,
                (U163 = 'Points-Table'!$A$6), 'Points-Table'!$C$6,
                (U163 = 'Points-Table'!$A$7), 'Points-Table'!$C$7,
                (U163 = 'Points-Table'!$A$8), 'Points-Table'!$C$8,
                (U163 = 'Points-Table'!$A$9), 'Points-Table'!$C$9,
                (U163 = 'Points-Table'!$A$10), 'Points-Table'!$C$10,
                (U163 = 'Points-Table'!$A$11), 'Points-Table'!$C$11,
                (U163 = 'Points-Table'!$A$12), 'Points-Table'!$C$12,
                (U163 = 'Points-Table'!$A$13), 'Points-Table'!$C$13,
                true, 0
              )
            </f>
      </c>
      <c r="W163" s="13">
        <v>3</v>
      </c>
      <c r="X163" s="13">
        <f>
              Ifs(
                (W163 = 'Points-Table'!$A$4), 'Points-Table'!$C$4,
                (W163 = 'Points-Table'!$A$5), 'Points-Table'!$C$5,
                (W163 = 'Points-Table'!$A$6), 'Points-Table'!$C$6,
                (W163 = 'Points-Table'!$A$7), 'Points-Table'!$C$7,
                (W163 = 'Points-Table'!$A$8), 'Points-Table'!$C$8,
                (W163 = 'Points-Table'!$A$9), 'Points-Table'!$C$9,
                (W163 = 'Points-Table'!$A$10), 'Points-Table'!$C$10,
                (W163 = 'Points-Table'!$A$11), 'Points-Table'!$C$11,
                (W163 = 'Points-Table'!$A$12), 'Points-Table'!$C$12,
                (W163 = 'Points-Table'!$A$13), 'Points-Table'!$C$13,
                true, 0
              )
            </f>
      </c>
      <c r="Y163" s="13">
        <v>13</v>
      </c>
      <c r="Z163" s="13">
        <f>
              Ifs(
                (Y163 = 'Points-Table'!$A$4), 'Points-Table'!$C$4,
                (Y163 = 'Points-Table'!$A$5), 'Points-Table'!$C$5,
                (Y163 = 'Points-Table'!$A$6), 'Points-Table'!$C$6,
                (Y163 = 'Points-Table'!$A$7), 'Points-Table'!$C$7,
                (Y163 = 'Points-Table'!$A$8), 'Points-Table'!$C$8,
                (Y163 = 'Points-Table'!$A$9), 'Points-Table'!$C$9,
                (Y163 = 'Points-Table'!$A$10), 'Points-Table'!$C$10,
                (Y163 = 'Points-Table'!$A$11), 'Points-Table'!$C$11,
                (Y163 = 'Points-Table'!$A$12), 'Points-Table'!$C$12,
                (Y163 = 'Points-Table'!$A$13), 'Points-Table'!$C$13,
                true, 0
              )
            </f>
      </c>
      <c r="AA163" s="13">
        <f>SUM(V163,X163,Z163)</f>
      </c>
      <c r="AB163" s="13">
        <f>
      Ifs( 
        ISBETWEEN(AA163, 0, 'Points-Table'!C$20, TRUE, False), 'Points-Table'!A$20,
        ISBETWEEN(AA163, 'Points-Table'!C$20, 'Points-Table'!C$21, TRUE, False), 'Points-Table'!A$21,
        ISBETWEEN(AA163, 'Points-Table'!C$22, 10000, TRUE, TRUE), 'Points-Table'!A$22,
        true, 
        0)
      </f>
      </c>
      <c r="AC163" s="13" t="s">
        <v>56</v>
      </c>
      <c r="AD163" s="13" t="s">
        <v>56</v>
      </c>
      <c r="AE163" s="13" t="s">
        <v>56</v>
      </c>
    </row>
    <row r="164" spans="1:31" s="13" customFormat="1" x14ac:dyDescent="0.25">
      <c r="A164" s="13" t="s">
        <v>387</v>
      </c>
      <c r="B164" s="13" t="s">
        <v>423</v>
      </c>
      <c r="C164" s="13" t="s">
        <v>424</v>
      </c>
      <c r="D164" s="13" t="s">
        <v>425</v>
      </c>
      <c r="E164" s="13"/>
      <c r="F164" s="13"/>
      <c r="G164" s="13"/>
      <c r="H164" s="13"/>
      <c r="I164" s="13"/>
      <c r="J164" s="13"/>
      <c r="K164" s="13" t="s">
        <v>84</v>
      </c>
      <c r="L164" s="13" t="s">
        <v>85</v>
      </c>
      <c r="M164" s="13"/>
      <c r="N164" s="13"/>
      <c r="O164" s="13"/>
      <c r="P164" s="13"/>
      <c r="Q164" s="13">
        <v>3</v>
      </c>
      <c r="R164" s="13">
        <f>
              Ifs(
                (Q164 = 'Points-Table'!$A$4), 'Points-Table'!$C$4,
                (Q164 = 'Points-Table'!$A$5), 'Points-Table'!$C$5,
                (Q164 = 'Points-Table'!$A$6), 'Points-Table'!$C$6,
                (Q164 = 'Points-Table'!$A$7), 'Points-Table'!$C$7,
                (Q164 = 'Points-Table'!$A$8), 'Points-Table'!$C$8,
                (Q164 = 'Points-Table'!$A$9), 'Points-Table'!$C$9,
                (Q164 = 'Points-Table'!$A$10), 'Points-Table'!$C$10,
                (Q164 = 'Points-Table'!$A$11), 'Points-Table'!$C$11,
                (Q164 = 'Points-Table'!$A$12), 'Points-Table'!$C$12,
                (Q164 = 'Points-Table'!$A$13), 'Points-Table'!$C$13,
                true, 0
              )
            </f>
      </c>
      <c r="S164" s="13">
        <v>3</v>
      </c>
      <c r="T164" s="13">
        <f>
              Ifs(
                (S164 = 'Points-Table'!$A$4), 'Points-Table'!$C$4,
                (S164 = 'Points-Table'!$A$5), 'Points-Table'!$C$5,
                (S164 = 'Points-Table'!$A$6), 'Points-Table'!$C$6,
                (S164 = 'Points-Table'!$A$7), 'Points-Table'!$C$7,
                (S164 = 'Points-Table'!$A$8), 'Points-Table'!$C$8,
                (S164 = 'Points-Table'!$A$9), 'Points-Table'!$C$9,
                (S164 = 'Points-Table'!$A$10), 'Points-Table'!$C$10,
                (S164 = 'Points-Table'!$A$11), 'Points-Table'!$C$11,
                (S164 = 'Points-Table'!$A$12), 'Points-Table'!$C$12,
                (S164 = 'Points-Table'!$A$13), 'Points-Table'!$C$13,
                true, 0
              )
            </f>
      </c>
      <c r="U164" s="13">
        <v>3</v>
      </c>
      <c r="V164" s="13">
        <f>
              Ifs(
                (U164 = 'Points-Table'!$A$4), 'Points-Table'!$C$4,
                (U164 = 'Points-Table'!$A$5), 'Points-Table'!$C$5,
                (U164 = 'Points-Table'!$A$6), 'Points-Table'!$C$6,
                (U164 = 'Points-Table'!$A$7), 'Points-Table'!$C$7,
                (U164 = 'Points-Table'!$A$8), 'Points-Table'!$C$8,
                (U164 = 'Points-Table'!$A$9), 'Points-Table'!$C$9,
                (U164 = 'Points-Table'!$A$10), 'Points-Table'!$C$10,
                (U164 = 'Points-Table'!$A$11), 'Points-Table'!$C$11,
                (U164 = 'Points-Table'!$A$12), 'Points-Table'!$C$12,
                (U164 = 'Points-Table'!$A$13), 'Points-Table'!$C$13,
                true, 0
              )
            </f>
      </c>
      <c r="W164" s="13">
        <v>5</v>
      </c>
      <c r="X164" s="13">
        <f>
              Ifs(
                (W164 = 'Points-Table'!$A$4), 'Points-Table'!$C$4,
                (W164 = 'Points-Table'!$A$5), 'Points-Table'!$C$5,
                (W164 = 'Points-Table'!$A$6), 'Points-Table'!$C$6,
                (W164 = 'Points-Table'!$A$7), 'Points-Table'!$C$7,
                (W164 = 'Points-Table'!$A$8), 'Points-Table'!$C$8,
                (W164 = 'Points-Table'!$A$9), 'Points-Table'!$C$9,
                (W164 = 'Points-Table'!$A$10), 'Points-Table'!$C$10,
                (W164 = 'Points-Table'!$A$11), 'Points-Table'!$C$11,
                (W164 = 'Points-Table'!$A$12), 'Points-Table'!$C$12,
                (W164 = 'Points-Table'!$A$13), 'Points-Table'!$C$13,
                true, 0
              )
            </f>
      </c>
      <c r="Y164" s="13">
        <v>8</v>
      </c>
      <c r="Z164" s="13">
        <f>
              Ifs(
                (Y164 = 'Points-Table'!$A$4), 'Points-Table'!$C$4,
                (Y164 = 'Points-Table'!$A$5), 'Points-Table'!$C$5,
                (Y164 = 'Points-Table'!$A$6), 'Points-Table'!$C$6,
                (Y164 = 'Points-Table'!$A$7), 'Points-Table'!$C$7,
                (Y164 = 'Points-Table'!$A$8), 'Points-Table'!$C$8,
                (Y164 = 'Points-Table'!$A$9), 'Points-Table'!$C$9,
                (Y164 = 'Points-Table'!$A$10), 'Points-Table'!$C$10,
                (Y164 = 'Points-Table'!$A$11), 'Points-Table'!$C$11,
                (Y164 = 'Points-Table'!$A$12), 'Points-Table'!$C$12,
                (Y164 = 'Points-Table'!$A$13), 'Points-Table'!$C$13,
                true, 0
              )
            </f>
      </c>
      <c r="AA164" s="13">
        <f>SUM(V164,X164,Z164)</f>
      </c>
      <c r="AB164" s="13">
        <f>
      Ifs( 
        ISBETWEEN(AA164, 0, 'Points-Table'!C$20, TRUE, False), 'Points-Table'!A$20,
        ISBETWEEN(AA164, 'Points-Table'!C$20, 'Points-Table'!C$21, TRUE, False), 'Points-Table'!A$21,
        ISBETWEEN(AA164, 'Points-Table'!C$22, 10000, TRUE, TRUE), 'Points-Table'!A$22,
        true, 
        0)
      </f>
      </c>
      <c r="AC164" s="13" t="s">
        <v>56</v>
      </c>
      <c r="AD164" s="13" t="s">
        <v>56</v>
      </c>
      <c r="AE164" s="13" t="s">
        <v>56</v>
      </c>
    </row>
    <row r="165" spans="1:31" s="13" customFormat="1" x14ac:dyDescent="0.25">
      <c r="A165" s="13" t="s">
        <v>387</v>
      </c>
      <c r="B165" s="13" t="s">
        <v>423</v>
      </c>
      <c r="C165" s="13" t="s">
        <v>426</v>
      </c>
      <c r="D165" s="13" t="s">
        <v>427</v>
      </c>
      <c r="E165" s="13"/>
      <c r="F165" s="13"/>
      <c r="G165" s="13"/>
      <c r="H165" s="13"/>
      <c r="I165" s="13"/>
      <c r="J165" s="13"/>
      <c r="K165" s="13" t="s">
        <v>84</v>
      </c>
      <c r="L165" s="13" t="s">
        <v>85</v>
      </c>
      <c r="M165" s="13"/>
      <c r="N165" s="13"/>
      <c r="O165" s="13"/>
      <c r="P165" s="13"/>
      <c r="Q165" s="13"/>
      <c r="R165" s="13">
        <f>
              Ifs(
                (Q165 = 'Points-Table'!$A$4), 'Points-Table'!$C$4,
                (Q165 = 'Points-Table'!$A$5), 'Points-Table'!$C$5,
                (Q165 = 'Points-Table'!$A$6), 'Points-Table'!$C$6,
                (Q165 = 'Points-Table'!$A$7), 'Points-Table'!$C$7,
                (Q165 = 'Points-Table'!$A$8), 'Points-Table'!$C$8,
                (Q165 = 'Points-Table'!$A$9), 'Points-Table'!$C$9,
                (Q165 = 'Points-Table'!$A$10), 'Points-Table'!$C$10,
                (Q165 = 'Points-Table'!$A$11), 'Points-Table'!$C$11,
                (Q165 = 'Points-Table'!$A$12), 'Points-Table'!$C$12,
                (Q165 = 'Points-Table'!$A$13), 'Points-Table'!$C$13,
                true, 0
              )
            </f>
      </c>
      <c r="S165" s="13"/>
      <c r="T165" s="13">
        <f>
              Ifs(
                (S165 = 'Points-Table'!$A$4), 'Points-Table'!$C$4,
                (S165 = 'Points-Table'!$A$5), 'Points-Table'!$C$5,
                (S165 = 'Points-Table'!$A$6), 'Points-Table'!$C$6,
                (S165 = 'Points-Table'!$A$7), 'Points-Table'!$C$7,
                (S165 = 'Points-Table'!$A$8), 'Points-Table'!$C$8,
                (S165 = 'Points-Table'!$A$9), 'Points-Table'!$C$9,
                (S165 = 'Points-Table'!$A$10), 'Points-Table'!$C$10,
                (S165 = 'Points-Table'!$A$11), 'Points-Table'!$C$11,
                (S165 = 'Points-Table'!$A$12), 'Points-Table'!$C$12,
                (S165 = 'Points-Table'!$A$13), 'Points-Table'!$C$13,
                true, 0
              )
            </f>
      </c>
      <c r="U165" s="13">
        <v>3</v>
      </c>
      <c r="V165" s="13">
        <f>
              Ifs(
                (U165 = 'Points-Table'!$A$4), 'Points-Table'!$C$4,
                (U165 = 'Points-Table'!$A$5), 'Points-Table'!$C$5,
                (U165 = 'Points-Table'!$A$6), 'Points-Table'!$C$6,
                (U165 = 'Points-Table'!$A$7), 'Points-Table'!$C$7,
                (U165 = 'Points-Table'!$A$8), 'Points-Table'!$C$8,
                (U165 = 'Points-Table'!$A$9), 'Points-Table'!$C$9,
                (U165 = 'Points-Table'!$A$10), 'Points-Table'!$C$10,
                (U165 = 'Points-Table'!$A$11), 'Points-Table'!$C$11,
                (U165 = 'Points-Table'!$A$12), 'Points-Table'!$C$12,
                (U165 = 'Points-Table'!$A$13), 'Points-Table'!$C$13,
                true, 0
              )
            </f>
      </c>
      <c r="W165" s="13">
        <v>0</v>
      </c>
      <c r="X165" s="13">
        <f>
              Ifs(
                (W165 = 'Points-Table'!$A$4), 'Points-Table'!$C$4,
                (W165 = 'Points-Table'!$A$5), 'Points-Table'!$C$5,
                (W165 = 'Points-Table'!$A$6), 'Points-Table'!$C$6,
                (W165 = 'Points-Table'!$A$7), 'Points-Table'!$C$7,
                (W165 = 'Points-Table'!$A$8), 'Points-Table'!$C$8,
                (W165 = 'Points-Table'!$A$9), 'Points-Table'!$C$9,
                (W165 = 'Points-Table'!$A$10), 'Points-Table'!$C$10,
                (W165 = 'Points-Table'!$A$11), 'Points-Table'!$C$11,
                (W165 = 'Points-Table'!$A$12), 'Points-Table'!$C$12,
                (W165 = 'Points-Table'!$A$13), 'Points-Table'!$C$13,
                true, 0
              )
            </f>
      </c>
      <c r="Y165" s="13">
        <v>0</v>
      </c>
      <c r="Z165" s="13">
        <f>
              Ifs(
                (Y165 = 'Points-Table'!$A$4), 'Points-Table'!$C$4,
                (Y165 = 'Points-Table'!$A$5), 'Points-Table'!$C$5,
                (Y165 = 'Points-Table'!$A$6), 'Points-Table'!$C$6,
                (Y165 = 'Points-Table'!$A$7), 'Points-Table'!$C$7,
                (Y165 = 'Points-Table'!$A$8), 'Points-Table'!$C$8,
                (Y165 = 'Points-Table'!$A$9), 'Points-Table'!$C$9,
                (Y165 = 'Points-Table'!$A$10), 'Points-Table'!$C$10,
                (Y165 = 'Points-Table'!$A$11), 'Points-Table'!$C$11,
                (Y165 = 'Points-Table'!$A$12), 'Points-Table'!$C$12,
                (Y165 = 'Points-Table'!$A$13), 'Points-Table'!$C$13,
                true, 0
              )
            </f>
      </c>
      <c r="AA165" s="13">
        <f>SUM(V165,X165,Z165)</f>
      </c>
      <c r="AB165" s="13">
        <f>
      Ifs( 
        ISBETWEEN(AA165, 0, 'Points-Table'!C$20, TRUE, False), 'Points-Table'!A$20,
        ISBETWEEN(AA165, 'Points-Table'!C$20, 'Points-Table'!C$21, TRUE, False), 'Points-Table'!A$21,
        ISBETWEEN(AA165, 'Points-Table'!C$22, 10000, TRUE, TRUE), 'Points-Table'!A$22,
        true, 
        0)
      </f>
      </c>
      <c r="AC165" s="13" t="s">
        <v>56</v>
      </c>
      <c r="AD165" s="13" t="s">
        <v>56</v>
      </c>
      <c r="AE165" s="13" t="s">
        <v>56</v>
      </c>
    </row>
    <row r="166" spans="1:31" s="13" customFormat="1" x14ac:dyDescent="0.25">
      <c r="A166" s="13" t="s">
        <v>387</v>
      </c>
      <c r="B166" s="13" t="s">
        <v>423</v>
      </c>
      <c r="C166" s="13" t="s">
        <v>428</v>
      </c>
      <c r="D166" s="13" t="s">
        <v>429</v>
      </c>
      <c r="E166" s="13"/>
      <c r="F166" s="13"/>
      <c r="G166" s="13"/>
      <c r="H166" s="13"/>
      <c r="I166" s="13"/>
      <c r="J166" s="13"/>
      <c r="K166" s="13" t="s">
        <v>84</v>
      </c>
      <c r="L166" s="13" t="s">
        <v>85</v>
      </c>
      <c r="M166" s="13"/>
      <c r="N166" s="13"/>
      <c r="O166" s="13"/>
      <c r="P166" s="13"/>
      <c r="Q166" s="13"/>
      <c r="R166" s="13">
        <f>
              Ifs(
                (Q166 = 'Points-Table'!$A$4), 'Points-Table'!$C$4,
                (Q166 = 'Points-Table'!$A$5), 'Points-Table'!$C$5,
                (Q166 = 'Points-Table'!$A$6), 'Points-Table'!$C$6,
                (Q166 = 'Points-Table'!$A$7), 'Points-Table'!$C$7,
                (Q166 = 'Points-Table'!$A$8), 'Points-Table'!$C$8,
                (Q166 = 'Points-Table'!$A$9), 'Points-Table'!$C$9,
                (Q166 = 'Points-Table'!$A$10), 'Points-Table'!$C$10,
                (Q166 = 'Points-Table'!$A$11), 'Points-Table'!$C$11,
                (Q166 = 'Points-Table'!$A$12), 'Points-Table'!$C$12,
                (Q166 = 'Points-Table'!$A$13), 'Points-Table'!$C$13,
                true, 0
              )
            </f>
      </c>
      <c r="S166" s="13"/>
      <c r="T166" s="13">
        <f>
              Ifs(
                (S166 = 'Points-Table'!$A$4), 'Points-Table'!$C$4,
                (S166 = 'Points-Table'!$A$5), 'Points-Table'!$C$5,
                (S166 = 'Points-Table'!$A$6), 'Points-Table'!$C$6,
                (S166 = 'Points-Table'!$A$7), 'Points-Table'!$C$7,
                (S166 = 'Points-Table'!$A$8), 'Points-Table'!$C$8,
                (S166 = 'Points-Table'!$A$9), 'Points-Table'!$C$9,
                (S166 = 'Points-Table'!$A$10), 'Points-Table'!$C$10,
                (S166 = 'Points-Table'!$A$11), 'Points-Table'!$C$11,
                (S166 = 'Points-Table'!$A$12), 'Points-Table'!$C$12,
                (S166 = 'Points-Table'!$A$13), 'Points-Table'!$C$13,
                true, 0
              )
            </f>
      </c>
      <c r="U166" s="13">
        <v>3</v>
      </c>
      <c r="V166" s="13">
        <f>
              Ifs(
                (U166 = 'Points-Table'!$A$4), 'Points-Table'!$C$4,
                (U166 = 'Points-Table'!$A$5), 'Points-Table'!$C$5,
                (U166 = 'Points-Table'!$A$6), 'Points-Table'!$C$6,
                (U166 = 'Points-Table'!$A$7), 'Points-Table'!$C$7,
                (U166 = 'Points-Table'!$A$8), 'Points-Table'!$C$8,
                (U166 = 'Points-Table'!$A$9), 'Points-Table'!$C$9,
                (U166 = 'Points-Table'!$A$10), 'Points-Table'!$C$10,
                (U166 = 'Points-Table'!$A$11), 'Points-Table'!$C$11,
                (U166 = 'Points-Table'!$A$12), 'Points-Table'!$C$12,
                (U166 = 'Points-Table'!$A$13), 'Points-Table'!$C$13,
                true, 0
              )
            </f>
      </c>
      <c r="W166" s="13">
        <v>0</v>
      </c>
      <c r="X166" s="13">
        <f>
              Ifs(
                (W166 = 'Points-Table'!$A$4), 'Points-Table'!$C$4,
                (W166 = 'Points-Table'!$A$5), 'Points-Table'!$C$5,
                (W166 = 'Points-Table'!$A$6), 'Points-Table'!$C$6,
                (W166 = 'Points-Table'!$A$7), 'Points-Table'!$C$7,
                (W166 = 'Points-Table'!$A$8), 'Points-Table'!$C$8,
                (W166 = 'Points-Table'!$A$9), 'Points-Table'!$C$9,
                (W166 = 'Points-Table'!$A$10), 'Points-Table'!$C$10,
                (W166 = 'Points-Table'!$A$11), 'Points-Table'!$C$11,
                (W166 = 'Points-Table'!$A$12), 'Points-Table'!$C$12,
                (W166 = 'Points-Table'!$A$13), 'Points-Table'!$C$13,
                true, 0
              )
            </f>
      </c>
      <c r="Y166" s="13">
        <v>0</v>
      </c>
      <c r="Z166" s="13">
        <f>
              Ifs(
                (Y166 = 'Points-Table'!$A$4), 'Points-Table'!$C$4,
                (Y166 = 'Points-Table'!$A$5), 'Points-Table'!$C$5,
                (Y166 = 'Points-Table'!$A$6), 'Points-Table'!$C$6,
                (Y166 = 'Points-Table'!$A$7), 'Points-Table'!$C$7,
                (Y166 = 'Points-Table'!$A$8), 'Points-Table'!$C$8,
                (Y166 = 'Points-Table'!$A$9), 'Points-Table'!$C$9,
                (Y166 = 'Points-Table'!$A$10), 'Points-Table'!$C$10,
                (Y166 = 'Points-Table'!$A$11), 'Points-Table'!$C$11,
                (Y166 = 'Points-Table'!$A$12), 'Points-Table'!$C$12,
                (Y166 = 'Points-Table'!$A$13), 'Points-Table'!$C$13,
                true, 0
              )
            </f>
      </c>
      <c r="AA166" s="13">
        <f>SUM(V166,X166,Z166)</f>
      </c>
      <c r="AB166" s="13">
        <f>
      Ifs( 
        ISBETWEEN(AA166, 0, 'Points-Table'!C$20, TRUE, False), 'Points-Table'!A$20,
        ISBETWEEN(AA166, 'Points-Table'!C$20, 'Points-Table'!C$21, TRUE, False), 'Points-Table'!A$21,
        ISBETWEEN(AA166, 'Points-Table'!C$22, 10000, TRUE, TRUE), 'Points-Table'!A$22,
        true, 
        0)
      </f>
      </c>
      <c r="AC166" s="13" t="s">
        <v>56</v>
      </c>
      <c r="AD166" s="13" t="s">
        <v>56</v>
      </c>
      <c r="AE166" s="13" t="s">
        <v>56</v>
      </c>
    </row>
    <row r="167" spans="1:31" s="13" customFormat="1" x14ac:dyDescent="0.25">
      <c r="A167" s="13" t="s">
        <v>387</v>
      </c>
      <c r="B167" s="13" t="s">
        <v>423</v>
      </c>
      <c r="C167" s="13" t="s">
        <v>430</v>
      </c>
      <c r="D167" s="13" t="s">
        <v>431</v>
      </c>
      <c r="E167" s="13"/>
      <c r="F167" s="13"/>
      <c r="G167" s="13"/>
      <c r="H167" s="13"/>
      <c r="I167" s="13"/>
      <c r="J167" s="13"/>
      <c r="K167" s="13" t="s">
        <v>84</v>
      </c>
      <c r="L167" s="13" t="s">
        <v>85</v>
      </c>
      <c r="M167" s="13"/>
      <c r="N167" s="13"/>
      <c r="O167" s="13"/>
      <c r="P167" s="13"/>
      <c r="Q167" s="13"/>
      <c r="R167" s="13">
        <f>
              Ifs(
                (Q167 = 'Points-Table'!$A$4), 'Points-Table'!$C$4,
                (Q167 = 'Points-Table'!$A$5), 'Points-Table'!$C$5,
                (Q167 = 'Points-Table'!$A$6), 'Points-Table'!$C$6,
                (Q167 = 'Points-Table'!$A$7), 'Points-Table'!$C$7,
                (Q167 = 'Points-Table'!$A$8), 'Points-Table'!$C$8,
                (Q167 = 'Points-Table'!$A$9), 'Points-Table'!$C$9,
                (Q167 = 'Points-Table'!$A$10), 'Points-Table'!$C$10,
                (Q167 = 'Points-Table'!$A$11), 'Points-Table'!$C$11,
                (Q167 = 'Points-Table'!$A$12), 'Points-Table'!$C$12,
                (Q167 = 'Points-Table'!$A$13), 'Points-Table'!$C$13,
                true, 0
              )
            </f>
      </c>
      <c r="S167" s="13"/>
      <c r="T167" s="13">
        <f>
              Ifs(
                (S167 = 'Points-Table'!$A$4), 'Points-Table'!$C$4,
                (S167 = 'Points-Table'!$A$5), 'Points-Table'!$C$5,
                (S167 = 'Points-Table'!$A$6), 'Points-Table'!$C$6,
                (S167 = 'Points-Table'!$A$7), 'Points-Table'!$C$7,
                (S167 = 'Points-Table'!$A$8), 'Points-Table'!$C$8,
                (S167 = 'Points-Table'!$A$9), 'Points-Table'!$C$9,
                (S167 = 'Points-Table'!$A$10), 'Points-Table'!$C$10,
                (S167 = 'Points-Table'!$A$11), 'Points-Table'!$C$11,
                (S167 = 'Points-Table'!$A$12), 'Points-Table'!$C$12,
                (S167 = 'Points-Table'!$A$13), 'Points-Table'!$C$13,
                true, 0
              )
            </f>
      </c>
      <c r="U167" s="13">
        <v>5</v>
      </c>
      <c r="V167" s="13">
        <f>
              Ifs(
                (U167 = 'Points-Table'!$A$4), 'Points-Table'!$C$4,
                (U167 = 'Points-Table'!$A$5), 'Points-Table'!$C$5,
                (U167 = 'Points-Table'!$A$6), 'Points-Table'!$C$6,
                (U167 = 'Points-Table'!$A$7), 'Points-Table'!$C$7,
                (U167 = 'Points-Table'!$A$8), 'Points-Table'!$C$8,
                (U167 = 'Points-Table'!$A$9), 'Points-Table'!$C$9,
                (U167 = 'Points-Table'!$A$10), 'Points-Table'!$C$10,
                (U167 = 'Points-Table'!$A$11), 'Points-Table'!$C$11,
                (U167 = 'Points-Table'!$A$12), 'Points-Table'!$C$12,
                (U167 = 'Points-Table'!$A$13), 'Points-Table'!$C$13,
                true, 0
              )
            </f>
      </c>
      <c r="W167" s="13">
        <v>3</v>
      </c>
      <c r="X167" s="13">
        <f>
              Ifs(
                (W167 = 'Points-Table'!$A$4), 'Points-Table'!$C$4,
                (W167 = 'Points-Table'!$A$5), 'Points-Table'!$C$5,
                (W167 = 'Points-Table'!$A$6), 'Points-Table'!$C$6,
                (W167 = 'Points-Table'!$A$7), 'Points-Table'!$C$7,
                (W167 = 'Points-Table'!$A$8), 'Points-Table'!$C$8,
                (W167 = 'Points-Table'!$A$9), 'Points-Table'!$C$9,
                (W167 = 'Points-Table'!$A$10), 'Points-Table'!$C$10,
                (W167 = 'Points-Table'!$A$11), 'Points-Table'!$C$11,
                (W167 = 'Points-Table'!$A$12), 'Points-Table'!$C$12,
                (W167 = 'Points-Table'!$A$13), 'Points-Table'!$C$13,
                true, 0
              )
            </f>
      </c>
      <c r="Y167" s="13">
        <v>3</v>
      </c>
      <c r="Z167" s="13">
        <f>
              Ifs(
                (Y167 = 'Points-Table'!$A$4), 'Points-Table'!$C$4,
                (Y167 = 'Points-Table'!$A$5), 'Points-Table'!$C$5,
                (Y167 = 'Points-Table'!$A$6), 'Points-Table'!$C$6,
                (Y167 = 'Points-Table'!$A$7), 'Points-Table'!$C$7,
                (Y167 = 'Points-Table'!$A$8), 'Points-Table'!$C$8,
                (Y167 = 'Points-Table'!$A$9), 'Points-Table'!$C$9,
                (Y167 = 'Points-Table'!$A$10), 'Points-Table'!$C$10,
                (Y167 = 'Points-Table'!$A$11), 'Points-Table'!$C$11,
                (Y167 = 'Points-Table'!$A$12), 'Points-Table'!$C$12,
                (Y167 = 'Points-Table'!$A$13), 'Points-Table'!$C$13,
                true, 0
              )
            </f>
      </c>
      <c r="AA167" s="13">
        <f>SUM(V167,X167,Z167)</f>
      </c>
      <c r="AB167" s="13">
        <f>
      Ifs( 
        ISBETWEEN(AA167, 0, 'Points-Table'!C$20, TRUE, False), 'Points-Table'!A$20,
        ISBETWEEN(AA167, 'Points-Table'!C$20, 'Points-Table'!C$21, TRUE, False), 'Points-Table'!A$21,
        ISBETWEEN(AA167, 'Points-Table'!C$22, 10000, TRUE, TRUE), 'Points-Table'!A$22,
        true, 
        0)
      </f>
      </c>
      <c r="AC167" s="13" t="s">
        <v>56</v>
      </c>
      <c r="AD167" s="13" t="s">
        <v>56</v>
      </c>
      <c r="AE167" s="13" t="s">
        <v>56</v>
      </c>
    </row>
    <row r="168" spans="1:31" s="13" customFormat="1" x14ac:dyDescent="0.25">
      <c r="A168" s="13" t="s">
        <v>387</v>
      </c>
      <c r="B168" s="13" t="s">
        <v>432</v>
      </c>
      <c r="D168" s="13"/>
      <c r="E168" s="13"/>
      <c r="F168" s="13"/>
      <c r="G168" s="13"/>
      <c r="H168" s="13"/>
      <c r="I168" s="13"/>
      <c r="J168" s="13"/>
      <c r="K168" s="13" t="s">
        <v>84</v>
      </c>
      <c r="L168" s="13" t="s">
        <v>85</v>
      </c>
      <c r="M168" s="13"/>
      <c r="N168" s="13"/>
      <c r="O168" s="13"/>
      <c r="P168" s="13"/>
      <c r="Q168" s="13"/>
      <c r="R168" s="13">
        <f>
              Ifs(
                (Q168 = 'Points-Table'!$A$4), 'Points-Table'!$C$4,
                (Q168 = 'Points-Table'!$A$5), 'Points-Table'!$C$5,
                (Q168 = 'Points-Table'!$A$6), 'Points-Table'!$C$6,
                (Q168 = 'Points-Table'!$A$7), 'Points-Table'!$C$7,
                (Q168 = 'Points-Table'!$A$8), 'Points-Table'!$C$8,
                (Q168 = 'Points-Table'!$A$9), 'Points-Table'!$C$9,
                (Q168 = 'Points-Table'!$A$10), 'Points-Table'!$C$10,
                (Q168 = 'Points-Table'!$A$11), 'Points-Table'!$C$11,
                (Q168 = 'Points-Table'!$A$12), 'Points-Table'!$C$12,
                (Q168 = 'Points-Table'!$A$13), 'Points-Table'!$C$13,
                true, 0
              )
            </f>
      </c>
      <c r="S168" s="13"/>
      <c r="T168" s="13">
        <f>
              Ifs(
                (S168 = 'Points-Table'!$A$4), 'Points-Table'!$C$4,
                (S168 = 'Points-Table'!$A$5), 'Points-Table'!$C$5,
                (S168 = 'Points-Table'!$A$6), 'Points-Table'!$C$6,
                (S168 = 'Points-Table'!$A$7), 'Points-Table'!$C$7,
                (S168 = 'Points-Table'!$A$8), 'Points-Table'!$C$8,
                (S168 = 'Points-Table'!$A$9), 'Points-Table'!$C$9,
                (S168 = 'Points-Table'!$A$10), 'Points-Table'!$C$10,
                (S168 = 'Points-Table'!$A$11), 'Points-Table'!$C$11,
                (S168 = 'Points-Table'!$A$12), 'Points-Table'!$C$12,
                (S168 = 'Points-Table'!$A$13), 'Points-Table'!$C$13,
                true, 0
              )
            </f>
      </c>
      <c r="U168" s="13"/>
      <c r="V168" s="13">
        <f>
              Ifs(
                (U168 = 'Points-Table'!$A$4), 'Points-Table'!$C$4,
                (U168 = 'Points-Table'!$A$5), 'Points-Table'!$C$5,
                (U168 = 'Points-Table'!$A$6), 'Points-Table'!$C$6,
                (U168 = 'Points-Table'!$A$7), 'Points-Table'!$C$7,
                (U168 = 'Points-Table'!$A$8), 'Points-Table'!$C$8,
                (U168 = 'Points-Table'!$A$9), 'Points-Table'!$C$9,
                (U168 = 'Points-Table'!$A$10), 'Points-Table'!$C$10,
                (U168 = 'Points-Table'!$A$11), 'Points-Table'!$C$11,
                (U168 = 'Points-Table'!$A$12), 'Points-Table'!$C$12,
                (U168 = 'Points-Table'!$A$13), 'Points-Table'!$C$13,
                true, 0
              )
            </f>
      </c>
      <c r="W168" s="13"/>
      <c r="X168" s="13">
        <f>
              Ifs(
                (W168 = 'Points-Table'!$A$4), 'Points-Table'!$C$4,
                (W168 = 'Points-Table'!$A$5), 'Points-Table'!$C$5,
                (W168 = 'Points-Table'!$A$6), 'Points-Table'!$C$6,
                (W168 = 'Points-Table'!$A$7), 'Points-Table'!$C$7,
                (W168 = 'Points-Table'!$A$8), 'Points-Table'!$C$8,
                (W168 = 'Points-Table'!$A$9), 'Points-Table'!$C$9,
                (W168 = 'Points-Table'!$A$10), 'Points-Table'!$C$10,
                (W168 = 'Points-Table'!$A$11), 'Points-Table'!$C$11,
                (W168 = 'Points-Table'!$A$12), 'Points-Table'!$C$12,
                (W168 = 'Points-Table'!$A$13), 'Points-Table'!$C$13,
                true, 0
              )
            </f>
      </c>
      <c r="Y168" s="13"/>
      <c r="Z168" s="13">
        <f>
              Ifs(
                (Y168 = 'Points-Table'!$A$4), 'Points-Table'!$C$4,
                (Y168 = 'Points-Table'!$A$5), 'Points-Table'!$C$5,
                (Y168 = 'Points-Table'!$A$6), 'Points-Table'!$C$6,
                (Y168 = 'Points-Table'!$A$7), 'Points-Table'!$C$7,
                (Y168 = 'Points-Table'!$A$8), 'Points-Table'!$C$8,
                (Y168 = 'Points-Table'!$A$9), 'Points-Table'!$C$9,
                (Y168 = 'Points-Table'!$A$10), 'Points-Table'!$C$10,
                (Y168 = 'Points-Table'!$A$11), 'Points-Table'!$C$11,
                (Y168 = 'Points-Table'!$A$12), 'Points-Table'!$C$12,
                (Y168 = 'Points-Table'!$A$13), 'Points-Table'!$C$13,
                true, 0
              )
            </f>
      </c>
      <c r="AA168" s="13">
        <f>SUM(V168,X168,Z168)</f>
      </c>
      <c r="AB168" s="13">
        <f>
      Ifs( 
        ISBETWEEN(AA168, 0, 'Points-Table'!C$20, TRUE, False), 'Points-Table'!A$20,
        ISBETWEEN(AA168, 'Points-Table'!C$20, 'Points-Table'!C$21, TRUE, False), 'Points-Table'!A$21,
        ISBETWEEN(AA168, 'Points-Table'!C$22, 10000, TRUE, TRUE), 'Points-Table'!A$22,
        true, 
        0)
      </f>
      </c>
      <c r="AC168" s="13" t="s">
        <v>56</v>
      </c>
      <c r="AD168" s="13" t="s">
        <v>56</v>
      </c>
      <c r="AE168" s="13" t="s">
        <v>56</v>
      </c>
    </row>
    <row r="169" spans="1:31" s="13" customFormat="1" x14ac:dyDescent="0.25">
      <c r="A169" s="13" t="s">
        <v>387</v>
      </c>
      <c r="B169" s="13" t="s">
        <v>433</v>
      </c>
      <c r="C169" s="13" t="s">
        <v>434</v>
      </c>
      <c r="D169" s="13"/>
      <c r="E169" s="13"/>
      <c r="F169" s="13"/>
      <c r="G169" s="13"/>
      <c r="H169" s="13"/>
      <c r="I169" s="13"/>
      <c r="J169" s="13"/>
      <c r="K169" s="13" t="s">
        <v>84</v>
      </c>
      <c r="L169" s="13" t="s">
        <v>85</v>
      </c>
      <c r="M169" s="13"/>
      <c r="N169" s="13"/>
      <c r="O169" s="13"/>
      <c r="P169" s="13"/>
      <c r="Q169" s="13"/>
      <c r="R169" s="13">
        <f>
              Ifs(
                (Q169 = 'Points-Table'!$A$4), 'Points-Table'!$C$4,
                (Q169 = 'Points-Table'!$A$5), 'Points-Table'!$C$5,
                (Q169 = 'Points-Table'!$A$6), 'Points-Table'!$C$6,
                (Q169 = 'Points-Table'!$A$7), 'Points-Table'!$C$7,
                (Q169 = 'Points-Table'!$A$8), 'Points-Table'!$C$8,
                (Q169 = 'Points-Table'!$A$9), 'Points-Table'!$C$9,
                (Q169 = 'Points-Table'!$A$10), 'Points-Table'!$C$10,
                (Q169 = 'Points-Table'!$A$11), 'Points-Table'!$C$11,
                (Q169 = 'Points-Table'!$A$12), 'Points-Table'!$C$12,
                (Q169 = 'Points-Table'!$A$13), 'Points-Table'!$C$13,
                true, 0
              )
            </f>
      </c>
      <c r="S169" s="13"/>
      <c r="T169" s="13">
        <f>
              Ifs(
                (S169 = 'Points-Table'!$A$4), 'Points-Table'!$C$4,
                (S169 = 'Points-Table'!$A$5), 'Points-Table'!$C$5,
                (S169 = 'Points-Table'!$A$6), 'Points-Table'!$C$6,
                (S169 = 'Points-Table'!$A$7), 'Points-Table'!$C$7,
                (S169 = 'Points-Table'!$A$8), 'Points-Table'!$C$8,
                (S169 = 'Points-Table'!$A$9), 'Points-Table'!$C$9,
                (S169 = 'Points-Table'!$A$10), 'Points-Table'!$C$10,
                (S169 = 'Points-Table'!$A$11), 'Points-Table'!$C$11,
                (S169 = 'Points-Table'!$A$12), 'Points-Table'!$C$12,
                (S169 = 'Points-Table'!$A$13), 'Points-Table'!$C$13,
                true, 0
              )
            </f>
      </c>
      <c r="U169" s="13">
        <v>5</v>
      </c>
      <c r="V169" s="13">
        <f>
              Ifs(
                (U169 = 'Points-Table'!$A$4), 'Points-Table'!$C$4,
                (U169 = 'Points-Table'!$A$5), 'Points-Table'!$C$5,
                (U169 = 'Points-Table'!$A$6), 'Points-Table'!$C$6,
                (U169 = 'Points-Table'!$A$7), 'Points-Table'!$C$7,
                (U169 = 'Points-Table'!$A$8), 'Points-Table'!$C$8,
                (U169 = 'Points-Table'!$A$9), 'Points-Table'!$C$9,
                (U169 = 'Points-Table'!$A$10), 'Points-Table'!$C$10,
                (U169 = 'Points-Table'!$A$11), 'Points-Table'!$C$11,
                (U169 = 'Points-Table'!$A$12), 'Points-Table'!$C$12,
                (U169 = 'Points-Table'!$A$13), 'Points-Table'!$C$13,
                true, 0
              )
            </f>
      </c>
      <c r="W169" s="13">
        <v>2</v>
      </c>
      <c r="X169" s="13">
        <f>
              Ifs(
                (W169 = 'Points-Table'!$A$4), 'Points-Table'!$C$4,
                (W169 = 'Points-Table'!$A$5), 'Points-Table'!$C$5,
                (W169 = 'Points-Table'!$A$6), 'Points-Table'!$C$6,
                (W169 = 'Points-Table'!$A$7), 'Points-Table'!$C$7,
                (W169 = 'Points-Table'!$A$8), 'Points-Table'!$C$8,
                (W169 = 'Points-Table'!$A$9), 'Points-Table'!$C$9,
                (W169 = 'Points-Table'!$A$10), 'Points-Table'!$C$10,
                (W169 = 'Points-Table'!$A$11), 'Points-Table'!$C$11,
                (W169 = 'Points-Table'!$A$12), 'Points-Table'!$C$12,
                (W169 = 'Points-Table'!$A$13), 'Points-Table'!$C$13,
                true, 0
              )
            </f>
      </c>
      <c r="Y169" s="13">
        <v>5</v>
      </c>
      <c r="Z169" s="13">
        <f>
              Ifs(
                (Y169 = 'Points-Table'!$A$4), 'Points-Table'!$C$4,
                (Y169 = 'Points-Table'!$A$5), 'Points-Table'!$C$5,
                (Y169 = 'Points-Table'!$A$6), 'Points-Table'!$C$6,
                (Y169 = 'Points-Table'!$A$7), 'Points-Table'!$C$7,
                (Y169 = 'Points-Table'!$A$8), 'Points-Table'!$C$8,
                (Y169 = 'Points-Table'!$A$9), 'Points-Table'!$C$9,
                (Y169 = 'Points-Table'!$A$10), 'Points-Table'!$C$10,
                (Y169 = 'Points-Table'!$A$11), 'Points-Table'!$C$11,
                (Y169 = 'Points-Table'!$A$12), 'Points-Table'!$C$12,
                (Y169 = 'Points-Table'!$A$13), 'Points-Table'!$C$13,
                true, 0
              )
            </f>
      </c>
      <c r="AA169" s="13">
        <f>SUM(V169,X169,Z169)</f>
      </c>
      <c r="AB169" s="13">
        <f>
      Ifs( 
        ISBETWEEN(AA169, 0, 'Points-Table'!C$20, TRUE, False), 'Points-Table'!A$20,
        ISBETWEEN(AA169, 'Points-Table'!C$20, 'Points-Table'!C$21, TRUE, False), 'Points-Table'!A$21,
        ISBETWEEN(AA169, 'Points-Table'!C$22, 10000, TRUE, TRUE), 'Points-Table'!A$22,
        true, 
        0)
      </f>
      </c>
      <c r="AC169" s="13" t="s">
        <v>56</v>
      </c>
      <c r="AD169" s="13" t="s">
        <v>56</v>
      </c>
      <c r="AE169" s="13" t="s">
        <v>56</v>
      </c>
    </row>
    <row r="170" spans="1:31" s="6" customFormat="1" x14ac:dyDescent="0.25">
      <c r="A170" s="6" t="s">
        <v>435</v>
      </c>
      <c r="B170" s="6" t="s">
        <v>436</v>
      </c>
      <c r="C170" s="6" t="s">
        <v>275</v>
      </c>
      <c r="D170" s="6"/>
      <c r="E170" s="6"/>
      <c r="F170" s="6"/>
      <c r="G170" s="6"/>
      <c r="H170" s="6"/>
      <c r="I170" s="6"/>
      <c r="J170" s="6"/>
      <c r="K170" s="6" t="s">
        <v>84</v>
      </c>
      <c r="L170" s="6" t="s">
        <v>85</v>
      </c>
      <c r="M170" s="6"/>
      <c r="N170" s="6"/>
      <c r="O170" s="6"/>
      <c r="P170" s="6"/>
      <c r="Q170" s="11">
        <v>5</v>
      </c>
      <c r="R170" s="12">
        <f>
              Ifs(
                (Q170 = 'Points-Table'!$A$4), 'Points-Table'!$C$4,
                (Q170 = 'Points-Table'!$A$5), 'Points-Table'!$C$5,
                (Q170 = 'Points-Table'!$A$6), 'Points-Table'!$C$6,
                (Q170 = 'Points-Table'!$A$7), 'Points-Table'!$C$7,
                (Q170 = 'Points-Table'!$A$8), 'Points-Table'!$C$8,
                (Q170 = 'Points-Table'!$A$9), 'Points-Table'!$C$9,
                (Q170 = 'Points-Table'!$A$10), 'Points-Table'!$C$10,
                (Q170 = 'Points-Table'!$A$11), 'Points-Table'!$C$11,
                (Q170 = 'Points-Table'!$A$12), 'Points-Table'!$C$12,
                (Q170 = 'Points-Table'!$A$13), 'Points-Table'!$C$13,
                true, 0
              )
            </f>
      </c>
      <c r="S170" s="11">
        <v>5</v>
      </c>
      <c r="T170" s="12">
        <f>
              Ifs(
                (S170 = 'Points-Table'!$A$4), 'Points-Table'!$C$4,
                (S170 = 'Points-Table'!$A$5), 'Points-Table'!$C$5,
                (S170 = 'Points-Table'!$A$6), 'Points-Table'!$C$6,
                (S170 = 'Points-Table'!$A$7), 'Points-Table'!$C$7,
                (S170 = 'Points-Table'!$A$8), 'Points-Table'!$C$8,
                (S170 = 'Points-Table'!$A$9), 'Points-Table'!$C$9,
                (S170 = 'Points-Table'!$A$10), 'Points-Table'!$C$10,
                (S170 = 'Points-Table'!$A$11), 'Points-Table'!$C$11,
                (S170 = 'Points-Table'!$A$12), 'Points-Table'!$C$12,
                (S170 = 'Points-Table'!$A$13), 'Points-Table'!$C$13,
                true, 0
              )
            </f>
      </c>
      <c r="U170" s="11">
        <v>5</v>
      </c>
      <c r="V170" s="12">
        <f>
              Ifs(
                (U170 = 'Points-Table'!$A$4), 'Points-Table'!$C$4,
                (U170 = 'Points-Table'!$A$5), 'Points-Table'!$C$5,
                (U170 = 'Points-Table'!$A$6), 'Points-Table'!$C$6,
                (U170 = 'Points-Table'!$A$7), 'Points-Table'!$C$7,
                (U170 = 'Points-Table'!$A$8), 'Points-Table'!$C$8,
                (U170 = 'Points-Table'!$A$9), 'Points-Table'!$C$9,
                (U170 = 'Points-Table'!$A$10), 'Points-Table'!$C$10,
                (U170 = 'Points-Table'!$A$11), 'Points-Table'!$C$11,
                (U170 = 'Points-Table'!$A$12), 'Points-Table'!$C$12,
                (U170 = 'Points-Table'!$A$13), 'Points-Table'!$C$13,
                true, 0
              )
            </f>
      </c>
      <c r="W170" s="11">
        <v>2</v>
      </c>
      <c r="X170" s="12">
        <f>
              Ifs(
                (W170 = 'Points-Table'!$A$4), 'Points-Table'!$C$4,
                (W170 = 'Points-Table'!$A$5), 'Points-Table'!$C$5,
                (W170 = 'Points-Table'!$A$6), 'Points-Table'!$C$6,
                (W170 = 'Points-Table'!$A$7), 'Points-Table'!$C$7,
                (W170 = 'Points-Table'!$A$8), 'Points-Table'!$C$8,
                (W170 = 'Points-Table'!$A$9), 'Points-Table'!$C$9,
                (W170 = 'Points-Table'!$A$10), 'Points-Table'!$C$10,
                (W170 = 'Points-Table'!$A$11), 'Points-Table'!$C$11,
                (W170 = 'Points-Table'!$A$12), 'Points-Table'!$C$12,
                (W170 = 'Points-Table'!$A$13), 'Points-Table'!$C$13,
                true, 0
              )
            </f>
      </c>
      <c r="Y170" s="11">
        <v>5</v>
      </c>
      <c r="Z170" s="12">
        <f>
              Ifs(
                (Y170 = 'Points-Table'!$A$4), 'Points-Table'!$C$4,
                (Y170 = 'Points-Table'!$A$5), 'Points-Table'!$C$5,
                (Y170 = 'Points-Table'!$A$6), 'Points-Table'!$C$6,
                (Y170 = 'Points-Table'!$A$7), 'Points-Table'!$C$7,
                (Y170 = 'Points-Table'!$A$8), 'Points-Table'!$C$8,
                (Y170 = 'Points-Table'!$A$9), 'Points-Table'!$C$9,
                (Y170 = 'Points-Table'!$A$10), 'Points-Table'!$C$10,
                (Y170 = 'Points-Table'!$A$11), 'Points-Table'!$C$11,
                (Y170 = 'Points-Table'!$A$12), 'Points-Table'!$C$12,
                (Y170 = 'Points-Table'!$A$13), 'Points-Table'!$C$13,
                true, 0
              )
            </f>
      </c>
      <c r="AA170" s="6">
        <f>SUM(V170,X170,Z170)</f>
      </c>
      <c r="AB170" s="6">
        <f>
      Ifs( 
        ISBETWEEN(AA170, 0, 'Points-Table'!C$20, TRUE, False), 'Points-Table'!A$20,
        ISBETWEEN(AA170, 'Points-Table'!C$20, 'Points-Table'!C$21, TRUE, False), 'Points-Table'!A$21,
        ISBETWEEN(AA170, 'Points-Table'!C$22, 10000, TRUE, TRUE), 'Points-Table'!A$22,
        true, 
        0)
      </f>
      </c>
      <c r="AC170" s="6" t="s">
        <v>56</v>
      </c>
      <c r="AD170" s="6" t="s">
        <v>56</v>
      </c>
      <c r="AE170" s="6" t="s">
        <v>56</v>
      </c>
    </row>
    <row r="171" spans="1:31" s="13" customFormat="1" x14ac:dyDescent="0.25">
      <c r="A171" s="13" t="s">
        <v>435</v>
      </c>
      <c r="B171" s="13" t="s">
        <v>436</v>
      </c>
      <c r="C171" s="13" t="s">
        <v>253</v>
      </c>
      <c r="D171" s="13"/>
      <c r="E171" s="13"/>
      <c r="F171" s="13"/>
      <c r="G171" s="13"/>
      <c r="H171" s="13"/>
      <c r="I171" s="13"/>
      <c r="J171" s="13"/>
      <c r="K171" s="13" t="s">
        <v>84</v>
      </c>
      <c r="L171" s="13" t="s">
        <v>85</v>
      </c>
      <c r="M171" s="13"/>
      <c r="N171" s="13"/>
      <c r="O171" s="13"/>
      <c r="P171" s="13"/>
      <c r="Q171" s="13">
        <v>0</v>
      </c>
      <c r="R171" s="13">
        <f>
              Ifs(
                (Q171 = 'Points-Table'!$A$4), 'Points-Table'!$C$4,
                (Q171 = 'Points-Table'!$A$5), 'Points-Table'!$C$5,
                (Q171 = 'Points-Table'!$A$6), 'Points-Table'!$C$6,
                (Q171 = 'Points-Table'!$A$7), 'Points-Table'!$C$7,
                (Q171 = 'Points-Table'!$A$8), 'Points-Table'!$C$8,
                (Q171 = 'Points-Table'!$A$9), 'Points-Table'!$C$9,
                (Q171 = 'Points-Table'!$A$10), 'Points-Table'!$C$10,
                (Q171 = 'Points-Table'!$A$11), 'Points-Table'!$C$11,
                (Q171 = 'Points-Table'!$A$12), 'Points-Table'!$C$12,
                (Q171 = 'Points-Table'!$A$13), 'Points-Table'!$C$13,
                true, 0
              )
            </f>
      </c>
      <c r="S171" s="13">
        <v>0</v>
      </c>
      <c r="T171" s="13">
        <f>
              Ifs(
                (S171 = 'Points-Table'!$A$4), 'Points-Table'!$C$4,
                (S171 = 'Points-Table'!$A$5), 'Points-Table'!$C$5,
                (S171 = 'Points-Table'!$A$6), 'Points-Table'!$C$6,
                (S171 = 'Points-Table'!$A$7), 'Points-Table'!$C$7,
                (S171 = 'Points-Table'!$A$8), 'Points-Table'!$C$8,
                (S171 = 'Points-Table'!$A$9), 'Points-Table'!$C$9,
                (S171 = 'Points-Table'!$A$10), 'Points-Table'!$C$10,
                (S171 = 'Points-Table'!$A$11), 'Points-Table'!$C$11,
                (S171 = 'Points-Table'!$A$12), 'Points-Table'!$C$12,
                (S171 = 'Points-Table'!$A$13), 'Points-Table'!$C$13,
                true, 0
              )
            </f>
      </c>
      <c r="U171" s="13">
        <v>2</v>
      </c>
      <c r="V171" s="13">
        <f>
              Ifs(
                (U171 = 'Points-Table'!$A$4), 'Points-Table'!$C$4,
                (U171 = 'Points-Table'!$A$5), 'Points-Table'!$C$5,
                (U171 = 'Points-Table'!$A$6), 'Points-Table'!$C$6,
                (U171 = 'Points-Table'!$A$7), 'Points-Table'!$C$7,
                (U171 = 'Points-Table'!$A$8), 'Points-Table'!$C$8,
                (U171 = 'Points-Table'!$A$9), 'Points-Table'!$C$9,
                (U171 = 'Points-Table'!$A$10), 'Points-Table'!$C$10,
                (U171 = 'Points-Table'!$A$11), 'Points-Table'!$C$11,
                (U171 = 'Points-Table'!$A$12), 'Points-Table'!$C$12,
                (U171 = 'Points-Table'!$A$13), 'Points-Table'!$C$13,
                true, 0
              )
            </f>
      </c>
      <c r="W171" s="13">
        <v>1</v>
      </c>
      <c r="X171" s="13">
        <f>
              Ifs(
                (W171 = 'Points-Table'!$A$4), 'Points-Table'!$C$4,
                (W171 = 'Points-Table'!$A$5), 'Points-Table'!$C$5,
                (W171 = 'Points-Table'!$A$6), 'Points-Table'!$C$6,
                (W171 = 'Points-Table'!$A$7), 'Points-Table'!$C$7,
                (W171 = 'Points-Table'!$A$8), 'Points-Table'!$C$8,
                (W171 = 'Points-Table'!$A$9), 'Points-Table'!$C$9,
                (W171 = 'Points-Table'!$A$10), 'Points-Table'!$C$10,
                (W171 = 'Points-Table'!$A$11), 'Points-Table'!$C$11,
                (W171 = 'Points-Table'!$A$12), 'Points-Table'!$C$12,
                (W171 = 'Points-Table'!$A$13), 'Points-Table'!$C$13,
                true, 0
              )
            </f>
      </c>
      <c r="Y171" s="13">
        <v>2</v>
      </c>
      <c r="Z171" s="13">
        <f>
              Ifs(
                (Y171 = 'Points-Table'!$A$4), 'Points-Table'!$C$4,
                (Y171 = 'Points-Table'!$A$5), 'Points-Table'!$C$5,
                (Y171 = 'Points-Table'!$A$6), 'Points-Table'!$C$6,
                (Y171 = 'Points-Table'!$A$7), 'Points-Table'!$C$7,
                (Y171 = 'Points-Table'!$A$8), 'Points-Table'!$C$8,
                (Y171 = 'Points-Table'!$A$9), 'Points-Table'!$C$9,
                (Y171 = 'Points-Table'!$A$10), 'Points-Table'!$C$10,
                (Y171 = 'Points-Table'!$A$11), 'Points-Table'!$C$11,
                (Y171 = 'Points-Table'!$A$12), 'Points-Table'!$C$12,
                (Y171 = 'Points-Table'!$A$13), 'Points-Table'!$C$13,
                true, 0
              )
            </f>
      </c>
      <c r="AA171" s="13">
        <f>SUM(V171,X171,Z171)</f>
      </c>
      <c r="AB171" s="13">
        <f>
      Ifs( 
        ISBETWEEN(AA171, 0, 'Points-Table'!C$20, TRUE, False), 'Points-Table'!A$20,
        ISBETWEEN(AA171, 'Points-Table'!C$20, 'Points-Table'!C$21, TRUE, False), 'Points-Table'!A$21,
        ISBETWEEN(AA171, 'Points-Table'!C$22, 10000, TRUE, TRUE), 'Points-Table'!A$22,
        true, 
        0)
      </f>
      </c>
      <c r="AC171" s="13" t="s">
        <v>56</v>
      </c>
      <c r="AD171" s="13" t="s">
        <v>56</v>
      </c>
      <c r="AE171" s="13" t="s">
        <v>56</v>
      </c>
    </row>
    <row r="172" spans="1:31" s="13" customFormat="1" x14ac:dyDescent="0.25">
      <c r="A172" s="13" t="s">
        <v>435</v>
      </c>
      <c r="B172" s="13" t="s">
        <v>436</v>
      </c>
      <c r="C172" s="13" t="s">
        <v>273</v>
      </c>
      <c r="D172" s="13"/>
      <c r="E172" s="13"/>
      <c r="F172" s="13"/>
      <c r="G172" s="13"/>
      <c r="H172" s="13"/>
      <c r="I172" s="13"/>
      <c r="J172" s="13"/>
      <c r="K172" s="13" t="s">
        <v>84</v>
      </c>
      <c r="L172" s="13" t="s">
        <v>85</v>
      </c>
      <c r="M172" s="13"/>
      <c r="N172" s="13"/>
      <c r="O172" s="13"/>
      <c r="P172" s="13"/>
      <c r="Q172" s="13">
        <v>0</v>
      </c>
      <c r="R172" s="13">
        <f>
              Ifs(
                (Q172 = 'Points-Table'!$A$4), 'Points-Table'!$C$4,
                (Q172 = 'Points-Table'!$A$5), 'Points-Table'!$C$5,
                (Q172 = 'Points-Table'!$A$6), 'Points-Table'!$C$6,
                (Q172 = 'Points-Table'!$A$7), 'Points-Table'!$C$7,
                (Q172 = 'Points-Table'!$A$8), 'Points-Table'!$C$8,
                (Q172 = 'Points-Table'!$A$9), 'Points-Table'!$C$9,
                (Q172 = 'Points-Table'!$A$10), 'Points-Table'!$C$10,
                (Q172 = 'Points-Table'!$A$11), 'Points-Table'!$C$11,
                (Q172 = 'Points-Table'!$A$12), 'Points-Table'!$C$12,
                (Q172 = 'Points-Table'!$A$13), 'Points-Table'!$C$13,
                true, 0
              )
            </f>
      </c>
      <c r="S172" s="13">
        <v>0</v>
      </c>
      <c r="T172" s="13">
        <f>
              Ifs(
                (S172 = 'Points-Table'!$A$4), 'Points-Table'!$C$4,
                (S172 = 'Points-Table'!$A$5), 'Points-Table'!$C$5,
                (S172 = 'Points-Table'!$A$6), 'Points-Table'!$C$6,
                (S172 = 'Points-Table'!$A$7), 'Points-Table'!$C$7,
                (S172 = 'Points-Table'!$A$8), 'Points-Table'!$C$8,
                (S172 = 'Points-Table'!$A$9), 'Points-Table'!$C$9,
                (S172 = 'Points-Table'!$A$10), 'Points-Table'!$C$10,
                (S172 = 'Points-Table'!$A$11), 'Points-Table'!$C$11,
                (S172 = 'Points-Table'!$A$12), 'Points-Table'!$C$12,
                (S172 = 'Points-Table'!$A$13), 'Points-Table'!$C$13,
                true, 0
              )
            </f>
      </c>
      <c r="U172" s="13">
        <v>1</v>
      </c>
      <c r="V172" s="13">
        <f>
              Ifs(
                (U172 = 'Points-Table'!$A$4), 'Points-Table'!$C$4,
                (U172 = 'Points-Table'!$A$5), 'Points-Table'!$C$5,
                (U172 = 'Points-Table'!$A$6), 'Points-Table'!$C$6,
                (U172 = 'Points-Table'!$A$7), 'Points-Table'!$C$7,
                (U172 = 'Points-Table'!$A$8), 'Points-Table'!$C$8,
                (U172 = 'Points-Table'!$A$9), 'Points-Table'!$C$9,
                (U172 = 'Points-Table'!$A$10), 'Points-Table'!$C$10,
                (U172 = 'Points-Table'!$A$11), 'Points-Table'!$C$11,
                (U172 = 'Points-Table'!$A$12), 'Points-Table'!$C$12,
                (U172 = 'Points-Table'!$A$13), 'Points-Table'!$C$13,
                true, 0
              )
            </f>
      </c>
      <c r="W172" s="13">
        <v>2</v>
      </c>
      <c r="X172" s="13">
        <f>
              Ifs(
                (W172 = 'Points-Table'!$A$4), 'Points-Table'!$C$4,
                (W172 = 'Points-Table'!$A$5), 'Points-Table'!$C$5,
                (W172 = 'Points-Table'!$A$6), 'Points-Table'!$C$6,
                (W172 = 'Points-Table'!$A$7), 'Points-Table'!$C$7,
                (W172 = 'Points-Table'!$A$8), 'Points-Table'!$C$8,
                (W172 = 'Points-Table'!$A$9), 'Points-Table'!$C$9,
                (W172 = 'Points-Table'!$A$10), 'Points-Table'!$C$10,
                (W172 = 'Points-Table'!$A$11), 'Points-Table'!$C$11,
                (W172 = 'Points-Table'!$A$12), 'Points-Table'!$C$12,
                (W172 = 'Points-Table'!$A$13), 'Points-Table'!$C$13,
                true, 0
              )
            </f>
      </c>
      <c r="Y172" s="13">
        <v>1</v>
      </c>
      <c r="Z172" s="13">
        <f>
              Ifs(
                (Y172 = 'Points-Table'!$A$4), 'Points-Table'!$C$4,
                (Y172 = 'Points-Table'!$A$5), 'Points-Table'!$C$5,
                (Y172 = 'Points-Table'!$A$6), 'Points-Table'!$C$6,
                (Y172 = 'Points-Table'!$A$7), 'Points-Table'!$C$7,
                (Y172 = 'Points-Table'!$A$8), 'Points-Table'!$C$8,
                (Y172 = 'Points-Table'!$A$9), 'Points-Table'!$C$9,
                (Y172 = 'Points-Table'!$A$10), 'Points-Table'!$C$10,
                (Y172 = 'Points-Table'!$A$11), 'Points-Table'!$C$11,
                (Y172 = 'Points-Table'!$A$12), 'Points-Table'!$C$12,
                (Y172 = 'Points-Table'!$A$13), 'Points-Table'!$C$13,
                true, 0
              )
            </f>
      </c>
      <c r="AA172" s="13">
        <f>SUM(V172,X172,Z172)</f>
      </c>
      <c r="AB172" s="13">
        <f>
      Ifs( 
        ISBETWEEN(AA172, 0, 'Points-Table'!C$20, TRUE, False), 'Points-Table'!A$20,
        ISBETWEEN(AA172, 'Points-Table'!C$20, 'Points-Table'!C$21, TRUE, False), 'Points-Table'!A$21,
        ISBETWEEN(AA172, 'Points-Table'!C$22, 10000, TRUE, TRUE), 'Points-Table'!A$22,
        true, 
        0)
      </f>
      </c>
      <c r="AC172" s="13" t="s">
        <v>56</v>
      </c>
      <c r="AD172" s="13" t="s">
        <v>56</v>
      </c>
      <c r="AE172" s="13" t="s">
        <v>56</v>
      </c>
    </row>
    <row r="173" spans="1:31" s="13" customFormat="1" x14ac:dyDescent="0.25">
      <c r="A173" s="13" t="s">
        <v>435</v>
      </c>
      <c r="B173" s="13" t="s">
        <v>436</v>
      </c>
      <c r="C173" s="13" t="s">
        <v>274</v>
      </c>
      <c r="D173" s="13"/>
      <c r="E173" s="13"/>
      <c r="F173" s="13"/>
      <c r="G173" s="13"/>
      <c r="H173" s="13"/>
      <c r="I173" s="13"/>
      <c r="J173" s="13"/>
      <c r="K173" s="13" t="s">
        <v>84</v>
      </c>
      <c r="L173" s="13" t="s">
        <v>85</v>
      </c>
      <c r="M173" s="13"/>
      <c r="N173" s="13"/>
      <c r="O173" s="13"/>
      <c r="P173" s="13"/>
      <c r="Q173" s="13">
        <v>0</v>
      </c>
      <c r="R173" s="13">
        <f>
              Ifs(
                (Q173 = 'Points-Table'!$A$4), 'Points-Table'!$C$4,
                (Q173 = 'Points-Table'!$A$5), 'Points-Table'!$C$5,
                (Q173 = 'Points-Table'!$A$6), 'Points-Table'!$C$6,
                (Q173 = 'Points-Table'!$A$7), 'Points-Table'!$C$7,
                (Q173 = 'Points-Table'!$A$8), 'Points-Table'!$C$8,
                (Q173 = 'Points-Table'!$A$9), 'Points-Table'!$C$9,
                (Q173 = 'Points-Table'!$A$10), 'Points-Table'!$C$10,
                (Q173 = 'Points-Table'!$A$11), 'Points-Table'!$C$11,
                (Q173 = 'Points-Table'!$A$12), 'Points-Table'!$C$12,
                (Q173 = 'Points-Table'!$A$13), 'Points-Table'!$C$13,
                true, 0
              )
            </f>
      </c>
      <c r="S173" s="13">
        <v>0</v>
      </c>
      <c r="T173" s="13">
        <f>
              Ifs(
                (S173 = 'Points-Table'!$A$4), 'Points-Table'!$C$4,
                (S173 = 'Points-Table'!$A$5), 'Points-Table'!$C$5,
                (S173 = 'Points-Table'!$A$6), 'Points-Table'!$C$6,
                (S173 = 'Points-Table'!$A$7), 'Points-Table'!$C$7,
                (S173 = 'Points-Table'!$A$8), 'Points-Table'!$C$8,
                (S173 = 'Points-Table'!$A$9), 'Points-Table'!$C$9,
                (S173 = 'Points-Table'!$A$10), 'Points-Table'!$C$10,
                (S173 = 'Points-Table'!$A$11), 'Points-Table'!$C$11,
                (S173 = 'Points-Table'!$A$12), 'Points-Table'!$C$12,
                (S173 = 'Points-Table'!$A$13), 'Points-Table'!$C$13,
                true, 0
              )
            </f>
      </c>
      <c r="U173" s="13">
        <v>2</v>
      </c>
      <c r="V173" s="13">
        <f>
              Ifs(
                (U173 = 'Points-Table'!$A$4), 'Points-Table'!$C$4,
                (U173 = 'Points-Table'!$A$5), 'Points-Table'!$C$5,
                (U173 = 'Points-Table'!$A$6), 'Points-Table'!$C$6,
                (U173 = 'Points-Table'!$A$7), 'Points-Table'!$C$7,
                (U173 = 'Points-Table'!$A$8), 'Points-Table'!$C$8,
                (U173 = 'Points-Table'!$A$9), 'Points-Table'!$C$9,
                (U173 = 'Points-Table'!$A$10), 'Points-Table'!$C$10,
                (U173 = 'Points-Table'!$A$11), 'Points-Table'!$C$11,
                (U173 = 'Points-Table'!$A$12), 'Points-Table'!$C$12,
                (U173 = 'Points-Table'!$A$13), 'Points-Table'!$C$13,
                true, 0
              )
            </f>
      </c>
      <c r="W173" s="13">
        <v>3</v>
      </c>
      <c r="X173" s="13">
        <f>
              Ifs(
                (W173 = 'Points-Table'!$A$4), 'Points-Table'!$C$4,
                (W173 = 'Points-Table'!$A$5), 'Points-Table'!$C$5,
                (W173 = 'Points-Table'!$A$6), 'Points-Table'!$C$6,
                (W173 = 'Points-Table'!$A$7), 'Points-Table'!$C$7,
                (W173 = 'Points-Table'!$A$8), 'Points-Table'!$C$8,
                (W173 = 'Points-Table'!$A$9), 'Points-Table'!$C$9,
                (W173 = 'Points-Table'!$A$10), 'Points-Table'!$C$10,
                (W173 = 'Points-Table'!$A$11), 'Points-Table'!$C$11,
                (W173 = 'Points-Table'!$A$12), 'Points-Table'!$C$12,
                (W173 = 'Points-Table'!$A$13), 'Points-Table'!$C$13,
                true, 0
              )
            </f>
      </c>
      <c r="Y173" s="13">
        <v>2</v>
      </c>
      <c r="Z173" s="13">
        <f>
              Ifs(
                (Y173 = 'Points-Table'!$A$4), 'Points-Table'!$C$4,
                (Y173 = 'Points-Table'!$A$5), 'Points-Table'!$C$5,
                (Y173 = 'Points-Table'!$A$6), 'Points-Table'!$C$6,
                (Y173 = 'Points-Table'!$A$7), 'Points-Table'!$C$7,
                (Y173 = 'Points-Table'!$A$8), 'Points-Table'!$C$8,
                (Y173 = 'Points-Table'!$A$9), 'Points-Table'!$C$9,
                (Y173 = 'Points-Table'!$A$10), 'Points-Table'!$C$10,
                (Y173 = 'Points-Table'!$A$11), 'Points-Table'!$C$11,
                (Y173 = 'Points-Table'!$A$12), 'Points-Table'!$C$12,
                (Y173 = 'Points-Table'!$A$13), 'Points-Table'!$C$13,
                true, 0
              )
            </f>
      </c>
      <c r="AA173" s="13">
        <f>SUM(V173,X173,Z173)</f>
      </c>
      <c r="AB173" s="13">
        <f>
      Ifs( 
        ISBETWEEN(AA173, 0, 'Points-Table'!C$20, TRUE, False), 'Points-Table'!A$20,
        ISBETWEEN(AA173, 'Points-Table'!C$20, 'Points-Table'!C$21, TRUE, False), 'Points-Table'!A$21,
        ISBETWEEN(AA173, 'Points-Table'!C$22, 10000, TRUE, TRUE), 'Points-Table'!A$22,
        true, 
        0)
      </f>
      </c>
      <c r="AC173" s="13" t="s">
        <v>56</v>
      </c>
      <c r="AD173" s="13" t="s">
        <v>56</v>
      </c>
      <c r="AE173" s="13" t="s">
        <v>56</v>
      </c>
    </row>
    <row r="174" spans="1:31" s="6" customFormat="1" x14ac:dyDescent="0.25">
      <c r="A174" s="6" t="s">
        <v>435</v>
      </c>
      <c r="B174" s="6" t="s">
        <v>437</v>
      </c>
      <c r="D174" s="6"/>
      <c r="E174" s="6"/>
      <c r="F174" s="6"/>
      <c r="G174" s="6"/>
      <c r="H174" s="6"/>
      <c r="I174" s="6"/>
      <c r="J174" s="6"/>
      <c r="K174" s="6" t="s">
        <v>84</v>
      </c>
      <c r="L174" s="6" t="s">
        <v>85</v>
      </c>
      <c r="M174" s="6"/>
      <c r="N174" s="6"/>
      <c r="O174" s="6"/>
      <c r="P174" s="6"/>
      <c r="Q174" s="11"/>
      <c r="R174" s="12">
        <f>
              Ifs(
                (Q174 = 'Points-Table'!$A$4), 'Points-Table'!$C$4,
                (Q174 = 'Points-Table'!$A$5), 'Points-Table'!$C$5,
                (Q174 = 'Points-Table'!$A$6), 'Points-Table'!$C$6,
                (Q174 = 'Points-Table'!$A$7), 'Points-Table'!$C$7,
                (Q174 = 'Points-Table'!$A$8), 'Points-Table'!$C$8,
                (Q174 = 'Points-Table'!$A$9), 'Points-Table'!$C$9,
                (Q174 = 'Points-Table'!$A$10), 'Points-Table'!$C$10,
                (Q174 = 'Points-Table'!$A$11), 'Points-Table'!$C$11,
                (Q174 = 'Points-Table'!$A$12), 'Points-Table'!$C$12,
                (Q174 = 'Points-Table'!$A$13), 'Points-Table'!$C$13,
                true, 0
              )
            </f>
      </c>
      <c r="S174" s="11"/>
      <c r="T174" s="12">
        <f>
              Ifs(
                (S174 = 'Points-Table'!$A$4), 'Points-Table'!$C$4,
                (S174 = 'Points-Table'!$A$5), 'Points-Table'!$C$5,
                (S174 = 'Points-Table'!$A$6), 'Points-Table'!$C$6,
                (S174 = 'Points-Table'!$A$7), 'Points-Table'!$C$7,
                (S174 = 'Points-Table'!$A$8), 'Points-Table'!$C$8,
                (S174 = 'Points-Table'!$A$9), 'Points-Table'!$C$9,
                (S174 = 'Points-Table'!$A$10), 'Points-Table'!$C$10,
                (S174 = 'Points-Table'!$A$11), 'Points-Table'!$C$11,
                (S174 = 'Points-Table'!$A$12), 'Points-Table'!$C$12,
                (S174 = 'Points-Table'!$A$13), 'Points-Table'!$C$13,
                true, 0
              )
            </f>
      </c>
      <c r="U174" s="11">
        <v>5</v>
      </c>
      <c r="V174" s="12">
        <f>
              Ifs(
                (U174 = 'Points-Table'!$A$4), 'Points-Table'!$C$4,
                (U174 = 'Points-Table'!$A$5), 'Points-Table'!$C$5,
                (U174 = 'Points-Table'!$A$6), 'Points-Table'!$C$6,
                (U174 = 'Points-Table'!$A$7), 'Points-Table'!$C$7,
                (U174 = 'Points-Table'!$A$8), 'Points-Table'!$C$8,
                (U174 = 'Points-Table'!$A$9), 'Points-Table'!$C$9,
                (U174 = 'Points-Table'!$A$10), 'Points-Table'!$C$10,
                (U174 = 'Points-Table'!$A$11), 'Points-Table'!$C$11,
                (U174 = 'Points-Table'!$A$12), 'Points-Table'!$C$12,
                (U174 = 'Points-Table'!$A$13), 'Points-Table'!$C$13,
                true, 0
              )
            </f>
      </c>
      <c r="W174" s="11">
        <v>2</v>
      </c>
      <c r="X174" s="12">
        <f>
              Ifs(
                (W174 = 'Points-Table'!$A$4), 'Points-Table'!$C$4,
                (W174 = 'Points-Table'!$A$5), 'Points-Table'!$C$5,
                (W174 = 'Points-Table'!$A$6), 'Points-Table'!$C$6,
                (W174 = 'Points-Table'!$A$7), 'Points-Table'!$C$7,
                (W174 = 'Points-Table'!$A$8), 'Points-Table'!$C$8,
                (W174 = 'Points-Table'!$A$9), 'Points-Table'!$C$9,
                (W174 = 'Points-Table'!$A$10), 'Points-Table'!$C$10,
                (W174 = 'Points-Table'!$A$11), 'Points-Table'!$C$11,
                (W174 = 'Points-Table'!$A$12), 'Points-Table'!$C$12,
                (W174 = 'Points-Table'!$A$13), 'Points-Table'!$C$13,
                true, 0
              )
            </f>
      </c>
      <c r="Y174" s="11">
        <v>3</v>
      </c>
      <c r="Z174" s="12">
        <f>
              Ifs(
                (Y174 = 'Points-Table'!$A$4), 'Points-Table'!$C$4,
                (Y174 = 'Points-Table'!$A$5), 'Points-Table'!$C$5,
                (Y174 = 'Points-Table'!$A$6), 'Points-Table'!$C$6,
                (Y174 = 'Points-Table'!$A$7), 'Points-Table'!$C$7,
                (Y174 = 'Points-Table'!$A$8), 'Points-Table'!$C$8,
                (Y174 = 'Points-Table'!$A$9), 'Points-Table'!$C$9,
                (Y174 = 'Points-Table'!$A$10), 'Points-Table'!$C$10,
                (Y174 = 'Points-Table'!$A$11), 'Points-Table'!$C$11,
                (Y174 = 'Points-Table'!$A$12), 'Points-Table'!$C$12,
                (Y174 = 'Points-Table'!$A$13), 'Points-Table'!$C$13,
                true, 0
              )
            </f>
      </c>
      <c r="AA174" s="6">
        <f>SUM(V174,X174,Z174)</f>
      </c>
      <c r="AB174" s="6">
        <f>
      Ifs( 
        ISBETWEEN(AA174, 0, 'Points-Table'!C$20, TRUE, False), 'Points-Table'!A$20,
        ISBETWEEN(AA174, 'Points-Table'!C$20, 'Points-Table'!C$21, TRUE, False), 'Points-Table'!A$21,
        ISBETWEEN(AA174, 'Points-Table'!C$22, 10000, TRUE, TRUE), 'Points-Table'!A$22,
        true, 
        0)
      </f>
      </c>
      <c r="AC174" s="6" t="s">
        <v>56</v>
      </c>
      <c r="AD174" s="6" t="s">
        <v>56</v>
      </c>
      <c r="AE174" s="6" t="s">
        <v>56</v>
      </c>
    </row>
    <row r="175" spans="1:31" s="6" customFormat="1" x14ac:dyDescent="0.25">
      <c r="A175" s="6" t="s">
        <v>435</v>
      </c>
      <c r="B175" s="6" t="s">
        <v>438</v>
      </c>
      <c r="C175" s="6" t="s">
        <v>439</v>
      </c>
      <c r="D175" s="6"/>
      <c r="E175" s="6"/>
      <c r="F175" s="6"/>
      <c r="G175" s="6"/>
      <c r="H175" s="6"/>
      <c r="I175" s="6"/>
      <c r="J175" s="6"/>
      <c r="K175" s="6" t="s">
        <v>84</v>
      </c>
      <c r="L175" s="6" t="s">
        <v>85</v>
      </c>
      <c r="M175" s="6"/>
      <c r="N175" s="6"/>
      <c r="O175" s="6"/>
      <c r="P175" s="6"/>
      <c r="Q175" s="11"/>
      <c r="R175" s="12">
        <f>
              Ifs(
                (Q175 = 'Points-Table'!$A$4), 'Points-Table'!$C$4,
                (Q175 = 'Points-Table'!$A$5), 'Points-Table'!$C$5,
                (Q175 = 'Points-Table'!$A$6), 'Points-Table'!$C$6,
                (Q175 = 'Points-Table'!$A$7), 'Points-Table'!$C$7,
                (Q175 = 'Points-Table'!$A$8), 'Points-Table'!$C$8,
                (Q175 = 'Points-Table'!$A$9), 'Points-Table'!$C$9,
                (Q175 = 'Points-Table'!$A$10), 'Points-Table'!$C$10,
                (Q175 = 'Points-Table'!$A$11), 'Points-Table'!$C$11,
                (Q175 = 'Points-Table'!$A$12), 'Points-Table'!$C$12,
                (Q175 = 'Points-Table'!$A$13), 'Points-Table'!$C$13,
                true, 0
              )
            </f>
      </c>
      <c r="S175" s="11"/>
      <c r="T175" s="12">
        <f>
              Ifs(
                (S175 = 'Points-Table'!$A$4), 'Points-Table'!$C$4,
                (S175 = 'Points-Table'!$A$5), 'Points-Table'!$C$5,
                (S175 = 'Points-Table'!$A$6), 'Points-Table'!$C$6,
                (S175 = 'Points-Table'!$A$7), 'Points-Table'!$C$7,
                (S175 = 'Points-Table'!$A$8), 'Points-Table'!$C$8,
                (S175 = 'Points-Table'!$A$9), 'Points-Table'!$C$9,
                (S175 = 'Points-Table'!$A$10), 'Points-Table'!$C$10,
                (S175 = 'Points-Table'!$A$11), 'Points-Table'!$C$11,
                (S175 = 'Points-Table'!$A$12), 'Points-Table'!$C$12,
                (S175 = 'Points-Table'!$A$13), 'Points-Table'!$C$13,
                true, 0
              )
            </f>
      </c>
      <c r="U175" s="11">
        <v>8</v>
      </c>
      <c r="V175" s="12">
        <f>
              Ifs(
                (U175 = 'Points-Table'!$A$4), 'Points-Table'!$C$4,
                (U175 = 'Points-Table'!$A$5), 'Points-Table'!$C$5,
                (U175 = 'Points-Table'!$A$6), 'Points-Table'!$C$6,
                (U175 = 'Points-Table'!$A$7), 'Points-Table'!$C$7,
                (U175 = 'Points-Table'!$A$8), 'Points-Table'!$C$8,
                (U175 = 'Points-Table'!$A$9), 'Points-Table'!$C$9,
                (U175 = 'Points-Table'!$A$10), 'Points-Table'!$C$10,
                (U175 = 'Points-Table'!$A$11), 'Points-Table'!$C$11,
                (U175 = 'Points-Table'!$A$12), 'Points-Table'!$C$12,
                (U175 = 'Points-Table'!$A$13), 'Points-Table'!$C$13,
                true, 0
              )
            </f>
      </c>
      <c r="W175" s="11">
        <v>0</v>
      </c>
      <c r="X175" s="12">
        <f>
              Ifs(
                (W175 = 'Points-Table'!$A$4), 'Points-Table'!$C$4,
                (W175 = 'Points-Table'!$A$5), 'Points-Table'!$C$5,
                (W175 = 'Points-Table'!$A$6), 'Points-Table'!$C$6,
                (W175 = 'Points-Table'!$A$7), 'Points-Table'!$C$7,
                (W175 = 'Points-Table'!$A$8), 'Points-Table'!$C$8,
                (W175 = 'Points-Table'!$A$9), 'Points-Table'!$C$9,
                (W175 = 'Points-Table'!$A$10), 'Points-Table'!$C$10,
                (W175 = 'Points-Table'!$A$11), 'Points-Table'!$C$11,
                (W175 = 'Points-Table'!$A$12), 'Points-Table'!$C$12,
                (W175 = 'Points-Table'!$A$13), 'Points-Table'!$C$13,
                true, 0
              )
            </f>
      </c>
      <c r="Y175" s="11">
        <v>0</v>
      </c>
      <c r="Z175" s="12">
        <f>
              Ifs(
                (Y175 = 'Points-Table'!$A$4), 'Points-Table'!$C$4,
                (Y175 = 'Points-Table'!$A$5), 'Points-Table'!$C$5,
                (Y175 = 'Points-Table'!$A$6), 'Points-Table'!$C$6,
                (Y175 = 'Points-Table'!$A$7), 'Points-Table'!$C$7,
                (Y175 = 'Points-Table'!$A$8), 'Points-Table'!$C$8,
                (Y175 = 'Points-Table'!$A$9), 'Points-Table'!$C$9,
                (Y175 = 'Points-Table'!$A$10), 'Points-Table'!$C$10,
                (Y175 = 'Points-Table'!$A$11), 'Points-Table'!$C$11,
                (Y175 = 'Points-Table'!$A$12), 'Points-Table'!$C$12,
                (Y175 = 'Points-Table'!$A$13), 'Points-Table'!$C$13,
                true, 0
              )
            </f>
      </c>
      <c r="AA175" s="6">
        <f>SUM(V175,X175,Z175)</f>
      </c>
      <c r="AB175" s="6">
        <f>
      Ifs( 
        ISBETWEEN(AA175, 0, 'Points-Table'!C$20, TRUE, False), 'Points-Table'!A$20,
        ISBETWEEN(AA175, 'Points-Table'!C$20, 'Points-Table'!C$21, TRUE, False), 'Points-Table'!A$21,
        ISBETWEEN(AA175, 'Points-Table'!C$22, 10000, TRUE, TRUE), 'Points-Table'!A$22,
        true, 
        0)
      </f>
      </c>
      <c r="AC175" s="6" t="s">
        <v>56</v>
      </c>
      <c r="AD175" s="6" t="s">
        <v>56</v>
      </c>
      <c r="AE175" s="6" t="s">
        <v>56</v>
      </c>
    </row>
    <row r="176" spans="1:31" s="6" customFormat="1" x14ac:dyDescent="0.25">
      <c r="A176" s="6" t="s">
        <v>435</v>
      </c>
      <c r="B176" s="6" t="s">
        <v>438</v>
      </c>
      <c r="C176" s="6" t="s">
        <v>440</v>
      </c>
      <c r="D176" s="6"/>
      <c r="E176" s="6"/>
      <c r="F176" s="6" t="s">
        <v>127</v>
      </c>
      <c r="G176" s="6"/>
      <c r="H176" s="6"/>
      <c r="I176" s="6"/>
      <c r="J176" s="6"/>
      <c r="K176" s="6" t="s">
        <v>84</v>
      </c>
      <c r="L176" s="6" t="s">
        <v>85</v>
      </c>
      <c r="M176" s="6"/>
      <c r="N176" s="6"/>
      <c r="O176" s="6"/>
      <c r="P176" s="6"/>
      <c r="Q176" s="11"/>
      <c r="R176" s="12">
        <f>
              Ifs(
                (Q176 = 'Points-Table'!$A$4), 'Points-Table'!$C$4,
                (Q176 = 'Points-Table'!$A$5), 'Points-Table'!$C$5,
                (Q176 = 'Points-Table'!$A$6), 'Points-Table'!$C$6,
                (Q176 = 'Points-Table'!$A$7), 'Points-Table'!$C$7,
                (Q176 = 'Points-Table'!$A$8), 'Points-Table'!$C$8,
                (Q176 = 'Points-Table'!$A$9), 'Points-Table'!$C$9,
                (Q176 = 'Points-Table'!$A$10), 'Points-Table'!$C$10,
                (Q176 = 'Points-Table'!$A$11), 'Points-Table'!$C$11,
                (Q176 = 'Points-Table'!$A$12), 'Points-Table'!$C$12,
                (Q176 = 'Points-Table'!$A$13), 'Points-Table'!$C$13,
                true, 0
              )
            </f>
      </c>
      <c r="S176" s="11"/>
      <c r="T176" s="12">
        <f>
              Ifs(
                (S176 = 'Points-Table'!$A$4), 'Points-Table'!$C$4,
                (S176 = 'Points-Table'!$A$5), 'Points-Table'!$C$5,
                (S176 = 'Points-Table'!$A$6), 'Points-Table'!$C$6,
                (S176 = 'Points-Table'!$A$7), 'Points-Table'!$C$7,
                (S176 = 'Points-Table'!$A$8), 'Points-Table'!$C$8,
                (S176 = 'Points-Table'!$A$9), 'Points-Table'!$C$9,
                (S176 = 'Points-Table'!$A$10), 'Points-Table'!$C$10,
                (S176 = 'Points-Table'!$A$11), 'Points-Table'!$C$11,
                (S176 = 'Points-Table'!$A$12), 'Points-Table'!$C$12,
                (S176 = 'Points-Table'!$A$13), 'Points-Table'!$C$13,
                true, 0
              )
            </f>
      </c>
      <c r="U176" s="11">
        <v>3</v>
      </c>
      <c r="V176" s="12">
        <f>
              Ifs(
                (U176 = 'Points-Table'!$A$4), 'Points-Table'!$C$4,
                (U176 = 'Points-Table'!$A$5), 'Points-Table'!$C$5,
                (U176 = 'Points-Table'!$A$6), 'Points-Table'!$C$6,
                (U176 = 'Points-Table'!$A$7), 'Points-Table'!$C$7,
                (U176 = 'Points-Table'!$A$8), 'Points-Table'!$C$8,
                (U176 = 'Points-Table'!$A$9), 'Points-Table'!$C$9,
                (U176 = 'Points-Table'!$A$10), 'Points-Table'!$C$10,
                (U176 = 'Points-Table'!$A$11), 'Points-Table'!$C$11,
                (U176 = 'Points-Table'!$A$12), 'Points-Table'!$C$12,
                (U176 = 'Points-Table'!$A$13), 'Points-Table'!$C$13,
                true, 0
              )
            </f>
      </c>
      <c r="W176" s="11">
        <v>0</v>
      </c>
      <c r="X176" s="12">
        <f>
              Ifs(
                (W176 = 'Points-Table'!$A$4), 'Points-Table'!$C$4,
                (W176 = 'Points-Table'!$A$5), 'Points-Table'!$C$5,
                (W176 = 'Points-Table'!$A$6), 'Points-Table'!$C$6,
                (W176 = 'Points-Table'!$A$7), 'Points-Table'!$C$7,
                (W176 = 'Points-Table'!$A$8), 'Points-Table'!$C$8,
                (W176 = 'Points-Table'!$A$9), 'Points-Table'!$C$9,
                (W176 = 'Points-Table'!$A$10), 'Points-Table'!$C$10,
                (W176 = 'Points-Table'!$A$11), 'Points-Table'!$C$11,
                (W176 = 'Points-Table'!$A$12), 'Points-Table'!$C$12,
                (W176 = 'Points-Table'!$A$13), 'Points-Table'!$C$13,
                true, 0
              )
            </f>
      </c>
      <c r="Y176" s="11">
        <v>0</v>
      </c>
      <c r="Z176" s="12">
        <f>
              Ifs(
                (Y176 = 'Points-Table'!$A$4), 'Points-Table'!$C$4,
                (Y176 = 'Points-Table'!$A$5), 'Points-Table'!$C$5,
                (Y176 = 'Points-Table'!$A$6), 'Points-Table'!$C$6,
                (Y176 = 'Points-Table'!$A$7), 'Points-Table'!$C$7,
                (Y176 = 'Points-Table'!$A$8), 'Points-Table'!$C$8,
                (Y176 = 'Points-Table'!$A$9), 'Points-Table'!$C$9,
                (Y176 = 'Points-Table'!$A$10), 'Points-Table'!$C$10,
                (Y176 = 'Points-Table'!$A$11), 'Points-Table'!$C$11,
                (Y176 = 'Points-Table'!$A$12), 'Points-Table'!$C$12,
                (Y176 = 'Points-Table'!$A$13), 'Points-Table'!$C$13,
                true, 0
              )
            </f>
      </c>
      <c r="AA176" s="6">
        <f>SUM(V176,X176,Z176)</f>
      </c>
      <c r="AB176" s="6">
        <f>
      Ifs( 
        ISBETWEEN(AA176, 0, 'Points-Table'!C$20, TRUE, False), 'Points-Table'!A$20,
        ISBETWEEN(AA176, 'Points-Table'!C$20, 'Points-Table'!C$21, TRUE, False), 'Points-Table'!A$21,
        ISBETWEEN(AA176, 'Points-Table'!C$22, 10000, TRUE, TRUE), 'Points-Table'!A$22,
        true, 
        0)
      </f>
      </c>
      <c r="AC176" s="6" t="s">
        <v>56</v>
      </c>
      <c r="AD176" s="6" t="s">
        <v>56</v>
      </c>
      <c r="AE176" s="6" t="s">
        <v>56</v>
      </c>
    </row>
    <row r="177" spans="1:31" s="6" customFormat="1" x14ac:dyDescent="0.25">
      <c r="A177" s="6" t="s">
        <v>435</v>
      </c>
      <c r="B177" s="6" t="s">
        <v>438</v>
      </c>
      <c r="C177" s="6" t="s">
        <v>441</v>
      </c>
      <c r="D177" s="6"/>
      <c r="E177" s="6"/>
      <c r="F177" s="6"/>
      <c r="G177" s="6"/>
      <c r="H177" s="6"/>
      <c r="I177" s="6"/>
      <c r="J177" s="6"/>
      <c r="K177" s="6" t="s">
        <v>84</v>
      </c>
      <c r="L177" s="6" t="s">
        <v>85</v>
      </c>
      <c r="M177" s="6"/>
      <c r="N177" s="6"/>
      <c r="O177" s="6"/>
      <c r="P177" s="6"/>
      <c r="Q177" s="11"/>
      <c r="R177" s="12">
        <f>
              Ifs(
                (Q177 = 'Points-Table'!$A$4), 'Points-Table'!$C$4,
                (Q177 = 'Points-Table'!$A$5), 'Points-Table'!$C$5,
                (Q177 = 'Points-Table'!$A$6), 'Points-Table'!$C$6,
                (Q177 = 'Points-Table'!$A$7), 'Points-Table'!$C$7,
                (Q177 = 'Points-Table'!$A$8), 'Points-Table'!$C$8,
                (Q177 = 'Points-Table'!$A$9), 'Points-Table'!$C$9,
                (Q177 = 'Points-Table'!$A$10), 'Points-Table'!$C$10,
                (Q177 = 'Points-Table'!$A$11), 'Points-Table'!$C$11,
                (Q177 = 'Points-Table'!$A$12), 'Points-Table'!$C$12,
                (Q177 = 'Points-Table'!$A$13), 'Points-Table'!$C$13,
                true, 0
              )
            </f>
      </c>
      <c r="S177" s="11"/>
      <c r="T177" s="12">
        <f>
              Ifs(
                (S177 = 'Points-Table'!$A$4), 'Points-Table'!$C$4,
                (S177 = 'Points-Table'!$A$5), 'Points-Table'!$C$5,
                (S177 = 'Points-Table'!$A$6), 'Points-Table'!$C$6,
                (S177 = 'Points-Table'!$A$7), 'Points-Table'!$C$7,
                (S177 = 'Points-Table'!$A$8), 'Points-Table'!$C$8,
                (S177 = 'Points-Table'!$A$9), 'Points-Table'!$C$9,
                (S177 = 'Points-Table'!$A$10), 'Points-Table'!$C$10,
                (S177 = 'Points-Table'!$A$11), 'Points-Table'!$C$11,
                (S177 = 'Points-Table'!$A$12), 'Points-Table'!$C$12,
                (S177 = 'Points-Table'!$A$13), 'Points-Table'!$C$13,
                true, 0
              )
            </f>
      </c>
      <c r="U177" s="11">
        <v>2</v>
      </c>
      <c r="V177" s="12">
        <f>
              Ifs(
                (U177 = 'Points-Table'!$A$4), 'Points-Table'!$C$4,
                (U177 = 'Points-Table'!$A$5), 'Points-Table'!$C$5,
                (U177 = 'Points-Table'!$A$6), 'Points-Table'!$C$6,
                (U177 = 'Points-Table'!$A$7), 'Points-Table'!$C$7,
                (U177 = 'Points-Table'!$A$8), 'Points-Table'!$C$8,
                (U177 = 'Points-Table'!$A$9), 'Points-Table'!$C$9,
                (U177 = 'Points-Table'!$A$10), 'Points-Table'!$C$10,
                (U177 = 'Points-Table'!$A$11), 'Points-Table'!$C$11,
                (U177 = 'Points-Table'!$A$12), 'Points-Table'!$C$12,
                (U177 = 'Points-Table'!$A$13), 'Points-Table'!$C$13,
                true, 0
              )
            </f>
      </c>
      <c r="W177" s="11">
        <v>0</v>
      </c>
      <c r="X177" s="12">
        <f>
              Ifs(
                (W177 = 'Points-Table'!$A$4), 'Points-Table'!$C$4,
                (W177 = 'Points-Table'!$A$5), 'Points-Table'!$C$5,
                (W177 = 'Points-Table'!$A$6), 'Points-Table'!$C$6,
                (W177 = 'Points-Table'!$A$7), 'Points-Table'!$C$7,
                (W177 = 'Points-Table'!$A$8), 'Points-Table'!$C$8,
                (W177 = 'Points-Table'!$A$9), 'Points-Table'!$C$9,
                (W177 = 'Points-Table'!$A$10), 'Points-Table'!$C$10,
                (W177 = 'Points-Table'!$A$11), 'Points-Table'!$C$11,
                (W177 = 'Points-Table'!$A$12), 'Points-Table'!$C$12,
                (W177 = 'Points-Table'!$A$13), 'Points-Table'!$C$13,
                true, 0
              )
            </f>
      </c>
      <c r="Y177" s="11">
        <v>5</v>
      </c>
      <c r="Z177" s="12">
        <f>
              Ifs(
                (Y177 = 'Points-Table'!$A$4), 'Points-Table'!$C$4,
                (Y177 = 'Points-Table'!$A$5), 'Points-Table'!$C$5,
                (Y177 = 'Points-Table'!$A$6), 'Points-Table'!$C$6,
                (Y177 = 'Points-Table'!$A$7), 'Points-Table'!$C$7,
                (Y177 = 'Points-Table'!$A$8), 'Points-Table'!$C$8,
                (Y177 = 'Points-Table'!$A$9), 'Points-Table'!$C$9,
                (Y177 = 'Points-Table'!$A$10), 'Points-Table'!$C$10,
                (Y177 = 'Points-Table'!$A$11), 'Points-Table'!$C$11,
                (Y177 = 'Points-Table'!$A$12), 'Points-Table'!$C$12,
                (Y177 = 'Points-Table'!$A$13), 'Points-Table'!$C$13,
                true, 0
              )
            </f>
      </c>
      <c r="AA177" s="6">
        <f>SUM(V177,X177,Z177)</f>
      </c>
      <c r="AB177" s="6">
        <f>
      Ifs( 
        ISBETWEEN(AA177, 0, 'Points-Table'!C$20, TRUE, False), 'Points-Table'!A$20,
        ISBETWEEN(AA177, 'Points-Table'!C$20, 'Points-Table'!C$21, TRUE, False), 'Points-Table'!A$21,
        ISBETWEEN(AA177, 'Points-Table'!C$22, 10000, TRUE, TRUE), 'Points-Table'!A$22,
        true, 
        0)
      </f>
      </c>
      <c r="AC177" s="6" t="s">
        <v>56</v>
      </c>
      <c r="AD177" s="6" t="s">
        <v>56</v>
      </c>
      <c r="AE177" s="6" t="s">
        <v>56</v>
      </c>
    </row>
    <row r="178" spans="1:31" s="6" customFormat="1" x14ac:dyDescent="0.25">
      <c r="A178" s="6" t="s">
        <v>435</v>
      </c>
      <c r="B178" s="6" t="s">
        <v>442</v>
      </c>
      <c r="D178" s="6"/>
      <c r="E178" s="6"/>
      <c r="F178" s="6" t="s">
        <v>443</v>
      </c>
      <c r="G178" s="6"/>
      <c r="H178" s="6"/>
      <c r="I178" s="6"/>
      <c r="J178" s="6"/>
      <c r="K178" s="6" t="s">
        <v>84</v>
      </c>
      <c r="L178" s="6" t="s">
        <v>85</v>
      </c>
      <c r="M178" s="6"/>
      <c r="N178" s="6"/>
      <c r="O178" s="6"/>
      <c r="P178" s="6"/>
      <c r="Q178" s="11"/>
      <c r="R178" s="12">
        <f>
              Ifs(
                (Q178 = 'Points-Table'!$A$4), 'Points-Table'!$C$4,
                (Q178 = 'Points-Table'!$A$5), 'Points-Table'!$C$5,
                (Q178 = 'Points-Table'!$A$6), 'Points-Table'!$C$6,
                (Q178 = 'Points-Table'!$A$7), 'Points-Table'!$C$7,
                (Q178 = 'Points-Table'!$A$8), 'Points-Table'!$C$8,
                (Q178 = 'Points-Table'!$A$9), 'Points-Table'!$C$9,
                (Q178 = 'Points-Table'!$A$10), 'Points-Table'!$C$10,
                (Q178 = 'Points-Table'!$A$11), 'Points-Table'!$C$11,
                (Q178 = 'Points-Table'!$A$12), 'Points-Table'!$C$12,
                (Q178 = 'Points-Table'!$A$13), 'Points-Table'!$C$13,
                true, 0
              )
            </f>
      </c>
      <c r="S178" s="11"/>
      <c r="T178" s="12">
        <f>
              Ifs(
                (S178 = 'Points-Table'!$A$4), 'Points-Table'!$C$4,
                (S178 = 'Points-Table'!$A$5), 'Points-Table'!$C$5,
                (S178 = 'Points-Table'!$A$6), 'Points-Table'!$C$6,
                (S178 = 'Points-Table'!$A$7), 'Points-Table'!$C$7,
                (S178 = 'Points-Table'!$A$8), 'Points-Table'!$C$8,
                (S178 = 'Points-Table'!$A$9), 'Points-Table'!$C$9,
                (S178 = 'Points-Table'!$A$10), 'Points-Table'!$C$10,
                (S178 = 'Points-Table'!$A$11), 'Points-Table'!$C$11,
                (S178 = 'Points-Table'!$A$12), 'Points-Table'!$C$12,
                (S178 = 'Points-Table'!$A$13), 'Points-Table'!$C$13,
                true, 0
              )
            </f>
      </c>
      <c r="U178" s="11">
        <v>2</v>
      </c>
      <c r="V178" s="12">
        <f>
              Ifs(
                (U178 = 'Points-Table'!$A$4), 'Points-Table'!$C$4,
                (U178 = 'Points-Table'!$A$5), 'Points-Table'!$C$5,
                (U178 = 'Points-Table'!$A$6), 'Points-Table'!$C$6,
                (U178 = 'Points-Table'!$A$7), 'Points-Table'!$C$7,
                (U178 = 'Points-Table'!$A$8), 'Points-Table'!$C$8,
                (U178 = 'Points-Table'!$A$9), 'Points-Table'!$C$9,
                (U178 = 'Points-Table'!$A$10), 'Points-Table'!$C$10,
                (U178 = 'Points-Table'!$A$11), 'Points-Table'!$C$11,
                (U178 = 'Points-Table'!$A$12), 'Points-Table'!$C$12,
                (U178 = 'Points-Table'!$A$13), 'Points-Table'!$C$13,
                true, 0
              )
            </f>
      </c>
      <c r="W178" s="11">
        <v>0</v>
      </c>
      <c r="X178" s="12">
        <f>
              Ifs(
                (W178 = 'Points-Table'!$A$4), 'Points-Table'!$C$4,
                (W178 = 'Points-Table'!$A$5), 'Points-Table'!$C$5,
                (W178 = 'Points-Table'!$A$6), 'Points-Table'!$C$6,
                (W178 = 'Points-Table'!$A$7), 'Points-Table'!$C$7,
                (W178 = 'Points-Table'!$A$8), 'Points-Table'!$C$8,
                (W178 = 'Points-Table'!$A$9), 'Points-Table'!$C$9,
                (W178 = 'Points-Table'!$A$10), 'Points-Table'!$C$10,
                (W178 = 'Points-Table'!$A$11), 'Points-Table'!$C$11,
                (W178 = 'Points-Table'!$A$12), 'Points-Table'!$C$12,
                (W178 = 'Points-Table'!$A$13), 'Points-Table'!$C$13,
                true, 0
              )
            </f>
      </c>
      <c r="Y178" s="11">
        <v>3</v>
      </c>
      <c r="Z178" s="12">
        <f>
              Ifs(
                (Y178 = 'Points-Table'!$A$4), 'Points-Table'!$C$4,
                (Y178 = 'Points-Table'!$A$5), 'Points-Table'!$C$5,
                (Y178 = 'Points-Table'!$A$6), 'Points-Table'!$C$6,
                (Y178 = 'Points-Table'!$A$7), 'Points-Table'!$C$7,
                (Y178 = 'Points-Table'!$A$8), 'Points-Table'!$C$8,
                (Y178 = 'Points-Table'!$A$9), 'Points-Table'!$C$9,
                (Y178 = 'Points-Table'!$A$10), 'Points-Table'!$C$10,
                (Y178 = 'Points-Table'!$A$11), 'Points-Table'!$C$11,
                (Y178 = 'Points-Table'!$A$12), 'Points-Table'!$C$12,
                (Y178 = 'Points-Table'!$A$13), 'Points-Table'!$C$13,
                true, 0
              )
            </f>
      </c>
      <c r="AA178" s="6">
        <f>SUM(V178,X178,Z178)</f>
      </c>
      <c r="AB178" s="6">
        <f>
      Ifs( 
        ISBETWEEN(AA178, 0, 'Points-Table'!C$20, TRUE, False), 'Points-Table'!A$20,
        ISBETWEEN(AA178, 'Points-Table'!C$20, 'Points-Table'!C$21, TRUE, False), 'Points-Table'!A$21,
        ISBETWEEN(AA178, 'Points-Table'!C$22, 10000, TRUE, TRUE), 'Points-Table'!A$22,
        true, 
        0)
      </f>
      </c>
      <c r="AC178" s="6" t="s">
        <v>56</v>
      </c>
      <c r="AD178" s="6" t="s">
        <v>56</v>
      </c>
      <c r="AE178" s="6" t="s">
        <v>56</v>
      </c>
    </row>
    <row r="179" spans="1:31" s="6" customFormat="1" x14ac:dyDescent="0.25">
      <c r="A179" s="6" t="s">
        <v>435</v>
      </c>
      <c r="B179" s="6" t="s">
        <v>444</v>
      </c>
      <c r="D179" s="6"/>
      <c r="E179" s="6"/>
      <c r="F179" s="6"/>
      <c r="G179" s="6"/>
      <c r="H179" s="6"/>
      <c r="I179" s="6"/>
      <c r="J179" s="6"/>
      <c r="K179" s="6" t="s">
        <v>84</v>
      </c>
      <c r="L179" s="6" t="s">
        <v>272</v>
      </c>
      <c r="M179" s="6"/>
      <c r="N179" s="6"/>
      <c r="O179" s="6"/>
      <c r="P179" s="6"/>
      <c r="Q179" s="11">
        <v>0</v>
      </c>
      <c r="R179" s="12">
        <f>
              Ifs(
                (Q179 = 'Points-Table'!$A$4), 'Points-Table'!$C$4,
                (Q179 = 'Points-Table'!$A$5), 'Points-Table'!$C$5,
                (Q179 = 'Points-Table'!$A$6), 'Points-Table'!$C$6,
                (Q179 = 'Points-Table'!$A$7), 'Points-Table'!$C$7,
                (Q179 = 'Points-Table'!$A$8), 'Points-Table'!$C$8,
                (Q179 = 'Points-Table'!$A$9), 'Points-Table'!$C$9,
                (Q179 = 'Points-Table'!$A$10), 'Points-Table'!$C$10,
                (Q179 = 'Points-Table'!$A$11), 'Points-Table'!$C$11,
                (Q179 = 'Points-Table'!$A$12), 'Points-Table'!$C$12,
                (Q179 = 'Points-Table'!$A$13), 'Points-Table'!$C$13,
                true, 0
              )
            </f>
      </c>
      <c r="S179" s="11">
        <v>0</v>
      </c>
      <c r="T179" s="12">
        <f>
              Ifs(
                (S179 = 'Points-Table'!$A$4), 'Points-Table'!$C$4,
                (S179 = 'Points-Table'!$A$5), 'Points-Table'!$C$5,
                (S179 = 'Points-Table'!$A$6), 'Points-Table'!$C$6,
                (S179 = 'Points-Table'!$A$7), 'Points-Table'!$C$7,
                (S179 = 'Points-Table'!$A$8), 'Points-Table'!$C$8,
                (S179 = 'Points-Table'!$A$9), 'Points-Table'!$C$9,
                (S179 = 'Points-Table'!$A$10), 'Points-Table'!$C$10,
                (S179 = 'Points-Table'!$A$11), 'Points-Table'!$C$11,
                (S179 = 'Points-Table'!$A$12), 'Points-Table'!$C$12,
                (S179 = 'Points-Table'!$A$13), 'Points-Table'!$C$13,
                true, 0
              )
            </f>
      </c>
      <c r="U179" s="11">
        <v>2</v>
      </c>
      <c r="V179" s="12">
        <f>
              Ifs(
                (U179 = 'Points-Table'!$A$4), 'Points-Table'!$C$4,
                (U179 = 'Points-Table'!$A$5), 'Points-Table'!$C$5,
                (U179 = 'Points-Table'!$A$6), 'Points-Table'!$C$6,
                (U179 = 'Points-Table'!$A$7), 'Points-Table'!$C$7,
                (U179 = 'Points-Table'!$A$8), 'Points-Table'!$C$8,
                (U179 = 'Points-Table'!$A$9), 'Points-Table'!$C$9,
                (U179 = 'Points-Table'!$A$10), 'Points-Table'!$C$10,
                (U179 = 'Points-Table'!$A$11), 'Points-Table'!$C$11,
                (U179 = 'Points-Table'!$A$12), 'Points-Table'!$C$12,
                (U179 = 'Points-Table'!$A$13), 'Points-Table'!$C$13,
                true, 0
              )
            </f>
      </c>
      <c r="W179" s="11">
        <v>0</v>
      </c>
      <c r="X179" s="12">
        <f>
              Ifs(
                (W179 = 'Points-Table'!$A$4), 'Points-Table'!$C$4,
                (W179 = 'Points-Table'!$A$5), 'Points-Table'!$C$5,
                (W179 = 'Points-Table'!$A$6), 'Points-Table'!$C$6,
                (W179 = 'Points-Table'!$A$7), 'Points-Table'!$C$7,
                (W179 = 'Points-Table'!$A$8), 'Points-Table'!$C$8,
                (W179 = 'Points-Table'!$A$9), 'Points-Table'!$C$9,
                (W179 = 'Points-Table'!$A$10), 'Points-Table'!$C$10,
                (W179 = 'Points-Table'!$A$11), 'Points-Table'!$C$11,
                (W179 = 'Points-Table'!$A$12), 'Points-Table'!$C$12,
                (W179 = 'Points-Table'!$A$13), 'Points-Table'!$C$13,
                true, 0
              )
            </f>
      </c>
      <c r="Y179" s="11">
        <v>3</v>
      </c>
      <c r="Z179" s="12">
        <f>
              Ifs(
                (Y179 = 'Points-Table'!$A$4), 'Points-Table'!$C$4,
                (Y179 = 'Points-Table'!$A$5), 'Points-Table'!$C$5,
                (Y179 = 'Points-Table'!$A$6), 'Points-Table'!$C$6,
                (Y179 = 'Points-Table'!$A$7), 'Points-Table'!$C$7,
                (Y179 = 'Points-Table'!$A$8), 'Points-Table'!$C$8,
                (Y179 = 'Points-Table'!$A$9), 'Points-Table'!$C$9,
                (Y179 = 'Points-Table'!$A$10), 'Points-Table'!$C$10,
                (Y179 = 'Points-Table'!$A$11), 'Points-Table'!$C$11,
                (Y179 = 'Points-Table'!$A$12), 'Points-Table'!$C$12,
                (Y179 = 'Points-Table'!$A$13), 'Points-Table'!$C$13,
                true, 0
              )
            </f>
      </c>
      <c r="AA179" s="6">
        <f>SUM(V179,X179,Z179)</f>
      </c>
      <c r="AB179" s="6">
        <f>
      Ifs( 
        ISBETWEEN(AA179, 0, 'Points-Table'!C$20, TRUE, False), 'Points-Table'!A$20,
        ISBETWEEN(AA179, 'Points-Table'!C$20, 'Points-Table'!C$21, TRUE, False), 'Points-Table'!A$21,
        ISBETWEEN(AA179, 'Points-Table'!C$22, 10000, TRUE, TRUE), 'Points-Table'!A$22,
        true, 
        0)
      </f>
      </c>
      <c r="AC179" s="6" t="s">
        <v>56</v>
      </c>
      <c r="AD179" s="6" t="s">
        <v>56</v>
      </c>
      <c r="AE179" s="6" t="s">
        <v>56</v>
      </c>
    </row>
    <row r="180" spans="1:31" s="13" customFormat="1" x14ac:dyDescent="0.25">
      <c r="A180" s="13" t="s">
        <v>435</v>
      </c>
      <c r="B180" s="13" t="s">
        <v>445</v>
      </c>
      <c r="C180" s="13" t="s">
        <v>446</v>
      </c>
      <c r="D180" s="13"/>
      <c r="E180" s="13"/>
      <c r="F180" s="13"/>
      <c r="G180" s="13"/>
      <c r="H180" s="13"/>
      <c r="I180" s="13"/>
      <c r="J180" s="13"/>
      <c r="K180" s="13" t="s">
        <v>84</v>
      </c>
      <c r="L180" s="13" t="s">
        <v>85</v>
      </c>
      <c r="M180" s="13"/>
      <c r="N180" s="13"/>
      <c r="O180" s="13"/>
      <c r="P180" s="13"/>
      <c r="Q180" s="13">
        <v>2</v>
      </c>
      <c r="R180" s="13">
        <f>
              Ifs(
                (Q180 = 'Points-Table'!$A$4), 'Points-Table'!$C$4,
                (Q180 = 'Points-Table'!$A$5), 'Points-Table'!$C$5,
                (Q180 = 'Points-Table'!$A$6), 'Points-Table'!$C$6,
                (Q180 = 'Points-Table'!$A$7), 'Points-Table'!$C$7,
                (Q180 = 'Points-Table'!$A$8), 'Points-Table'!$C$8,
                (Q180 = 'Points-Table'!$A$9), 'Points-Table'!$C$9,
                (Q180 = 'Points-Table'!$A$10), 'Points-Table'!$C$10,
                (Q180 = 'Points-Table'!$A$11), 'Points-Table'!$C$11,
                (Q180 = 'Points-Table'!$A$12), 'Points-Table'!$C$12,
                (Q180 = 'Points-Table'!$A$13), 'Points-Table'!$C$13,
                true, 0
              )
            </f>
      </c>
      <c r="S180" s="13">
        <v>2</v>
      </c>
      <c r="T180" s="13">
        <f>
              Ifs(
                (S180 = 'Points-Table'!$A$4), 'Points-Table'!$C$4,
                (S180 = 'Points-Table'!$A$5), 'Points-Table'!$C$5,
                (S180 = 'Points-Table'!$A$6), 'Points-Table'!$C$6,
                (S180 = 'Points-Table'!$A$7), 'Points-Table'!$C$7,
                (S180 = 'Points-Table'!$A$8), 'Points-Table'!$C$8,
                (S180 = 'Points-Table'!$A$9), 'Points-Table'!$C$9,
                (S180 = 'Points-Table'!$A$10), 'Points-Table'!$C$10,
                (S180 = 'Points-Table'!$A$11), 'Points-Table'!$C$11,
                (S180 = 'Points-Table'!$A$12), 'Points-Table'!$C$12,
                (S180 = 'Points-Table'!$A$13), 'Points-Table'!$C$13,
                true, 0
              )
            </f>
      </c>
      <c r="U180" s="13">
        <v>5</v>
      </c>
      <c r="V180" s="13">
        <f>
              Ifs(
                (U180 = 'Points-Table'!$A$4), 'Points-Table'!$C$4,
                (U180 = 'Points-Table'!$A$5), 'Points-Table'!$C$5,
                (U180 = 'Points-Table'!$A$6), 'Points-Table'!$C$6,
                (U180 = 'Points-Table'!$A$7), 'Points-Table'!$C$7,
                (U180 = 'Points-Table'!$A$8), 'Points-Table'!$C$8,
                (U180 = 'Points-Table'!$A$9), 'Points-Table'!$C$9,
                (U180 = 'Points-Table'!$A$10), 'Points-Table'!$C$10,
                (U180 = 'Points-Table'!$A$11), 'Points-Table'!$C$11,
                (U180 = 'Points-Table'!$A$12), 'Points-Table'!$C$12,
                (U180 = 'Points-Table'!$A$13), 'Points-Table'!$C$13,
                true, 0
              )
            </f>
      </c>
      <c r="W180" s="13">
        <v>3</v>
      </c>
      <c r="X180" s="13">
        <f>
              Ifs(
                (W180 = 'Points-Table'!$A$4), 'Points-Table'!$C$4,
                (W180 = 'Points-Table'!$A$5), 'Points-Table'!$C$5,
                (W180 = 'Points-Table'!$A$6), 'Points-Table'!$C$6,
                (W180 = 'Points-Table'!$A$7), 'Points-Table'!$C$7,
                (W180 = 'Points-Table'!$A$8), 'Points-Table'!$C$8,
                (W180 = 'Points-Table'!$A$9), 'Points-Table'!$C$9,
                (W180 = 'Points-Table'!$A$10), 'Points-Table'!$C$10,
                (W180 = 'Points-Table'!$A$11), 'Points-Table'!$C$11,
                (W180 = 'Points-Table'!$A$12), 'Points-Table'!$C$12,
                (W180 = 'Points-Table'!$A$13), 'Points-Table'!$C$13,
                true, 0
              )
            </f>
      </c>
      <c r="Y180" s="13">
        <v>3</v>
      </c>
      <c r="Z180" s="13">
        <f>
              Ifs(
                (Y180 = 'Points-Table'!$A$4), 'Points-Table'!$C$4,
                (Y180 = 'Points-Table'!$A$5), 'Points-Table'!$C$5,
                (Y180 = 'Points-Table'!$A$6), 'Points-Table'!$C$6,
                (Y180 = 'Points-Table'!$A$7), 'Points-Table'!$C$7,
                (Y180 = 'Points-Table'!$A$8), 'Points-Table'!$C$8,
                (Y180 = 'Points-Table'!$A$9), 'Points-Table'!$C$9,
                (Y180 = 'Points-Table'!$A$10), 'Points-Table'!$C$10,
                (Y180 = 'Points-Table'!$A$11), 'Points-Table'!$C$11,
                (Y180 = 'Points-Table'!$A$12), 'Points-Table'!$C$12,
                (Y180 = 'Points-Table'!$A$13), 'Points-Table'!$C$13,
                true, 0
              )
            </f>
      </c>
      <c r="AA180" s="13">
        <f>SUM(V180,X180,Z180)</f>
      </c>
      <c r="AB180" s="13">
        <f>
      Ifs( 
        ISBETWEEN(AA180, 0, 'Points-Table'!C$20, TRUE, False), 'Points-Table'!A$20,
        ISBETWEEN(AA180, 'Points-Table'!C$20, 'Points-Table'!C$21, TRUE, False), 'Points-Table'!A$21,
        ISBETWEEN(AA180, 'Points-Table'!C$22, 10000, TRUE, TRUE), 'Points-Table'!A$22,
        true, 
        0)
      </f>
      </c>
      <c r="AC180" s="13" t="s">
        <v>56</v>
      </c>
      <c r="AD180" s="13" t="s">
        <v>56</v>
      </c>
      <c r="AE180" s="13" t="s">
        <v>56</v>
      </c>
    </row>
    <row r="181" spans="1:31" s="13" customFormat="1" x14ac:dyDescent="0.25">
      <c r="A181" s="13" t="s">
        <v>435</v>
      </c>
      <c r="B181" s="13" t="s">
        <v>445</v>
      </c>
      <c r="C181" s="13" t="s">
        <v>447</v>
      </c>
      <c r="D181" s="13"/>
      <c r="E181" s="13"/>
      <c r="F181" s="13"/>
      <c r="G181" s="13"/>
      <c r="H181" s="13"/>
      <c r="I181" s="13"/>
      <c r="J181" s="13"/>
      <c r="K181" s="13" t="s">
        <v>84</v>
      </c>
      <c r="L181" s="13" t="s">
        <v>85</v>
      </c>
      <c r="M181" s="13"/>
      <c r="N181" s="13"/>
      <c r="O181" s="13"/>
      <c r="P181" s="13"/>
      <c r="Q181" s="13"/>
      <c r="R181" s="13">
        <f>
              Ifs(
                (Q181 = 'Points-Table'!$A$4), 'Points-Table'!$C$4,
                (Q181 = 'Points-Table'!$A$5), 'Points-Table'!$C$5,
                (Q181 = 'Points-Table'!$A$6), 'Points-Table'!$C$6,
                (Q181 = 'Points-Table'!$A$7), 'Points-Table'!$C$7,
                (Q181 = 'Points-Table'!$A$8), 'Points-Table'!$C$8,
                (Q181 = 'Points-Table'!$A$9), 'Points-Table'!$C$9,
                (Q181 = 'Points-Table'!$A$10), 'Points-Table'!$C$10,
                (Q181 = 'Points-Table'!$A$11), 'Points-Table'!$C$11,
                (Q181 = 'Points-Table'!$A$12), 'Points-Table'!$C$12,
                (Q181 = 'Points-Table'!$A$13), 'Points-Table'!$C$13,
                true, 0
              )
            </f>
      </c>
      <c r="S181" s="13"/>
      <c r="T181" s="13">
        <f>
              Ifs(
                (S181 = 'Points-Table'!$A$4), 'Points-Table'!$C$4,
                (S181 = 'Points-Table'!$A$5), 'Points-Table'!$C$5,
                (S181 = 'Points-Table'!$A$6), 'Points-Table'!$C$6,
                (S181 = 'Points-Table'!$A$7), 'Points-Table'!$C$7,
                (S181 = 'Points-Table'!$A$8), 'Points-Table'!$C$8,
                (S181 = 'Points-Table'!$A$9), 'Points-Table'!$C$9,
                (S181 = 'Points-Table'!$A$10), 'Points-Table'!$C$10,
                (S181 = 'Points-Table'!$A$11), 'Points-Table'!$C$11,
                (S181 = 'Points-Table'!$A$12), 'Points-Table'!$C$12,
                (S181 = 'Points-Table'!$A$13), 'Points-Table'!$C$13,
                true, 0
              )
            </f>
      </c>
      <c r="U181" s="13">
        <v>13</v>
      </c>
      <c r="V181" s="13">
        <f>
              Ifs(
                (U181 = 'Points-Table'!$A$4), 'Points-Table'!$C$4,
                (U181 = 'Points-Table'!$A$5), 'Points-Table'!$C$5,
                (U181 = 'Points-Table'!$A$6), 'Points-Table'!$C$6,
                (U181 = 'Points-Table'!$A$7), 'Points-Table'!$C$7,
                (U181 = 'Points-Table'!$A$8), 'Points-Table'!$C$8,
                (U181 = 'Points-Table'!$A$9), 'Points-Table'!$C$9,
                (U181 = 'Points-Table'!$A$10), 'Points-Table'!$C$10,
                (U181 = 'Points-Table'!$A$11), 'Points-Table'!$C$11,
                (U181 = 'Points-Table'!$A$12), 'Points-Table'!$C$12,
                (U181 = 'Points-Table'!$A$13), 'Points-Table'!$C$13,
                true, 0
              )
            </f>
      </c>
      <c r="W181" s="13">
        <v>5</v>
      </c>
      <c r="X181" s="13">
        <f>
              Ifs(
                (W181 = 'Points-Table'!$A$4), 'Points-Table'!$C$4,
                (W181 = 'Points-Table'!$A$5), 'Points-Table'!$C$5,
                (W181 = 'Points-Table'!$A$6), 'Points-Table'!$C$6,
                (W181 = 'Points-Table'!$A$7), 'Points-Table'!$C$7,
                (W181 = 'Points-Table'!$A$8), 'Points-Table'!$C$8,
                (W181 = 'Points-Table'!$A$9), 'Points-Table'!$C$9,
                (W181 = 'Points-Table'!$A$10), 'Points-Table'!$C$10,
                (W181 = 'Points-Table'!$A$11), 'Points-Table'!$C$11,
                (W181 = 'Points-Table'!$A$12), 'Points-Table'!$C$12,
                (W181 = 'Points-Table'!$A$13), 'Points-Table'!$C$13,
                true, 0
              )
            </f>
      </c>
      <c r="Y181" s="13">
        <v>8</v>
      </c>
      <c r="Z181" s="13">
        <f>
              Ifs(
                (Y181 = 'Points-Table'!$A$4), 'Points-Table'!$C$4,
                (Y181 = 'Points-Table'!$A$5), 'Points-Table'!$C$5,
                (Y181 = 'Points-Table'!$A$6), 'Points-Table'!$C$6,
                (Y181 = 'Points-Table'!$A$7), 'Points-Table'!$C$7,
                (Y181 = 'Points-Table'!$A$8), 'Points-Table'!$C$8,
                (Y181 = 'Points-Table'!$A$9), 'Points-Table'!$C$9,
                (Y181 = 'Points-Table'!$A$10), 'Points-Table'!$C$10,
                (Y181 = 'Points-Table'!$A$11), 'Points-Table'!$C$11,
                (Y181 = 'Points-Table'!$A$12), 'Points-Table'!$C$12,
                (Y181 = 'Points-Table'!$A$13), 'Points-Table'!$C$13,
                true, 0
              )
            </f>
      </c>
      <c r="AA181" s="13">
        <f>SUM(V181,X181,Z181)</f>
      </c>
      <c r="AB181" s="13">
        <f>
      Ifs( 
        ISBETWEEN(AA181, 0, 'Points-Table'!C$20, TRUE, False), 'Points-Table'!A$20,
        ISBETWEEN(AA181, 'Points-Table'!C$20, 'Points-Table'!C$21, TRUE, False), 'Points-Table'!A$21,
        ISBETWEEN(AA181, 'Points-Table'!C$22, 10000, TRUE, TRUE), 'Points-Table'!A$22,
        true, 
        0)
      </f>
      </c>
      <c r="AC181" s="13" t="s">
        <v>56</v>
      </c>
      <c r="AD181" s="13" t="s">
        <v>56</v>
      </c>
      <c r="AE181" s="13" t="s">
        <v>56</v>
      </c>
    </row>
    <row r="182" spans="1:31" s="13" customFormat="1" x14ac:dyDescent="0.25">
      <c r="A182" s="13" t="s">
        <v>435</v>
      </c>
      <c r="B182" s="13" t="s">
        <v>448</v>
      </c>
      <c r="D182" s="13"/>
      <c r="E182" s="13"/>
      <c r="F182" s="13"/>
      <c r="G182" s="13"/>
      <c r="H182" s="13"/>
      <c r="I182" s="13"/>
      <c r="J182" s="13"/>
      <c r="K182" s="13" t="s">
        <v>84</v>
      </c>
      <c r="L182" s="13" t="s">
        <v>272</v>
      </c>
      <c r="M182" s="13"/>
      <c r="N182" s="13"/>
      <c r="O182" s="13"/>
      <c r="P182" s="13"/>
      <c r="Q182" s="13">
        <v>0</v>
      </c>
      <c r="R182" s="13">
        <f>
              Ifs(
                (Q182 = 'Points-Table'!$A$4), 'Points-Table'!$C$4,
                (Q182 = 'Points-Table'!$A$5), 'Points-Table'!$C$5,
                (Q182 = 'Points-Table'!$A$6), 'Points-Table'!$C$6,
                (Q182 = 'Points-Table'!$A$7), 'Points-Table'!$C$7,
                (Q182 = 'Points-Table'!$A$8), 'Points-Table'!$C$8,
                (Q182 = 'Points-Table'!$A$9), 'Points-Table'!$C$9,
                (Q182 = 'Points-Table'!$A$10), 'Points-Table'!$C$10,
                (Q182 = 'Points-Table'!$A$11), 'Points-Table'!$C$11,
                (Q182 = 'Points-Table'!$A$12), 'Points-Table'!$C$12,
                (Q182 = 'Points-Table'!$A$13), 'Points-Table'!$C$13,
                true, 0
              )
            </f>
      </c>
      <c r="S182" s="13">
        <v>0</v>
      </c>
      <c r="T182" s="13">
        <f>
              Ifs(
                (S182 = 'Points-Table'!$A$4), 'Points-Table'!$C$4,
                (S182 = 'Points-Table'!$A$5), 'Points-Table'!$C$5,
                (S182 = 'Points-Table'!$A$6), 'Points-Table'!$C$6,
                (S182 = 'Points-Table'!$A$7), 'Points-Table'!$C$7,
                (S182 = 'Points-Table'!$A$8), 'Points-Table'!$C$8,
                (S182 = 'Points-Table'!$A$9), 'Points-Table'!$C$9,
                (S182 = 'Points-Table'!$A$10), 'Points-Table'!$C$10,
                (S182 = 'Points-Table'!$A$11), 'Points-Table'!$C$11,
                (S182 = 'Points-Table'!$A$12), 'Points-Table'!$C$12,
                (S182 = 'Points-Table'!$A$13), 'Points-Table'!$C$13,
                true, 0
              )
            </f>
      </c>
      <c r="U182" s="13">
        <v>0</v>
      </c>
      <c r="V182" s="13">
        <f>
              Ifs(
                (U182 = 'Points-Table'!$A$4), 'Points-Table'!$C$4,
                (U182 = 'Points-Table'!$A$5), 'Points-Table'!$C$5,
                (U182 = 'Points-Table'!$A$6), 'Points-Table'!$C$6,
                (U182 = 'Points-Table'!$A$7), 'Points-Table'!$C$7,
                (U182 = 'Points-Table'!$A$8), 'Points-Table'!$C$8,
                (U182 = 'Points-Table'!$A$9), 'Points-Table'!$C$9,
                (U182 = 'Points-Table'!$A$10), 'Points-Table'!$C$10,
                (U182 = 'Points-Table'!$A$11), 'Points-Table'!$C$11,
                (U182 = 'Points-Table'!$A$12), 'Points-Table'!$C$12,
                (U182 = 'Points-Table'!$A$13), 'Points-Table'!$C$13,
                true, 0
              )
            </f>
      </c>
      <c r="W182" s="13">
        <v>0</v>
      </c>
      <c r="X182" s="13">
        <f>
              Ifs(
                (W182 = 'Points-Table'!$A$4), 'Points-Table'!$C$4,
                (W182 = 'Points-Table'!$A$5), 'Points-Table'!$C$5,
                (W182 = 'Points-Table'!$A$6), 'Points-Table'!$C$6,
                (W182 = 'Points-Table'!$A$7), 'Points-Table'!$C$7,
                (W182 = 'Points-Table'!$A$8), 'Points-Table'!$C$8,
                (W182 = 'Points-Table'!$A$9), 'Points-Table'!$C$9,
                (W182 = 'Points-Table'!$A$10), 'Points-Table'!$C$10,
                (W182 = 'Points-Table'!$A$11), 'Points-Table'!$C$11,
                (W182 = 'Points-Table'!$A$12), 'Points-Table'!$C$12,
                (W182 = 'Points-Table'!$A$13), 'Points-Table'!$C$13,
                true, 0
              )
            </f>
      </c>
      <c r="Y182" s="13">
        <v>0</v>
      </c>
      <c r="Z182" s="13">
        <f>
              Ifs(
                (Y182 = 'Points-Table'!$A$4), 'Points-Table'!$C$4,
                (Y182 = 'Points-Table'!$A$5), 'Points-Table'!$C$5,
                (Y182 = 'Points-Table'!$A$6), 'Points-Table'!$C$6,
                (Y182 = 'Points-Table'!$A$7), 'Points-Table'!$C$7,
                (Y182 = 'Points-Table'!$A$8), 'Points-Table'!$C$8,
                (Y182 = 'Points-Table'!$A$9), 'Points-Table'!$C$9,
                (Y182 = 'Points-Table'!$A$10), 'Points-Table'!$C$10,
                (Y182 = 'Points-Table'!$A$11), 'Points-Table'!$C$11,
                (Y182 = 'Points-Table'!$A$12), 'Points-Table'!$C$12,
                (Y182 = 'Points-Table'!$A$13), 'Points-Table'!$C$13,
                true, 0
              )
            </f>
      </c>
      <c r="AA182" s="13">
        <f>SUM(V182,X182,Z182)</f>
      </c>
      <c r="AB182" s="13">
        <f>
      Ifs( 
        ISBETWEEN(AA182, 0, 'Points-Table'!C$20, TRUE, False), 'Points-Table'!A$20,
        ISBETWEEN(AA182, 'Points-Table'!C$20, 'Points-Table'!C$21, TRUE, False), 'Points-Table'!A$21,
        ISBETWEEN(AA182, 'Points-Table'!C$22, 10000, TRUE, TRUE), 'Points-Table'!A$22,
        true, 
        0)
      </f>
      </c>
      <c r="AC182" s="13" t="s">
        <v>56</v>
      </c>
      <c r="AD182" s="13" t="s">
        <v>56</v>
      </c>
      <c r="AE182" s="13" t="s">
        <v>56</v>
      </c>
    </row>
    <row r="183" spans="1:31" s="13" customFormat="1" x14ac:dyDescent="0.25">
      <c r="A183" s="13" t="s">
        <v>435</v>
      </c>
      <c r="B183" s="13" t="s">
        <v>449</v>
      </c>
      <c r="D183" s="13"/>
      <c r="E183" s="13"/>
      <c r="F183" s="13"/>
      <c r="G183" s="13"/>
      <c r="H183" s="13"/>
      <c r="I183" s="13"/>
      <c r="J183" s="13"/>
      <c r="K183" s="13" t="s">
        <v>84</v>
      </c>
      <c r="L183" s="13" t="s">
        <v>272</v>
      </c>
      <c r="M183" s="13"/>
      <c r="N183" s="13"/>
      <c r="O183" s="13"/>
      <c r="P183" s="13"/>
      <c r="Q183" s="13">
        <v>0</v>
      </c>
      <c r="R183" s="13">
        <f>
              Ifs(
                (Q183 = 'Points-Table'!$A$4), 'Points-Table'!$C$4,
                (Q183 = 'Points-Table'!$A$5), 'Points-Table'!$C$5,
                (Q183 = 'Points-Table'!$A$6), 'Points-Table'!$C$6,
                (Q183 = 'Points-Table'!$A$7), 'Points-Table'!$C$7,
                (Q183 = 'Points-Table'!$A$8), 'Points-Table'!$C$8,
                (Q183 = 'Points-Table'!$A$9), 'Points-Table'!$C$9,
                (Q183 = 'Points-Table'!$A$10), 'Points-Table'!$C$10,
                (Q183 = 'Points-Table'!$A$11), 'Points-Table'!$C$11,
                (Q183 = 'Points-Table'!$A$12), 'Points-Table'!$C$12,
                (Q183 = 'Points-Table'!$A$13), 'Points-Table'!$C$13,
                true, 0
              )
            </f>
      </c>
      <c r="S183" s="13">
        <v>0</v>
      </c>
      <c r="T183" s="13">
        <f>
              Ifs(
                (S183 = 'Points-Table'!$A$4), 'Points-Table'!$C$4,
                (S183 = 'Points-Table'!$A$5), 'Points-Table'!$C$5,
                (S183 = 'Points-Table'!$A$6), 'Points-Table'!$C$6,
                (S183 = 'Points-Table'!$A$7), 'Points-Table'!$C$7,
                (S183 = 'Points-Table'!$A$8), 'Points-Table'!$C$8,
                (S183 = 'Points-Table'!$A$9), 'Points-Table'!$C$9,
                (S183 = 'Points-Table'!$A$10), 'Points-Table'!$C$10,
                (S183 = 'Points-Table'!$A$11), 'Points-Table'!$C$11,
                (S183 = 'Points-Table'!$A$12), 'Points-Table'!$C$12,
                (S183 = 'Points-Table'!$A$13), 'Points-Table'!$C$13,
                true, 0
              )
            </f>
      </c>
      <c r="U183" s="13">
        <v>0</v>
      </c>
      <c r="V183" s="13">
        <f>
              Ifs(
                (U183 = 'Points-Table'!$A$4), 'Points-Table'!$C$4,
                (U183 = 'Points-Table'!$A$5), 'Points-Table'!$C$5,
                (U183 = 'Points-Table'!$A$6), 'Points-Table'!$C$6,
                (U183 = 'Points-Table'!$A$7), 'Points-Table'!$C$7,
                (U183 = 'Points-Table'!$A$8), 'Points-Table'!$C$8,
                (U183 = 'Points-Table'!$A$9), 'Points-Table'!$C$9,
                (U183 = 'Points-Table'!$A$10), 'Points-Table'!$C$10,
                (U183 = 'Points-Table'!$A$11), 'Points-Table'!$C$11,
                (U183 = 'Points-Table'!$A$12), 'Points-Table'!$C$12,
                (U183 = 'Points-Table'!$A$13), 'Points-Table'!$C$13,
                true, 0
              )
            </f>
      </c>
      <c r="W183" s="13">
        <v>0</v>
      </c>
      <c r="X183" s="13">
        <f>
              Ifs(
                (W183 = 'Points-Table'!$A$4), 'Points-Table'!$C$4,
                (W183 = 'Points-Table'!$A$5), 'Points-Table'!$C$5,
                (W183 = 'Points-Table'!$A$6), 'Points-Table'!$C$6,
                (W183 = 'Points-Table'!$A$7), 'Points-Table'!$C$7,
                (W183 = 'Points-Table'!$A$8), 'Points-Table'!$C$8,
                (W183 = 'Points-Table'!$A$9), 'Points-Table'!$C$9,
                (W183 = 'Points-Table'!$A$10), 'Points-Table'!$C$10,
                (W183 = 'Points-Table'!$A$11), 'Points-Table'!$C$11,
                (W183 = 'Points-Table'!$A$12), 'Points-Table'!$C$12,
                (W183 = 'Points-Table'!$A$13), 'Points-Table'!$C$13,
                true, 0
              )
            </f>
      </c>
      <c r="Y183" s="13">
        <v>0</v>
      </c>
      <c r="Z183" s="13">
        <f>
              Ifs(
                (Y183 = 'Points-Table'!$A$4), 'Points-Table'!$C$4,
                (Y183 = 'Points-Table'!$A$5), 'Points-Table'!$C$5,
                (Y183 = 'Points-Table'!$A$6), 'Points-Table'!$C$6,
                (Y183 = 'Points-Table'!$A$7), 'Points-Table'!$C$7,
                (Y183 = 'Points-Table'!$A$8), 'Points-Table'!$C$8,
                (Y183 = 'Points-Table'!$A$9), 'Points-Table'!$C$9,
                (Y183 = 'Points-Table'!$A$10), 'Points-Table'!$C$10,
                (Y183 = 'Points-Table'!$A$11), 'Points-Table'!$C$11,
                (Y183 = 'Points-Table'!$A$12), 'Points-Table'!$C$12,
                (Y183 = 'Points-Table'!$A$13), 'Points-Table'!$C$13,
                true, 0
              )
            </f>
      </c>
      <c r="AA183" s="13">
        <f>SUM(V183,X183,Z183)</f>
      </c>
      <c r="AB183" s="13">
        <f>
      Ifs( 
        ISBETWEEN(AA183, 0, 'Points-Table'!C$20, TRUE, False), 'Points-Table'!A$20,
        ISBETWEEN(AA183, 'Points-Table'!C$20, 'Points-Table'!C$21, TRUE, False), 'Points-Table'!A$21,
        ISBETWEEN(AA183, 'Points-Table'!C$22, 10000, TRUE, TRUE), 'Points-Table'!A$22,
        true, 
        0)
      </f>
      </c>
      <c r="AC183" s="13" t="s">
        <v>56</v>
      </c>
      <c r="AD183" s="13" t="s">
        <v>56</v>
      </c>
      <c r="AE183" s="13" t="s">
        <v>56</v>
      </c>
    </row>
    <row r="184" spans="1:31" s="6" customFormat="1" x14ac:dyDescent="0.25">
      <c r="A184" s="6" t="s">
        <v>164</v>
      </c>
      <c r="B184" s="6" t="s">
        <v>450</v>
      </c>
      <c r="D184" s="6"/>
      <c r="E184" s="6"/>
      <c r="F184" s="6"/>
      <c r="G184" s="6"/>
      <c r="H184" s="6"/>
      <c r="I184" s="6"/>
      <c r="J184" s="6"/>
      <c r="K184" s="6" t="s">
        <v>84</v>
      </c>
      <c r="L184" s="6" t="s">
        <v>85</v>
      </c>
      <c r="M184" s="6"/>
      <c r="N184" s="6"/>
      <c r="O184" s="6"/>
      <c r="P184" s="6"/>
      <c r="Q184" s="11">
        <v>2</v>
      </c>
      <c r="R184" s="12">
        <f>
              Ifs(
                (Q184 = 'Points-Table'!$A$4), 'Points-Table'!$C$4,
                (Q184 = 'Points-Table'!$A$5), 'Points-Table'!$C$5,
                (Q184 = 'Points-Table'!$A$6), 'Points-Table'!$C$6,
                (Q184 = 'Points-Table'!$A$7), 'Points-Table'!$C$7,
                (Q184 = 'Points-Table'!$A$8), 'Points-Table'!$C$8,
                (Q184 = 'Points-Table'!$A$9), 'Points-Table'!$C$9,
                (Q184 = 'Points-Table'!$A$10), 'Points-Table'!$C$10,
                (Q184 = 'Points-Table'!$A$11), 'Points-Table'!$C$11,
                (Q184 = 'Points-Table'!$A$12), 'Points-Table'!$C$12,
                (Q184 = 'Points-Table'!$A$13), 'Points-Table'!$C$13,
                true, 0
              )
            </f>
      </c>
      <c r="S184" s="11">
        <v>2</v>
      </c>
      <c r="T184" s="12">
        <f>
              Ifs(
                (S184 = 'Points-Table'!$A$4), 'Points-Table'!$C$4,
                (S184 = 'Points-Table'!$A$5), 'Points-Table'!$C$5,
                (S184 = 'Points-Table'!$A$6), 'Points-Table'!$C$6,
                (S184 = 'Points-Table'!$A$7), 'Points-Table'!$C$7,
                (S184 = 'Points-Table'!$A$8), 'Points-Table'!$C$8,
                (S184 = 'Points-Table'!$A$9), 'Points-Table'!$C$9,
                (S184 = 'Points-Table'!$A$10), 'Points-Table'!$C$10,
                (S184 = 'Points-Table'!$A$11), 'Points-Table'!$C$11,
                (S184 = 'Points-Table'!$A$12), 'Points-Table'!$C$12,
                (S184 = 'Points-Table'!$A$13), 'Points-Table'!$C$13,
                true, 0
              )
            </f>
      </c>
      <c r="U184" s="11">
        <v>3</v>
      </c>
      <c r="V184" s="12">
        <f>
              Ifs(
                (U184 = 'Points-Table'!$A$4), 'Points-Table'!$C$4,
                (U184 = 'Points-Table'!$A$5), 'Points-Table'!$C$5,
                (U184 = 'Points-Table'!$A$6), 'Points-Table'!$C$6,
                (U184 = 'Points-Table'!$A$7), 'Points-Table'!$C$7,
                (U184 = 'Points-Table'!$A$8), 'Points-Table'!$C$8,
                (U184 = 'Points-Table'!$A$9), 'Points-Table'!$C$9,
                (U184 = 'Points-Table'!$A$10), 'Points-Table'!$C$10,
                (U184 = 'Points-Table'!$A$11), 'Points-Table'!$C$11,
                (U184 = 'Points-Table'!$A$12), 'Points-Table'!$C$12,
                (U184 = 'Points-Table'!$A$13), 'Points-Table'!$C$13,
                true, 0
              )
            </f>
      </c>
      <c r="W184" s="11">
        <v>2</v>
      </c>
      <c r="X184" s="12">
        <f>
              Ifs(
                (W184 = 'Points-Table'!$A$4), 'Points-Table'!$C$4,
                (W184 = 'Points-Table'!$A$5), 'Points-Table'!$C$5,
                (W184 = 'Points-Table'!$A$6), 'Points-Table'!$C$6,
                (W184 = 'Points-Table'!$A$7), 'Points-Table'!$C$7,
                (W184 = 'Points-Table'!$A$8), 'Points-Table'!$C$8,
                (W184 = 'Points-Table'!$A$9), 'Points-Table'!$C$9,
                (W184 = 'Points-Table'!$A$10), 'Points-Table'!$C$10,
                (W184 = 'Points-Table'!$A$11), 'Points-Table'!$C$11,
                (W184 = 'Points-Table'!$A$12), 'Points-Table'!$C$12,
                (W184 = 'Points-Table'!$A$13), 'Points-Table'!$C$13,
                true, 0
              )
            </f>
      </c>
      <c r="Y184" s="11">
        <v>5</v>
      </c>
      <c r="Z184" s="12">
        <f>
              Ifs(
                (Y184 = 'Points-Table'!$A$4), 'Points-Table'!$C$4,
                (Y184 = 'Points-Table'!$A$5), 'Points-Table'!$C$5,
                (Y184 = 'Points-Table'!$A$6), 'Points-Table'!$C$6,
                (Y184 = 'Points-Table'!$A$7), 'Points-Table'!$C$7,
                (Y184 = 'Points-Table'!$A$8), 'Points-Table'!$C$8,
                (Y184 = 'Points-Table'!$A$9), 'Points-Table'!$C$9,
                (Y184 = 'Points-Table'!$A$10), 'Points-Table'!$C$10,
                (Y184 = 'Points-Table'!$A$11), 'Points-Table'!$C$11,
                (Y184 = 'Points-Table'!$A$12), 'Points-Table'!$C$12,
                (Y184 = 'Points-Table'!$A$13), 'Points-Table'!$C$13,
                true, 0
              )
            </f>
      </c>
      <c r="AA184" s="6">
        <f>SUM(V184,X184,Z184)</f>
      </c>
      <c r="AB184" s="6">
        <f>
      Ifs( 
        ISBETWEEN(AA184, 0, 'Points-Table'!C$20, TRUE, False), 'Points-Table'!A$20,
        ISBETWEEN(AA184, 'Points-Table'!C$20, 'Points-Table'!C$21, TRUE, False), 'Points-Table'!A$21,
        ISBETWEEN(AA184, 'Points-Table'!C$22, 10000, TRUE, TRUE), 'Points-Table'!A$22,
        true, 
        0)
      </f>
      </c>
      <c r="AC184" s="6" t="s">
        <v>56</v>
      </c>
      <c r="AD184" s="6" t="s">
        <v>56</v>
      </c>
      <c r="AE184" s="6" t="s">
        <v>56</v>
      </c>
    </row>
    <row r="185" spans="1:31" s="13" customFormat="1" x14ac:dyDescent="0.25">
      <c r="A185" s="13" t="s">
        <v>164</v>
      </c>
      <c r="B185" s="13" t="s">
        <v>451</v>
      </c>
      <c r="D185" s="13"/>
      <c r="E185" s="13"/>
      <c r="F185" s="13"/>
      <c r="G185" s="13"/>
      <c r="H185" s="13"/>
      <c r="I185" s="13"/>
      <c r="J185" s="13"/>
      <c r="K185" s="13" t="s">
        <v>84</v>
      </c>
      <c r="L185" s="13" t="s">
        <v>85</v>
      </c>
      <c r="M185" s="13"/>
      <c r="N185" s="13"/>
      <c r="O185" s="13"/>
      <c r="P185" s="13"/>
      <c r="Q185" s="13">
        <v>0</v>
      </c>
      <c r="R185" s="13">
        <f>
              Ifs(
                (Q185 = 'Points-Table'!$A$4), 'Points-Table'!$C$4,
                (Q185 = 'Points-Table'!$A$5), 'Points-Table'!$C$5,
                (Q185 = 'Points-Table'!$A$6), 'Points-Table'!$C$6,
                (Q185 = 'Points-Table'!$A$7), 'Points-Table'!$C$7,
                (Q185 = 'Points-Table'!$A$8), 'Points-Table'!$C$8,
                (Q185 = 'Points-Table'!$A$9), 'Points-Table'!$C$9,
                (Q185 = 'Points-Table'!$A$10), 'Points-Table'!$C$10,
                (Q185 = 'Points-Table'!$A$11), 'Points-Table'!$C$11,
                (Q185 = 'Points-Table'!$A$12), 'Points-Table'!$C$12,
                (Q185 = 'Points-Table'!$A$13), 'Points-Table'!$C$13,
                true, 0
              )
            </f>
      </c>
      <c r="S185" s="13">
        <v>0</v>
      </c>
      <c r="T185" s="13">
        <f>
              Ifs(
                (S185 = 'Points-Table'!$A$4), 'Points-Table'!$C$4,
                (S185 = 'Points-Table'!$A$5), 'Points-Table'!$C$5,
                (S185 = 'Points-Table'!$A$6), 'Points-Table'!$C$6,
                (S185 = 'Points-Table'!$A$7), 'Points-Table'!$C$7,
                (S185 = 'Points-Table'!$A$8), 'Points-Table'!$C$8,
                (S185 = 'Points-Table'!$A$9), 'Points-Table'!$C$9,
                (S185 = 'Points-Table'!$A$10), 'Points-Table'!$C$10,
                (S185 = 'Points-Table'!$A$11), 'Points-Table'!$C$11,
                (S185 = 'Points-Table'!$A$12), 'Points-Table'!$C$12,
                (S185 = 'Points-Table'!$A$13), 'Points-Table'!$C$13,
                true, 0
              )
            </f>
      </c>
      <c r="U185" s="13">
        <v>2</v>
      </c>
      <c r="V185" s="13">
        <f>
              Ifs(
                (U185 = 'Points-Table'!$A$4), 'Points-Table'!$C$4,
                (U185 = 'Points-Table'!$A$5), 'Points-Table'!$C$5,
                (U185 = 'Points-Table'!$A$6), 'Points-Table'!$C$6,
                (U185 = 'Points-Table'!$A$7), 'Points-Table'!$C$7,
                (U185 = 'Points-Table'!$A$8), 'Points-Table'!$C$8,
                (U185 = 'Points-Table'!$A$9), 'Points-Table'!$C$9,
                (U185 = 'Points-Table'!$A$10), 'Points-Table'!$C$10,
                (U185 = 'Points-Table'!$A$11), 'Points-Table'!$C$11,
                (U185 = 'Points-Table'!$A$12), 'Points-Table'!$C$12,
                (U185 = 'Points-Table'!$A$13), 'Points-Table'!$C$13,
                true, 0
              )
            </f>
      </c>
      <c r="W185" s="13">
        <v>1</v>
      </c>
      <c r="X185" s="13">
        <f>
              Ifs(
                (W185 = 'Points-Table'!$A$4), 'Points-Table'!$C$4,
                (W185 = 'Points-Table'!$A$5), 'Points-Table'!$C$5,
                (W185 = 'Points-Table'!$A$6), 'Points-Table'!$C$6,
                (W185 = 'Points-Table'!$A$7), 'Points-Table'!$C$7,
                (W185 = 'Points-Table'!$A$8), 'Points-Table'!$C$8,
                (W185 = 'Points-Table'!$A$9), 'Points-Table'!$C$9,
                (W185 = 'Points-Table'!$A$10), 'Points-Table'!$C$10,
                (W185 = 'Points-Table'!$A$11), 'Points-Table'!$C$11,
                (W185 = 'Points-Table'!$A$12), 'Points-Table'!$C$12,
                (W185 = 'Points-Table'!$A$13), 'Points-Table'!$C$13,
                true, 0
              )
            </f>
      </c>
      <c r="Y185" s="13">
        <v>1</v>
      </c>
      <c r="Z185" s="13">
        <f>
              Ifs(
                (Y185 = 'Points-Table'!$A$4), 'Points-Table'!$C$4,
                (Y185 = 'Points-Table'!$A$5), 'Points-Table'!$C$5,
                (Y185 = 'Points-Table'!$A$6), 'Points-Table'!$C$6,
                (Y185 = 'Points-Table'!$A$7), 'Points-Table'!$C$7,
                (Y185 = 'Points-Table'!$A$8), 'Points-Table'!$C$8,
                (Y185 = 'Points-Table'!$A$9), 'Points-Table'!$C$9,
                (Y185 = 'Points-Table'!$A$10), 'Points-Table'!$C$10,
                (Y185 = 'Points-Table'!$A$11), 'Points-Table'!$C$11,
                (Y185 = 'Points-Table'!$A$12), 'Points-Table'!$C$12,
                (Y185 = 'Points-Table'!$A$13), 'Points-Table'!$C$13,
                true, 0
              )
            </f>
      </c>
      <c r="AA185" s="13">
        <f>SUM(V185,X185,Z185)</f>
      </c>
      <c r="AB185" s="13">
        <f>
      Ifs( 
        ISBETWEEN(AA185, 0, 'Points-Table'!C$20, TRUE, False), 'Points-Table'!A$20,
        ISBETWEEN(AA185, 'Points-Table'!C$20, 'Points-Table'!C$21, TRUE, False), 'Points-Table'!A$21,
        ISBETWEEN(AA185, 'Points-Table'!C$22, 10000, TRUE, TRUE), 'Points-Table'!A$22,
        true, 
        0)
      </f>
      </c>
      <c r="AC185" s="13" t="s">
        <v>56</v>
      </c>
      <c r="AD185" s="13" t="s">
        <v>56</v>
      </c>
      <c r="AE185" s="13" t="s">
        <v>56</v>
      </c>
    </row>
    <row r="186" spans="1:31" s="6" customFormat="1" x14ac:dyDescent="0.25">
      <c r="A186" s="6" t="s">
        <v>452</v>
      </c>
      <c r="B186" s="6" t="s">
        <v>453</v>
      </c>
      <c r="C186" s="6" t="s">
        <v>253</v>
      </c>
      <c r="D186" s="6"/>
      <c r="E186" s="6"/>
      <c r="F186" s="6"/>
      <c r="G186" s="6"/>
      <c r="H186" s="6"/>
      <c r="I186" s="6"/>
      <c r="J186" s="6"/>
      <c r="K186" s="6" t="s">
        <v>84</v>
      </c>
      <c r="L186" s="6" t="s">
        <v>272</v>
      </c>
      <c r="M186" s="6"/>
      <c r="N186" s="6"/>
      <c r="O186" s="6"/>
      <c r="P186" s="6"/>
      <c r="Q186" s="11">
        <v>0</v>
      </c>
      <c r="R186" s="12">
        <f>
              Ifs(
                (Q186 = 'Points-Table'!$A$4), 'Points-Table'!$C$4,
                (Q186 = 'Points-Table'!$A$5), 'Points-Table'!$C$5,
                (Q186 = 'Points-Table'!$A$6), 'Points-Table'!$C$6,
                (Q186 = 'Points-Table'!$A$7), 'Points-Table'!$C$7,
                (Q186 = 'Points-Table'!$A$8), 'Points-Table'!$C$8,
                (Q186 = 'Points-Table'!$A$9), 'Points-Table'!$C$9,
                (Q186 = 'Points-Table'!$A$10), 'Points-Table'!$C$10,
                (Q186 = 'Points-Table'!$A$11), 'Points-Table'!$C$11,
                (Q186 = 'Points-Table'!$A$12), 'Points-Table'!$C$12,
                (Q186 = 'Points-Table'!$A$13), 'Points-Table'!$C$13,
                true, 0
              )
            </f>
      </c>
      <c r="S186" s="11">
        <v>0</v>
      </c>
      <c r="T186" s="12">
        <f>
              Ifs(
                (S186 = 'Points-Table'!$A$4), 'Points-Table'!$C$4,
                (S186 = 'Points-Table'!$A$5), 'Points-Table'!$C$5,
                (S186 = 'Points-Table'!$A$6), 'Points-Table'!$C$6,
                (S186 = 'Points-Table'!$A$7), 'Points-Table'!$C$7,
                (S186 = 'Points-Table'!$A$8), 'Points-Table'!$C$8,
                (S186 = 'Points-Table'!$A$9), 'Points-Table'!$C$9,
                (S186 = 'Points-Table'!$A$10), 'Points-Table'!$C$10,
                (S186 = 'Points-Table'!$A$11), 'Points-Table'!$C$11,
                (S186 = 'Points-Table'!$A$12), 'Points-Table'!$C$12,
                (S186 = 'Points-Table'!$A$13), 'Points-Table'!$C$13,
                true, 0
              )
            </f>
      </c>
      <c r="U186" s="11">
        <v>3</v>
      </c>
      <c r="V186" s="12">
        <f>
              Ifs(
                (U186 = 'Points-Table'!$A$4), 'Points-Table'!$C$4,
                (U186 = 'Points-Table'!$A$5), 'Points-Table'!$C$5,
                (U186 = 'Points-Table'!$A$6), 'Points-Table'!$C$6,
                (U186 = 'Points-Table'!$A$7), 'Points-Table'!$C$7,
                (U186 = 'Points-Table'!$A$8), 'Points-Table'!$C$8,
                (U186 = 'Points-Table'!$A$9), 'Points-Table'!$C$9,
                (U186 = 'Points-Table'!$A$10), 'Points-Table'!$C$10,
                (U186 = 'Points-Table'!$A$11), 'Points-Table'!$C$11,
                (U186 = 'Points-Table'!$A$12), 'Points-Table'!$C$12,
                (U186 = 'Points-Table'!$A$13), 'Points-Table'!$C$13,
                true, 0
              )
            </f>
      </c>
      <c r="W186" s="11">
        <v>2</v>
      </c>
      <c r="X186" s="12">
        <f>
              Ifs(
                (W186 = 'Points-Table'!$A$4), 'Points-Table'!$C$4,
                (W186 = 'Points-Table'!$A$5), 'Points-Table'!$C$5,
                (W186 = 'Points-Table'!$A$6), 'Points-Table'!$C$6,
                (W186 = 'Points-Table'!$A$7), 'Points-Table'!$C$7,
                (W186 = 'Points-Table'!$A$8), 'Points-Table'!$C$8,
                (W186 = 'Points-Table'!$A$9), 'Points-Table'!$C$9,
                (W186 = 'Points-Table'!$A$10), 'Points-Table'!$C$10,
                (W186 = 'Points-Table'!$A$11), 'Points-Table'!$C$11,
                (W186 = 'Points-Table'!$A$12), 'Points-Table'!$C$12,
                (W186 = 'Points-Table'!$A$13), 'Points-Table'!$C$13,
                true, 0
              )
            </f>
      </c>
      <c r="Y186" s="11">
        <v>3</v>
      </c>
      <c r="Z186" s="12">
        <f>
              Ifs(
                (Y186 = 'Points-Table'!$A$4), 'Points-Table'!$C$4,
                (Y186 = 'Points-Table'!$A$5), 'Points-Table'!$C$5,
                (Y186 = 'Points-Table'!$A$6), 'Points-Table'!$C$6,
                (Y186 = 'Points-Table'!$A$7), 'Points-Table'!$C$7,
                (Y186 = 'Points-Table'!$A$8), 'Points-Table'!$C$8,
                (Y186 = 'Points-Table'!$A$9), 'Points-Table'!$C$9,
                (Y186 = 'Points-Table'!$A$10), 'Points-Table'!$C$10,
                (Y186 = 'Points-Table'!$A$11), 'Points-Table'!$C$11,
                (Y186 = 'Points-Table'!$A$12), 'Points-Table'!$C$12,
                (Y186 = 'Points-Table'!$A$13), 'Points-Table'!$C$13,
                true, 0
              )
            </f>
      </c>
      <c r="AA186" s="6">
        <f>SUM(V186,X186,Z186)</f>
      </c>
      <c r="AB186" s="6">
        <f>
      Ifs( 
        ISBETWEEN(AA186, 0, 'Points-Table'!C$20, TRUE, False), 'Points-Table'!A$20,
        ISBETWEEN(AA186, 'Points-Table'!C$20, 'Points-Table'!C$21, TRUE, False), 'Points-Table'!A$21,
        ISBETWEEN(AA186, 'Points-Table'!C$22, 10000, TRUE, TRUE), 'Points-Table'!A$22,
        true, 
        0)
      </f>
      </c>
      <c r="AC186" s="6" t="s">
        <v>56</v>
      </c>
      <c r="AD186" s="6" t="s">
        <v>56</v>
      </c>
      <c r="AE186" s="6" t="s">
        <v>56</v>
      </c>
    </row>
    <row r="187" spans="1:31" s="6" customFormat="1" x14ac:dyDescent="0.25">
      <c r="A187" s="6" t="s">
        <v>452</v>
      </c>
      <c r="B187" s="6" t="s">
        <v>453</v>
      </c>
      <c r="C187" s="6" t="s">
        <v>273</v>
      </c>
      <c r="D187" s="6"/>
      <c r="E187" s="6"/>
      <c r="F187" s="6"/>
      <c r="G187" s="6"/>
      <c r="H187" s="6"/>
      <c r="I187" s="6"/>
      <c r="J187" s="6"/>
      <c r="K187" s="6" t="s">
        <v>84</v>
      </c>
      <c r="L187" s="6" t="s">
        <v>272</v>
      </c>
      <c r="M187" s="6"/>
      <c r="N187" s="6"/>
      <c r="O187" s="6"/>
      <c r="P187" s="6"/>
      <c r="Q187" s="11">
        <v>0</v>
      </c>
      <c r="R187" s="12">
        <f>
              Ifs(
                (Q187 = 'Points-Table'!$A$4), 'Points-Table'!$C$4,
                (Q187 = 'Points-Table'!$A$5), 'Points-Table'!$C$5,
                (Q187 = 'Points-Table'!$A$6), 'Points-Table'!$C$6,
                (Q187 = 'Points-Table'!$A$7), 'Points-Table'!$C$7,
                (Q187 = 'Points-Table'!$A$8), 'Points-Table'!$C$8,
                (Q187 = 'Points-Table'!$A$9), 'Points-Table'!$C$9,
                (Q187 = 'Points-Table'!$A$10), 'Points-Table'!$C$10,
                (Q187 = 'Points-Table'!$A$11), 'Points-Table'!$C$11,
                (Q187 = 'Points-Table'!$A$12), 'Points-Table'!$C$12,
                (Q187 = 'Points-Table'!$A$13), 'Points-Table'!$C$13,
                true, 0
              )
            </f>
      </c>
      <c r="S187" s="11">
        <v>0</v>
      </c>
      <c r="T187" s="12">
        <f>
              Ifs(
                (S187 = 'Points-Table'!$A$4), 'Points-Table'!$C$4,
                (S187 = 'Points-Table'!$A$5), 'Points-Table'!$C$5,
                (S187 = 'Points-Table'!$A$6), 'Points-Table'!$C$6,
                (S187 = 'Points-Table'!$A$7), 'Points-Table'!$C$7,
                (S187 = 'Points-Table'!$A$8), 'Points-Table'!$C$8,
                (S187 = 'Points-Table'!$A$9), 'Points-Table'!$C$9,
                (S187 = 'Points-Table'!$A$10), 'Points-Table'!$C$10,
                (S187 = 'Points-Table'!$A$11), 'Points-Table'!$C$11,
                (S187 = 'Points-Table'!$A$12), 'Points-Table'!$C$12,
                (S187 = 'Points-Table'!$A$13), 'Points-Table'!$C$13,
                true, 0
              )
            </f>
      </c>
      <c r="U187" s="11">
        <v>2</v>
      </c>
      <c r="V187" s="12">
        <f>
              Ifs(
                (U187 = 'Points-Table'!$A$4), 'Points-Table'!$C$4,
                (U187 = 'Points-Table'!$A$5), 'Points-Table'!$C$5,
                (U187 = 'Points-Table'!$A$6), 'Points-Table'!$C$6,
                (U187 = 'Points-Table'!$A$7), 'Points-Table'!$C$7,
                (U187 = 'Points-Table'!$A$8), 'Points-Table'!$C$8,
                (U187 = 'Points-Table'!$A$9), 'Points-Table'!$C$9,
                (U187 = 'Points-Table'!$A$10), 'Points-Table'!$C$10,
                (U187 = 'Points-Table'!$A$11), 'Points-Table'!$C$11,
                (U187 = 'Points-Table'!$A$12), 'Points-Table'!$C$12,
                (U187 = 'Points-Table'!$A$13), 'Points-Table'!$C$13,
                true, 0
              )
            </f>
      </c>
      <c r="W187" s="11">
        <v>2</v>
      </c>
      <c r="X187" s="12">
        <f>
              Ifs(
                (W187 = 'Points-Table'!$A$4), 'Points-Table'!$C$4,
                (W187 = 'Points-Table'!$A$5), 'Points-Table'!$C$5,
                (W187 = 'Points-Table'!$A$6), 'Points-Table'!$C$6,
                (W187 = 'Points-Table'!$A$7), 'Points-Table'!$C$7,
                (W187 = 'Points-Table'!$A$8), 'Points-Table'!$C$8,
                (W187 = 'Points-Table'!$A$9), 'Points-Table'!$C$9,
                (W187 = 'Points-Table'!$A$10), 'Points-Table'!$C$10,
                (W187 = 'Points-Table'!$A$11), 'Points-Table'!$C$11,
                (W187 = 'Points-Table'!$A$12), 'Points-Table'!$C$12,
                (W187 = 'Points-Table'!$A$13), 'Points-Table'!$C$13,
                true, 0
              )
            </f>
      </c>
      <c r="Y187" s="11">
        <v>2</v>
      </c>
      <c r="Z187" s="12">
        <f>
              Ifs(
                (Y187 = 'Points-Table'!$A$4), 'Points-Table'!$C$4,
                (Y187 = 'Points-Table'!$A$5), 'Points-Table'!$C$5,
                (Y187 = 'Points-Table'!$A$6), 'Points-Table'!$C$6,
                (Y187 = 'Points-Table'!$A$7), 'Points-Table'!$C$7,
                (Y187 = 'Points-Table'!$A$8), 'Points-Table'!$C$8,
                (Y187 = 'Points-Table'!$A$9), 'Points-Table'!$C$9,
                (Y187 = 'Points-Table'!$A$10), 'Points-Table'!$C$10,
                (Y187 = 'Points-Table'!$A$11), 'Points-Table'!$C$11,
                (Y187 = 'Points-Table'!$A$12), 'Points-Table'!$C$12,
                (Y187 = 'Points-Table'!$A$13), 'Points-Table'!$C$13,
                true, 0
              )
            </f>
      </c>
      <c r="AA187" s="6">
        <f>SUM(V187,X187,Z187)</f>
      </c>
      <c r="AB187" s="6">
        <f>
      Ifs( 
        ISBETWEEN(AA187, 0, 'Points-Table'!C$20, TRUE, False), 'Points-Table'!A$20,
        ISBETWEEN(AA187, 'Points-Table'!C$20, 'Points-Table'!C$21, TRUE, False), 'Points-Table'!A$21,
        ISBETWEEN(AA187, 'Points-Table'!C$22, 10000, TRUE, TRUE), 'Points-Table'!A$22,
        true, 
        0)
      </f>
      </c>
      <c r="AC187" s="6" t="s">
        <v>56</v>
      </c>
      <c r="AD187" s="6" t="s">
        <v>56</v>
      </c>
      <c r="AE187" s="6" t="s">
        <v>56</v>
      </c>
    </row>
    <row r="188" spans="1:31" s="6" customFormat="1" x14ac:dyDescent="0.25">
      <c r="A188" s="6" t="s">
        <v>452</v>
      </c>
      <c r="B188" s="6" t="s">
        <v>453</v>
      </c>
      <c r="C188" s="6" t="s">
        <v>454</v>
      </c>
      <c r="D188" s="6"/>
      <c r="E188" s="6"/>
      <c r="F188" s="6"/>
      <c r="G188" s="6"/>
      <c r="H188" s="6"/>
      <c r="I188" s="6"/>
      <c r="J188" s="6"/>
      <c r="K188" s="6" t="s">
        <v>84</v>
      </c>
      <c r="L188" s="6" t="s">
        <v>272</v>
      </c>
      <c r="M188" s="6"/>
      <c r="N188" s="6"/>
      <c r="O188" s="6"/>
      <c r="P188" s="6"/>
      <c r="Q188" s="11">
        <v>0</v>
      </c>
      <c r="R188" s="12">
        <f>
              Ifs(
                (Q188 = 'Points-Table'!$A$4), 'Points-Table'!$C$4,
                (Q188 = 'Points-Table'!$A$5), 'Points-Table'!$C$5,
                (Q188 = 'Points-Table'!$A$6), 'Points-Table'!$C$6,
                (Q188 = 'Points-Table'!$A$7), 'Points-Table'!$C$7,
                (Q188 = 'Points-Table'!$A$8), 'Points-Table'!$C$8,
                (Q188 = 'Points-Table'!$A$9), 'Points-Table'!$C$9,
                (Q188 = 'Points-Table'!$A$10), 'Points-Table'!$C$10,
                (Q188 = 'Points-Table'!$A$11), 'Points-Table'!$C$11,
                (Q188 = 'Points-Table'!$A$12), 'Points-Table'!$C$12,
                (Q188 = 'Points-Table'!$A$13), 'Points-Table'!$C$13,
                true, 0
              )
            </f>
      </c>
      <c r="S188" s="11">
        <v>0</v>
      </c>
      <c r="T188" s="12">
        <f>
              Ifs(
                (S188 = 'Points-Table'!$A$4), 'Points-Table'!$C$4,
                (S188 = 'Points-Table'!$A$5), 'Points-Table'!$C$5,
                (S188 = 'Points-Table'!$A$6), 'Points-Table'!$C$6,
                (S188 = 'Points-Table'!$A$7), 'Points-Table'!$C$7,
                (S188 = 'Points-Table'!$A$8), 'Points-Table'!$C$8,
                (S188 = 'Points-Table'!$A$9), 'Points-Table'!$C$9,
                (S188 = 'Points-Table'!$A$10), 'Points-Table'!$C$10,
                (S188 = 'Points-Table'!$A$11), 'Points-Table'!$C$11,
                (S188 = 'Points-Table'!$A$12), 'Points-Table'!$C$12,
                (S188 = 'Points-Table'!$A$13), 'Points-Table'!$C$13,
                true, 0
              )
            </f>
      </c>
      <c r="U188" s="11">
        <v>2</v>
      </c>
      <c r="V188" s="12">
        <f>
              Ifs(
                (U188 = 'Points-Table'!$A$4), 'Points-Table'!$C$4,
                (U188 = 'Points-Table'!$A$5), 'Points-Table'!$C$5,
                (U188 = 'Points-Table'!$A$6), 'Points-Table'!$C$6,
                (U188 = 'Points-Table'!$A$7), 'Points-Table'!$C$7,
                (U188 = 'Points-Table'!$A$8), 'Points-Table'!$C$8,
                (U188 = 'Points-Table'!$A$9), 'Points-Table'!$C$9,
                (U188 = 'Points-Table'!$A$10), 'Points-Table'!$C$10,
                (U188 = 'Points-Table'!$A$11), 'Points-Table'!$C$11,
                (U188 = 'Points-Table'!$A$12), 'Points-Table'!$C$12,
                (U188 = 'Points-Table'!$A$13), 'Points-Table'!$C$13,
                true, 0
              )
            </f>
      </c>
      <c r="W188" s="11">
        <v>2</v>
      </c>
      <c r="X188" s="12">
        <f>
              Ifs(
                (W188 = 'Points-Table'!$A$4), 'Points-Table'!$C$4,
                (W188 = 'Points-Table'!$A$5), 'Points-Table'!$C$5,
                (W188 = 'Points-Table'!$A$6), 'Points-Table'!$C$6,
                (W188 = 'Points-Table'!$A$7), 'Points-Table'!$C$7,
                (W188 = 'Points-Table'!$A$8), 'Points-Table'!$C$8,
                (W188 = 'Points-Table'!$A$9), 'Points-Table'!$C$9,
                (W188 = 'Points-Table'!$A$10), 'Points-Table'!$C$10,
                (W188 = 'Points-Table'!$A$11), 'Points-Table'!$C$11,
                (W188 = 'Points-Table'!$A$12), 'Points-Table'!$C$12,
                (W188 = 'Points-Table'!$A$13), 'Points-Table'!$C$13,
                true, 0
              )
            </f>
      </c>
      <c r="Y188" s="11">
        <v>5</v>
      </c>
      <c r="Z188" s="12">
        <f>
              Ifs(
                (Y188 = 'Points-Table'!$A$4), 'Points-Table'!$C$4,
                (Y188 = 'Points-Table'!$A$5), 'Points-Table'!$C$5,
                (Y188 = 'Points-Table'!$A$6), 'Points-Table'!$C$6,
                (Y188 = 'Points-Table'!$A$7), 'Points-Table'!$C$7,
                (Y188 = 'Points-Table'!$A$8), 'Points-Table'!$C$8,
                (Y188 = 'Points-Table'!$A$9), 'Points-Table'!$C$9,
                (Y188 = 'Points-Table'!$A$10), 'Points-Table'!$C$10,
                (Y188 = 'Points-Table'!$A$11), 'Points-Table'!$C$11,
                (Y188 = 'Points-Table'!$A$12), 'Points-Table'!$C$12,
                (Y188 = 'Points-Table'!$A$13), 'Points-Table'!$C$13,
                true, 0
              )
            </f>
      </c>
      <c r="AA188" s="6">
        <f>SUM(V188,X188,Z188)</f>
      </c>
      <c r="AB188" s="6">
        <f>
      Ifs( 
        ISBETWEEN(AA188, 0, 'Points-Table'!C$20, TRUE, False), 'Points-Table'!A$20,
        ISBETWEEN(AA188, 'Points-Table'!C$20, 'Points-Table'!C$21, TRUE, False), 'Points-Table'!A$21,
        ISBETWEEN(AA188, 'Points-Table'!C$22, 10000, TRUE, TRUE), 'Points-Table'!A$22,
        true, 
        0)
      </f>
      </c>
      <c r="AC188" s="6" t="s">
        <v>56</v>
      </c>
      <c r="AD188" s="6" t="s">
        <v>56</v>
      </c>
      <c r="AE188" s="6" t="s">
        <v>56</v>
      </c>
    </row>
    <row r="189" spans="1:31" s="6" customFormat="1" x14ac:dyDescent="0.25">
      <c r="A189" s="6" t="s">
        <v>452</v>
      </c>
      <c r="B189" s="6" t="s">
        <v>453</v>
      </c>
      <c r="C189" s="6" t="s">
        <v>455</v>
      </c>
      <c r="D189" s="6"/>
      <c r="E189" s="6"/>
      <c r="F189" s="6" t="s">
        <v>456</v>
      </c>
      <c r="G189" s="6"/>
      <c r="H189" s="6"/>
      <c r="I189" s="6"/>
      <c r="J189" s="6"/>
      <c r="K189" s="6" t="s">
        <v>84</v>
      </c>
      <c r="L189" s="6" t="s">
        <v>85</v>
      </c>
      <c r="M189" s="6"/>
      <c r="N189" s="6"/>
      <c r="O189" s="6"/>
      <c r="P189" s="6"/>
      <c r="Q189" s="11">
        <v>5</v>
      </c>
      <c r="R189" s="12">
        <f>
              Ifs(
                (Q189 = 'Points-Table'!$A$4), 'Points-Table'!$C$4,
                (Q189 = 'Points-Table'!$A$5), 'Points-Table'!$C$5,
                (Q189 = 'Points-Table'!$A$6), 'Points-Table'!$C$6,
                (Q189 = 'Points-Table'!$A$7), 'Points-Table'!$C$7,
                (Q189 = 'Points-Table'!$A$8), 'Points-Table'!$C$8,
                (Q189 = 'Points-Table'!$A$9), 'Points-Table'!$C$9,
                (Q189 = 'Points-Table'!$A$10), 'Points-Table'!$C$10,
                (Q189 = 'Points-Table'!$A$11), 'Points-Table'!$C$11,
                (Q189 = 'Points-Table'!$A$12), 'Points-Table'!$C$12,
                (Q189 = 'Points-Table'!$A$13), 'Points-Table'!$C$13,
                true, 0
              )
            </f>
      </c>
      <c r="S189" s="11">
        <v>5</v>
      </c>
      <c r="T189" s="12">
        <f>
              Ifs(
                (S189 = 'Points-Table'!$A$4), 'Points-Table'!$C$4,
                (S189 = 'Points-Table'!$A$5), 'Points-Table'!$C$5,
                (S189 = 'Points-Table'!$A$6), 'Points-Table'!$C$6,
                (S189 = 'Points-Table'!$A$7), 'Points-Table'!$C$7,
                (S189 = 'Points-Table'!$A$8), 'Points-Table'!$C$8,
                (S189 = 'Points-Table'!$A$9), 'Points-Table'!$C$9,
                (S189 = 'Points-Table'!$A$10), 'Points-Table'!$C$10,
                (S189 = 'Points-Table'!$A$11), 'Points-Table'!$C$11,
                (S189 = 'Points-Table'!$A$12), 'Points-Table'!$C$12,
                (S189 = 'Points-Table'!$A$13), 'Points-Table'!$C$13,
                true, 0
              )
            </f>
      </c>
      <c r="U189" s="11">
        <v>5</v>
      </c>
      <c r="V189" s="12">
        <f>
              Ifs(
                (U189 = 'Points-Table'!$A$4), 'Points-Table'!$C$4,
                (U189 = 'Points-Table'!$A$5), 'Points-Table'!$C$5,
                (U189 = 'Points-Table'!$A$6), 'Points-Table'!$C$6,
                (U189 = 'Points-Table'!$A$7), 'Points-Table'!$C$7,
                (U189 = 'Points-Table'!$A$8), 'Points-Table'!$C$8,
                (U189 = 'Points-Table'!$A$9), 'Points-Table'!$C$9,
                (U189 = 'Points-Table'!$A$10), 'Points-Table'!$C$10,
                (U189 = 'Points-Table'!$A$11), 'Points-Table'!$C$11,
                (U189 = 'Points-Table'!$A$12), 'Points-Table'!$C$12,
                (U189 = 'Points-Table'!$A$13), 'Points-Table'!$C$13,
                true, 0
              )
            </f>
      </c>
      <c r="W189" s="11">
        <v>5</v>
      </c>
      <c r="X189" s="12">
        <f>
              Ifs(
                (W189 = 'Points-Table'!$A$4), 'Points-Table'!$C$4,
                (W189 = 'Points-Table'!$A$5), 'Points-Table'!$C$5,
                (W189 = 'Points-Table'!$A$6), 'Points-Table'!$C$6,
                (W189 = 'Points-Table'!$A$7), 'Points-Table'!$C$7,
                (W189 = 'Points-Table'!$A$8), 'Points-Table'!$C$8,
                (W189 = 'Points-Table'!$A$9), 'Points-Table'!$C$9,
                (W189 = 'Points-Table'!$A$10), 'Points-Table'!$C$10,
                (W189 = 'Points-Table'!$A$11), 'Points-Table'!$C$11,
                (W189 = 'Points-Table'!$A$12), 'Points-Table'!$C$12,
                (W189 = 'Points-Table'!$A$13), 'Points-Table'!$C$13,
                true, 0
              )
            </f>
      </c>
      <c r="Y189" s="11">
        <v>21</v>
      </c>
      <c r="Z189" s="12">
        <f>
              Ifs(
                (Y189 = 'Points-Table'!$A$4), 'Points-Table'!$C$4,
                (Y189 = 'Points-Table'!$A$5), 'Points-Table'!$C$5,
                (Y189 = 'Points-Table'!$A$6), 'Points-Table'!$C$6,
                (Y189 = 'Points-Table'!$A$7), 'Points-Table'!$C$7,
                (Y189 = 'Points-Table'!$A$8), 'Points-Table'!$C$8,
                (Y189 = 'Points-Table'!$A$9), 'Points-Table'!$C$9,
                (Y189 = 'Points-Table'!$A$10), 'Points-Table'!$C$10,
                (Y189 = 'Points-Table'!$A$11), 'Points-Table'!$C$11,
                (Y189 = 'Points-Table'!$A$12), 'Points-Table'!$C$12,
                (Y189 = 'Points-Table'!$A$13), 'Points-Table'!$C$13,
                true, 0
              )
            </f>
      </c>
      <c r="AA189" s="6">
        <f>SUM(V189,X189,Z189)</f>
      </c>
      <c r="AB189" s="6">
        <f>
      Ifs( 
        ISBETWEEN(AA189, 0, 'Points-Table'!C$20, TRUE, False), 'Points-Table'!A$20,
        ISBETWEEN(AA189, 'Points-Table'!C$20, 'Points-Table'!C$21, TRUE, False), 'Points-Table'!A$21,
        ISBETWEEN(AA189, 'Points-Table'!C$22, 10000, TRUE, TRUE), 'Points-Table'!A$22,
        true, 
        0)
      </f>
      </c>
      <c r="AC189" s="6" t="s">
        <v>56</v>
      </c>
      <c r="AD189" s="6" t="s">
        <v>56</v>
      </c>
      <c r="AE189" s="6" t="s">
        <v>56</v>
      </c>
    </row>
    <row r="190" spans="1:31" s="6" customFormat="1" x14ac:dyDescent="0.25">
      <c r="A190" s="6" t="s">
        <v>452</v>
      </c>
      <c r="B190" s="6" t="s">
        <v>457</v>
      </c>
      <c r="C190" s="6" t="s">
        <v>458</v>
      </c>
      <c r="D190" s="6"/>
      <c r="E190" s="6"/>
      <c r="F190" s="6"/>
      <c r="G190" s="6"/>
      <c r="H190" s="6"/>
      <c r="I190" s="6"/>
      <c r="J190" s="6"/>
      <c r="K190" s="6" t="s">
        <v>84</v>
      </c>
      <c r="L190" s="6" t="s">
        <v>85</v>
      </c>
      <c r="M190" s="6"/>
      <c r="N190" s="6"/>
      <c r="O190" s="6"/>
      <c r="P190" s="6"/>
      <c r="Q190" s="11">
        <v>2</v>
      </c>
      <c r="R190" s="12">
        <f>
              Ifs(
                (Q190 = 'Points-Table'!$A$4), 'Points-Table'!$C$4,
                (Q190 = 'Points-Table'!$A$5), 'Points-Table'!$C$5,
                (Q190 = 'Points-Table'!$A$6), 'Points-Table'!$C$6,
                (Q190 = 'Points-Table'!$A$7), 'Points-Table'!$C$7,
                (Q190 = 'Points-Table'!$A$8), 'Points-Table'!$C$8,
                (Q190 = 'Points-Table'!$A$9), 'Points-Table'!$C$9,
                (Q190 = 'Points-Table'!$A$10), 'Points-Table'!$C$10,
                (Q190 = 'Points-Table'!$A$11), 'Points-Table'!$C$11,
                (Q190 = 'Points-Table'!$A$12), 'Points-Table'!$C$12,
                (Q190 = 'Points-Table'!$A$13), 'Points-Table'!$C$13,
                true, 0
              )
            </f>
      </c>
      <c r="S190" s="11">
        <v>2</v>
      </c>
      <c r="T190" s="12">
        <f>
              Ifs(
                (S190 = 'Points-Table'!$A$4), 'Points-Table'!$C$4,
                (S190 = 'Points-Table'!$A$5), 'Points-Table'!$C$5,
                (S190 = 'Points-Table'!$A$6), 'Points-Table'!$C$6,
                (S190 = 'Points-Table'!$A$7), 'Points-Table'!$C$7,
                (S190 = 'Points-Table'!$A$8), 'Points-Table'!$C$8,
                (S190 = 'Points-Table'!$A$9), 'Points-Table'!$C$9,
                (S190 = 'Points-Table'!$A$10), 'Points-Table'!$C$10,
                (S190 = 'Points-Table'!$A$11), 'Points-Table'!$C$11,
                (S190 = 'Points-Table'!$A$12), 'Points-Table'!$C$12,
                (S190 = 'Points-Table'!$A$13), 'Points-Table'!$C$13,
                true, 0
              )
            </f>
      </c>
      <c r="U190" s="11">
        <v>5</v>
      </c>
      <c r="V190" s="12">
        <f>
              Ifs(
                (U190 = 'Points-Table'!$A$4), 'Points-Table'!$C$4,
                (U190 = 'Points-Table'!$A$5), 'Points-Table'!$C$5,
                (U190 = 'Points-Table'!$A$6), 'Points-Table'!$C$6,
                (U190 = 'Points-Table'!$A$7), 'Points-Table'!$C$7,
                (U190 = 'Points-Table'!$A$8), 'Points-Table'!$C$8,
                (U190 = 'Points-Table'!$A$9), 'Points-Table'!$C$9,
                (U190 = 'Points-Table'!$A$10), 'Points-Table'!$C$10,
                (U190 = 'Points-Table'!$A$11), 'Points-Table'!$C$11,
                (U190 = 'Points-Table'!$A$12), 'Points-Table'!$C$12,
                (U190 = 'Points-Table'!$A$13), 'Points-Table'!$C$13,
                true, 0
              )
            </f>
      </c>
      <c r="W190" s="11">
        <v>2</v>
      </c>
      <c r="X190" s="12">
        <f>
              Ifs(
                (W190 = 'Points-Table'!$A$4), 'Points-Table'!$C$4,
                (W190 = 'Points-Table'!$A$5), 'Points-Table'!$C$5,
                (W190 = 'Points-Table'!$A$6), 'Points-Table'!$C$6,
                (W190 = 'Points-Table'!$A$7), 'Points-Table'!$C$7,
                (W190 = 'Points-Table'!$A$8), 'Points-Table'!$C$8,
                (W190 = 'Points-Table'!$A$9), 'Points-Table'!$C$9,
                (W190 = 'Points-Table'!$A$10), 'Points-Table'!$C$10,
                (W190 = 'Points-Table'!$A$11), 'Points-Table'!$C$11,
                (W190 = 'Points-Table'!$A$12), 'Points-Table'!$C$12,
                (W190 = 'Points-Table'!$A$13), 'Points-Table'!$C$13,
                true, 0
              )
            </f>
      </c>
      <c r="Y190" s="11">
        <v>5</v>
      </c>
      <c r="Z190" s="12">
        <f>
              Ifs(
                (Y190 = 'Points-Table'!$A$4), 'Points-Table'!$C$4,
                (Y190 = 'Points-Table'!$A$5), 'Points-Table'!$C$5,
                (Y190 = 'Points-Table'!$A$6), 'Points-Table'!$C$6,
                (Y190 = 'Points-Table'!$A$7), 'Points-Table'!$C$7,
                (Y190 = 'Points-Table'!$A$8), 'Points-Table'!$C$8,
                (Y190 = 'Points-Table'!$A$9), 'Points-Table'!$C$9,
                (Y190 = 'Points-Table'!$A$10), 'Points-Table'!$C$10,
                (Y190 = 'Points-Table'!$A$11), 'Points-Table'!$C$11,
                (Y190 = 'Points-Table'!$A$12), 'Points-Table'!$C$12,
                (Y190 = 'Points-Table'!$A$13), 'Points-Table'!$C$13,
                true, 0
              )
            </f>
      </c>
      <c r="AA190" s="6">
        <f>SUM(V190,X190,Z190)</f>
      </c>
      <c r="AB190" s="6">
        <f>
      Ifs( 
        ISBETWEEN(AA190, 0, 'Points-Table'!C$20, TRUE, False), 'Points-Table'!A$20,
        ISBETWEEN(AA190, 'Points-Table'!C$20, 'Points-Table'!C$21, TRUE, False), 'Points-Table'!A$21,
        ISBETWEEN(AA190, 'Points-Table'!C$22, 10000, TRUE, TRUE), 'Points-Table'!A$22,
        true, 
        0)
      </f>
      </c>
      <c r="AC190" s="6" t="s">
        <v>56</v>
      </c>
      <c r="AD190" s="6" t="s">
        <v>56</v>
      </c>
      <c r="AE190" s="6" t="s">
        <v>56</v>
      </c>
    </row>
    <row r="191" spans="1:31" s="6" customFormat="1" x14ac:dyDescent="0.25">
      <c r="A191" s="6" t="s">
        <v>452</v>
      </c>
      <c r="B191" s="6" t="s">
        <v>459</v>
      </c>
      <c r="C191" s="6" t="s">
        <v>460</v>
      </c>
      <c r="D191" s="6"/>
      <c r="E191" s="6"/>
      <c r="F191" s="6"/>
      <c r="G191" s="6"/>
      <c r="H191" s="6"/>
      <c r="I191" s="6"/>
      <c r="J191" s="6"/>
      <c r="K191" s="6" t="s">
        <v>84</v>
      </c>
      <c r="L191" s="6" t="s">
        <v>85</v>
      </c>
      <c r="M191" s="6"/>
      <c r="N191" s="6"/>
      <c r="O191" s="6"/>
      <c r="P191" s="6"/>
      <c r="Q191" s="11">
        <v>2</v>
      </c>
      <c r="R191" s="12">
        <f>
              Ifs(
                (Q191 = 'Points-Table'!$A$4), 'Points-Table'!$C$4,
                (Q191 = 'Points-Table'!$A$5), 'Points-Table'!$C$5,
                (Q191 = 'Points-Table'!$A$6), 'Points-Table'!$C$6,
                (Q191 = 'Points-Table'!$A$7), 'Points-Table'!$C$7,
                (Q191 = 'Points-Table'!$A$8), 'Points-Table'!$C$8,
                (Q191 = 'Points-Table'!$A$9), 'Points-Table'!$C$9,
                (Q191 = 'Points-Table'!$A$10), 'Points-Table'!$C$10,
                (Q191 = 'Points-Table'!$A$11), 'Points-Table'!$C$11,
                (Q191 = 'Points-Table'!$A$12), 'Points-Table'!$C$12,
                (Q191 = 'Points-Table'!$A$13), 'Points-Table'!$C$13,
                true, 0
              )
            </f>
      </c>
      <c r="S191" s="11">
        <v>2</v>
      </c>
      <c r="T191" s="12">
        <f>
              Ifs(
                (S191 = 'Points-Table'!$A$4), 'Points-Table'!$C$4,
                (S191 = 'Points-Table'!$A$5), 'Points-Table'!$C$5,
                (S191 = 'Points-Table'!$A$6), 'Points-Table'!$C$6,
                (S191 = 'Points-Table'!$A$7), 'Points-Table'!$C$7,
                (S191 = 'Points-Table'!$A$8), 'Points-Table'!$C$8,
                (S191 = 'Points-Table'!$A$9), 'Points-Table'!$C$9,
                (S191 = 'Points-Table'!$A$10), 'Points-Table'!$C$10,
                (S191 = 'Points-Table'!$A$11), 'Points-Table'!$C$11,
                (S191 = 'Points-Table'!$A$12), 'Points-Table'!$C$12,
                (S191 = 'Points-Table'!$A$13), 'Points-Table'!$C$13,
                true, 0
              )
            </f>
      </c>
      <c r="U191" s="11">
        <v>5</v>
      </c>
      <c r="V191" s="12">
        <f>
              Ifs(
                (U191 = 'Points-Table'!$A$4), 'Points-Table'!$C$4,
                (U191 = 'Points-Table'!$A$5), 'Points-Table'!$C$5,
                (U191 = 'Points-Table'!$A$6), 'Points-Table'!$C$6,
                (U191 = 'Points-Table'!$A$7), 'Points-Table'!$C$7,
                (U191 = 'Points-Table'!$A$8), 'Points-Table'!$C$8,
                (U191 = 'Points-Table'!$A$9), 'Points-Table'!$C$9,
                (U191 = 'Points-Table'!$A$10), 'Points-Table'!$C$10,
                (U191 = 'Points-Table'!$A$11), 'Points-Table'!$C$11,
                (U191 = 'Points-Table'!$A$12), 'Points-Table'!$C$12,
                (U191 = 'Points-Table'!$A$13), 'Points-Table'!$C$13,
                true, 0
              )
            </f>
      </c>
      <c r="W191" s="11">
        <v>3</v>
      </c>
      <c r="X191" s="12">
        <f>
              Ifs(
                (W191 = 'Points-Table'!$A$4), 'Points-Table'!$C$4,
                (W191 = 'Points-Table'!$A$5), 'Points-Table'!$C$5,
                (W191 = 'Points-Table'!$A$6), 'Points-Table'!$C$6,
                (W191 = 'Points-Table'!$A$7), 'Points-Table'!$C$7,
                (W191 = 'Points-Table'!$A$8), 'Points-Table'!$C$8,
                (W191 = 'Points-Table'!$A$9), 'Points-Table'!$C$9,
                (W191 = 'Points-Table'!$A$10), 'Points-Table'!$C$10,
                (W191 = 'Points-Table'!$A$11), 'Points-Table'!$C$11,
                (W191 = 'Points-Table'!$A$12), 'Points-Table'!$C$12,
                (W191 = 'Points-Table'!$A$13), 'Points-Table'!$C$13,
                true, 0
              )
            </f>
      </c>
      <c r="Y191" s="11">
        <v>8</v>
      </c>
      <c r="Z191" s="12">
        <f>
              Ifs(
                (Y191 = 'Points-Table'!$A$4), 'Points-Table'!$C$4,
                (Y191 = 'Points-Table'!$A$5), 'Points-Table'!$C$5,
                (Y191 = 'Points-Table'!$A$6), 'Points-Table'!$C$6,
                (Y191 = 'Points-Table'!$A$7), 'Points-Table'!$C$7,
                (Y191 = 'Points-Table'!$A$8), 'Points-Table'!$C$8,
                (Y191 = 'Points-Table'!$A$9), 'Points-Table'!$C$9,
                (Y191 = 'Points-Table'!$A$10), 'Points-Table'!$C$10,
                (Y191 = 'Points-Table'!$A$11), 'Points-Table'!$C$11,
                (Y191 = 'Points-Table'!$A$12), 'Points-Table'!$C$12,
                (Y191 = 'Points-Table'!$A$13), 'Points-Table'!$C$13,
                true, 0
              )
            </f>
      </c>
      <c r="AA191" s="6">
        <f>SUM(V191,X191,Z191)</f>
      </c>
      <c r="AB191" s="6">
        <f>
      Ifs( 
        ISBETWEEN(AA191, 0, 'Points-Table'!C$20, TRUE, False), 'Points-Table'!A$20,
        ISBETWEEN(AA191, 'Points-Table'!C$20, 'Points-Table'!C$21, TRUE, False), 'Points-Table'!A$21,
        ISBETWEEN(AA191, 'Points-Table'!C$22, 10000, TRUE, TRUE), 'Points-Table'!A$22,
        true, 
        0)
      </f>
      </c>
      <c r="AC191" s="6" t="s">
        <v>56</v>
      </c>
      <c r="AD191" s="6" t="s">
        <v>56</v>
      </c>
      <c r="AE191" s="6" t="s">
        <v>56</v>
      </c>
    </row>
    <row r="192" spans="1:31" s="6" customFormat="1" x14ac:dyDescent="0.25">
      <c r="A192" s="6" t="s">
        <v>452</v>
      </c>
      <c r="B192" s="6" t="s">
        <v>459</v>
      </c>
      <c r="C192" s="6" t="s">
        <v>461</v>
      </c>
      <c r="D192" s="6"/>
      <c r="E192" s="6"/>
      <c r="F192" s="6" t="s">
        <v>462</v>
      </c>
      <c r="G192" s="6"/>
      <c r="H192" s="6"/>
      <c r="I192" s="6"/>
      <c r="J192" s="6"/>
      <c r="K192" s="6" t="s">
        <v>84</v>
      </c>
      <c r="L192" s="6" t="s">
        <v>85</v>
      </c>
      <c r="M192" s="6"/>
      <c r="N192" s="6"/>
      <c r="O192" s="6"/>
      <c r="P192" s="6"/>
      <c r="Q192" s="11"/>
      <c r="R192" s="12">
        <f>
              Ifs(
                (Q192 = 'Points-Table'!$A$4), 'Points-Table'!$C$4,
                (Q192 = 'Points-Table'!$A$5), 'Points-Table'!$C$5,
                (Q192 = 'Points-Table'!$A$6), 'Points-Table'!$C$6,
                (Q192 = 'Points-Table'!$A$7), 'Points-Table'!$C$7,
                (Q192 = 'Points-Table'!$A$8), 'Points-Table'!$C$8,
                (Q192 = 'Points-Table'!$A$9), 'Points-Table'!$C$9,
                (Q192 = 'Points-Table'!$A$10), 'Points-Table'!$C$10,
                (Q192 = 'Points-Table'!$A$11), 'Points-Table'!$C$11,
                (Q192 = 'Points-Table'!$A$12), 'Points-Table'!$C$12,
                (Q192 = 'Points-Table'!$A$13), 'Points-Table'!$C$13,
                true, 0
              )
            </f>
      </c>
      <c r="S192" s="11"/>
      <c r="T192" s="12">
        <f>
              Ifs(
                (S192 = 'Points-Table'!$A$4), 'Points-Table'!$C$4,
                (S192 = 'Points-Table'!$A$5), 'Points-Table'!$C$5,
                (S192 = 'Points-Table'!$A$6), 'Points-Table'!$C$6,
                (S192 = 'Points-Table'!$A$7), 'Points-Table'!$C$7,
                (S192 = 'Points-Table'!$A$8), 'Points-Table'!$C$8,
                (S192 = 'Points-Table'!$A$9), 'Points-Table'!$C$9,
                (S192 = 'Points-Table'!$A$10), 'Points-Table'!$C$10,
                (S192 = 'Points-Table'!$A$11), 'Points-Table'!$C$11,
                (S192 = 'Points-Table'!$A$12), 'Points-Table'!$C$12,
                (S192 = 'Points-Table'!$A$13), 'Points-Table'!$C$13,
                true, 0
              )
            </f>
      </c>
      <c r="U192" s="11">
        <v>5</v>
      </c>
      <c r="V192" s="12">
        <f>
              Ifs(
                (U192 = 'Points-Table'!$A$4), 'Points-Table'!$C$4,
                (U192 = 'Points-Table'!$A$5), 'Points-Table'!$C$5,
                (U192 = 'Points-Table'!$A$6), 'Points-Table'!$C$6,
                (U192 = 'Points-Table'!$A$7), 'Points-Table'!$C$7,
                (U192 = 'Points-Table'!$A$8), 'Points-Table'!$C$8,
                (U192 = 'Points-Table'!$A$9), 'Points-Table'!$C$9,
                (U192 = 'Points-Table'!$A$10), 'Points-Table'!$C$10,
                (U192 = 'Points-Table'!$A$11), 'Points-Table'!$C$11,
                (U192 = 'Points-Table'!$A$12), 'Points-Table'!$C$12,
                (U192 = 'Points-Table'!$A$13), 'Points-Table'!$C$13,
                true, 0
              )
            </f>
      </c>
      <c r="W192" s="11">
        <v>3</v>
      </c>
      <c r="X192" s="12">
        <f>
              Ifs(
                (W192 = 'Points-Table'!$A$4), 'Points-Table'!$C$4,
                (W192 = 'Points-Table'!$A$5), 'Points-Table'!$C$5,
                (W192 = 'Points-Table'!$A$6), 'Points-Table'!$C$6,
                (W192 = 'Points-Table'!$A$7), 'Points-Table'!$C$7,
                (W192 = 'Points-Table'!$A$8), 'Points-Table'!$C$8,
                (W192 = 'Points-Table'!$A$9), 'Points-Table'!$C$9,
                (W192 = 'Points-Table'!$A$10), 'Points-Table'!$C$10,
                (W192 = 'Points-Table'!$A$11), 'Points-Table'!$C$11,
                (W192 = 'Points-Table'!$A$12), 'Points-Table'!$C$12,
                (W192 = 'Points-Table'!$A$13), 'Points-Table'!$C$13,
                true, 0
              )
            </f>
      </c>
      <c r="Y192" s="11">
        <v>13</v>
      </c>
      <c r="Z192" s="12">
        <f>
              Ifs(
                (Y192 = 'Points-Table'!$A$4), 'Points-Table'!$C$4,
                (Y192 = 'Points-Table'!$A$5), 'Points-Table'!$C$5,
                (Y192 = 'Points-Table'!$A$6), 'Points-Table'!$C$6,
                (Y192 = 'Points-Table'!$A$7), 'Points-Table'!$C$7,
                (Y192 = 'Points-Table'!$A$8), 'Points-Table'!$C$8,
                (Y192 = 'Points-Table'!$A$9), 'Points-Table'!$C$9,
                (Y192 = 'Points-Table'!$A$10), 'Points-Table'!$C$10,
                (Y192 = 'Points-Table'!$A$11), 'Points-Table'!$C$11,
                (Y192 = 'Points-Table'!$A$12), 'Points-Table'!$C$12,
                (Y192 = 'Points-Table'!$A$13), 'Points-Table'!$C$13,
                true, 0
              )
            </f>
      </c>
      <c r="AA192" s="6">
        <f>SUM(V192,X192,Z192)</f>
      </c>
      <c r="AB192" s="6">
        <f>
      Ifs( 
        ISBETWEEN(AA192, 0, 'Points-Table'!C$20, TRUE, False), 'Points-Table'!A$20,
        ISBETWEEN(AA192, 'Points-Table'!C$20, 'Points-Table'!C$21, TRUE, False), 'Points-Table'!A$21,
        ISBETWEEN(AA192, 'Points-Table'!C$22, 10000, TRUE, TRUE), 'Points-Table'!A$22,
        true, 
        0)
      </f>
      </c>
      <c r="AC192" s="6" t="s">
        <v>56</v>
      </c>
      <c r="AD192" s="6" t="s">
        <v>56</v>
      </c>
      <c r="AE192" s="6" t="s">
        <v>56</v>
      </c>
    </row>
    <row r="193" spans="1:31" s="6" customFormat="1" x14ac:dyDescent="0.25">
      <c r="A193" s="6" t="s">
        <v>452</v>
      </c>
      <c r="B193" s="6" t="s">
        <v>459</v>
      </c>
      <c r="C193" s="6" t="s">
        <v>463</v>
      </c>
      <c r="D193" s="6"/>
      <c r="E193" s="6"/>
      <c r="F193" s="6"/>
      <c r="G193" s="6"/>
      <c r="H193" s="6"/>
      <c r="I193" s="6"/>
      <c r="J193" s="6"/>
      <c r="K193" s="6" t="s">
        <v>84</v>
      </c>
      <c r="L193" s="6" t="s">
        <v>85</v>
      </c>
      <c r="M193" s="6"/>
      <c r="N193" s="6"/>
      <c r="O193" s="6"/>
      <c r="P193" s="6"/>
      <c r="Q193" s="11"/>
      <c r="R193" s="12">
        <f>
              Ifs(
                (Q193 = 'Points-Table'!$A$4), 'Points-Table'!$C$4,
                (Q193 = 'Points-Table'!$A$5), 'Points-Table'!$C$5,
                (Q193 = 'Points-Table'!$A$6), 'Points-Table'!$C$6,
                (Q193 = 'Points-Table'!$A$7), 'Points-Table'!$C$7,
                (Q193 = 'Points-Table'!$A$8), 'Points-Table'!$C$8,
                (Q193 = 'Points-Table'!$A$9), 'Points-Table'!$C$9,
                (Q193 = 'Points-Table'!$A$10), 'Points-Table'!$C$10,
                (Q193 = 'Points-Table'!$A$11), 'Points-Table'!$C$11,
                (Q193 = 'Points-Table'!$A$12), 'Points-Table'!$C$12,
                (Q193 = 'Points-Table'!$A$13), 'Points-Table'!$C$13,
                true, 0
              )
            </f>
      </c>
      <c r="S193" s="11"/>
      <c r="T193" s="12">
        <f>
              Ifs(
                (S193 = 'Points-Table'!$A$4), 'Points-Table'!$C$4,
                (S193 = 'Points-Table'!$A$5), 'Points-Table'!$C$5,
                (S193 = 'Points-Table'!$A$6), 'Points-Table'!$C$6,
                (S193 = 'Points-Table'!$A$7), 'Points-Table'!$C$7,
                (S193 = 'Points-Table'!$A$8), 'Points-Table'!$C$8,
                (S193 = 'Points-Table'!$A$9), 'Points-Table'!$C$9,
                (S193 = 'Points-Table'!$A$10), 'Points-Table'!$C$10,
                (S193 = 'Points-Table'!$A$11), 'Points-Table'!$C$11,
                (S193 = 'Points-Table'!$A$12), 'Points-Table'!$C$12,
                (S193 = 'Points-Table'!$A$13), 'Points-Table'!$C$13,
                true, 0
              )
            </f>
      </c>
      <c r="U193" s="11">
        <v>5</v>
      </c>
      <c r="V193" s="12">
        <f>
              Ifs(
                (U193 = 'Points-Table'!$A$4), 'Points-Table'!$C$4,
                (U193 = 'Points-Table'!$A$5), 'Points-Table'!$C$5,
                (U193 = 'Points-Table'!$A$6), 'Points-Table'!$C$6,
                (U193 = 'Points-Table'!$A$7), 'Points-Table'!$C$7,
                (U193 = 'Points-Table'!$A$8), 'Points-Table'!$C$8,
                (U193 = 'Points-Table'!$A$9), 'Points-Table'!$C$9,
                (U193 = 'Points-Table'!$A$10), 'Points-Table'!$C$10,
                (U193 = 'Points-Table'!$A$11), 'Points-Table'!$C$11,
                (U193 = 'Points-Table'!$A$12), 'Points-Table'!$C$12,
                (U193 = 'Points-Table'!$A$13), 'Points-Table'!$C$13,
                true, 0
              )
            </f>
      </c>
      <c r="W193" s="11">
        <v>2</v>
      </c>
      <c r="X193" s="12">
        <f>
              Ifs(
                (W193 = 'Points-Table'!$A$4), 'Points-Table'!$C$4,
                (W193 = 'Points-Table'!$A$5), 'Points-Table'!$C$5,
                (W193 = 'Points-Table'!$A$6), 'Points-Table'!$C$6,
                (W193 = 'Points-Table'!$A$7), 'Points-Table'!$C$7,
                (W193 = 'Points-Table'!$A$8), 'Points-Table'!$C$8,
                (W193 = 'Points-Table'!$A$9), 'Points-Table'!$C$9,
                (W193 = 'Points-Table'!$A$10), 'Points-Table'!$C$10,
                (W193 = 'Points-Table'!$A$11), 'Points-Table'!$C$11,
                (W193 = 'Points-Table'!$A$12), 'Points-Table'!$C$12,
                (W193 = 'Points-Table'!$A$13), 'Points-Table'!$C$13,
                true, 0
              )
            </f>
      </c>
      <c r="Y193" s="11">
        <v>13</v>
      </c>
      <c r="Z193" s="12">
        <f>
              Ifs(
                (Y193 = 'Points-Table'!$A$4), 'Points-Table'!$C$4,
                (Y193 = 'Points-Table'!$A$5), 'Points-Table'!$C$5,
                (Y193 = 'Points-Table'!$A$6), 'Points-Table'!$C$6,
                (Y193 = 'Points-Table'!$A$7), 'Points-Table'!$C$7,
                (Y193 = 'Points-Table'!$A$8), 'Points-Table'!$C$8,
                (Y193 = 'Points-Table'!$A$9), 'Points-Table'!$C$9,
                (Y193 = 'Points-Table'!$A$10), 'Points-Table'!$C$10,
                (Y193 = 'Points-Table'!$A$11), 'Points-Table'!$C$11,
                (Y193 = 'Points-Table'!$A$12), 'Points-Table'!$C$12,
                (Y193 = 'Points-Table'!$A$13), 'Points-Table'!$C$13,
                true, 0
              )
            </f>
      </c>
      <c r="AA193" s="6">
        <f>SUM(V193,X193,Z193)</f>
      </c>
      <c r="AB193" s="6">
        <f>
      Ifs( 
        ISBETWEEN(AA193, 0, 'Points-Table'!C$20, TRUE, False), 'Points-Table'!A$20,
        ISBETWEEN(AA193, 'Points-Table'!C$20, 'Points-Table'!C$21, TRUE, False), 'Points-Table'!A$21,
        ISBETWEEN(AA193, 'Points-Table'!C$22, 10000, TRUE, TRUE), 'Points-Table'!A$22,
        true, 
        0)
      </f>
      </c>
      <c r="AC193" s="6" t="s">
        <v>56</v>
      </c>
      <c r="AD193" s="6" t="s">
        <v>56</v>
      </c>
      <c r="AE193" s="6" t="s">
        <v>56</v>
      </c>
    </row>
    <row r="194" spans="1:31" s="6" customFormat="1" x14ac:dyDescent="0.25">
      <c r="A194" s="6" t="s">
        <v>452</v>
      </c>
      <c r="B194" s="6" t="s">
        <v>459</v>
      </c>
      <c r="C194" s="6" t="s">
        <v>464</v>
      </c>
      <c r="D194" s="6"/>
      <c r="E194" s="6"/>
      <c r="F194" s="6"/>
      <c r="G194" s="6"/>
      <c r="H194" s="6"/>
      <c r="I194" s="6"/>
      <c r="J194" s="6"/>
      <c r="K194" s="6" t="s">
        <v>84</v>
      </c>
      <c r="L194" s="6" t="s">
        <v>85</v>
      </c>
      <c r="M194" s="6"/>
      <c r="N194" s="6"/>
      <c r="O194" s="6"/>
      <c r="P194" s="6"/>
      <c r="Q194" s="11"/>
      <c r="R194" s="12">
        <f>
              Ifs(
                (Q194 = 'Points-Table'!$A$4), 'Points-Table'!$C$4,
                (Q194 = 'Points-Table'!$A$5), 'Points-Table'!$C$5,
                (Q194 = 'Points-Table'!$A$6), 'Points-Table'!$C$6,
                (Q194 = 'Points-Table'!$A$7), 'Points-Table'!$C$7,
                (Q194 = 'Points-Table'!$A$8), 'Points-Table'!$C$8,
                (Q194 = 'Points-Table'!$A$9), 'Points-Table'!$C$9,
                (Q194 = 'Points-Table'!$A$10), 'Points-Table'!$C$10,
                (Q194 = 'Points-Table'!$A$11), 'Points-Table'!$C$11,
                (Q194 = 'Points-Table'!$A$12), 'Points-Table'!$C$12,
                (Q194 = 'Points-Table'!$A$13), 'Points-Table'!$C$13,
                true, 0
              )
            </f>
      </c>
      <c r="S194" s="11"/>
      <c r="T194" s="12">
        <f>
              Ifs(
                (S194 = 'Points-Table'!$A$4), 'Points-Table'!$C$4,
                (S194 = 'Points-Table'!$A$5), 'Points-Table'!$C$5,
                (S194 = 'Points-Table'!$A$6), 'Points-Table'!$C$6,
                (S194 = 'Points-Table'!$A$7), 'Points-Table'!$C$7,
                (S194 = 'Points-Table'!$A$8), 'Points-Table'!$C$8,
                (S194 = 'Points-Table'!$A$9), 'Points-Table'!$C$9,
                (S194 = 'Points-Table'!$A$10), 'Points-Table'!$C$10,
                (S194 = 'Points-Table'!$A$11), 'Points-Table'!$C$11,
                (S194 = 'Points-Table'!$A$12), 'Points-Table'!$C$12,
                (S194 = 'Points-Table'!$A$13), 'Points-Table'!$C$13,
                true, 0
              )
            </f>
      </c>
      <c r="U194" s="11">
        <v>3</v>
      </c>
      <c r="V194" s="12">
        <f>
              Ifs(
                (U194 = 'Points-Table'!$A$4), 'Points-Table'!$C$4,
                (U194 = 'Points-Table'!$A$5), 'Points-Table'!$C$5,
                (U194 = 'Points-Table'!$A$6), 'Points-Table'!$C$6,
                (U194 = 'Points-Table'!$A$7), 'Points-Table'!$C$7,
                (U194 = 'Points-Table'!$A$8), 'Points-Table'!$C$8,
                (U194 = 'Points-Table'!$A$9), 'Points-Table'!$C$9,
                (U194 = 'Points-Table'!$A$10), 'Points-Table'!$C$10,
                (U194 = 'Points-Table'!$A$11), 'Points-Table'!$C$11,
                (U194 = 'Points-Table'!$A$12), 'Points-Table'!$C$12,
                (U194 = 'Points-Table'!$A$13), 'Points-Table'!$C$13,
                true, 0
              )
            </f>
      </c>
      <c r="W194" s="11">
        <v>3</v>
      </c>
      <c r="X194" s="12">
        <f>
              Ifs(
                (W194 = 'Points-Table'!$A$4), 'Points-Table'!$C$4,
                (W194 = 'Points-Table'!$A$5), 'Points-Table'!$C$5,
                (W194 = 'Points-Table'!$A$6), 'Points-Table'!$C$6,
                (W194 = 'Points-Table'!$A$7), 'Points-Table'!$C$7,
                (W194 = 'Points-Table'!$A$8), 'Points-Table'!$C$8,
                (W194 = 'Points-Table'!$A$9), 'Points-Table'!$C$9,
                (W194 = 'Points-Table'!$A$10), 'Points-Table'!$C$10,
                (W194 = 'Points-Table'!$A$11), 'Points-Table'!$C$11,
                (W194 = 'Points-Table'!$A$12), 'Points-Table'!$C$12,
                (W194 = 'Points-Table'!$A$13), 'Points-Table'!$C$13,
                true, 0
              )
            </f>
      </c>
      <c r="Y194" s="11">
        <v>3</v>
      </c>
      <c r="Z194" s="12">
        <f>
              Ifs(
                (Y194 = 'Points-Table'!$A$4), 'Points-Table'!$C$4,
                (Y194 = 'Points-Table'!$A$5), 'Points-Table'!$C$5,
                (Y194 = 'Points-Table'!$A$6), 'Points-Table'!$C$6,
                (Y194 = 'Points-Table'!$A$7), 'Points-Table'!$C$7,
                (Y194 = 'Points-Table'!$A$8), 'Points-Table'!$C$8,
                (Y194 = 'Points-Table'!$A$9), 'Points-Table'!$C$9,
                (Y194 = 'Points-Table'!$A$10), 'Points-Table'!$C$10,
                (Y194 = 'Points-Table'!$A$11), 'Points-Table'!$C$11,
                (Y194 = 'Points-Table'!$A$12), 'Points-Table'!$C$12,
                (Y194 = 'Points-Table'!$A$13), 'Points-Table'!$C$13,
                true, 0
              )
            </f>
      </c>
      <c r="AA194" s="6">
        <f>SUM(V194,X194,Z194)</f>
      </c>
      <c r="AB194" s="6">
        <f>
      Ifs( 
        ISBETWEEN(AA194, 0, 'Points-Table'!C$20, TRUE, False), 'Points-Table'!A$20,
        ISBETWEEN(AA194, 'Points-Table'!C$20, 'Points-Table'!C$21, TRUE, False), 'Points-Table'!A$21,
        ISBETWEEN(AA194, 'Points-Table'!C$22, 10000, TRUE, TRUE), 'Points-Table'!A$22,
        true, 
        0)
      </f>
      </c>
      <c r="AC194" s="6" t="s">
        <v>56</v>
      </c>
      <c r="AD194" s="6" t="s">
        <v>56</v>
      </c>
      <c r="AE194" s="6" t="s">
        <v>56</v>
      </c>
    </row>
    <row r="195" spans="1:31" s="6" customFormat="1" x14ac:dyDescent="0.25">
      <c r="A195" s="6" t="s">
        <v>452</v>
      </c>
      <c r="B195" s="6" t="s">
        <v>459</v>
      </c>
      <c r="C195" s="6" t="s">
        <v>465</v>
      </c>
      <c r="D195" s="6"/>
      <c r="E195" s="6"/>
      <c r="F195" s="6"/>
      <c r="G195" s="6"/>
      <c r="H195" s="6"/>
      <c r="I195" s="6"/>
      <c r="J195" s="6"/>
      <c r="K195" s="6" t="s">
        <v>84</v>
      </c>
      <c r="L195" s="6" t="s">
        <v>85</v>
      </c>
      <c r="M195" s="6"/>
      <c r="N195" s="6"/>
      <c r="O195" s="6"/>
      <c r="P195" s="6"/>
      <c r="Q195" s="11"/>
      <c r="R195" s="12">
        <f>
              Ifs(
                (Q195 = 'Points-Table'!$A$4), 'Points-Table'!$C$4,
                (Q195 = 'Points-Table'!$A$5), 'Points-Table'!$C$5,
                (Q195 = 'Points-Table'!$A$6), 'Points-Table'!$C$6,
                (Q195 = 'Points-Table'!$A$7), 'Points-Table'!$C$7,
                (Q195 = 'Points-Table'!$A$8), 'Points-Table'!$C$8,
                (Q195 = 'Points-Table'!$A$9), 'Points-Table'!$C$9,
                (Q195 = 'Points-Table'!$A$10), 'Points-Table'!$C$10,
                (Q195 = 'Points-Table'!$A$11), 'Points-Table'!$C$11,
                (Q195 = 'Points-Table'!$A$12), 'Points-Table'!$C$12,
                (Q195 = 'Points-Table'!$A$13), 'Points-Table'!$C$13,
                true, 0
              )
            </f>
      </c>
      <c r="S195" s="11"/>
      <c r="T195" s="12">
        <f>
              Ifs(
                (S195 = 'Points-Table'!$A$4), 'Points-Table'!$C$4,
                (S195 = 'Points-Table'!$A$5), 'Points-Table'!$C$5,
                (S195 = 'Points-Table'!$A$6), 'Points-Table'!$C$6,
                (S195 = 'Points-Table'!$A$7), 'Points-Table'!$C$7,
                (S195 = 'Points-Table'!$A$8), 'Points-Table'!$C$8,
                (S195 = 'Points-Table'!$A$9), 'Points-Table'!$C$9,
                (S195 = 'Points-Table'!$A$10), 'Points-Table'!$C$10,
                (S195 = 'Points-Table'!$A$11), 'Points-Table'!$C$11,
                (S195 = 'Points-Table'!$A$12), 'Points-Table'!$C$12,
                (S195 = 'Points-Table'!$A$13), 'Points-Table'!$C$13,
                true, 0
              )
            </f>
      </c>
      <c r="U195" s="11">
        <v>3</v>
      </c>
      <c r="V195" s="12">
        <f>
              Ifs(
                (U195 = 'Points-Table'!$A$4), 'Points-Table'!$C$4,
                (U195 = 'Points-Table'!$A$5), 'Points-Table'!$C$5,
                (U195 = 'Points-Table'!$A$6), 'Points-Table'!$C$6,
                (U195 = 'Points-Table'!$A$7), 'Points-Table'!$C$7,
                (U195 = 'Points-Table'!$A$8), 'Points-Table'!$C$8,
                (U195 = 'Points-Table'!$A$9), 'Points-Table'!$C$9,
                (U195 = 'Points-Table'!$A$10), 'Points-Table'!$C$10,
                (U195 = 'Points-Table'!$A$11), 'Points-Table'!$C$11,
                (U195 = 'Points-Table'!$A$12), 'Points-Table'!$C$12,
                (U195 = 'Points-Table'!$A$13), 'Points-Table'!$C$13,
                true, 0
              )
            </f>
      </c>
      <c r="W195" s="11">
        <v>3</v>
      </c>
      <c r="X195" s="12">
        <f>
              Ifs(
                (W195 = 'Points-Table'!$A$4), 'Points-Table'!$C$4,
                (W195 = 'Points-Table'!$A$5), 'Points-Table'!$C$5,
                (W195 = 'Points-Table'!$A$6), 'Points-Table'!$C$6,
                (W195 = 'Points-Table'!$A$7), 'Points-Table'!$C$7,
                (W195 = 'Points-Table'!$A$8), 'Points-Table'!$C$8,
                (W195 = 'Points-Table'!$A$9), 'Points-Table'!$C$9,
                (W195 = 'Points-Table'!$A$10), 'Points-Table'!$C$10,
                (W195 = 'Points-Table'!$A$11), 'Points-Table'!$C$11,
                (W195 = 'Points-Table'!$A$12), 'Points-Table'!$C$12,
                (W195 = 'Points-Table'!$A$13), 'Points-Table'!$C$13,
                true, 0
              )
            </f>
      </c>
      <c r="Y195" s="11">
        <v>5</v>
      </c>
      <c r="Z195" s="12">
        <f>
              Ifs(
                (Y195 = 'Points-Table'!$A$4), 'Points-Table'!$C$4,
                (Y195 = 'Points-Table'!$A$5), 'Points-Table'!$C$5,
                (Y195 = 'Points-Table'!$A$6), 'Points-Table'!$C$6,
                (Y195 = 'Points-Table'!$A$7), 'Points-Table'!$C$7,
                (Y195 = 'Points-Table'!$A$8), 'Points-Table'!$C$8,
                (Y195 = 'Points-Table'!$A$9), 'Points-Table'!$C$9,
                (Y195 = 'Points-Table'!$A$10), 'Points-Table'!$C$10,
                (Y195 = 'Points-Table'!$A$11), 'Points-Table'!$C$11,
                (Y195 = 'Points-Table'!$A$12), 'Points-Table'!$C$12,
                (Y195 = 'Points-Table'!$A$13), 'Points-Table'!$C$13,
                true, 0
              )
            </f>
      </c>
      <c r="AA195" s="6">
        <f>SUM(V195,X195,Z195)</f>
      </c>
      <c r="AB195" s="6">
        <f>
      Ifs( 
        ISBETWEEN(AA195, 0, 'Points-Table'!C$20, TRUE, False), 'Points-Table'!A$20,
        ISBETWEEN(AA195, 'Points-Table'!C$20, 'Points-Table'!C$21, TRUE, False), 'Points-Table'!A$21,
        ISBETWEEN(AA195, 'Points-Table'!C$22, 10000, TRUE, TRUE), 'Points-Table'!A$22,
        true, 
        0)
      </f>
      </c>
      <c r="AC195" s="6" t="s">
        <v>56</v>
      </c>
      <c r="AD195" s="6" t="s">
        <v>56</v>
      </c>
      <c r="AE195" s="6" t="s">
        <v>56</v>
      </c>
    </row>
    <row r="196" spans="1:31" s="6" customFormat="1" x14ac:dyDescent="0.25">
      <c r="A196" s="6" t="s">
        <v>452</v>
      </c>
      <c r="B196" s="6" t="s">
        <v>459</v>
      </c>
      <c r="C196" s="6" t="s">
        <v>466</v>
      </c>
      <c r="D196" s="6"/>
      <c r="E196" s="6"/>
      <c r="F196" s="6" t="s">
        <v>467</v>
      </c>
      <c r="G196" s="6"/>
      <c r="H196" s="6"/>
      <c r="I196" s="6"/>
      <c r="J196" s="6"/>
      <c r="K196" s="6" t="s">
        <v>84</v>
      </c>
      <c r="L196" s="6" t="s">
        <v>85</v>
      </c>
      <c r="M196" s="6"/>
      <c r="N196" s="6"/>
      <c r="O196" s="6"/>
      <c r="P196" s="6"/>
      <c r="Q196" s="11"/>
      <c r="R196" s="12">
        <f>
              Ifs(
                (Q196 = 'Points-Table'!$A$4), 'Points-Table'!$C$4,
                (Q196 = 'Points-Table'!$A$5), 'Points-Table'!$C$5,
                (Q196 = 'Points-Table'!$A$6), 'Points-Table'!$C$6,
                (Q196 = 'Points-Table'!$A$7), 'Points-Table'!$C$7,
                (Q196 = 'Points-Table'!$A$8), 'Points-Table'!$C$8,
                (Q196 = 'Points-Table'!$A$9), 'Points-Table'!$C$9,
                (Q196 = 'Points-Table'!$A$10), 'Points-Table'!$C$10,
                (Q196 = 'Points-Table'!$A$11), 'Points-Table'!$C$11,
                (Q196 = 'Points-Table'!$A$12), 'Points-Table'!$C$12,
                (Q196 = 'Points-Table'!$A$13), 'Points-Table'!$C$13,
                true, 0
              )
            </f>
      </c>
      <c r="S196" s="11"/>
      <c r="T196" s="12">
        <f>
              Ifs(
                (S196 = 'Points-Table'!$A$4), 'Points-Table'!$C$4,
                (S196 = 'Points-Table'!$A$5), 'Points-Table'!$C$5,
                (S196 = 'Points-Table'!$A$6), 'Points-Table'!$C$6,
                (S196 = 'Points-Table'!$A$7), 'Points-Table'!$C$7,
                (S196 = 'Points-Table'!$A$8), 'Points-Table'!$C$8,
                (S196 = 'Points-Table'!$A$9), 'Points-Table'!$C$9,
                (S196 = 'Points-Table'!$A$10), 'Points-Table'!$C$10,
                (S196 = 'Points-Table'!$A$11), 'Points-Table'!$C$11,
                (S196 = 'Points-Table'!$A$12), 'Points-Table'!$C$12,
                (S196 = 'Points-Table'!$A$13), 'Points-Table'!$C$13,
                true, 0
              )
            </f>
      </c>
      <c r="U196" s="11">
        <v>2</v>
      </c>
      <c r="V196" s="12">
        <f>
              Ifs(
                (U196 = 'Points-Table'!$A$4), 'Points-Table'!$C$4,
                (U196 = 'Points-Table'!$A$5), 'Points-Table'!$C$5,
                (U196 = 'Points-Table'!$A$6), 'Points-Table'!$C$6,
                (U196 = 'Points-Table'!$A$7), 'Points-Table'!$C$7,
                (U196 = 'Points-Table'!$A$8), 'Points-Table'!$C$8,
                (U196 = 'Points-Table'!$A$9), 'Points-Table'!$C$9,
                (U196 = 'Points-Table'!$A$10), 'Points-Table'!$C$10,
                (U196 = 'Points-Table'!$A$11), 'Points-Table'!$C$11,
                (U196 = 'Points-Table'!$A$12), 'Points-Table'!$C$12,
                (U196 = 'Points-Table'!$A$13), 'Points-Table'!$C$13,
                true, 0
              )
            </f>
      </c>
      <c r="W196" s="11">
        <v>0</v>
      </c>
      <c r="X196" s="12">
        <f>
              Ifs(
                (W196 = 'Points-Table'!$A$4), 'Points-Table'!$C$4,
                (W196 = 'Points-Table'!$A$5), 'Points-Table'!$C$5,
                (W196 = 'Points-Table'!$A$6), 'Points-Table'!$C$6,
                (W196 = 'Points-Table'!$A$7), 'Points-Table'!$C$7,
                (W196 = 'Points-Table'!$A$8), 'Points-Table'!$C$8,
                (W196 = 'Points-Table'!$A$9), 'Points-Table'!$C$9,
                (W196 = 'Points-Table'!$A$10), 'Points-Table'!$C$10,
                (W196 = 'Points-Table'!$A$11), 'Points-Table'!$C$11,
                (W196 = 'Points-Table'!$A$12), 'Points-Table'!$C$12,
                (W196 = 'Points-Table'!$A$13), 'Points-Table'!$C$13,
                true, 0
              )
            </f>
      </c>
      <c r="Y196" s="11">
        <v>21</v>
      </c>
      <c r="Z196" s="12">
        <f>
              Ifs(
                (Y196 = 'Points-Table'!$A$4), 'Points-Table'!$C$4,
                (Y196 = 'Points-Table'!$A$5), 'Points-Table'!$C$5,
                (Y196 = 'Points-Table'!$A$6), 'Points-Table'!$C$6,
                (Y196 = 'Points-Table'!$A$7), 'Points-Table'!$C$7,
                (Y196 = 'Points-Table'!$A$8), 'Points-Table'!$C$8,
                (Y196 = 'Points-Table'!$A$9), 'Points-Table'!$C$9,
                (Y196 = 'Points-Table'!$A$10), 'Points-Table'!$C$10,
                (Y196 = 'Points-Table'!$A$11), 'Points-Table'!$C$11,
                (Y196 = 'Points-Table'!$A$12), 'Points-Table'!$C$12,
                (Y196 = 'Points-Table'!$A$13), 'Points-Table'!$C$13,
                true, 0
              )
            </f>
      </c>
      <c r="AA196" s="6">
        <f>SUM(V196,X196,Z196)</f>
      </c>
      <c r="AB196" s="6">
        <f>
      Ifs( 
        ISBETWEEN(AA196, 0, 'Points-Table'!C$20, TRUE, False), 'Points-Table'!A$20,
        ISBETWEEN(AA196, 'Points-Table'!C$20, 'Points-Table'!C$21, TRUE, False), 'Points-Table'!A$21,
        ISBETWEEN(AA196, 'Points-Table'!C$22, 10000, TRUE, TRUE), 'Points-Table'!A$22,
        true, 
        0)
      </f>
      </c>
      <c r="AC196" s="6" t="s">
        <v>56</v>
      </c>
      <c r="AD196" s="6" t="s">
        <v>56</v>
      </c>
      <c r="AE196" s="6" t="s">
        <v>56</v>
      </c>
    </row>
    <row r="197" spans="1:31" s="6" customFormat="1" x14ac:dyDescent="0.25">
      <c r="A197" s="6" t="s">
        <v>452</v>
      </c>
      <c r="B197" s="6" t="s">
        <v>153</v>
      </c>
      <c r="D197" s="6"/>
      <c r="E197" s="6"/>
      <c r="F197" s="6"/>
      <c r="G197" s="6"/>
      <c r="H197" s="6"/>
      <c r="I197" s="6"/>
      <c r="J197" s="6"/>
      <c r="K197" s="6" t="s">
        <v>84</v>
      </c>
      <c r="L197" s="6" t="s">
        <v>468</v>
      </c>
      <c r="M197" s="6"/>
      <c r="N197" s="6"/>
      <c r="O197" s="6"/>
      <c r="P197" s="6"/>
      <c r="Q197" s="11">
        <v>0</v>
      </c>
      <c r="R197" s="12">
        <f>
              Ifs(
                (Q197 = 'Points-Table'!$A$4), 'Points-Table'!$C$4,
                (Q197 = 'Points-Table'!$A$5), 'Points-Table'!$C$5,
                (Q197 = 'Points-Table'!$A$6), 'Points-Table'!$C$6,
                (Q197 = 'Points-Table'!$A$7), 'Points-Table'!$C$7,
                (Q197 = 'Points-Table'!$A$8), 'Points-Table'!$C$8,
                (Q197 = 'Points-Table'!$A$9), 'Points-Table'!$C$9,
                (Q197 = 'Points-Table'!$A$10), 'Points-Table'!$C$10,
                (Q197 = 'Points-Table'!$A$11), 'Points-Table'!$C$11,
                (Q197 = 'Points-Table'!$A$12), 'Points-Table'!$C$12,
                (Q197 = 'Points-Table'!$A$13), 'Points-Table'!$C$13,
                true, 0
              )
            </f>
      </c>
      <c r="S197" s="11">
        <v>0</v>
      </c>
      <c r="T197" s="12">
        <f>
              Ifs(
                (S197 = 'Points-Table'!$A$4), 'Points-Table'!$C$4,
                (S197 = 'Points-Table'!$A$5), 'Points-Table'!$C$5,
                (S197 = 'Points-Table'!$A$6), 'Points-Table'!$C$6,
                (S197 = 'Points-Table'!$A$7), 'Points-Table'!$C$7,
                (S197 = 'Points-Table'!$A$8), 'Points-Table'!$C$8,
                (S197 = 'Points-Table'!$A$9), 'Points-Table'!$C$9,
                (S197 = 'Points-Table'!$A$10), 'Points-Table'!$C$10,
                (S197 = 'Points-Table'!$A$11), 'Points-Table'!$C$11,
                (S197 = 'Points-Table'!$A$12), 'Points-Table'!$C$12,
                (S197 = 'Points-Table'!$A$13), 'Points-Table'!$C$13,
                true, 0
              )
            </f>
      </c>
      <c r="U197" s="11">
        <v>2</v>
      </c>
      <c r="V197" s="12">
        <f>
              Ifs(
                (U197 = 'Points-Table'!$A$4), 'Points-Table'!$C$4,
                (U197 = 'Points-Table'!$A$5), 'Points-Table'!$C$5,
                (U197 = 'Points-Table'!$A$6), 'Points-Table'!$C$6,
                (U197 = 'Points-Table'!$A$7), 'Points-Table'!$C$7,
                (U197 = 'Points-Table'!$A$8), 'Points-Table'!$C$8,
                (U197 = 'Points-Table'!$A$9), 'Points-Table'!$C$9,
                (U197 = 'Points-Table'!$A$10), 'Points-Table'!$C$10,
                (U197 = 'Points-Table'!$A$11), 'Points-Table'!$C$11,
                (U197 = 'Points-Table'!$A$12), 'Points-Table'!$C$12,
                (U197 = 'Points-Table'!$A$13), 'Points-Table'!$C$13,
                true, 0
              )
            </f>
      </c>
      <c r="W197" s="11">
        <v>2</v>
      </c>
      <c r="X197" s="12">
        <f>
              Ifs(
                (W197 = 'Points-Table'!$A$4), 'Points-Table'!$C$4,
                (W197 = 'Points-Table'!$A$5), 'Points-Table'!$C$5,
                (W197 = 'Points-Table'!$A$6), 'Points-Table'!$C$6,
                (W197 = 'Points-Table'!$A$7), 'Points-Table'!$C$7,
                (W197 = 'Points-Table'!$A$8), 'Points-Table'!$C$8,
                (W197 = 'Points-Table'!$A$9), 'Points-Table'!$C$9,
                (W197 = 'Points-Table'!$A$10), 'Points-Table'!$C$10,
                (W197 = 'Points-Table'!$A$11), 'Points-Table'!$C$11,
                (W197 = 'Points-Table'!$A$12), 'Points-Table'!$C$12,
                (W197 = 'Points-Table'!$A$13), 'Points-Table'!$C$13,
                true, 0
              )
            </f>
      </c>
      <c r="Y197" s="11">
        <v>5</v>
      </c>
      <c r="Z197" s="12">
        <f>
              Ifs(
                (Y197 = 'Points-Table'!$A$4), 'Points-Table'!$C$4,
                (Y197 = 'Points-Table'!$A$5), 'Points-Table'!$C$5,
                (Y197 = 'Points-Table'!$A$6), 'Points-Table'!$C$6,
                (Y197 = 'Points-Table'!$A$7), 'Points-Table'!$C$7,
                (Y197 = 'Points-Table'!$A$8), 'Points-Table'!$C$8,
                (Y197 = 'Points-Table'!$A$9), 'Points-Table'!$C$9,
                (Y197 = 'Points-Table'!$A$10), 'Points-Table'!$C$10,
                (Y197 = 'Points-Table'!$A$11), 'Points-Table'!$C$11,
                (Y197 = 'Points-Table'!$A$12), 'Points-Table'!$C$12,
                (Y197 = 'Points-Table'!$A$13), 'Points-Table'!$C$13,
                true, 0
              )
            </f>
      </c>
      <c r="AA197" s="6">
        <f>SUM(V197,X197,Z197)</f>
      </c>
      <c r="AB197" s="6">
        <f>
      Ifs( 
        ISBETWEEN(AA197, 0, 'Points-Table'!C$20, TRUE, False), 'Points-Table'!A$20,
        ISBETWEEN(AA197, 'Points-Table'!C$20, 'Points-Table'!C$21, TRUE, False), 'Points-Table'!A$21,
        ISBETWEEN(AA197, 'Points-Table'!C$22, 10000, TRUE, TRUE), 'Points-Table'!A$22,
        true, 
        0)
      </f>
      </c>
      <c r="AC197" s="6" t="s">
        <v>56</v>
      </c>
      <c r="AD197" s="6" t="s">
        <v>56</v>
      </c>
      <c r="AE197" s="6" t="s">
        <v>56</v>
      </c>
    </row>
    <row r="198" spans="1:31" s="6" customFormat="1" x14ac:dyDescent="0.25">
      <c r="A198" s="6" t="s">
        <v>452</v>
      </c>
      <c r="B198" s="6" t="s">
        <v>469</v>
      </c>
      <c r="C198" s="6" t="s">
        <v>470</v>
      </c>
      <c r="D198" s="6"/>
      <c r="E198" s="6"/>
      <c r="F198" s="6"/>
      <c r="G198" s="6"/>
      <c r="H198" s="6"/>
      <c r="I198" s="6"/>
      <c r="J198" s="6"/>
      <c r="K198" s="6" t="s">
        <v>84</v>
      </c>
      <c r="L198" s="6" t="s">
        <v>85</v>
      </c>
      <c r="M198" s="6"/>
      <c r="N198" s="6"/>
      <c r="O198" s="6"/>
      <c r="P198" s="6"/>
      <c r="Q198" s="11">
        <v>2</v>
      </c>
      <c r="R198" s="12">
        <f>
              Ifs(
                (Q198 = 'Points-Table'!$A$4), 'Points-Table'!$C$4,
                (Q198 = 'Points-Table'!$A$5), 'Points-Table'!$C$5,
                (Q198 = 'Points-Table'!$A$6), 'Points-Table'!$C$6,
                (Q198 = 'Points-Table'!$A$7), 'Points-Table'!$C$7,
                (Q198 = 'Points-Table'!$A$8), 'Points-Table'!$C$8,
                (Q198 = 'Points-Table'!$A$9), 'Points-Table'!$C$9,
                (Q198 = 'Points-Table'!$A$10), 'Points-Table'!$C$10,
                (Q198 = 'Points-Table'!$A$11), 'Points-Table'!$C$11,
                (Q198 = 'Points-Table'!$A$12), 'Points-Table'!$C$12,
                (Q198 = 'Points-Table'!$A$13), 'Points-Table'!$C$13,
                true, 0
              )
            </f>
      </c>
      <c r="S198" s="11">
        <v>2</v>
      </c>
      <c r="T198" s="12">
        <f>
              Ifs(
                (S198 = 'Points-Table'!$A$4), 'Points-Table'!$C$4,
                (S198 = 'Points-Table'!$A$5), 'Points-Table'!$C$5,
                (S198 = 'Points-Table'!$A$6), 'Points-Table'!$C$6,
                (S198 = 'Points-Table'!$A$7), 'Points-Table'!$C$7,
                (S198 = 'Points-Table'!$A$8), 'Points-Table'!$C$8,
                (S198 = 'Points-Table'!$A$9), 'Points-Table'!$C$9,
                (S198 = 'Points-Table'!$A$10), 'Points-Table'!$C$10,
                (S198 = 'Points-Table'!$A$11), 'Points-Table'!$C$11,
                (S198 = 'Points-Table'!$A$12), 'Points-Table'!$C$12,
                (S198 = 'Points-Table'!$A$13), 'Points-Table'!$C$13,
                true, 0
              )
            </f>
      </c>
      <c r="U198" s="11">
        <v>5</v>
      </c>
      <c r="V198" s="12">
        <f>
              Ifs(
                (U198 = 'Points-Table'!$A$4), 'Points-Table'!$C$4,
                (U198 = 'Points-Table'!$A$5), 'Points-Table'!$C$5,
                (U198 = 'Points-Table'!$A$6), 'Points-Table'!$C$6,
                (U198 = 'Points-Table'!$A$7), 'Points-Table'!$C$7,
                (U198 = 'Points-Table'!$A$8), 'Points-Table'!$C$8,
                (U198 = 'Points-Table'!$A$9), 'Points-Table'!$C$9,
                (U198 = 'Points-Table'!$A$10), 'Points-Table'!$C$10,
                (U198 = 'Points-Table'!$A$11), 'Points-Table'!$C$11,
                (U198 = 'Points-Table'!$A$12), 'Points-Table'!$C$12,
                (U198 = 'Points-Table'!$A$13), 'Points-Table'!$C$13,
                true, 0
              )
            </f>
      </c>
      <c r="W198" s="11">
        <v>3</v>
      </c>
      <c r="X198" s="12">
        <f>
              Ifs(
                (W198 = 'Points-Table'!$A$4), 'Points-Table'!$C$4,
                (W198 = 'Points-Table'!$A$5), 'Points-Table'!$C$5,
                (W198 = 'Points-Table'!$A$6), 'Points-Table'!$C$6,
                (W198 = 'Points-Table'!$A$7), 'Points-Table'!$C$7,
                (W198 = 'Points-Table'!$A$8), 'Points-Table'!$C$8,
                (W198 = 'Points-Table'!$A$9), 'Points-Table'!$C$9,
                (W198 = 'Points-Table'!$A$10), 'Points-Table'!$C$10,
                (W198 = 'Points-Table'!$A$11), 'Points-Table'!$C$11,
                (W198 = 'Points-Table'!$A$12), 'Points-Table'!$C$12,
                (W198 = 'Points-Table'!$A$13), 'Points-Table'!$C$13,
                true, 0
              )
            </f>
      </c>
      <c r="Y198" s="11">
        <v>8</v>
      </c>
      <c r="Z198" s="12">
        <f>
              Ifs(
                (Y198 = 'Points-Table'!$A$4), 'Points-Table'!$C$4,
                (Y198 = 'Points-Table'!$A$5), 'Points-Table'!$C$5,
                (Y198 = 'Points-Table'!$A$6), 'Points-Table'!$C$6,
                (Y198 = 'Points-Table'!$A$7), 'Points-Table'!$C$7,
                (Y198 = 'Points-Table'!$A$8), 'Points-Table'!$C$8,
                (Y198 = 'Points-Table'!$A$9), 'Points-Table'!$C$9,
                (Y198 = 'Points-Table'!$A$10), 'Points-Table'!$C$10,
                (Y198 = 'Points-Table'!$A$11), 'Points-Table'!$C$11,
                (Y198 = 'Points-Table'!$A$12), 'Points-Table'!$C$12,
                (Y198 = 'Points-Table'!$A$13), 'Points-Table'!$C$13,
                true, 0
              )
            </f>
      </c>
      <c r="AA198" s="6">
        <f>SUM(V198,X198,Z198)</f>
      </c>
      <c r="AB198" s="6">
        <f>
      Ifs( 
        ISBETWEEN(AA198, 0, 'Points-Table'!C$20, TRUE, False), 'Points-Table'!A$20,
        ISBETWEEN(AA198, 'Points-Table'!C$20, 'Points-Table'!C$21, TRUE, False), 'Points-Table'!A$21,
        ISBETWEEN(AA198, 'Points-Table'!C$22, 10000, TRUE, TRUE), 'Points-Table'!A$22,
        true, 
        0)
      </f>
      </c>
      <c r="AC198" s="6" t="s">
        <v>56</v>
      </c>
      <c r="AD198" s="6" t="s">
        <v>56</v>
      </c>
      <c r="AE198" s="6" t="s">
        <v>56</v>
      </c>
    </row>
    <row r="199" spans="1:31" s="6" customFormat="1" x14ac:dyDescent="0.25">
      <c r="A199" s="6" t="s">
        <v>452</v>
      </c>
      <c r="B199" s="6" t="s">
        <v>471</v>
      </c>
      <c r="C199" s="6" t="s">
        <v>472</v>
      </c>
      <c r="D199" s="6"/>
      <c r="E199" s="6"/>
      <c r="F199" s="6"/>
      <c r="G199" s="6"/>
      <c r="H199" s="6"/>
      <c r="I199" s="6"/>
      <c r="J199" s="6"/>
      <c r="K199" s="6" t="s">
        <v>84</v>
      </c>
      <c r="L199" s="6" t="s">
        <v>85</v>
      </c>
      <c r="M199" s="6"/>
      <c r="N199" s="6"/>
      <c r="O199" s="6"/>
      <c r="P199" s="6"/>
      <c r="Q199" s="11"/>
      <c r="R199" s="12">
        <f>
              Ifs(
                (Q199 = 'Points-Table'!$A$4), 'Points-Table'!$C$4,
                (Q199 = 'Points-Table'!$A$5), 'Points-Table'!$C$5,
                (Q199 = 'Points-Table'!$A$6), 'Points-Table'!$C$6,
                (Q199 = 'Points-Table'!$A$7), 'Points-Table'!$C$7,
                (Q199 = 'Points-Table'!$A$8), 'Points-Table'!$C$8,
                (Q199 = 'Points-Table'!$A$9), 'Points-Table'!$C$9,
                (Q199 = 'Points-Table'!$A$10), 'Points-Table'!$C$10,
                (Q199 = 'Points-Table'!$A$11), 'Points-Table'!$C$11,
                (Q199 = 'Points-Table'!$A$12), 'Points-Table'!$C$12,
                (Q199 = 'Points-Table'!$A$13), 'Points-Table'!$C$13,
                true, 0
              )
            </f>
      </c>
      <c r="S199" s="11"/>
      <c r="T199" s="12">
        <f>
              Ifs(
                (S199 = 'Points-Table'!$A$4), 'Points-Table'!$C$4,
                (S199 = 'Points-Table'!$A$5), 'Points-Table'!$C$5,
                (S199 = 'Points-Table'!$A$6), 'Points-Table'!$C$6,
                (S199 = 'Points-Table'!$A$7), 'Points-Table'!$C$7,
                (S199 = 'Points-Table'!$A$8), 'Points-Table'!$C$8,
                (S199 = 'Points-Table'!$A$9), 'Points-Table'!$C$9,
                (S199 = 'Points-Table'!$A$10), 'Points-Table'!$C$10,
                (S199 = 'Points-Table'!$A$11), 'Points-Table'!$C$11,
                (S199 = 'Points-Table'!$A$12), 'Points-Table'!$C$12,
                (S199 = 'Points-Table'!$A$13), 'Points-Table'!$C$13,
                true, 0
              )
            </f>
      </c>
      <c r="U199" s="11">
        <v>2</v>
      </c>
      <c r="V199" s="12">
        <f>
              Ifs(
                (U199 = 'Points-Table'!$A$4), 'Points-Table'!$C$4,
                (U199 = 'Points-Table'!$A$5), 'Points-Table'!$C$5,
                (U199 = 'Points-Table'!$A$6), 'Points-Table'!$C$6,
                (U199 = 'Points-Table'!$A$7), 'Points-Table'!$C$7,
                (U199 = 'Points-Table'!$A$8), 'Points-Table'!$C$8,
                (U199 = 'Points-Table'!$A$9), 'Points-Table'!$C$9,
                (U199 = 'Points-Table'!$A$10), 'Points-Table'!$C$10,
                (U199 = 'Points-Table'!$A$11), 'Points-Table'!$C$11,
                (U199 = 'Points-Table'!$A$12), 'Points-Table'!$C$12,
                (U199 = 'Points-Table'!$A$13), 'Points-Table'!$C$13,
                true, 0
              )
            </f>
      </c>
      <c r="W199" s="11">
        <v>1</v>
      </c>
      <c r="X199" s="12">
        <f>
              Ifs(
                (W199 = 'Points-Table'!$A$4), 'Points-Table'!$C$4,
                (W199 = 'Points-Table'!$A$5), 'Points-Table'!$C$5,
                (W199 = 'Points-Table'!$A$6), 'Points-Table'!$C$6,
                (W199 = 'Points-Table'!$A$7), 'Points-Table'!$C$7,
                (W199 = 'Points-Table'!$A$8), 'Points-Table'!$C$8,
                (W199 = 'Points-Table'!$A$9), 'Points-Table'!$C$9,
                (W199 = 'Points-Table'!$A$10), 'Points-Table'!$C$10,
                (W199 = 'Points-Table'!$A$11), 'Points-Table'!$C$11,
                (W199 = 'Points-Table'!$A$12), 'Points-Table'!$C$12,
                (W199 = 'Points-Table'!$A$13), 'Points-Table'!$C$13,
                true, 0
              )
            </f>
      </c>
      <c r="Y199" s="11">
        <v>0</v>
      </c>
      <c r="Z199" s="12">
        <f>
              Ifs(
                (Y199 = 'Points-Table'!$A$4), 'Points-Table'!$C$4,
                (Y199 = 'Points-Table'!$A$5), 'Points-Table'!$C$5,
                (Y199 = 'Points-Table'!$A$6), 'Points-Table'!$C$6,
                (Y199 = 'Points-Table'!$A$7), 'Points-Table'!$C$7,
                (Y199 = 'Points-Table'!$A$8), 'Points-Table'!$C$8,
                (Y199 = 'Points-Table'!$A$9), 'Points-Table'!$C$9,
                (Y199 = 'Points-Table'!$A$10), 'Points-Table'!$C$10,
                (Y199 = 'Points-Table'!$A$11), 'Points-Table'!$C$11,
                (Y199 = 'Points-Table'!$A$12), 'Points-Table'!$C$12,
                (Y199 = 'Points-Table'!$A$13), 'Points-Table'!$C$13,
                true, 0
              )
            </f>
      </c>
      <c r="AA199" s="6">
        <f>SUM(V199,X199,Z199)</f>
      </c>
      <c r="AB199" s="6">
        <f>
      Ifs( 
        ISBETWEEN(AA199, 0, 'Points-Table'!C$20, TRUE, False), 'Points-Table'!A$20,
        ISBETWEEN(AA199, 'Points-Table'!C$20, 'Points-Table'!C$21, TRUE, False), 'Points-Table'!A$21,
        ISBETWEEN(AA199, 'Points-Table'!C$22, 10000, TRUE, TRUE), 'Points-Table'!A$22,
        true, 
        0)
      </f>
      </c>
      <c r="AC199" s="6" t="s">
        <v>56</v>
      </c>
      <c r="AD199" s="6" t="s">
        <v>56</v>
      </c>
      <c r="AE199" s="6" t="s">
        <v>56</v>
      </c>
    </row>
    <row r="200" spans="1:31" s="6" customFormat="1" x14ac:dyDescent="0.25">
      <c r="A200" s="6" t="s">
        <v>452</v>
      </c>
      <c r="B200" s="6" t="s">
        <v>471</v>
      </c>
      <c r="C200" s="6" t="s">
        <v>473</v>
      </c>
      <c r="D200" s="6"/>
      <c r="E200" s="6"/>
      <c r="F200" s="6"/>
      <c r="G200" s="6"/>
      <c r="H200" s="6"/>
      <c r="I200" s="6"/>
      <c r="J200" s="6"/>
      <c r="K200" s="6" t="s">
        <v>84</v>
      </c>
      <c r="L200" s="6" t="s">
        <v>85</v>
      </c>
      <c r="M200" s="6"/>
      <c r="N200" s="6"/>
      <c r="O200" s="6"/>
      <c r="P200" s="6"/>
      <c r="Q200" s="11"/>
      <c r="R200" s="12">
        <f>
              Ifs(
                (Q200 = 'Points-Table'!$A$4), 'Points-Table'!$C$4,
                (Q200 = 'Points-Table'!$A$5), 'Points-Table'!$C$5,
                (Q200 = 'Points-Table'!$A$6), 'Points-Table'!$C$6,
                (Q200 = 'Points-Table'!$A$7), 'Points-Table'!$C$7,
                (Q200 = 'Points-Table'!$A$8), 'Points-Table'!$C$8,
                (Q200 = 'Points-Table'!$A$9), 'Points-Table'!$C$9,
                (Q200 = 'Points-Table'!$A$10), 'Points-Table'!$C$10,
                (Q200 = 'Points-Table'!$A$11), 'Points-Table'!$C$11,
                (Q200 = 'Points-Table'!$A$12), 'Points-Table'!$C$12,
                (Q200 = 'Points-Table'!$A$13), 'Points-Table'!$C$13,
                true, 0
              )
            </f>
      </c>
      <c r="S200" s="11"/>
      <c r="T200" s="12">
        <f>
              Ifs(
                (S200 = 'Points-Table'!$A$4), 'Points-Table'!$C$4,
                (S200 = 'Points-Table'!$A$5), 'Points-Table'!$C$5,
                (S200 = 'Points-Table'!$A$6), 'Points-Table'!$C$6,
                (S200 = 'Points-Table'!$A$7), 'Points-Table'!$C$7,
                (S200 = 'Points-Table'!$A$8), 'Points-Table'!$C$8,
                (S200 = 'Points-Table'!$A$9), 'Points-Table'!$C$9,
                (S200 = 'Points-Table'!$A$10), 'Points-Table'!$C$10,
                (S200 = 'Points-Table'!$A$11), 'Points-Table'!$C$11,
                (S200 = 'Points-Table'!$A$12), 'Points-Table'!$C$12,
                (S200 = 'Points-Table'!$A$13), 'Points-Table'!$C$13,
                true, 0
              )
            </f>
      </c>
      <c r="U200" s="11">
        <v>1</v>
      </c>
      <c r="V200" s="12">
        <f>
              Ifs(
                (U200 = 'Points-Table'!$A$4), 'Points-Table'!$C$4,
                (U200 = 'Points-Table'!$A$5), 'Points-Table'!$C$5,
                (U200 = 'Points-Table'!$A$6), 'Points-Table'!$C$6,
                (U200 = 'Points-Table'!$A$7), 'Points-Table'!$C$7,
                (U200 = 'Points-Table'!$A$8), 'Points-Table'!$C$8,
                (U200 = 'Points-Table'!$A$9), 'Points-Table'!$C$9,
                (U200 = 'Points-Table'!$A$10), 'Points-Table'!$C$10,
                (U200 = 'Points-Table'!$A$11), 'Points-Table'!$C$11,
                (U200 = 'Points-Table'!$A$12), 'Points-Table'!$C$12,
                (U200 = 'Points-Table'!$A$13), 'Points-Table'!$C$13,
                true, 0
              )
            </f>
      </c>
      <c r="W200" s="11">
        <v>0</v>
      </c>
      <c r="X200" s="12">
        <f>
              Ifs(
                (W200 = 'Points-Table'!$A$4), 'Points-Table'!$C$4,
                (W200 = 'Points-Table'!$A$5), 'Points-Table'!$C$5,
                (W200 = 'Points-Table'!$A$6), 'Points-Table'!$C$6,
                (W200 = 'Points-Table'!$A$7), 'Points-Table'!$C$7,
                (W200 = 'Points-Table'!$A$8), 'Points-Table'!$C$8,
                (W200 = 'Points-Table'!$A$9), 'Points-Table'!$C$9,
                (W200 = 'Points-Table'!$A$10), 'Points-Table'!$C$10,
                (W200 = 'Points-Table'!$A$11), 'Points-Table'!$C$11,
                (W200 = 'Points-Table'!$A$12), 'Points-Table'!$C$12,
                (W200 = 'Points-Table'!$A$13), 'Points-Table'!$C$13,
                true, 0
              )
            </f>
      </c>
      <c r="Y200" s="11">
        <v>3</v>
      </c>
      <c r="Z200" s="12">
        <f>
              Ifs(
                (Y200 = 'Points-Table'!$A$4), 'Points-Table'!$C$4,
                (Y200 = 'Points-Table'!$A$5), 'Points-Table'!$C$5,
                (Y200 = 'Points-Table'!$A$6), 'Points-Table'!$C$6,
                (Y200 = 'Points-Table'!$A$7), 'Points-Table'!$C$7,
                (Y200 = 'Points-Table'!$A$8), 'Points-Table'!$C$8,
                (Y200 = 'Points-Table'!$A$9), 'Points-Table'!$C$9,
                (Y200 = 'Points-Table'!$A$10), 'Points-Table'!$C$10,
                (Y200 = 'Points-Table'!$A$11), 'Points-Table'!$C$11,
                (Y200 = 'Points-Table'!$A$12), 'Points-Table'!$C$12,
                (Y200 = 'Points-Table'!$A$13), 'Points-Table'!$C$13,
                true, 0
              )
            </f>
      </c>
      <c r="AA200" s="6">
        <f>SUM(V200,X200,Z200)</f>
      </c>
      <c r="AB200" s="6">
        <f>
      Ifs( 
        ISBETWEEN(AA200, 0, 'Points-Table'!C$20, TRUE, False), 'Points-Table'!A$20,
        ISBETWEEN(AA200, 'Points-Table'!C$20, 'Points-Table'!C$21, TRUE, False), 'Points-Table'!A$21,
        ISBETWEEN(AA200, 'Points-Table'!C$22, 10000, TRUE, TRUE), 'Points-Table'!A$22,
        true, 
        0)
      </f>
      </c>
      <c r="AC200" s="6" t="s">
        <v>56</v>
      </c>
      <c r="AD200" s="6" t="s">
        <v>56</v>
      </c>
      <c r="AE200" s="6" t="s">
        <v>56</v>
      </c>
    </row>
    <row r="201" spans="1:31" s="13" customFormat="1" x14ac:dyDescent="0.25">
      <c r="A201" s="13" t="s">
        <v>452</v>
      </c>
      <c r="B201" s="13" t="s">
        <v>474</v>
      </c>
      <c r="C201" s="13" t="s">
        <v>475</v>
      </c>
      <c r="D201" s="13"/>
      <c r="E201" s="13"/>
      <c r="F201" s="13"/>
      <c r="G201" s="13"/>
      <c r="H201" s="13"/>
      <c r="I201" s="13"/>
      <c r="J201" s="13"/>
      <c r="K201" s="13" t="s">
        <v>84</v>
      </c>
      <c r="L201" s="13" t="s">
        <v>85</v>
      </c>
      <c r="M201" s="13"/>
      <c r="N201" s="13"/>
      <c r="O201" s="13"/>
      <c r="P201" s="13"/>
      <c r="Q201" s="13">
        <v>2</v>
      </c>
      <c r="R201" s="13">
        <f>
              Ifs(
                (Q201 = 'Points-Table'!$A$4), 'Points-Table'!$C$4,
                (Q201 = 'Points-Table'!$A$5), 'Points-Table'!$C$5,
                (Q201 = 'Points-Table'!$A$6), 'Points-Table'!$C$6,
                (Q201 = 'Points-Table'!$A$7), 'Points-Table'!$C$7,
                (Q201 = 'Points-Table'!$A$8), 'Points-Table'!$C$8,
                (Q201 = 'Points-Table'!$A$9), 'Points-Table'!$C$9,
                (Q201 = 'Points-Table'!$A$10), 'Points-Table'!$C$10,
                (Q201 = 'Points-Table'!$A$11), 'Points-Table'!$C$11,
                (Q201 = 'Points-Table'!$A$12), 'Points-Table'!$C$12,
                (Q201 = 'Points-Table'!$A$13), 'Points-Table'!$C$13,
                true, 0
              )
            </f>
      </c>
      <c r="S201" s="13">
        <v>2</v>
      </c>
      <c r="T201" s="13">
        <f>
              Ifs(
                (S201 = 'Points-Table'!$A$4), 'Points-Table'!$C$4,
                (S201 = 'Points-Table'!$A$5), 'Points-Table'!$C$5,
                (S201 = 'Points-Table'!$A$6), 'Points-Table'!$C$6,
                (S201 = 'Points-Table'!$A$7), 'Points-Table'!$C$7,
                (S201 = 'Points-Table'!$A$8), 'Points-Table'!$C$8,
                (S201 = 'Points-Table'!$A$9), 'Points-Table'!$C$9,
                (S201 = 'Points-Table'!$A$10), 'Points-Table'!$C$10,
                (S201 = 'Points-Table'!$A$11), 'Points-Table'!$C$11,
                (S201 = 'Points-Table'!$A$12), 'Points-Table'!$C$12,
                (S201 = 'Points-Table'!$A$13), 'Points-Table'!$C$13,
                true, 0
              )
            </f>
      </c>
      <c r="U201" s="13">
        <v>2</v>
      </c>
      <c r="V201" s="13">
        <f>
              Ifs(
                (U201 = 'Points-Table'!$A$4), 'Points-Table'!$C$4,
                (U201 = 'Points-Table'!$A$5), 'Points-Table'!$C$5,
                (U201 = 'Points-Table'!$A$6), 'Points-Table'!$C$6,
                (U201 = 'Points-Table'!$A$7), 'Points-Table'!$C$7,
                (U201 = 'Points-Table'!$A$8), 'Points-Table'!$C$8,
                (U201 = 'Points-Table'!$A$9), 'Points-Table'!$C$9,
                (U201 = 'Points-Table'!$A$10), 'Points-Table'!$C$10,
                (U201 = 'Points-Table'!$A$11), 'Points-Table'!$C$11,
                (U201 = 'Points-Table'!$A$12), 'Points-Table'!$C$12,
                (U201 = 'Points-Table'!$A$13), 'Points-Table'!$C$13,
                true, 0
              )
            </f>
      </c>
      <c r="W201" s="13">
        <v>3</v>
      </c>
      <c r="X201" s="13">
        <f>
              Ifs(
                (W201 = 'Points-Table'!$A$4), 'Points-Table'!$C$4,
                (W201 = 'Points-Table'!$A$5), 'Points-Table'!$C$5,
                (W201 = 'Points-Table'!$A$6), 'Points-Table'!$C$6,
                (W201 = 'Points-Table'!$A$7), 'Points-Table'!$C$7,
                (W201 = 'Points-Table'!$A$8), 'Points-Table'!$C$8,
                (W201 = 'Points-Table'!$A$9), 'Points-Table'!$C$9,
                (W201 = 'Points-Table'!$A$10), 'Points-Table'!$C$10,
                (W201 = 'Points-Table'!$A$11), 'Points-Table'!$C$11,
                (W201 = 'Points-Table'!$A$12), 'Points-Table'!$C$12,
                (W201 = 'Points-Table'!$A$13), 'Points-Table'!$C$13,
                true, 0
              )
            </f>
      </c>
      <c r="Y201" s="13">
        <v>3</v>
      </c>
      <c r="Z201" s="13">
        <f>
              Ifs(
                (Y201 = 'Points-Table'!$A$4), 'Points-Table'!$C$4,
                (Y201 = 'Points-Table'!$A$5), 'Points-Table'!$C$5,
                (Y201 = 'Points-Table'!$A$6), 'Points-Table'!$C$6,
                (Y201 = 'Points-Table'!$A$7), 'Points-Table'!$C$7,
                (Y201 = 'Points-Table'!$A$8), 'Points-Table'!$C$8,
                (Y201 = 'Points-Table'!$A$9), 'Points-Table'!$C$9,
                (Y201 = 'Points-Table'!$A$10), 'Points-Table'!$C$10,
                (Y201 = 'Points-Table'!$A$11), 'Points-Table'!$C$11,
                (Y201 = 'Points-Table'!$A$12), 'Points-Table'!$C$12,
                (Y201 = 'Points-Table'!$A$13), 'Points-Table'!$C$13,
                true, 0
              )
            </f>
      </c>
      <c r="AA201" s="13">
        <f>SUM(V201,X201,Z201)</f>
      </c>
      <c r="AB201" s="13">
        <f>
      Ifs( 
        ISBETWEEN(AA201, 0, 'Points-Table'!C$20, TRUE, False), 'Points-Table'!A$20,
        ISBETWEEN(AA201, 'Points-Table'!C$20, 'Points-Table'!C$21, TRUE, False), 'Points-Table'!A$21,
        ISBETWEEN(AA201, 'Points-Table'!C$22, 10000, TRUE, TRUE), 'Points-Table'!A$22,
        true, 
        0)
      </f>
      </c>
      <c r="AC201" s="13" t="s">
        <v>56</v>
      </c>
      <c r="AD201" s="13" t="s">
        <v>56</v>
      </c>
      <c r="AE201" s="13" t="s">
        <v>56</v>
      </c>
    </row>
    <row r="202" spans="1:31" s="13" customFormat="1" x14ac:dyDescent="0.25">
      <c r="A202" s="13" t="s">
        <v>452</v>
      </c>
      <c r="B202" s="13" t="s">
        <v>474</v>
      </c>
      <c r="C202" s="13" t="s">
        <v>476</v>
      </c>
      <c r="D202" s="13"/>
      <c r="E202" s="13"/>
      <c r="F202" s="13"/>
      <c r="G202" s="13"/>
      <c r="H202" s="13"/>
      <c r="I202" s="13"/>
      <c r="J202" s="13"/>
      <c r="K202" s="13" t="s">
        <v>84</v>
      </c>
      <c r="L202" s="13" t="s">
        <v>85</v>
      </c>
      <c r="M202" s="13"/>
      <c r="N202" s="13"/>
      <c r="O202" s="13"/>
      <c r="P202" s="13"/>
      <c r="Q202" s="13"/>
      <c r="R202" s="13">
        <f>
              Ifs(
                (Q202 = 'Points-Table'!$A$4), 'Points-Table'!$C$4,
                (Q202 = 'Points-Table'!$A$5), 'Points-Table'!$C$5,
                (Q202 = 'Points-Table'!$A$6), 'Points-Table'!$C$6,
                (Q202 = 'Points-Table'!$A$7), 'Points-Table'!$C$7,
                (Q202 = 'Points-Table'!$A$8), 'Points-Table'!$C$8,
                (Q202 = 'Points-Table'!$A$9), 'Points-Table'!$C$9,
                (Q202 = 'Points-Table'!$A$10), 'Points-Table'!$C$10,
                (Q202 = 'Points-Table'!$A$11), 'Points-Table'!$C$11,
                (Q202 = 'Points-Table'!$A$12), 'Points-Table'!$C$12,
                (Q202 = 'Points-Table'!$A$13), 'Points-Table'!$C$13,
                true, 0
              )
            </f>
      </c>
      <c r="S202" s="13"/>
      <c r="T202" s="13">
        <f>
              Ifs(
                (S202 = 'Points-Table'!$A$4), 'Points-Table'!$C$4,
                (S202 = 'Points-Table'!$A$5), 'Points-Table'!$C$5,
                (S202 = 'Points-Table'!$A$6), 'Points-Table'!$C$6,
                (S202 = 'Points-Table'!$A$7), 'Points-Table'!$C$7,
                (S202 = 'Points-Table'!$A$8), 'Points-Table'!$C$8,
                (S202 = 'Points-Table'!$A$9), 'Points-Table'!$C$9,
                (S202 = 'Points-Table'!$A$10), 'Points-Table'!$C$10,
                (S202 = 'Points-Table'!$A$11), 'Points-Table'!$C$11,
                (S202 = 'Points-Table'!$A$12), 'Points-Table'!$C$12,
                (S202 = 'Points-Table'!$A$13), 'Points-Table'!$C$13,
                true, 0
              )
            </f>
      </c>
      <c r="U202" s="13">
        <v>2</v>
      </c>
      <c r="V202" s="13">
        <f>
              Ifs(
                (U202 = 'Points-Table'!$A$4), 'Points-Table'!$C$4,
                (U202 = 'Points-Table'!$A$5), 'Points-Table'!$C$5,
                (U202 = 'Points-Table'!$A$6), 'Points-Table'!$C$6,
                (U202 = 'Points-Table'!$A$7), 'Points-Table'!$C$7,
                (U202 = 'Points-Table'!$A$8), 'Points-Table'!$C$8,
                (U202 = 'Points-Table'!$A$9), 'Points-Table'!$C$9,
                (U202 = 'Points-Table'!$A$10), 'Points-Table'!$C$10,
                (U202 = 'Points-Table'!$A$11), 'Points-Table'!$C$11,
                (U202 = 'Points-Table'!$A$12), 'Points-Table'!$C$12,
                (U202 = 'Points-Table'!$A$13), 'Points-Table'!$C$13,
                true, 0
              )
            </f>
      </c>
      <c r="W202" s="13">
        <v>0</v>
      </c>
      <c r="X202" s="13">
        <f>
              Ifs(
                (W202 = 'Points-Table'!$A$4), 'Points-Table'!$C$4,
                (W202 = 'Points-Table'!$A$5), 'Points-Table'!$C$5,
                (W202 = 'Points-Table'!$A$6), 'Points-Table'!$C$6,
                (W202 = 'Points-Table'!$A$7), 'Points-Table'!$C$7,
                (W202 = 'Points-Table'!$A$8), 'Points-Table'!$C$8,
                (W202 = 'Points-Table'!$A$9), 'Points-Table'!$C$9,
                (W202 = 'Points-Table'!$A$10), 'Points-Table'!$C$10,
                (W202 = 'Points-Table'!$A$11), 'Points-Table'!$C$11,
                (W202 = 'Points-Table'!$A$12), 'Points-Table'!$C$12,
                (W202 = 'Points-Table'!$A$13), 'Points-Table'!$C$13,
                true, 0
              )
            </f>
      </c>
      <c r="Y202" s="13">
        <v>0</v>
      </c>
      <c r="Z202" s="13">
        <f>
              Ifs(
                (Y202 = 'Points-Table'!$A$4), 'Points-Table'!$C$4,
                (Y202 = 'Points-Table'!$A$5), 'Points-Table'!$C$5,
                (Y202 = 'Points-Table'!$A$6), 'Points-Table'!$C$6,
                (Y202 = 'Points-Table'!$A$7), 'Points-Table'!$C$7,
                (Y202 = 'Points-Table'!$A$8), 'Points-Table'!$C$8,
                (Y202 = 'Points-Table'!$A$9), 'Points-Table'!$C$9,
                (Y202 = 'Points-Table'!$A$10), 'Points-Table'!$C$10,
                (Y202 = 'Points-Table'!$A$11), 'Points-Table'!$C$11,
                (Y202 = 'Points-Table'!$A$12), 'Points-Table'!$C$12,
                (Y202 = 'Points-Table'!$A$13), 'Points-Table'!$C$13,
                true, 0
              )
            </f>
      </c>
      <c r="AA202" s="13">
        <f>SUM(V202,X202,Z202)</f>
      </c>
      <c r="AB202" s="13">
        <f>
      Ifs( 
        ISBETWEEN(AA202, 0, 'Points-Table'!C$20, TRUE, False), 'Points-Table'!A$20,
        ISBETWEEN(AA202, 'Points-Table'!C$20, 'Points-Table'!C$21, TRUE, False), 'Points-Table'!A$21,
        ISBETWEEN(AA202, 'Points-Table'!C$22, 10000, TRUE, TRUE), 'Points-Table'!A$22,
        true, 
        0)
      </f>
      </c>
      <c r="AC202" s="13" t="s">
        <v>56</v>
      </c>
      <c r="AD202" s="13" t="s">
        <v>56</v>
      </c>
      <c r="AE202" s="13" t="s">
        <v>56</v>
      </c>
    </row>
    <row r="203" spans="1:31" s="13" customFormat="1" x14ac:dyDescent="0.25">
      <c r="A203" s="13" t="s">
        <v>452</v>
      </c>
      <c r="B203" s="13" t="s">
        <v>474</v>
      </c>
      <c r="C203" s="13" t="s">
        <v>477</v>
      </c>
      <c r="D203" s="13"/>
      <c r="E203" s="13"/>
      <c r="F203" s="13"/>
      <c r="G203" s="13"/>
      <c r="H203" s="13"/>
      <c r="I203" s="13"/>
      <c r="J203" s="13"/>
      <c r="K203" s="13" t="s">
        <v>84</v>
      </c>
      <c r="L203" s="13" t="s">
        <v>85</v>
      </c>
      <c r="M203" s="13"/>
      <c r="N203" s="13"/>
      <c r="O203" s="13"/>
      <c r="P203" s="13"/>
      <c r="Q203" s="13"/>
      <c r="R203" s="13">
        <f>
              Ifs(
                (Q203 = 'Points-Table'!$A$4), 'Points-Table'!$C$4,
                (Q203 = 'Points-Table'!$A$5), 'Points-Table'!$C$5,
                (Q203 = 'Points-Table'!$A$6), 'Points-Table'!$C$6,
                (Q203 = 'Points-Table'!$A$7), 'Points-Table'!$C$7,
                (Q203 = 'Points-Table'!$A$8), 'Points-Table'!$C$8,
                (Q203 = 'Points-Table'!$A$9), 'Points-Table'!$C$9,
                (Q203 = 'Points-Table'!$A$10), 'Points-Table'!$C$10,
                (Q203 = 'Points-Table'!$A$11), 'Points-Table'!$C$11,
                (Q203 = 'Points-Table'!$A$12), 'Points-Table'!$C$12,
                (Q203 = 'Points-Table'!$A$13), 'Points-Table'!$C$13,
                true, 0
              )
            </f>
      </c>
      <c r="S203" s="13"/>
      <c r="T203" s="13">
        <f>
              Ifs(
                (S203 = 'Points-Table'!$A$4), 'Points-Table'!$C$4,
                (S203 = 'Points-Table'!$A$5), 'Points-Table'!$C$5,
                (S203 = 'Points-Table'!$A$6), 'Points-Table'!$C$6,
                (S203 = 'Points-Table'!$A$7), 'Points-Table'!$C$7,
                (S203 = 'Points-Table'!$A$8), 'Points-Table'!$C$8,
                (S203 = 'Points-Table'!$A$9), 'Points-Table'!$C$9,
                (S203 = 'Points-Table'!$A$10), 'Points-Table'!$C$10,
                (S203 = 'Points-Table'!$A$11), 'Points-Table'!$C$11,
                (S203 = 'Points-Table'!$A$12), 'Points-Table'!$C$12,
                (S203 = 'Points-Table'!$A$13), 'Points-Table'!$C$13,
                true, 0
              )
            </f>
      </c>
      <c r="U203" s="13">
        <v>2</v>
      </c>
      <c r="V203" s="13">
        <f>
              Ifs(
                (U203 = 'Points-Table'!$A$4), 'Points-Table'!$C$4,
                (U203 = 'Points-Table'!$A$5), 'Points-Table'!$C$5,
                (U203 = 'Points-Table'!$A$6), 'Points-Table'!$C$6,
                (U203 = 'Points-Table'!$A$7), 'Points-Table'!$C$7,
                (U203 = 'Points-Table'!$A$8), 'Points-Table'!$C$8,
                (U203 = 'Points-Table'!$A$9), 'Points-Table'!$C$9,
                (U203 = 'Points-Table'!$A$10), 'Points-Table'!$C$10,
                (U203 = 'Points-Table'!$A$11), 'Points-Table'!$C$11,
                (U203 = 'Points-Table'!$A$12), 'Points-Table'!$C$12,
                (U203 = 'Points-Table'!$A$13), 'Points-Table'!$C$13,
                true, 0
              )
            </f>
      </c>
      <c r="W203" s="13">
        <v>0</v>
      </c>
      <c r="X203" s="13">
        <f>
              Ifs(
                (W203 = 'Points-Table'!$A$4), 'Points-Table'!$C$4,
                (W203 = 'Points-Table'!$A$5), 'Points-Table'!$C$5,
                (W203 = 'Points-Table'!$A$6), 'Points-Table'!$C$6,
                (W203 = 'Points-Table'!$A$7), 'Points-Table'!$C$7,
                (W203 = 'Points-Table'!$A$8), 'Points-Table'!$C$8,
                (W203 = 'Points-Table'!$A$9), 'Points-Table'!$C$9,
                (W203 = 'Points-Table'!$A$10), 'Points-Table'!$C$10,
                (W203 = 'Points-Table'!$A$11), 'Points-Table'!$C$11,
                (W203 = 'Points-Table'!$A$12), 'Points-Table'!$C$12,
                (W203 = 'Points-Table'!$A$13), 'Points-Table'!$C$13,
                true, 0
              )
            </f>
      </c>
      <c r="Y203" s="13">
        <v>0</v>
      </c>
      <c r="Z203" s="13">
        <f>
              Ifs(
                (Y203 = 'Points-Table'!$A$4), 'Points-Table'!$C$4,
                (Y203 = 'Points-Table'!$A$5), 'Points-Table'!$C$5,
                (Y203 = 'Points-Table'!$A$6), 'Points-Table'!$C$6,
                (Y203 = 'Points-Table'!$A$7), 'Points-Table'!$C$7,
                (Y203 = 'Points-Table'!$A$8), 'Points-Table'!$C$8,
                (Y203 = 'Points-Table'!$A$9), 'Points-Table'!$C$9,
                (Y203 = 'Points-Table'!$A$10), 'Points-Table'!$C$10,
                (Y203 = 'Points-Table'!$A$11), 'Points-Table'!$C$11,
                (Y203 = 'Points-Table'!$A$12), 'Points-Table'!$C$12,
                (Y203 = 'Points-Table'!$A$13), 'Points-Table'!$C$13,
                true, 0
              )
            </f>
      </c>
      <c r="AA203" s="13">
        <f>SUM(V203,X203,Z203)</f>
      </c>
      <c r="AB203" s="13">
        <f>
      Ifs( 
        ISBETWEEN(AA203, 0, 'Points-Table'!C$20, TRUE, False), 'Points-Table'!A$20,
        ISBETWEEN(AA203, 'Points-Table'!C$20, 'Points-Table'!C$21, TRUE, False), 'Points-Table'!A$21,
        ISBETWEEN(AA203, 'Points-Table'!C$22, 10000, TRUE, TRUE), 'Points-Table'!A$22,
        true, 
        0)
      </f>
      </c>
      <c r="AC203" s="13" t="s">
        <v>56</v>
      </c>
      <c r="AD203" s="13" t="s">
        <v>56</v>
      </c>
      <c r="AE203" s="13" t="s">
        <v>56</v>
      </c>
    </row>
    <row r="204" spans="1:31" s="13" customFormat="1" x14ac:dyDescent="0.25">
      <c r="A204" s="13" t="s">
        <v>452</v>
      </c>
      <c r="B204" s="13" t="s">
        <v>474</v>
      </c>
      <c r="C204" s="13" t="s">
        <v>478</v>
      </c>
      <c r="D204" s="13"/>
      <c r="E204" s="13"/>
      <c r="F204" s="13"/>
      <c r="G204" s="13"/>
      <c r="H204" s="13"/>
      <c r="I204" s="13"/>
      <c r="J204" s="13"/>
      <c r="K204" s="13" t="s">
        <v>84</v>
      </c>
      <c r="L204" s="13" t="s">
        <v>85</v>
      </c>
      <c r="M204" s="13"/>
      <c r="N204" s="13"/>
      <c r="O204" s="13"/>
      <c r="P204" s="13"/>
      <c r="Q204" s="13"/>
      <c r="R204" s="13">
        <f>
              Ifs(
                (Q204 = 'Points-Table'!$A$4), 'Points-Table'!$C$4,
                (Q204 = 'Points-Table'!$A$5), 'Points-Table'!$C$5,
                (Q204 = 'Points-Table'!$A$6), 'Points-Table'!$C$6,
                (Q204 = 'Points-Table'!$A$7), 'Points-Table'!$C$7,
                (Q204 = 'Points-Table'!$A$8), 'Points-Table'!$C$8,
                (Q204 = 'Points-Table'!$A$9), 'Points-Table'!$C$9,
                (Q204 = 'Points-Table'!$A$10), 'Points-Table'!$C$10,
                (Q204 = 'Points-Table'!$A$11), 'Points-Table'!$C$11,
                (Q204 = 'Points-Table'!$A$12), 'Points-Table'!$C$12,
                (Q204 = 'Points-Table'!$A$13), 'Points-Table'!$C$13,
                true, 0
              )
            </f>
      </c>
      <c r="S204" s="13"/>
      <c r="T204" s="13">
        <f>
              Ifs(
                (S204 = 'Points-Table'!$A$4), 'Points-Table'!$C$4,
                (S204 = 'Points-Table'!$A$5), 'Points-Table'!$C$5,
                (S204 = 'Points-Table'!$A$6), 'Points-Table'!$C$6,
                (S204 = 'Points-Table'!$A$7), 'Points-Table'!$C$7,
                (S204 = 'Points-Table'!$A$8), 'Points-Table'!$C$8,
                (S204 = 'Points-Table'!$A$9), 'Points-Table'!$C$9,
                (S204 = 'Points-Table'!$A$10), 'Points-Table'!$C$10,
                (S204 = 'Points-Table'!$A$11), 'Points-Table'!$C$11,
                (S204 = 'Points-Table'!$A$12), 'Points-Table'!$C$12,
                (S204 = 'Points-Table'!$A$13), 'Points-Table'!$C$13,
                true, 0
              )
            </f>
      </c>
      <c r="U204" s="13">
        <v>2</v>
      </c>
      <c r="V204" s="13">
        <f>
              Ifs(
                (U204 = 'Points-Table'!$A$4), 'Points-Table'!$C$4,
                (U204 = 'Points-Table'!$A$5), 'Points-Table'!$C$5,
                (U204 = 'Points-Table'!$A$6), 'Points-Table'!$C$6,
                (U204 = 'Points-Table'!$A$7), 'Points-Table'!$C$7,
                (U204 = 'Points-Table'!$A$8), 'Points-Table'!$C$8,
                (U204 = 'Points-Table'!$A$9), 'Points-Table'!$C$9,
                (U204 = 'Points-Table'!$A$10), 'Points-Table'!$C$10,
                (U204 = 'Points-Table'!$A$11), 'Points-Table'!$C$11,
                (U204 = 'Points-Table'!$A$12), 'Points-Table'!$C$12,
                (U204 = 'Points-Table'!$A$13), 'Points-Table'!$C$13,
                true, 0
              )
            </f>
      </c>
      <c r="W204" s="13">
        <v>0</v>
      </c>
      <c r="X204" s="13">
        <f>
              Ifs(
                (W204 = 'Points-Table'!$A$4), 'Points-Table'!$C$4,
                (W204 = 'Points-Table'!$A$5), 'Points-Table'!$C$5,
                (W204 = 'Points-Table'!$A$6), 'Points-Table'!$C$6,
                (W204 = 'Points-Table'!$A$7), 'Points-Table'!$C$7,
                (W204 = 'Points-Table'!$A$8), 'Points-Table'!$C$8,
                (W204 = 'Points-Table'!$A$9), 'Points-Table'!$C$9,
                (W204 = 'Points-Table'!$A$10), 'Points-Table'!$C$10,
                (W204 = 'Points-Table'!$A$11), 'Points-Table'!$C$11,
                (W204 = 'Points-Table'!$A$12), 'Points-Table'!$C$12,
                (W204 = 'Points-Table'!$A$13), 'Points-Table'!$C$13,
                true, 0
              )
            </f>
      </c>
      <c r="Y204" s="13">
        <v>0</v>
      </c>
      <c r="Z204" s="13">
        <f>
              Ifs(
                (Y204 = 'Points-Table'!$A$4), 'Points-Table'!$C$4,
                (Y204 = 'Points-Table'!$A$5), 'Points-Table'!$C$5,
                (Y204 = 'Points-Table'!$A$6), 'Points-Table'!$C$6,
                (Y204 = 'Points-Table'!$A$7), 'Points-Table'!$C$7,
                (Y204 = 'Points-Table'!$A$8), 'Points-Table'!$C$8,
                (Y204 = 'Points-Table'!$A$9), 'Points-Table'!$C$9,
                (Y204 = 'Points-Table'!$A$10), 'Points-Table'!$C$10,
                (Y204 = 'Points-Table'!$A$11), 'Points-Table'!$C$11,
                (Y204 = 'Points-Table'!$A$12), 'Points-Table'!$C$12,
                (Y204 = 'Points-Table'!$A$13), 'Points-Table'!$C$13,
                true, 0
              )
            </f>
      </c>
      <c r="AA204" s="13">
        <f>SUM(V204,X204,Z204)</f>
      </c>
      <c r="AB204" s="13">
        <f>
      Ifs( 
        ISBETWEEN(AA204, 0, 'Points-Table'!C$20, TRUE, False), 'Points-Table'!A$20,
        ISBETWEEN(AA204, 'Points-Table'!C$20, 'Points-Table'!C$21, TRUE, False), 'Points-Table'!A$21,
        ISBETWEEN(AA204, 'Points-Table'!C$22, 10000, TRUE, TRUE), 'Points-Table'!A$22,
        true, 
        0)
      </f>
      </c>
      <c r="AC204" s="13" t="s">
        <v>56</v>
      </c>
      <c r="AD204" s="13" t="s">
        <v>56</v>
      </c>
      <c r="AE204" s="13" t="s">
        <v>56</v>
      </c>
    </row>
    <row r="205" spans="1:31" s="6" customFormat="1" x14ac:dyDescent="0.25">
      <c r="A205" s="6" t="s">
        <v>167</v>
      </c>
      <c r="D205" s="6"/>
      <c r="E205" s="6"/>
      <c r="F205" s="6"/>
      <c r="G205" s="6"/>
      <c r="H205" s="6"/>
      <c r="I205" s="6"/>
      <c r="J205" s="6"/>
      <c r="K205" s="6" t="s">
        <v>84</v>
      </c>
      <c r="L205" s="6" t="s">
        <v>85</v>
      </c>
      <c r="M205" s="6"/>
      <c r="N205" s="6"/>
      <c r="O205" s="6"/>
      <c r="P205" s="6"/>
      <c r="Q205" s="11">
        <v>0</v>
      </c>
      <c r="R205" s="12">
        <f>
              Ifs(
                (Q205 = 'Points-Table'!$A$4), 'Points-Table'!$C$4,
                (Q205 = 'Points-Table'!$A$5), 'Points-Table'!$C$5,
                (Q205 = 'Points-Table'!$A$6), 'Points-Table'!$C$6,
                (Q205 = 'Points-Table'!$A$7), 'Points-Table'!$C$7,
                (Q205 = 'Points-Table'!$A$8), 'Points-Table'!$C$8,
                (Q205 = 'Points-Table'!$A$9), 'Points-Table'!$C$9,
                (Q205 = 'Points-Table'!$A$10), 'Points-Table'!$C$10,
                (Q205 = 'Points-Table'!$A$11), 'Points-Table'!$C$11,
                (Q205 = 'Points-Table'!$A$12), 'Points-Table'!$C$12,
                (Q205 = 'Points-Table'!$A$13), 'Points-Table'!$C$13,
                true, 0
              )
            </f>
      </c>
      <c r="S205" s="11">
        <v>0</v>
      </c>
      <c r="T205" s="12">
        <f>
              Ifs(
                (S205 = 'Points-Table'!$A$4), 'Points-Table'!$C$4,
                (S205 = 'Points-Table'!$A$5), 'Points-Table'!$C$5,
                (S205 = 'Points-Table'!$A$6), 'Points-Table'!$C$6,
                (S205 = 'Points-Table'!$A$7), 'Points-Table'!$C$7,
                (S205 = 'Points-Table'!$A$8), 'Points-Table'!$C$8,
                (S205 = 'Points-Table'!$A$9), 'Points-Table'!$C$9,
                (S205 = 'Points-Table'!$A$10), 'Points-Table'!$C$10,
                (S205 = 'Points-Table'!$A$11), 'Points-Table'!$C$11,
                (S205 = 'Points-Table'!$A$12), 'Points-Table'!$C$12,
                (S205 = 'Points-Table'!$A$13), 'Points-Table'!$C$13,
                true, 0
              )
            </f>
      </c>
      <c r="U205" s="11">
        <v>1</v>
      </c>
      <c r="V205" s="12">
        <f>
              Ifs(
                (U205 = 'Points-Table'!$A$4), 'Points-Table'!$C$4,
                (U205 = 'Points-Table'!$A$5), 'Points-Table'!$C$5,
                (U205 = 'Points-Table'!$A$6), 'Points-Table'!$C$6,
                (U205 = 'Points-Table'!$A$7), 'Points-Table'!$C$7,
                (U205 = 'Points-Table'!$A$8), 'Points-Table'!$C$8,
                (U205 = 'Points-Table'!$A$9), 'Points-Table'!$C$9,
                (U205 = 'Points-Table'!$A$10), 'Points-Table'!$C$10,
                (U205 = 'Points-Table'!$A$11), 'Points-Table'!$C$11,
                (U205 = 'Points-Table'!$A$12), 'Points-Table'!$C$12,
                (U205 = 'Points-Table'!$A$13), 'Points-Table'!$C$13,
                true, 0
              )
            </f>
      </c>
      <c r="W205" s="11">
        <v>1</v>
      </c>
      <c r="X205" s="12">
        <f>
              Ifs(
                (W205 = 'Points-Table'!$A$4), 'Points-Table'!$C$4,
                (W205 = 'Points-Table'!$A$5), 'Points-Table'!$C$5,
                (W205 = 'Points-Table'!$A$6), 'Points-Table'!$C$6,
                (W205 = 'Points-Table'!$A$7), 'Points-Table'!$C$7,
                (W205 = 'Points-Table'!$A$8), 'Points-Table'!$C$8,
                (W205 = 'Points-Table'!$A$9), 'Points-Table'!$C$9,
                (W205 = 'Points-Table'!$A$10), 'Points-Table'!$C$10,
                (W205 = 'Points-Table'!$A$11), 'Points-Table'!$C$11,
                (W205 = 'Points-Table'!$A$12), 'Points-Table'!$C$12,
                (W205 = 'Points-Table'!$A$13), 'Points-Table'!$C$13,
                true, 0
              )
            </f>
      </c>
      <c r="Y205" s="11">
        <v>0</v>
      </c>
      <c r="Z205" s="12">
        <f>
              Ifs(
                (Y205 = 'Points-Table'!$A$4), 'Points-Table'!$C$4,
                (Y205 = 'Points-Table'!$A$5), 'Points-Table'!$C$5,
                (Y205 = 'Points-Table'!$A$6), 'Points-Table'!$C$6,
                (Y205 = 'Points-Table'!$A$7), 'Points-Table'!$C$7,
                (Y205 = 'Points-Table'!$A$8), 'Points-Table'!$C$8,
                (Y205 = 'Points-Table'!$A$9), 'Points-Table'!$C$9,
                (Y205 = 'Points-Table'!$A$10), 'Points-Table'!$C$10,
                (Y205 = 'Points-Table'!$A$11), 'Points-Table'!$C$11,
                (Y205 = 'Points-Table'!$A$12), 'Points-Table'!$C$12,
                (Y205 = 'Points-Table'!$A$13), 'Points-Table'!$C$13,
                true, 0
              )
            </f>
      </c>
      <c r="AA205" s="6">
        <f>SUM(V205,X205,Z205)</f>
      </c>
      <c r="AB205" s="6">
        <f>
      Ifs( 
        ISBETWEEN(AA205, 0, 'Points-Table'!C$20, TRUE, False), 'Points-Table'!A$20,
        ISBETWEEN(AA205, 'Points-Table'!C$20, 'Points-Table'!C$21, TRUE, False), 'Points-Table'!A$21,
        ISBETWEEN(AA205, 'Points-Table'!C$22, 10000, TRUE, TRUE), 'Points-Table'!A$22,
        true, 
        0)
      </f>
      </c>
      <c r="AC205" s="6" t="s">
        <v>56</v>
      </c>
      <c r="AD205" s="6" t="s">
        <v>56</v>
      </c>
      <c r="AE205" s="6" t="s">
        <v>56</v>
      </c>
    </row>
    <row r="206" spans="1:31" s="6" customFormat="1" x14ac:dyDescent="0.25">
      <c r="A206" s="6" t="s">
        <v>170</v>
      </c>
      <c r="D206" s="6"/>
      <c r="E206" s="6"/>
      <c r="F206" s="6"/>
      <c r="G206" s="6"/>
      <c r="H206" s="6"/>
      <c r="I206" s="6"/>
      <c r="J206" s="6"/>
      <c r="K206" s="6" t="s">
        <v>84</v>
      </c>
      <c r="L206" s="6" t="s">
        <v>85</v>
      </c>
      <c r="M206" s="6"/>
      <c r="N206" s="6"/>
      <c r="O206" s="6"/>
      <c r="P206" s="6"/>
      <c r="Q206" s="11">
        <v>8</v>
      </c>
      <c r="R206" s="12">
        <f>
              Ifs(
                (Q206 = 'Points-Table'!$A$4), 'Points-Table'!$C$4,
                (Q206 = 'Points-Table'!$A$5), 'Points-Table'!$C$5,
                (Q206 = 'Points-Table'!$A$6), 'Points-Table'!$C$6,
                (Q206 = 'Points-Table'!$A$7), 'Points-Table'!$C$7,
                (Q206 = 'Points-Table'!$A$8), 'Points-Table'!$C$8,
                (Q206 = 'Points-Table'!$A$9), 'Points-Table'!$C$9,
                (Q206 = 'Points-Table'!$A$10), 'Points-Table'!$C$10,
                (Q206 = 'Points-Table'!$A$11), 'Points-Table'!$C$11,
                (Q206 = 'Points-Table'!$A$12), 'Points-Table'!$C$12,
                (Q206 = 'Points-Table'!$A$13), 'Points-Table'!$C$13,
                true, 0
              )
            </f>
      </c>
      <c r="S206" s="11">
        <v>55</v>
      </c>
      <c r="T206" s="12">
        <f>
              Ifs(
                (S206 = 'Points-Table'!$A$4), 'Points-Table'!$C$4,
                (S206 = 'Points-Table'!$A$5), 'Points-Table'!$C$5,
                (S206 = 'Points-Table'!$A$6), 'Points-Table'!$C$6,
                (S206 = 'Points-Table'!$A$7), 'Points-Table'!$C$7,
                (S206 = 'Points-Table'!$A$8), 'Points-Table'!$C$8,
                (S206 = 'Points-Table'!$A$9), 'Points-Table'!$C$9,
                (S206 = 'Points-Table'!$A$10), 'Points-Table'!$C$10,
                (S206 = 'Points-Table'!$A$11), 'Points-Table'!$C$11,
                (S206 = 'Points-Table'!$A$12), 'Points-Table'!$C$12,
                (S206 = 'Points-Table'!$A$13), 'Points-Table'!$C$13,
                true, 0
              )
            </f>
      </c>
      <c r="U206" s="11">
        <v>21</v>
      </c>
      <c r="V206" s="12">
        <f>
              Ifs(
                (U206 = 'Points-Table'!$A$4), 'Points-Table'!$C$4,
                (U206 = 'Points-Table'!$A$5), 'Points-Table'!$C$5,
                (U206 = 'Points-Table'!$A$6), 'Points-Table'!$C$6,
                (U206 = 'Points-Table'!$A$7), 'Points-Table'!$C$7,
                (U206 = 'Points-Table'!$A$8), 'Points-Table'!$C$8,
                (U206 = 'Points-Table'!$A$9), 'Points-Table'!$C$9,
                (U206 = 'Points-Table'!$A$10), 'Points-Table'!$C$10,
                (U206 = 'Points-Table'!$A$11), 'Points-Table'!$C$11,
                (U206 = 'Points-Table'!$A$12), 'Points-Table'!$C$12,
                (U206 = 'Points-Table'!$A$13), 'Points-Table'!$C$13,
                true, 0
              )
            </f>
      </c>
      <c r="W206" s="11">
        <v>0</v>
      </c>
      <c r="X206" s="12">
        <f>
              Ifs(
                (W206 = 'Points-Table'!$A$4), 'Points-Table'!$C$4,
                (W206 = 'Points-Table'!$A$5), 'Points-Table'!$C$5,
                (W206 = 'Points-Table'!$A$6), 'Points-Table'!$C$6,
                (W206 = 'Points-Table'!$A$7), 'Points-Table'!$C$7,
                (W206 = 'Points-Table'!$A$8), 'Points-Table'!$C$8,
                (W206 = 'Points-Table'!$A$9), 'Points-Table'!$C$9,
                (W206 = 'Points-Table'!$A$10), 'Points-Table'!$C$10,
                (W206 = 'Points-Table'!$A$11), 'Points-Table'!$C$11,
                (W206 = 'Points-Table'!$A$12), 'Points-Table'!$C$12,
                (W206 = 'Points-Table'!$A$13), 'Points-Table'!$C$13,
                true, 0
              )
            </f>
      </c>
      <c r="Y206" s="11">
        <v>0</v>
      </c>
      <c r="Z206" s="12">
        <f>
              Ifs(
                (Y206 = 'Points-Table'!$A$4), 'Points-Table'!$C$4,
                (Y206 = 'Points-Table'!$A$5), 'Points-Table'!$C$5,
                (Y206 = 'Points-Table'!$A$6), 'Points-Table'!$C$6,
                (Y206 = 'Points-Table'!$A$7), 'Points-Table'!$C$7,
                (Y206 = 'Points-Table'!$A$8), 'Points-Table'!$C$8,
                (Y206 = 'Points-Table'!$A$9), 'Points-Table'!$C$9,
                (Y206 = 'Points-Table'!$A$10), 'Points-Table'!$C$10,
                (Y206 = 'Points-Table'!$A$11), 'Points-Table'!$C$11,
                (Y206 = 'Points-Table'!$A$12), 'Points-Table'!$C$12,
                (Y206 = 'Points-Table'!$A$13), 'Points-Table'!$C$13,
                true, 0
              )
            </f>
      </c>
      <c r="AA206" s="6">
        <f>SUM(V206,X206,Z206)</f>
      </c>
      <c r="AB206" s="6">
        <f>
      Ifs( 
        ISBETWEEN(AA206, 0, 'Points-Table'!C$20, TRUE, False), 'Points-Table'!A$20,
        ISBETWEEN(AA206, 'Points-Table'!C$20, 'Points-Table'!C$21, TRUE, False), 'Points-Table'!A$21,
        ISBETWEEN(AA206, 'Points-Table'!C$22, 10000, TRUE, TRUE), 'Points-Table'!A$22,
        true, 
        0)
      </f>
      </c>
      <c r="AC206" s="6" t="s">
        <v>56</v>
      </c>
      <c r="AD206" s="6" t="s">
        <v>56</v>
      </c>
      <c r="AE206" s="6" t="s">
        <v>56</v>
      </c>
    </row>
    <row r="207" spans="1:31" s="6" customFormat="1" x14ac:dyDescent="0.25">
      <c r="A207" s="6" t="s">
        <v>171</v>
      </c>
      <c r="D207" s="6"/>
      <c r="E207" s="6"/>
      <c r="F207" s="6"/>
      <c r="G207" s="6"/>
      <c r="H207" s="6"/>
      <c r="I207" s="6"/>
      <c r="J207" s="6"/>
      <c r="K207" s="6" t="s">
        <v>84</v>
      </c>
      <c r="L207" s="6" t="s">
        <v>85</v>
      </c>
      <c r="M207" s="6"/>
      <c r="N207" s="6"/>
      <c r="O207" s="6"/>
      <c r="P207" s="6"/>
      <c r="Q207" s="11">
        <v>13</v>
      </c>
      <c r="R207" s="12">
        <f>
              Ifs(
                (Q207 = 'Points-Table'!$A$4), 'Points-Table'!$C$4,
                (Q207 = 'Points-Table'!$A$5), 'Points-Table'!$C$5,
                (Q207 = 'Points-Table'!$A$6), 'Points-Table'!$C$6,
                (Q207 = 'Points-Table'!$A$7), 'Points-Table'!$C$7,
                (Q207 = 'Points-Table'!$A$8), 'Points-Table'!$C$8,
                (Q207 = 'Points-Table'!$A$9), 'Points-Table'!$C$9,
                (Q207 = 'Points-Table'!$A$10), 'Points-Table'!$C$10,
                (Q207 = 'Points-Table'!$A$11), 'Points-Table'!$C$11,
                (Q207 = 'Points-Table'!$A$12), 'Points-Table'!$C$12,
                (Q207 = 'Points-Table'!$A$13), 'Points-Table'!$C$13,
                true, 0
              )
            </f>
      </c>
      <c r="S207" s="11">
        <v>89</v>
      </c>
      <c r="T207" s="12">
        <f>
              Ifs(
                (S207 = 'Points-Table'!$A$4), 'Points-Table'!$C$4,
                (S207 = 'Points-Table'!$A$5), 'Points-Table'!$C$5,
                (S207 = 'Points-Table'!$A$6), 'Points-Table'!$C$6,
                (S207 = 'Points-Table'!$A$7), 'Points-Table'!$C$7,
                (S207 = 'Points-Table'!$A$8), 'Points-Table'!$C$8,
                (S207 = 'Points-Table'!$A$9), 'Points-Table'!$C$9,
                (S207 = 'Points-Table'!$A$10), 'Points-Table'!$C$10,
                (S207 = 'Points-Table'!$A$11), 'Points-Table'!$C$11,
                (S207 = 'Points-Table'!$A$12), 'Points-Table'!$C$12,
                (S207 = 'Points-Table'!$A$13), 'Points-Table'!$C$13,
                true, 0
              )
            </f>
      </c>
      <c r="U207" s="11">
        <v>34</v>
      </c>
      <c r="V207" s="12">
        <f>
              Ifs(
                (U207 = 'Points-Table'!$A$4), 'Points-Table'!$C$4,
                (U207 = 'Points-Table'!$A$5), 'Points-Table'!$C$5,
                (U207 = 'Points-Table'!$A$6), 'Points-Table'!$C$6,
                (U207 = 'Points-Table'!$A$7), 'Points-Table'!$C$7,
                (U207 = 'Points-Table'!$A$8), 'Points-Table'!$C$8,
                (U207 = 'Points-Table'!$A$9), 'Points-Table'!$C$9,
                (U207 = 'Points-Table'!$A$10), 'Points-Table'!$C$10,
                (U207 = 'Points-Table'!$A$11), 'Points-Table'!$C$11,
                (U207 = 'Points-Table'!$A$12), 'Points-Table'!$C$12,
                (U207 = 'Points-Table'!$A$13), 'Points-Table'!$C$13,
                true, 0
              )
            </f>
      </c>
      <c r="W207" s="11">
        <v>0</v>
      </c>
      <c r="X207" s="12">
        <f>
              Ifs(
                (W207 = 'Points-Table'!$A$4), 'Points-Table'!$C$4,
                (W207 = 'Points-Table'!$A$5), 'Points-Table'!$C$5,
                (W207 = 'Points-Table'!$A$6), 'Points-Table'!$C$6,
                (W207 = 'Points-Table'!$A$7), 'Points-Table'!$C$7,
                (W207 = 'Points-Table'!$A$8), 'Points-Table'!$C$8,
                (W207 = 'Points-Table'!$A$9), 'Points-Table'!$C$9,
                (W207 = 'Points-Table'!$A$10), 'Points-Table'!$C$10,
                (W207 = 'Points-Table'!$A$11), 'Points-Table'!$C$11,
                (W207 = 'Points-Table'!$A$12), 'Points-Table'!$C$12,
                (W207 = 'Points-Table'!$A$13), 'Points-Table'!$C$13,
                true, 0
              )
            </f>
      </c>
      <c r="Y207" s="11">
        <v>0</v>
      </c>
      <c r="Z207" s="12">
        <f>
              Ifs(
                (Y207 = 'Points-Table'!$A$4), 'Points-Table'!$C$4,
                (Y207 = 'Points-Table'!$A$5), 'Points-Table'!$C$5,
                (Y207 = 'Points-Table'!$A$6), 'Points-Table'!$C$6,
                (Y207 = 'Points-Table'!$A$7), 'Points-Table'!$C$7,
                (Y207 = 'Points-Table'!$A$8), 'Points-Table'!$C$8,
                (Y207 = 'Points-Table'!$A$9), 'Points-Table'!$C$9,
                (Y207 = 'Points-Table'!$A$10), 'Points-Table'!$C$10,
                (Y207 = 'Points-Table'!$A$11), 'Points-Table'!$C$11,
                (Y207 = 'Points-Table'!$A$12), 'Points-Table'!$C$12,
                (Y207 = 'Points-Table'!$A$13), 'Points-Table'!$C$13,
                true, 0
              )
            </f>
      </c>
      <c r="AA207" s="6">
        <f>SUM(V207,X207,Z207)</f>
      </c>
      <c r="AB207" s="6">
        <f>
      Ifs( 
        ISBETWEEN(AA207, 0, 'Points-Table'!C$20, TRUE, False), 'Points-Table'!A$20,
        ISBETWEEN(AA207, 'Points-Table'!C$20, 'Points-Table'!C$21, TRUE, False), 'Points-Table'!A$21,
        ISBETWEEN(AA207, 'Points-Table'!C$22, 10000, TRUE, TRUE), 'Points-Table'!A$22,
        true, 
        0)
      </f>
      </c>
      <c r="AC207" s="6" t="s">
        <v>56</v>
      </c>
      <c r="AD207" s="6" t="s">
        <v>56</v>
      </c>
      <c r="AE207" s="6" t="s">
        <v>56</v>
      </c>
    </row>
    <row r="208" spans="1:31" s="13" customFormat="1" x14ac:dyDescent="0.25">
      <c r="A208" s="13" t="s">
        <v>479</v>
      </c>
      <c r="B208" s="13" t="s">
        <v>480</v>
      </c>
      <c r="C208" s="13" t="s">
        <v>481</v>
      </c>
      <c r="D208" s="13" t="s">
        <v>482</v>
      </c>
      <c r="E208" s="13"/>
      <c r="F208" s="13"/>
      <c r="G208" s="13"/>
      <c r="H208" s="13"/>
      <c r="I208" s="13"/>
      <c r="J208" s="13"/>
      <c r="K208" s="13" t="s">
        <v>84</v>
      </c>
      <c r="L208" s="13" t="s">
        <v>85</v>
      </c>
      <c r="M208" s="13"/>
      <c r="N208" s="13"/>
      <c r="O208" s="13"/>
      <c r="P208" s="13"/>
      <c r="Q208" s="13">
        <v>1</v>
      </c>
      <c r="R208" s="13">
        <f>
              Ifs(
                (Q208 = 'Points-Table'!$A$4), 'Points-Table'!$C$4,
                (Q208 = 'Points-Table'!$A$5), 'Points-Table'!$C$5,
                (Q208 = 'Points-Table'!$A$6), 'Points-Table'!$C$6,
                (Q208 = 'Points-Table'!$A$7), 'Points-Table'!$C$7,
                (Q208 = 'Points-Table'!$A$8), 'Points-Table'!$C$8,
                (Q208 = 'Points-Table'!$A$9), 'Points-Table'!$C$9,
                (Q208 = 'Points-Table'!$A$10), 'Points-Table'!$C$10,
                (Q208 = 'Points-Table'!$A$11), 'Points-Table'!$C$11,
                (Q208 = 'Points-Table'!$A$12), 'Points-Table'!$C$12,
                (Q208 = 'Points-Table'!$A$13), 'Points-Table'!$C$13,
                true, 0
              )
            </f>
      </c>
      <c r="S208" s="13">
        <v>2</v>
      </c>
      <c r="T208" s="13">
        <f>
              Ifs(
                (S208 = 'Points-Table'!$A$4), 'Points-Table'!$C$4,
                (S208 = 'Points-Table'!$A$5), 'Points-Table'!$C$5,
                (S208 = 'Points-Table'!$A$6), 'Points-Table'!$C$6,
                (S208 = 'Points-Table'!$A$7), 'Points-Table'!$C$7,
                (S208 = 'Points-Table'!$A$8), 'Points-Table'!$C$8,
                (S208 = 'Points-Table'!$A$9), 'Points-Table'!$C$9,
                (S208 = 'Points-Table'!$A$10), 'Points-Table'!$C$10,
                (S208 = 'Points-Table'!$A$11), 'Points-Table'!$C$11,
                (S208 = 'Points-Table'!$A$12), 'Points-Table'!$C$12,
                (S208 = 'Points-Table'!$A$13), 'Points-Table'!$C$13,
                true, 0
              )
            </f>
      </c>
      <c r="U208" s="13">
        <v>5</v>
      </c>
      <c r="V208" s="13">
        <f>
              Ifs(
                (U208 = 'Points-Table'!$A$4), 'Points-Table'!$C$4,
                (U208 = 'Points-Table'!$A$5), 'Points-Table'!$C$5,
                (U208 = 'Points-Table'!$A$6), 'Points-Table'!$C$6,
                (U208 = 'Points-Table'!$A$7), 'Points-Table'!$C$7,
                (U208 = 'Points-Table'!$A$8), 'Points-Table'!$C$8,
                (U208 = 'Points-Table'!$A$9), 'Points-Table'!$C$9,
                (U208 = 'Points-Table'!$A$10), 'Points-Table'!$C$10,
                (U208 = 'Points-Table'!$A$11), 'Points-Table'!$C$11,
                (U208 = 'Points-Table'!$A$12), 'Points-Table'!$C$12,
                (U208 = 'Points-Table'!$A$13), 'Points-Table'!$C$13,
                true, 0
              )
            </f>
      </c>
      <c r="W208" s="13">
        <v>0</v>
      </c>
      <c r="X208" s="13">
        <f>
              Ifs(
                (W208 = 'Points-Table'!$A$4), 'Points-Table'!$C$4,
                (W208 = 'Points-Table'!$A$5), 'Points-Table'!$C$5,
                (W208 = 'Points-Table'!$A$6), 'Points-Table'!$C$6,
                (W208 = 'Points-Table'!$A$7), 'Points-Table'!$C$7,
                (W208 = 'Points-Table'!$A$8), 'Points-Table'!$C$8,
                (W208 = 'Points-Table'!$A$9), 'Points-Table'!$C$9,
                (W208 = 'Points-Table'!$A$10), 'Points-Table'!$C$10,
                (W208 = 'Points-Table'!$A$11), 'Points-Table'!$C$11,
                (W208 = 'Points-Table'!$A$12), 'Points-Table'!$C$12,
                (W208 = 'Points-Table'!$A$13), 'Points-Table'!$C$13,
                true, 0
              )
            </f>
      </c>
      <c r="Y208" s="13">
        <v>8</v>
      </c>
      <c r="Z208" s="13">
        <f>
              Ifs(
                (Y208 = 'Points-Table'!$A$4), 'Points-Table'!$C$4,
                (Y208 = 'Points-Table'!$A$5), 'Points-Table'!$C$5,
                (Y208 = 'Points-Table'!$A$6), 'Points-Table'!$C$6,
                (Y208 = 'Points-Table'!$A$7), 'Points-Table'!$C$7,
                (Y208 = 'Points-Table'!$A$8), 'Points-Table'!$C$8,
                (Y208 = 'Points-Table'!$A$9), 'Points-Table'!$C$9,
                (Y208 = 'Points-Table'!$A$10), 'Points-Table'!$C$10,
                (Y208 = 'Points-Table'!$A$11), 'Points-Table'!$C$11,
                (Y208 = 'Points-Table'!$A$12), 'Points-Table'!$C$12,
                (Y208 = 'Points-Table'!$A$13), 'Points-Table'!$C$13,
                true, 0
              )
            </f>
      </c>
      <c r="AA208" s="13">
        <f>SUM(V208,X208,Z208)</f>
      </c>
      <c r="AB208" s="13">
        <f>
      Ifs( 
        ISBETWEEN(AA208, 0, 'Points-Table'!C$20, TRUE, False), 'Points-Table'!A$20,
        ISBETWEEN(AA208, 'Points-Table'!C$20, 'Points-Table'!C$21, TRUE, False), 'Points-Table'!A$21,
        ISBETWEEN(AA208, 'Points-Table'!C$22, 10000, TRUE, TRUE), 'Points-Table'!A$22,
        true, 
        0)
      </f>
      </c>
      <c r="AC208" s="13" t="s">
        <v>56</v>
      </c>
      <c r="AD208" s="13" t="s">
        <v>56</v>
      </c>
      <c r="AE208" s="13" t="s">
        <v>56</v>
      </c>
    </row>
    <row r="209" spans="1:31" s="13" customFormat="1" x14ac:dyDescent="0.25">
      <c r="A209" s="13" t="s">
        <v>479</v>
      </c>
      <c r="B209" s="13" t="s">
        <v>480</v>
      </c>
      <c r="C209" s="13" t="s">
        <v>138</v>
      </c>
      <c r="D209" s="13"/>
      <c r="E209" s="13"/>
      <c r="F209" s="13"/>
      <c r="G209" s="13"/>
      <c r="H209" s="13"/>
      <c r="I209" s="13"/>
      <c r="J209" s="13"/>
      <c r="K209" s="13" t="s">
        <v>84</v>
      </c>
      <c r="L209" s="13" t="s">
        <v>85</v>
      </c>
      <c r="M209" s="13"/>
      <c r="N209" s="13"/>
      <c r="O209" s="13"/>
      <c r="P209" s="13"/>
      <c r="Q209" s="13">
        <v>1</v>
      </c>
      <c r="R209" s="13">
        <f>
              Ifs(
                (Q209 = 'Points-Table'!$A$4), 'Points-Table'!$C$4,
                (Q209 = 'Points-Table'!$A$5), 'Points-Table'!$C$5,
                (Q209 = 'Points-Table'!$A$6), 'Points-Table'!$C$6,
                (Q209 = 'Points-Table'!$A$7), 'Points-Table'!$C$7,
                (Q209 = 'Points-Table'!$A$8), 'Points-Table'!$C$8,
                (Q209 = 'Points-Table'!$A$9), 'Points-Table'!$C$9,
                (Q209 = 'Points-Table'!$A$10), 'Points-Table'!$C$10,
                (Q209 = 'Points-Table'!$A$11), 'Points-Table'!$C$11,
                (Q209 = 'Points-Table'!$A$12), 'Points-Table'!$C$12,
                (Q209 = 'Points-Table'!$A$13), 'Points-Table'!$C$13,
                true, 0
              )
            </f>
      </c>
      <c r="S209" s="13">
        <v>2</v>
      </c>
      <c r="T209" s="13">
        <f>
              Ifs(
                (S209 = 'Points-Table'!$A$4), 'Points-Table'!$C$4,
                (S209 = 'Points-Table'!$A$5), 'Points-Table'!$C$5,
                (S209 = 'Points-Table'!$A$6), 'Points-Table'!$C$6,
                (S209 = 'Points-Table'!$A$7), 'Points-Table'!$C$7,
                (S209 = 'Points-Table'!$A$8), 'Points-Table'!$C$8,
                (S209 = 'Points-Table'!$A$9), 'Points-Table'!$C$9,
                (S209 = 'Points-Table'!$A$10), 'Points-Table'!$C$10,
                (S209 = 'Points-Table'!$A$11), 'Points-Table'!$C$11,
                (S209 = 'Points-Table'!$A$12), 'Points-Table'!$C$12,
                (S209 = 'Points-Table'!$A$13), 'Points-Table'!$C$13,
                true, 0
              )
            </f>
      </c>
      <c r="U209" s="13">
        <v>3</v>
      </c>
      <c r="V209" s="13">
        <f>
              Ifs(
                (U209 = 'Points-Table'!$A$4), 'Points-Table'!$C$4,
                (U209 = 'Points-Table'!$A$5), 'Points-Table'!$C$5,
                (U209 = 'Points-Table'!$A$6), 'Points-Table'!$C$6,
                (U209 = 'Points-Table'!$A$7), 'Points-Table'!$C$7,
                (U209 = 'Points-Table'!$A$8), 'Points-Table'!$C$8,
                (U209 = 'Points-Table'!$A$9), 'Points-Table'!$C$9,
                (U209 = 'Points-Table'!$A$10), 'Points-Table'!$C$10,
                (U209 = 'Points-Table'!$A$11), 'Points-Table'!$C$11,
                (U209 = 'Points-Table'!$A$12), 'Points-Table'!$C$12,
                (U209 = 'Points-Table'!$A$13), 'Points-Table'!$C$13,
                true, 0
              )
            </f>
      </c>
      <c r="W209" s="13">
        <v>2</v>
      </c>
      <c r="X209" s="13">
        <f>
              Ifs(
                (W209 = 'Points-Table'!$A$4), 'Points-Table'!$C$4,
                (W209 = 'Points-Table'!$A$5), 'Points-Table'!$C$5,
                (W209 = 'Points-Table'!$A$6), 'Points-Table'!$C$6,
                (W209 = 'Points-Table'!$A$7), 'Points-Table'!$C$7,
                (W209 = 'Points-Table'!$A$8), 'Points-Table'!$C$8,
                (W209 = 'Points-Table'!$A$9), 'Points-Table'!$C$9,
                (W209 = 'Points-Table'!$A$10), 'Points-Table'!$C$10,
                (W209 = 'Points-Table'!$A$11), 'Points-Table'!$C$11,
                (W209 = 'Points-Table'!$A$12), 'Points-Table'!$C$12,
                (W209 = 'Points-Table'!$A$13), 'Points-Table'!$C$13,
                true, 0
              )
            </f>
      </c>
      <c r="Y209" s="13">
        <v>3</v>
      </c>
      <c r="Z209" s="13">
        <f>
              Ifs(
                (Y209 = 'Points-Table'!$A$4), 'Points-Table'!$C$4,
                (Y209 = 'Points-Table'!$A$5), 'Points-Table'!$C$5,
                (Y209 = 'Points-Table'!$A$6), 'Points-Table'!$C$6,
                (Y209 = 'Points-Table'!$A$7), 'Points-Table'!$C$7,
                (Y209 = 'Points-Table'!$A$8), 'Points-Table'!$C$8,
                (Y209 = 'Points-Table'!$A$9), 'Points-Table'!$C$9,
                (Y209 = 'Points-Table'!$A$10), 'Points-Table'!$C$10,
                (Y209 = 'Points-Table'!$A$11), 'Points-Table'!$C$11,
                (Y209 = 'Points-Table'!$A$12), 'Points-Table'!$C$12,
                (Y209 = 'Points-Table'!$A$13), 'Points-Table'!$C$13,
                true, 0
              )
            </f>
      </c>
      <c r="AA209" s="13">
        <f>SUM(V209,X209,Z209)</f>
      </c>
      <c r="AB209" s="13">
        <f>
      Ifs( 
        ISBETWEEN(AA209, 0, 'Points-Table'!C$20, TRUE, False), 'Points-Table'!A$20,
        ISBETWEEN(AA209, 'Points-Table'!C$20, 'Points-Table'!C$21, TRUE, False), 'Points-Table'!A$21,
        ISBETWEEN(AA209, 'Points-Table'!C$22, 10000, TRUE, TRUE), 'Points-Table'!A$22,
        true, 
        0)
      </f>
      </c>
      <c r="AC209" s="13" t="s">
        <v>56</v>
      </c>
      <c r="AD209" s="13" t="s">
        <v>56</v>
      </c>
      <c r="AE209" s="13" t="s">
        <v>56</v>
      </c>
    </row>
    <row r="210" spans="1:31" s="13" customFormat="1" x14ac:dyDescent="0.25">
      <c r="A210" s="13" t="s">
        <v>479</v>
      </c>
      <c r="B210" s="13" t="s">
        <v>480</v>
      </c>
      <c r="C210" s="13" t="s">
        <v>483</v>
      </c>
      <c r="D210" s="13"/>
      <c r="E210" s="13"/>
      <c r="F210" s="13"/>
      <c r="G210" s="13"/>
      <c r="H210" s="13"/>
      <c r="I210" s="13"/>
      <c r="J210" s="13"/>
      <c r="K210" s="13" t="s">
        <v>84</v>
      </c>
      <c r="L210" s="13" t="s">
        <v>85</v>
      </c>
      <c r="M210" s="13"/>
      <c r="N210" s="13"/>
      <c r="O210" s="13"/>
      <c r="P210" s="13"/>
      <c r="Q210" s="13">
        <v>2</v>
      </c>
      <c r="R210" s="13">
        <f>
              Ifs(
                (Q210 = 'Points-Table'!$A$4), 'Points-Table'!$C$4,
                (Q210 = 'Points-Table'!$A$5), 'Points-Table'!$C$5,
                (Q210 = 'Points-Table'!$A$6), 'Points-Table'!$C$6,
                (Q210 = 'Points-Table'!$A$7), 'Points-Table'!$C$7,
                (Q210 = 'Points-Table'!$A$8), 'Points-Table'!$C$8,
                (Q210 = 'Points-Table'!$A$9), 'Points-Table'!$C$9,
                (Q210 = 'Points-Table'!$A$10), 'Points-Table'!$C$10,
                (Q210 = 'Points-Table'!$A$11), 'Points-Table'!$C$11,
                (Q210 = 'Points-Table'!$A$12), 'Points-Table'!$C$12,
                (Q210 = 'Points-Table'!$A$13), 'Points-Table'!$C$13,
                true, 0
              )
            </f>
      </c>
      <c r="S210" s="13">
        <v>2</v>
      </c>
      <c r="T210" s="13">
        <f>
              Ifs(
                (S210 = 'Points-Table'!$A$4), 'Points-Table'!$C$4,
                (S210 = 'Points-Table'!$A$5), 'Points-Table'!$C$5,
                (S210 = 'Points-Table'!$A$6), 'Points-Table'!$C$6,
                (S210 = 'Points-Table'!$A$7), 'Points-Table'!$C$7,
                (S210 = 'Points-Table'!$A$8), 'Points-Table'!$C$8,
                (S210 = 'Points-Table'!$A$9), 'Points-Table'!$C$9,
                (S210 = 'Points-Table'!$A$10), 'Points-Table'!$C$10,
                (S210 = 'Points-Table'!$A$11), 'Points-Table'!$C$11,
                (S210 = 'Points-Table'!$A$12), 'Points-Table'!$C$12,
                (S210 = 'Points-Table'!$A$13), 'Points-Table'!$C$13,
                true, 0
              )
            </f>
      </c>
      <c r="U210" s="13">
        <v>3</v>
      </c>
      <c r="V210" s="13">
        <f>
              Ifs(
                (U210 = 'Points-Table'!$A$4), 'Points-Table'!$C$4,
                (U210 = 'Points-Table'!$A$5), 'Points-Table'!$C$5,
                (U210 = 'Points-Table'!$A$6), 'Points-Table'!$C$6,
                (U210 = 'Points-Table'!$A$7), 'Points-Table'!$C$7,
                (U210 = 'Points-Table'!$A$8), 'Points-Table'!$C$8,
                (U210 = 'Points-Table'!$A$9), 'Points-Table'!$C$9,
                (U210 = 'Points-Table'!$A$10), 'Points-Table'!$C$10,
                (U210 = 'Points-Table'!$A$11), 'Points-Table'!$C$11,
                (U210 = 'Points-Table'!$A$12), 'Points-Table'!$C$12,
                (U210 = 'Points-Table'!$A$13), 'Points-Table'!$C$13,
                true, 0
              )
            </f>
      </c>
      <c r="W210" s="13">
        <v>2</v>
      </c>
      <c r="X210" s="13">
        <f>
              Ifs(
                (W210 = 'Points-Table'!$A$4), 'Points-Table'!$C$4,
                (W210 = 'Points-Table'!$A$5), 'Points-Table'!$C$5,
                (W210 = 'Points-Table'!$A$6), 'Points-Table'!$C$6,
                (W210 = 'Points-Table'!$A$7), 'Points-Table'!$C$7,
                (W210 = 'Points-Table'!$A$8), 'Points-Table'!$C$8,
                (W210 = 'Points-Table'!$A$9), 'Points-Table'!$C$9,
                (W210 = 'Points-Table'!$A$10), 'Points-Table'!$C$10,
                (W210 = 'Points-Table'!$A$11), 'Points-Table'!$C$11,
                (W210 = 'Points-Table'!$A$12), 'Points-Table'!$C$12,
                (W210 = 'Points-Table'!$A$13), 'Points-Table'!$C$13,
                true, 0
              )
            </f>
      </c>
      <c r="Y210" s="13">
        <v>5</v>
      </c>
      <c r="Z210" s="13">
        <f>
              Ifs(
                (Y210 = 'Points-Table'!$A$4), 'Points-Table'!$C$4,
                (Y210 = 'Points-Table'!$A$5), 'Points-Table'!$C$5,
                (Y210 = 'Points-Table'!$A$6), 'Points-Table'!$C$6,
                (Y210 = 'Points-Table'!$A$7), 'Points-Table'!$C$7,
                (Y210 = 'Points-Table'!$A$8), 'Points-Table'!$C$8,
                (Y210 = 'Points-Table'!$A$9), 'Points-Table'!$C$9,
                (Y210 = 'Points-Table'!$A$10), 'Points-Table'!$C$10,
                (Y210 = 'Points-Table'!$A$11), 'Points-Table'!$C$11,
                (Y210 = 'Points-Table'!$A$12), 'Points-Table'!$C$12,
                (Y210 = 'Points-Table'!$A$13), 'Points-Table'!$C$13,
                true, 0
              )
            </f>
      </c>
      <c r="AA210" s="13">
        <f>SUM(V210,X210,Z210)</f>
      </c>
      <c r="AB210" s="13">
        <f>
      Ifs( 
        ISBETWEEN(AA210, 0, 'Points-Table'!C$20, TRUE, False), 'Points-Table'!A$20,
        ISBETWEEN(AA210, 'Points-Table'!C$20, 'Points-Table'!C$21, TRUE, False), 'Points-Table'!A$21,
        ISBETWEEN(AA210, 'Points-Table'!C$22, 10000, TRUE, TRUE), 'Points-Table'!A$22,
        true, 
        0)
      </f>
      </c>
      <c r="AC210" s="13" t="s">
        <v>56</v>
      </c>
      <c r="AD210" s="13" t="s">
        <v>56</v>
      </c>
      <c r="AE210" s="13" t="s">
        <v>56</v>
      </c>
    </row>
    <row r="211" spans="1:31" s="13" customFormat="1" x14ac:dyDescent="0.25">
      <c r="A211" s="13" t="s">
        <v>484</v>
      </c>
      <c r="D211" s="13" t="s">
        <v>482</v>
      </c>
      <c r="E211" s="13"/>
      <c r="F211" s="13"/>
      <c r="G211" s="13"/>
      <c r="H211" s="13"/>
      <c r="I211" s="13"/>
      <c r="J211" s="13"/>
      <c r="K211" s="13" t="s">
        <v>84</v>
      </c>
      <c r="L211" s="13" t="s">
        <v>85</v>
      </c>
      <c r="M211" s="13"/>
      <c r="N211" s="13"/>
      <c r="O211" s="13"/>
      <c r="P211" s="13"/>
      <c r="Q211" s="13"/>
      <c r="R211" s="13">
        <f>
              Ifs(
                (Q211 = 'Points-Table'!$A$4), 'Points-Table'!$C$4,
                (Q211 = 'Points-Table'!$A$5), 'Points-Table'!$C$5,
                (Q211 = 'Points-Table'!$A$6), 'Points-Table'!$C$6,
                (Q211 = 'Points-Table'!$A$7), 'Points-Table'!$C$7,
                (Q211 = 'Points-Table'!$A$8), 'Points-Table'!$C$8,
                (Q211 = 'Points-Table'!$A$9), 'Points-Table'!$C$9,
                (Q211 = 'Points-Table'!$A$10), 'Points-Table'!$C$10,
                (Q211 = 'Points-Table'!$A$11), 'Points-Table'!$C$11,
                (Q211 = 'Points-Table'!$A$12), 'Points-Table'!$C$12,
                (Q211 = 'Points-Table'!$A$13), 'Points-Table'!$C$13,
                true, 0
              )
            </f>
      </c>
      <c r="S211" s="13"/>
      <c r="T211" s="13">
        <f>
              Ifs(
                (S211 = 'Points-Table'!$A$4), 'Points-Table'!$C$4,
                (S211 = 'Points-Table'!$A$5), 'Points-Table'!$C$5,
                (S211 = 'Points-Table'!$A$6), 'Points-Table'!$C$6,
                (S211 = 'Points-Table'!$A$7), 'Points-Table'!$C$7,
                (S211 = 'Points-Table'!$A$8), 'Points-Table'!$C$8,
                (S211 = 'Points-Table'!$A$9), 'Points-Table'!$C$9,
                (S211 = 'Points-Table'!$A$10), 'Points-Table'!$C$10,
                (S211 = 'Points-Table'!$A$11), 'Points-Table'!$C$11,
                (S211 = 'Points-Table'!$A$12), 'Points-Table'!$C$12,
                (S211 = 'Points-Table'!$A$13), 'Points-Table'!$C$13,
                true, 0
              )
            </f>
      </c>
      <c r="U211" s="13"/>
      <c r="V211" s="13">
        <f>
              Ifs(
                (U211 = 'Points-Table'!$A$4), 'Points-Table'!$C$4,
                (U211 = 'Points-Table'!$A$5), 'Points-Table'!$C$5,
                (U211 = 'Points-Table'!$A$6), 'Points-Table'!$C$6,
                (U211 = 'Points-Table'!$A$7), 'Points-Table'!$C$7,
                (U211 = 'Points-Table'!$A$8), 'Points-Table'!$C$8,
                (U211 = 'Points-Table'!$A$9), 'Points-Table'!$C$9,
                (U211 = 'Points-Table'!$A$10), 'Points-Table'!$C$10,
                (U211 = 'Points-Table'!$A$11), 'Points-Table'!$C$11,
                (U211 = 'Points-Table'!$A$12), 'Points-Table'!$C$12,
                (U211 = 'Points-Table'!$A$13), 'Points-Table'!$C$13,
                true, 0
              )
            </f>
      </c>
      <c r="W211" s="13"/>
      <c r="X211" s="13">
        <f>
              Ifs(
                (W211 = 'Points-Table'!$A$4), 'Points-Table'!$C$4,
                (W211 = 'Points-Table'!$A$5), 'Points-Table'!$C$5,
                (W211 = 'Points-Table'!$A$6), 'Points-Table'!$C$6,
                (W211 = 'Points-Table'!$A$7), 'Points-Table'!$C$7,
                (W211 = 'Points-Table'!$A$8), 'Points-Table'!$C$8,
                (W211 = 'Points-Table'!$A$9), 'Points-Table'!$C$9,
                (W211 = 'Points-Table'!$A$10), 'Points-Table'!$C$10,
                (W211 = 'Points-Table'!$A$11), 'Points-Table'!$C$11,
                (W211 = 'Points-Table'!$A$12), 'Points-Table'!$C$12,
                (W211 = 'Points-Table'!$A$13), 'Points-Table'!$C$13,
                true, 0
              )
            </f>
      </c>
      <c r="Y211" s="13"/>
      <c r="Z211" s="13">
        <f>
              Ifs(
                (Y211 = 'Points-Table'!$A$4), 'Points-Table'!$C$4,
                (Y211 = 'Points-Table'!$A$5), 'Points-Table'!$C$5,
                (Y211 = 'Points-Table'!$A$6), 'Points-Table'!$C$6,
                (Y211 = 'Points-Table'!$A$7), 'Points-Table'!$C$7,
                (Y211 = 'Points-Table'!$A$8), 'Points-Table'!$C$8,
                (Y211 = 'Points-Table'!$A$9), 'Points-Table'!$C$9,
                (Y211 = 'Points-Table'!$A$10), 'Points-Table'!$C$10,
                (Y211 = 'Points-Table'!$A$11), 'Points-Table'!$C$11,
                (Y211 = 'Points-Table'!$A$12), 'Points-Table'!$C$12,
                (Y211 = 'Points-Table'!$A$13), 'Points-Table'!$C$13,
                true, 0
              )
            </f>
      </c>
      <c r="AA211" s="13">
        <f>SUM(V211,X211,Z211)</f>
      </c>
      <c r="AB211" s="13">
        <f>
      Ifs( 
        ISBETWEEN(AA211, 0, 'Points-Table'!C$20, TRUE, False), 'Points-Table'!A$20,
        ISBETWEEN(AA211, 'Points-Table'!C$20, 'Points-Table'!C$21, TRUE, False), 'Points-Table'!A$21,
        ISBETWEEN(AA211, 'Points-Table'!C$22, 10000, TRUE, TRUE), 'Points-Table'!A$22,
        true, 
        0)
      </f>
      </c>
      <c r="AC211" s="13" t="s">
        <v>56</v>
      </c>
      <c r="AD211" s="13" t="s">
        <v>56</v>
      </c>
      <c r="AE211" s="13" t="s">
        <v>56</v>
      </c>
    </row>
    <row r="212" spans="1:31" s="13" customFormat="1" x14ac:dyDescent="0.25">
      <c r="A212" s="13" t="s">
        <v>485</v>
      </c>
      <c r="B212" s="13" t="s">
        <v>486</v>
      </c>
      <c r="D212" s="13"/>
      <c r="E212" s="13"/>
      <c r="F212" s="13"/>
      <c r="G212" s="13"/>
      <c r="H212" s="13"/>
      <c r="I212" s="13"/>
      <c r="J212" s="13"/>
      <c r="K212" s="13" t="s">
        <v>84</v>
      </c>
      <c r="L212" s="13" t="s">
        <v>85</v>
      </c>
      <c r="M212" s="13"/>
      <c r="N212" s="13"/>
      <c r="O212" s="13"/>
      <c r="P212" s="13"/>
      <c r="Q212" s="13">
        <v>3</v>
      </c>
      <c r="R212" s="13">
        <f>
              Ifs(
                (Q212 = 'Points-Table'!$A$4), 'Points-Table'!$C$4,
                (Q212 = 'Points-Table'!$A$5), 'Points-Table'!$C$5,
                (Q212 = 'Points-Table'!$A$6), 'Points-Table'!$C$6,
                (Q212 = 'Points-Table'!$A$7), 'Points-Table'!$C$7,
                (Q212 = 'Points-Table'!$A$8), 'Points-Table'!$C$8,
                (Q212 = 'Points-Table'!$A$9), 'Points-Table'!$C$9,
                (Q212 = 'Points-Table'!$A$10), 'Points-Table'!$C$10,
                (Q212 = 'Points-Table'!$A$11), 'Points-Table'!$C$11,
                (Q212 = 'Points-Table'!$A$12), 'Points-Table'!$C$12,
                (Q212 = 'Points-Table'!$A$13), 'Points-Table'!$C$13,
                true, 0
              )
            </f>
      </c>
      <c r="S212" s="13">
        <v>3</v>
      </c>
      <c r="T212" s="13">
        <f>
              Ifs(
                (S212 = 'Points-Table'!$A$4), 'Points-Table'!$C$4,
                (S212 = 'Points-Table'!$A$5), 'Points-Table'!$C$5,
                (S212 = 'Points-Table'!$A$6), 'Points-Table'!$C$6,
                (S212 = 'Points-Table'!$A$7), 'Points-Table'!$C$7,
                (S212 = 'Points-Table'!$A$8), 'Points-Table'!$C$8,
                (S212 = 'Points-Table'!$A$9), 'Points-Table'!$C$9,
                (S212 = 'Points-Table'!$A$10), 'Points-Table'!$C$10,
                (S212 = 'Points-Table'!$A$11), 'Points-Table'!$C$11,
                (S212 = 'Points-Table'!$A$12), 'Points-Table'!$C$12,
                (S212 = 'Points-Table'!$A$13), 'Points-Table'!$C$13,
                true, 0
              )
            </f>
      </c>
      <c r="U212" s="13">
        <v>3</v>
      </c>
      <c r="V212" s="13">
        <f>
              Ifs(
                (U212 = 'Points-Table'!$A$4), 'Points-Table'!$C$4,
                (U212 = 'Points-Table'!$A$5), 'Points-Table'!$C$5,
                (U212 = 'Points-Table'!$A$6), 'Points-Table'!$C$6,
                (U212 = 'Points-Table'!$A$7), 'Points-Table'!$C$7,
                (U212 = 'Points-Table'!$A$8), 'Points-Table'!$C$8,
                (U212 = 'Points-Table'!$A$9), 'Points-Table'!$C$9,
                (U212 = 'Points-Table'!$A$10), 'Points-Table'!$C$10,
                (U212 = 'Points-Table'!$A$11), 'Points-Table'!$C$11,
                (U212 = 'Points-Table'!$A$12), 'Points-Table'!$C$12,
                (U212 = 'Points-Table'!$A$13), 'Points-Table'!$C$13,
                true, 0
              )
            </f>
      </c>
      <c r="W212" s="13">
        <v>5</v>
      </c>
      <c r="X212" s="13">
        <f>
              Ifs(
                (W212 = 'Points-Table'!$A$4), 'Points-Table'!$C$4,
                (W212 = 'Points-Table'!$A$5), 'Points-Table'!$C$5,
                (W212 = 'Points-Table'!$A$6), 'Points-Table'!$C$6,
                (W212 = 'Points-Table'!$A$7), 'Points-Table'!$C$7,
                (W212 = 'Points-Table'!$A$8), 'Points-Table'!$C$8,
                (W212 = 'Points-Table'!$A$9), 'Points-Table'!$C$9,
                (W212 = 'Points-Table'!$A$10), 'Points-Table'!$C$10,
                (W212 = 'Points-Table'!$A$11), 'Points-Table'!$C$11,
                (W212 = 'Points-Table'!$A$12), 'Points-Table'!$C$12,
                (W212 = 'Points-Table'!$A$13), 'Points-Table'!$C$13,
                true, 0
              )
            </f>
      </c>
      <c r="Y212" s="13">
        <v>21</v>
      </c>
      <c r="Z212" s="13">
        <f>
              Ifs(
                (Y212 = 'Points-Table'!$A$4), 'Points-Table'!$C$4,
                (Y212 = 'Points-Table'!$A$5), 'Points-Table'!$C$5,
                (Y212 = 'Points-Table'!$A$6), 'Points-Table'!$C$6,
                (Y212 = 'Points-Table'!$A$7), 'Points-Table'!$C$7,
                (Y212 = 'Points-Table'!$A$8), 'Points-Table'!$C$8,
                (Y212 = 'Points-Table'!$A$9), 'Points-Table'!$C$9,
                (Y212 = 'Points-Table'!$A$10), 'Points-Table'!$C$10,
                (Y212 = 'Points-Table'!$A$11), 'Points-Table'!$C$11,
                (Y212 = 'Points-Table'!$A$12), 'Points-Table'!$C$12,
                (Y212 = 'Points-Table'!$A$13), 'Points-Table'!$C$13,
                true, 0
              )
            </f>
      </c>
      <c r="AA212" s="13">
        <f>SUM(V212,X212,Z212)</f>
      </c>
      <c r="AB212" s="13">
        <f>
      Ifs( 
        ISBETWEEN(AA212, 0, 'Points-Table'!C$20, TRUE, False), 'Points-Table'!A$20,
        ISBETWEEN(AA212, 'Points-Table'!C$20, 'Points-Table'!C$21, TRUE, False), 'Points-Table'!A$21,
        ISBETWEEN(AA212, 'Points-Table'!C$22, 10000, TRUE, TRUE), 'Points-Table'!A$22,
        true, 
        0)
      </f>
      </c>
      <c r="AC212" s="13" t="s">
        <v>56</v>
      </c>
      <c r="AD212" s="13" t="s">
        <v>56</v>
      </c>
      <c r="AE212" s="13" t="s">
        <v>56</v>
      </c>
    </row>
    <row r="213" spans="1:31" s="13" customFormat="1" x14ac:dyDescent="0.25">
      <c r="A213" s="13" t="s">
        <v>485</v>
      </c>
      <c r="B213" s="13" t="s">
        <v>487</v>
      </c>
      <c r="D213" s="13"/>
      <c r="E213" s="13"/>
      <c r="F213" s="13"/>
      <c r="G213" s="13"/>
      <c r="H213" s="13"/>
      <c r="I213" s="13"/>
      <c r="J213" s="13"/>
      <c r="K213" s="13" t="s">
        <v>84</v>
      </c>
      <c r="L213" s="13" t="s">
        <v>85</v>
      </c>
      <c r="M213" s="13"/>
      <c r="N213" s="13"/>
      <c r="O213" s="13"/>
      <c r="P213" s="13"/>
      <c r="Q213" s="13"/>
      <c r="R213" s="13">
        <f>
              Ifs(
                (Q213 = 'Points-Table'!$A$4), 'Points-Table'!$C$4,
                (Q213 = 'Points-Table'!$A$5), 'Points-Table'!$C$5,
                (Q213 = 'Points-Table'!$A$6), 'Points-Table'!$C$6,
                (Q213 = 'Points-Table'!$A$7), 'Points-Table'!$C$7,
                (Q213 = 'Points-Table'!$A$8), 'Points-Table'!$C$8,
                (Q213 = 'Points-Table'!$A$9), 'Points-Table'!$C$9,
                (Q213 = 'Points-Table'!$A$10), 'Points-Table'!$C$10,
                (Q213 = 'Points-Table'!$A$11), 'Points-Table'!$C$11,
                (Q213 = 'Points-Table'!$A$12), 'Points-Table'!$C$12,
                (Q213 = 'Points-Table'!$A$13), 'Points-Table'!$C$13,
                true, 0
              )
            </f>
      </c>
      <c r="S213" s="13"/>
      <c r="T213" s="13">
        <f>
              Ifs(
                (S213 = 'Points-Table'!$A$4), 'Points-Table'!$C$4,
                (S213 = 'Points-Table'!$A$5), 'Points-Table'!$C$5,
                (S213 = 'Points-Table'!$A$6), 'Points-Table'!$C$6,
                (S213 = 'Points-Table'!$A$7), 'Points-Table'!$C$7,
                (S213 = 'Points-Table'!$A$8), 'Points-Table'!$C$8,
                (S213 = 'Points-Table'!$A$9), 'Points-Table'!$C$9,
                (S213 = 'Points-Table'!$A$10), 'Points-Table'!$C$10,
                (S213 = 'Points-Table'!$A$11), 'Points-Table'!$C$11,
                (S213 = 'Points-Table'!$A$12), 'Points-Table'!$C$12,
                (S213 = 'Points-Table'!$A$13), 'Points-Table'!$C$13,
                true, 0
              )
            </f>
      </c>
      <c r="U213" s="13">
        <v>2</v>
      </c>
      <c r="V213" s="13">
        <f>
              Ifs(
                (U213 = 'Points-Table'!$A$4), 'Points-Table'!$C$4,
                (U213 = 'Points-Table'!$A$5), 'Points-Table'!$C$5,
                (U213 = 'Points-Table'!$A$6), 'Points-Table'!$C$6,
                (U213 = 'Points-Table'!$A$7), 'Points-Table'!$C$7,
                (U213 = 'Points-Table'!$A$8), 'Points-Table'!$C$8,
                (U213 = 'Points-Table'!$A$9), 'Points-Table'!$C$9,
                (U213 = 'Points-Table'!$A$10), 'Points-Table'!$C$10,
                (U213 = 'Points-Table'!$A$11), 'Points-Table'!$C$11,
                (U213 = 'Points-Table'!$A$12), 'Points-Table'!$C$12,
                (U213 = 'Points-Table'!$A$13), 'Points-Table'!$C$13,
                true, 0
              )
            </f>
      </c>
      <c r="W213" s="13">
        <v>0</v>
      </c>
      <c r="X213" s="13">
        <f>
              Ifs(
                (W213 = 'Points-Table'!$A$4), 'Points-Table'!$C$4,
                (W213 = 'Points-Table'!$A$5), 'Points-Table'!$C$5,
                (W213 = 'Points-Table'!$A$6), 'Points-Table'!$C$6,
                (W213 = 'Points-Table'!$A$7), 'Points-Table'!$C$7,
                (W213 = 'Points-Table'!$A$8), 'Points-Table'!$C$8,
                (W213 = 'Points-Table'!$A$9), 'Points-Table'!$C$9,
                (W213 = 'Points-Table'!$A$10), 'Points-Table'!$C$10,
                (W213 = 'Points-Table'!$A$11), 'Points-Table'!$C$11,
                (W213 = 'Points-Table'!$A$12), 'Points-Table'!$C$12,
                (W213 = 'Points-Table'!$A$13), 'Points-Table'!$C$13,
                true, 0
              )
            </f>
      </c>
      <c r="Y213" s="13">
        <v>0</v>
      </c>
      <c r="Z213" s="13">
        <f>
              Ifs(
                (Y213 = 'Points-Table'!$A$4), 'Points-Table'!$C$4,
                (Y213 = 'Points-Table'!$A$5), 'Points-Table'!$C$5,
                (Y213 = 'Points-Table'!$A$6), 'Points-Table'!$C$6,
                (Y213 = 'Points-Table'!$A$7), 'Points-Table'!$C$7,
                (Y213 = 'Points-Table'!$A$8), 'Points-Table'!$C$8,
                (Y213 = 'Points-Table'!$A$9), 'Points-Table'!$C$9,
                (Y213 = 'Points-Table'!$A$10), 'Points-Table'!$C$10,
                (Y213 = 'Points-Table'!$A$11), 'Points-Table'!$C$11,
                (Y213 = 'Points-Table'!$A$12), 'Points-Table'!$C$12,
                (Y213 = 'Points-Table'!$A$13), 'Points-Table'!$C$13,
                true, 0
              )
            </f>
      </c>
      <c r="AA213" s="13">
        <f>SUM(V213,X213,Z213)</f>
      </c>
      <c r="AB213" s="13">
        <f>
      Ifs( 
        ISBETWEEN(AA213, 0, 'Points-Table'!C$20, TRUE, False), 'Points-Table'!A$20,
        ISBETWEEN(AA213, 'Points-Table'!C$20, 'Points-Table'!C$21, TRUE, False), 'Points-Table'!A$21,
        ISBETWEEN(AA213, 'Points-Table'!C$22, 10000, TRUE, TRUE), 'Points-Table'!A$22,
        true, 
        0)
      </f>
      </c>
      <c r="AC213" s="13" t="s">
        <v>56</v>
      </c>
      <c r="AD213" s="13" t="s">
        <v>56</v>
      </c>
      <c r="AE213" s="13" t="s">
        <v>56</v>
      </c>
    </row>
    <row r="214" spans="1:31" s="13" customFormat="1" x14ac:dyDescent="0.25">
      <c r="A214" s="13" t="s">
        <v>485</v>
      </c>
      <c r="B214" s="13" t="s">
        <v>488</v>
      </c>
      <c r="D214" s="13"/>
      <c r="E214" s="13"/>
      <c r="F214" s="13"/>
      <c r="G214" s="13"/>
      <c r="H214" s="13"/>
      <c r="I214" s="13"/>
      <c r="J214" s="13"/>
      <c r="K214" s="13" t="s">
        <v>84</v>
      </c>
      <c r="L214" s="13" t="s">
        <v>85</v>
      </c>
      <c r="M214" s="13"/>
      <c r="N214" s="13"/>
      <c r="O214" s="13"/>
      <c r="P214" s="13"/>
      <c r="Q214" s="13"/>
      <c r="R214" s="13">
        <f>
              Ifs(
                (Q214 = 'Points-Table'!$A$4), 'Points-Table'!$C$4,
                (Q214 = 'Points-Table'!$A$5), 'Points-Table'!$C$5,
                (Q214 = 'Points-Table'!$A$6), 'Points-Table'!$C$6,
                (Q214 = 'Points-Table'!$A$7), 'Points-Table'!$C$7,
                (Q214 = 'Points-Table'!$A$8), 'Points-Table'!$C$8,
                (Q214 = 'Points-Table'!$A$9), 'Points-Table'!$C$9,
                (Q214 = 'Points-Table'!$A$10), 'Points-Table'!$C$10,
                (Q214 = 'Points-Table'!$A$11), 'Points-Table'!$C$11,
                (Q214 = 'Points-Table'!$A$12), 'Points-Table'!$C$12,
                (Q214 = 'Points-Table'!$A$13), 'Points-Table'!$C$13,
                true, 0
              )
            </f>
      </c>
      <c r="S214" s="13"/>
      <c r="T214" s="13">
        <f>
              Ifs(
                (S214 = 'Points-Table'!$A$4), 'Points-Table'!$C$4,
                (S214 = 'Points-Table'!$A$5), 'Points-Table'!$C$5,
                (S214 = 'Points-Table'!$A$6), 'Points-Table'!$C$6,
                (S214 = 'Points-Table'!$A$7), 'Points-Table'!$C$7,
                (S214 = 'Points-Table'!$A$8), 'Points-Table'!$C$8,
                (S214 = 'Points-Table'!$A$9), 'Points-Table'!$C$9,
                (S214 = 'Points-Table'!$A$10), 'Points-Table'!$C$10,
                (S214 = 'Points-Table'!$A$11), 'Points-Table'!$C$11,
                (S214 = 'Points-Table'!$A$12), 'Points-Table'!$C$12,
                (S214 = 'Points-Table'!$A$13), 'Points-Table'!$C$13,
                true, 0
              )
            </f>
      </c>
      <c r="U214" s="13">
        <v>3</v>
      </c>
      <c r="V214" s="13">
        <f>
              Ifs(
                (U214 = 'Points-Table'!$A$4), 'Points-Table'!$C$4,
                (U214 = 'Points-Table'!$A$5), 'Points-Table'!$C$5,
                (U214 = 'Points-Table'!$A$6), 'Points-Table'!$C$6,
                (U214 = 'Points-Table'!$A$7), 'Points-Table'!$C$7,
                (U214 = 'Points-Table'!$A$8), 'Points-Table'!$C$8,
                (U214 = 'Points-Table'!$A$9), 'Points-Table'!$C$9,
                (U214 = 'Points-Table'!$A$10), 'Points-Table'!$C$10,
                (U214 = 'Points-Table'!$A$11), 'Points-Table'!$C$11,
                (U214 = 'Points-Table'!$A$12), 'Points-Table'!$C$12,
                (U214 = 'Points-Table'!$A$13), 'Points-Table'!$C$13,
                true, 0
              )
            </f>
      </c>
      <c r="W214" s="13">
        <v>0</v>
      </c>
      <c r="X214" s="13">
        <f>
              Ifs(
                (W214 = 'Points-Table'!$A$4), 'Points-Table'!$C$4,
                (W214 = 'Points-Table'!$A$5), 'Points-Table'!$C$5,
                (W214 = 'Points-Table'!$A$6), 'Points-Table'!$C$6,
                (W214 = 'Points-Table'!$A$7), 'Points-Table'!$C$7,
                (W214 = 'Points-Table'!$A$8), 'Points-Table'!$C$8,
                (W214 = 'Points-Table'!$A$9), 'Points-Table'!$C$9,
                (W214 = 'Points-Table'!$A$10), 'Points-Table'!$C$10,
                (W214 = 'Points-Table'!$A$11), 'Points-Table'!$C$11,
                (W214 = 'Points-Table'!$A$12), 'Points-Table'!$C$12,
                (W214 = 'Points-Table'!$A$13), 'Points-Table'!$C$13,
                true, 0
              )
            </f>
      </c>
      <c r="Y214" s="13">
        <v>0</v>
      </c>
      <c r="Z214" s="13">
        <f>
              Ifs(
                (Y214 = 'Points-Table'!$A$4), 'Points-Table'!$C$4,
                (Y214 = 'Points-Table'!$A$5), 'Points-Table'!$C$5,
                (Y214 = 'Points-Table'!$A$6), 'Points-Table'!$C$6,
                (Y214 = 'Points-Table'!$A$7), 'Points-Table'!$C$7,
                (Y214 = 'Points-Table'!$A$8), 'Points-Table'!$C$8,
                (Y214 = 'Points-Table'!$A$9), 'Points-Table'!$C$9,
                (Y214 = 'Points-Table'!$A$10), 'Points-Table'!$C$10,
                (Y214 = 'Points-Table'!$A$11), 'Points-Table'!$C$11,
                (Y214 = 'Points-Table'!$A$12), 'Points-Table'!$C$12,
                (Y214 = 'Points-Table'!$A$13), 'Points-Table'!$C$13,
                true, 0
              )
            </f>
      </c>
      <c r="AA214" s="13">
        <f>SUM(V214,X214,Z214)</f>
      </c>
      <c r="AB214" s="13">
        <f>
      Ifs( 
        ISBETWEEN(AA214, 0, 'Points-Table'!C$20, TRUE, False), 'Points-Table'!A$20,
        ISBETWEEN(AA214, 'Points-Table'!C$20, 'Points-Table'!C$21, TRUE, False), 'Points-Table'!A$21,
        ISBETWEEN(AA214, 'Points-Table'!C$22, 10000, TRUE, TRUE), 'Points-Table'!A$22,
        true, 
        0)
      </f>
      </c>
      <c r="AC214" s="13" t="s">
        <v>56</v>
      </c>
      <c r="AD214" s="13" t="s">
        <v>56</v>
      </c>
      <c r="AE214" s="13" t="s">
        <v>56</v>
      </c>
    </row>
    <row r="215" spans="1:31" s="13" customFormat="1" x14ac:dyDescent="0.25">
      <c r="A215" s="13" t="s">
        <v>485</v>
      </c>
      <c r="B215" s="13" t="s">
        <v>489</v>
      </c>
      <c r="D215" s="13"/>
      <c r="E215" s="13"/>
      <c r="F215" s="13"/>
      <c r="G215" s="13"/>
      <c r="H215" s="13"/>
      <c r="I215" s="13"/>
      <c r="J215" s="13"/>
      <c r="K215" s="13" t="s">
        <v>84</v>
      </c>
      <c r="L215" s="13" t="s">
        <v>85</v>
      </c>
      <c r="M215" s="13"/>
      <c r="N215" s="13"/>
      <c r="O215" s="13"/>
      <c r="P215" s="13"/>
      <c r="Q215" s="13"/>
      <c r="R215" s="13">
        <f>
              Ifs(
                (Q215 = 'Points-Table'!$A$4), 'Points-Table'!$C$4,
                (Q215 = 'Points-Table'!$A$5), 'Points-Table'!$C$5,
                (Q215 = 'Points-Table'!$A$6), 'Points-Table'!$C$6,
                (Q215 = 'Points-Table'!$A$7), 'Points-Table'!$C$7,
                (Q215 = 'Points-Table'!$A$8), 'Points-Table'!$C$8,
                (Q215 = 'Points-Table'!$A$9), 'Points-Table'!$C$9,
                (Q215 = 'Points-Table'!$A$10), 'Points-Table'!$C$10,
                (Q215 = 'Points-Table'!$A$11), 'Points-Table'!$C$11,
                (Q215 = 'Points-Table'!$A$12), 'Points-Table'!$C$12,
                (Q215 = 'Points-Table'!$A$13), 'Points-Table'!$C$13,
                true, 0
              )
            </f>
      </c>
      <c r="S215" s="13"/>
      <c r="T215" s="13">
        <f>
              Ifs(
                (S215 = 'Points-Table'!$A$4), 'Points-Table'!$C$4,
                (S215 = 'Points-Table'!$A$5), 'Points-Table'!$C$5,
                (S215 = 'Points-Table'!$A$6), 'Points-Table'!$C$6,
                (S215 = 'Points-Table'!$A$7), 'Points-Table'!$C$7,
                (S215 = 'Points-Table'!$A$8), 'Points-Table'!$C$8,
                (S215 = 'Points-Table'!$A$9), 'Points-Table'!$C$9,
                (S215 = 'Points-Table'!$A$10), 'Points-Table'!$C$10,
                (S215 = 'Points-Table'!$A$11), 'Points-Table'!$C$11,
                (S215 = 'Points-Table'!$A$12), 'Points-Table'!$C$12,
                (S215 = 'Points-Table'!$A$13), 'Points-Table'!$C$13,
                true, 0
              )
            </f>
      </c>
      <c r="U215" s="13">
        <v>5</v>
      </c>
      <c r="V215" s="13">
        <f>
              Ifs(
                (U215 = 'Points-Table'!$A$4), 'Points-Table'!$C$4,
                (U215 = 'Points-Table'!$A$5), 'Points-Table'!$C$5,
                (U215 = 'Points-Table'!$A$6), 'Points-Table'!$C$6,
                (U215 = 'Points-Table'!$A$7), 'Points-Table'!$C$7,
                (U215 = 'Points-Table'!$A$8), 'Points-Table'!$C$8,
                (U215 = 'Points-Table'!$A$9), 'Points-Table'!$C$9,
                (U215 = 'Points-Table'!$A$10), 'Points-Table'!$C$10,
                (U215 = 'Points-Table'!$A$11), 'Points-Table'!$C$11,
                (U215 = 'Points-Table'!$A$12), 'Points-Table'!$C$12,
                (U215 = 'Points-Table'!$A$13), 'Points-Table'!$C$13,
                true, 0
              )
            </f>
      </c>
      <c r="W215" s="13">
        <v>0</v>
      </c>
      <c r="X215" s="13">
        <f>
              Ifs(
                (W215 = 'Points-Table'!$A$4), 'Points-Table'!$C$4,
                (W215 = 'Points-Table'!$A$5), 'Points-Table'!$C$5,
                (W215 = 'Points-Table'!$A$6), 'Points-Table'!$C$6,
                (W215 = 'Points-Table'!$A$7), 'Points-Table'!$C$7,
                (W215 = 'Points-Table'!$A$8), 'Points-Table'!$C$8,
                (W215 = 'Points-Table'!$A$9), 'Points-Table'!$C$9,
                (W215 = 'Points-Table'!$A$10), 'Points-Table'!$C$10,
                (W215 = 'Points-Table'!$A$11), 'Points-Table'!$C$11,
                (W215 = 'Points-Table'!$A$12), 'Points-Table'!$C$12,
                (W215 = 'Points-Table'!$A$13), 'Points-Table'!$C$13,
                true, 0
              )
            </f>
      </c>
      <c r="Y215" s="13">
        <v>0</v>
      </c>
      <c r="Z215" s="13">
        <f>
              Ifs(
                (Y215 = 'Points-Table'!$A$4), 'Points-Table'!$C$4,
                (Y215 = 'Points-Table'!$A$5), 'Points-Table'!$C$5,
                (Y215 = 'Points-Table'!$A$6), 'Points-Table'!$C$6,
                (Y215 = 'Points-Table'!$A$7), 'Points-Table'!$C$7,
                (Y215 = 'Points-Table'!$A$8), 'Points-Table'!$C$8,
                (Y215 = 'Points-Table'!$A$9), 'Points-Table'!$C$9,
                (Y215 = 'Points-Table'!$A$10), 'Points-Table'!$C$10,
                (Y215 = 'Points-Table'!$A$11), 'Points-Table'!$C$11,
                (Y215 = 'Points-Table'!$A$12), 'Points-Table'!$C$12,
                (Y215 = 'Points-Table'!$A$13), 'Points-Table'!$C$13,
                true, 0
              )
            </f>
      </c>
      <c r="AA215" s="13">
        <f>SUM(V215,X215,Z215)</f>
      </c>
      <c r="AB215" s="13">
        <f>
      Ifs( 
        ISBETWEEN(AA215, 0, 'Points-Table'!C$20, TRUE, False), 'Points-Table'!A$20,
        ISBETWEEN(AA215, 'Points-Table'!C$20, 'Points-Table'!C$21, TRUE, False), 'Points-Table'!A$21,
        ISBETWEEN(AA215, 'Points-Table'!C$22, 10000, TRUE, TRUE), 'Points-Table'!A$22,
        true, 
        0)
      </f>
      </c>
      <c r="AC215" s="13" t="s">
        <v>56</v>
      </c>
      <c r="AD215" s="13" t="s">
        <v>56</v>
      </c>
      <c r="AE215" s="13" t="s">
        <v>56</v>
      </c>
    </row>
    <row r="216" spans="1:31" s="13" customFormat="1" x14ac:dyDescent="0.25">
      <c r="A216" s="13" t="s">
        <v>179</v>
      </c>
      <c r="D216" s="13"/>
      <c r="E216" s="13"/>
      <c r="F216" s="13"/>
      <c r="G216" s="13"/>
      <c r="H216" s="13"/>
      <c r="I216" s="13"/>
      <c r="J216" s="13"/>
      <c r="K216" s="13" t="s">
        <v>84</v>
      </c>
      <c r="L216" s="13" t="s">
        <v>85</v>
      </c>
      <c r="M216" s="13"/>
      <c r="N216" s="13"/>
      <c r="O216" s="13"/>
      <c r="P216" s="13"/>
      <c r="Q216" s="13">
        <v>8</v>
      </c>
      <c r="R216" s="13">
        <f>
              Ifs(
                (Q216 = 'Points-Table'!$A$4), 'Points-Table'!$C$4,
                (Q216 = 'Points-Table'!$A$5), 'Points-Table'!$C$5,
                (Q216 = 'Points-Table'!$A$6), 'Points-Table'!$C$6,
                (Q216 = 'Points-Table'!$A$7), 'Points-Table'!$C$7,
                (Q216 = 'Points-Table'!$A$8), 'Points-Table'!$C$8,
                (Q216 = 'Points-Table'!$A$9), 'Points-Table'!$C$9,
                (Q216 = 'Points-Table'!$A$10), 'Points-Table'!$C$10,
                (Q216 = 'Points-Table'!$A$11), 'Points-Table'!$C$11,
                (Q216 = 'Points-Table'!$A$12), 'Points-Table'!$C$12,
                (Q216 = 'Points-Table'!$A$13), 'Points-Table'!$C$13,
                true, 0
              )
            </f>
      </c>
      <c r="S216" s="13">
        <v>34</v>
      </c>
      <c r="T216" s="13">
        <f>
              Ifs(
                (S216 = 'Points-Table'!$A$4), 'Points-Table'!$C$4,
                (S216 = 'Points-Table'!$A$5), 'Points-Table'!$C$5,
                (S216 = 'Points-Table'!$A$6), 'Points-Table'!$C$6,
                (S216 = 'Points-Table'!$A$7), 'Points-Table'!$C$7,
                (S216 = 'Points-Table'!$A$8), 'Points-Table'!$C$8,
                (S216 = 'Points-Table'!$A$9), 'Points-Table'!$C$9,
                (S216 = 'Points-Table'!$A$10), 'Points-Table'!$C$10,
                (S216 = 'Points-Table'!$A$11), 'Points-Table'!$C$11,
                (S216 = 'Points-Table'!$A$12), 'Points-Table'!$C$12,
                (S216 = 'Points-Table'!$A$13), 'Points-Table'!$C$13,
                true, 0
              )
            </f>
      </c>
      <c r="U216" s="13">
        <v>0</v>
      </c>
      <c r="V216" s="13">
        <f>
              Ifs(
                (U216 = 'Points-Table'!$A$4), 'Points-Table'!$C$4,
                (U216 = 'Points-Table'!$A$5), 'Points-Table'!$C$5,
                (U216 = 'Points-Table'!$A$6), 'Points-Table'!$C$6,
                (U216 = 'Points-Table'!$A$7), 'Points-Table'!$C$7,
                (U216 = 'Points-Table'!$A$8), 'Points-Table'!$C$8,
                (U216 = 'Points-Table'!$A$9), 'Points-Table'!$C$9,
                (U216 = 'Points-Table'!$A$10), 'Points-Table'!$C$10,
                (U216 = 'Points-Table'!$A$11), 'Points-Table'!$C$11,
                (U216 = 'Points-Table'!$A$12), 'Points-Table'!$C$12,
                (U216 = 'Points-Table'!$A$13), 'Points-Table'!$C$13,
                true, 0
              )
            </f>
      </c>
      <c r="W216" s="13">
        <v>0</v>
      </c>
      <c r="X216" s="13">
        <f>
              Ifs(
                (W216 = 'Points-Table'!$A$4), 'Points-Table'!$C$4,
                (W216 = 'Points-Table'!$A$5), 'Points-Table'!$C$5,
                (W216 = 'Points-Table'!$A$6), 'Points-Table'!$C$6,
                (W216 = 'Points-Table'!$A$7), 'Points-Table'!$C$7,
                (W216 = 'Points-Table'!$A$8), 'Points-Table'!$C$8,
                (W216 = 'Points-Table'!$A$9), 'Points-Table'!$C$9,
                (W216 = 'Points-Table'!$A$10), 'Points-Table'!$C$10,
                (W216 = 'Points-Table'!$A$11), 'Points-Table'!$C$11,
                (W216 = 'Points-Table'!$A$12), 'Points-Table'!$C$12,
                (W216 = 'Points-Table'!$A$13), 'Points-Table'!$C$13,
                true, 0
              )
            </f>
      </c>
      <c r="Y216" s="13">
        <v>0</v>
      </c>
      <c r="Z216" s="13">
        <f>
              Ifs(
                (Y216 = 'Points-Table'!$A$4), 'Points-Table'!$C$4,
                (Y216 = 'Points-Table'!$A$5), 'Points-Table'!$C$5,
                (Y216 = 'Points-Table'!$A$6), 'Points-Table'!$C$6,
                (Y216 = 'Points-Table'!$A$7), 'Points-Table'!$C$7,
                (Y216 = 'Points-Table'!$A$8), 'Points-Table'!$C$8,
                (Y216 = 'Points-Table'!$A$9), 'Points-Table'!$C$9,
                (Y216 = 'Points-Table'!$A$10), 'Points-Table'!$C$10,
                (Y216 = 'Points-Table'!$A$11), 'Points-Table'!$C$11,
                (Y216 = 'Points-Table'!$A$12), 'Points-Table'!$C$12,
                (Y216 = 'Points-Table'!$A$13), 'Points-Table'!$C$13,
                true, 0
              )
            </f>
      </c>
      <c r="AA216" s="13">
        <f>SUM(V216,X216,Z216)</f>
      </c>
      <c r="AB216" s="13">
        <f>
      Ifs( 
        ISBETWEEN(AA216, 0, 'Points-Table'!C$20, TRUE, False), 'Points-Table'!A$20,
        ISBETWEEN(AA216, 'Points-Table'!C$20, 'Points-Table'!C$21, TRUE, False), 'Points-Table'!A$21,
        ISBETWEEN(AA216, 'Points-Table'!C$22, 10000, TRUE, TRUE), 'Points-Table'!A$22,
        true, 
        0)
      </f>
      </c>
      <c r="AC216" s="13" t="s">
        <v>56</v>
      </c>
      <c r="AD216" s="13" t="s">
        <v>56</v>
      </c>
      <c r="AE216" s="13" t="s">
        <v>56</v>
      </c>
    </row>
    <row r="217" spans="1:26" x14ac:dyDescent="0.25">
      <c r="Q217" s="14"/>
      <c r="R217" s="15"/>
      <c r="S217" s="14"/>
      <c r="T217" s="15"/>
      <c r="U217" s="14"/>
      <c r="V217" s="15"/>
      <c r="W217" s="14"/>
      <c r="X217" s="15"/>
      <c r="Y217" s="14"/>
      <c r="Z217" s="15"/>
    </row>
    <row r="218" spans="1:26" x14ac:dyDescent="0.25">
      <c r="Q218" s="14"/>
      <c r="R218" s="15"/>
      <c r="S218" s="14"/>
      <c r="T218" s="15"/>
      <c r="U218" s="14"/>
      <c r="V218" s="15"/>
      <c r="W218" s="14"/>
      <c r="X218" s="15"/>
      <c r="Y218" s="14"/>
      <c r="Z218" s="15"/>
    </row>
    <row r="219" spans="1:26" x14ac:dyDescent="0.25">
      <c r="Q219" s="14"/>
      <c r="R219" s="15"/>
      <c r="S219" s="14"/>
      <c r="T219" s="15"/>
      <c r="U219" s="14"/>
      <c r="V219" s="15"/>
      <c r="W219" s="14"/>
      <c r="X219" s="15"/>
      <c r="Y219" s="14"/>
      <c r="Z219" s="15"/>
    </row>
    <row r="220" spans="1:26" x14ac:dyDescent="0.25">
      <c r="Q220" s="14"/>
      <c r="R220" s="15"/>
      <c r="S220" s="14"/>
      <c r="T220" s="15"/>
      <c r="U220" s="14"/>
      <c r="V220" s="15"/>
      <c r="W220" s="14"/>
      <c r="X220" s="15"/>
      <c r="Y220" s="14"/>
      <c r="Z220" s="15"/>
    </row>
    <row r="221" spans="1:26" x14ac:dyDescent="0.25">
      <c r="Q221" s="14"/>
      <c r="R221" s="15"/>
      <c r="S221" s="14"/>
      <c r="T221" s="15"/>
      <c r="U221" s="14"/>
      <c r="V221" s="15"/>
      <c r="W221" s="14"/>
      <c r="X221" s="15"/>
      <c r="Y221" s="14"/>
      <c r="Z221" s="15"/>
    </row>
    <row r="222" spans="1:26" x14ac:dyDescent="0.25">
      <c r="Q222" s="14"/>
      <c r="R222" s="15"/>
      <c r="S222" s="14"/>
      <c r="T222" s="15"/>
      <c r="U222" s="14"/>
      <c r="V222" s="15"/>
      <c r="W222" s="14"/>
      <c r="X222" s="15"/>
      <c r="Y222" s="14"/>
      <c r="Z222" s="15"/>
    </row>
    <row r="223" spans="1:26" x14ac:dyDescent="0.25">
      <c r="Q223" s="14"/>
      <c r="R223" s="15"/>
      <c r="S223" s="14"/>
      <c r="T223" s="15"/>
      <c r="U223" s="14"/>
      <c r="V223" s="15"/>
      <c r="W223" s="14"/>
      <c r="X223" s="15"/>
      <c r="Y223" s="14"/>
      <c r="Z223" s="15"/>
    </row>
    <row r="224" spans="1:26" x14ac:dyDescent="0.25">
      <c r="Q224" s="14"/>
      <c r="R224" s="15"/>
      <c r="S224" s="14"/>
      <c r="T224" s="15"/>
      <c r="U224" s="14"/>
      <c r="V224" s="15"/>
      <c r="W224" s="14"/>
      <c r="X224" s="15"/>
      <c r="Y224" s="14"/>
      <c r="Z224" s="15"/>
    </row>
    <row r="225" spans="1:26" x14ac:dyDescent="0.25">
      <c r="Q225" s="14"/>
      <c r="R225" s="15"/>
      <c r="S225" s="14"/>
      <c r="T225" s="15"/>
      <c r="U225" s="14"/>
      <c r="V225" s="15"/>
      <c r="W225" s="14"/>
      <c r="X225" s="15"/>
      <c r="Y225" s="14"/>
      <c r="Z225" s="15"/>
    </row>
    <row r="226" spans="1:26" x14ac:dyDescent="0.25">
      <c r="Q226" s="14"/>
      <c r="R226" s="15"/>
      <c r="S226" s="14"/>
      <c r="T226" s="15"/>
      <c r="U226" s="14"/>
      <c r="V226" s="15"/>
      <c r="W226" s="14"/>
      <c r="X226" s="15"/>
      <c r="Y226" s="14"/>
      <c r="Z226" s="15"/>
    </row>
    <row r="227" spans="1:26" x14ac:dyDescent="0.25">
      <c r="Q227" s="14"/>
      <c r="R227" s="15"/>
      <c r="S227" s="14"/>
      <c r="T227" s="15"/>
      <c r="U227" s="14"/>
      <c r="V227" s="15"/>
      <c r="W227" s="14"/>
      <c r="X227" s="15"/>
      <c r="Y227" s="14"/>
      <c r="Z227" s="15"/>
    </row>
    <row r="228" spans="1:26" x14ac:dyDescent="0.25">
      <c r="Q228" s="14"/>
      <c r="R228" s="15"/>
      <c r="S228" s="14"/>
      <c r="T228" s="15"/>
      <c r="U228" s="14"/>
      <c r="V228" s="15"/>
      <c r="W228" s="14"/>
      <c r="X228" s="15"/>
      <c r="Y228" s="14"/>
      <c r="Z228" s="15"/>
    </row>
    <row r="229" spans="1:26" x14ac:dyDescent="0.25">
      <c r="Q229" s="14"/>
      <c r="R229" s="15"/>
      <c r="S229" s="14"/>
      <c r="T229" s="15"/>
      <c r="U229" s="14"/>
      <c r="V229" s="15"/>
      <c r="W229" s="14"/>
      <c r="X229" s="15"/>
      <c r="Y229" s="14"/>
      <c r="Z229" s="15"/>
    </row>
    <row r="230" spans="1:26" x14ac:dyDescent="0.25">
      <c r="Q230" s="14"/>
      <c r="R230" s="15"/>
      <c r="S230" s="14"/>
      <c r="T230" s="15"/>
      <c r="U230" s="14"/>
      <c r="V230" s="15"/>
      <c r="W230" s="14"/>
      <c r="X230" s="15"/>
      <c r="Y230" s="14"/>
      <c r="Z230" s="15"/>
    </row>
    <row r="231" spans="1:26" x14ac:dyDescent="0.25">
      <c r="Q231" s="14"/>
      <c r="R231" s="15"/>
      <c r="S231" s="14"/>
      <c r="T231" s="15"/>
      <c r="U231" s="14"/>
      <c r="V231" s="15"/>
      <c r="W231" s="14"/>
      <c r="X231" s="15"/>
      <c r="Y231" s="14"/>
      <c r="Z231" s="15"/>
    </row>
    <row r="232" spans="1:26" x14ac:dyDescent="0.25">
      <c r="Q232" s="14"/>
      <c r="R232" s="15"/>
      <c r="S232" s="14"/>
      <c r="T232" s="15"/>
      <c r="U232" s="14"/>
      <c r="V232" s="15"/>
      <c r="W232" s="14"/>
      <c r="X232" s="15"/>
      <c r="Y232" s="14"/>
      <c r="Z232" s="15"/>
    </row>
    <row r="233" spans="1:26" x14ac:dyDescent="0.25">
      <c r="Q233" s="14"/>
      <c r="R233" s="15"/>
      <c r="S233" s="14"/>
      <c r="T233" s="15"/>
      <c r="U233" s="14"/>
      <c r="V233" s="15"/>
      <c r="W233" s="14"/>
      <c r="X233" s="15"/>
      <c r="Y233" s="14"/>
      <c r="Z233" s="15"/>
    </row>
    <row r="234" spans="1:26" x14ac:dyDescent="0.25">
      <c r="Q234" s="14"/>
      <c r="R234" s="15"/>
      <c r="S234" s="14"/>
      <c r="T234" s="15"/>
      <c r="U234" s="14"/>
      <c r="V234" s="15"/>
      <c r="W234" s="14"/>
      <c r="X234" s="15"/>
      <c r="Y234" s="14"/>
      <c r="Z234" s="15"/>
    </row>
    <row r="235" spans="1:26" x14ac:dyDescent="0.25">
      <c r="Q235" s="14"/>
      <c r="R235" s="15"/>
      <c r="S235" s="14"/>
      <c r="T235" s="15"/>
      <c r="U235" s="14"/>
      <c r="V235" s="15"/>
      <c r="W235" s="14"/>
      <c r="X235" s="15"/>
      <c r="Y235" s="14"/>
      <c r="Z235" s="15"/>
    </row>
    <row r="236" spans="1:26" x14ac:dyDescent="0.25">
      <c r="Q236" s="14"/>
      <c r="R236" s="15"/>
      <c r="S236" s="14"/>
      <c r="T236" s="15"/>
      <c r="U236" s="14"/>
      <c r="V236" s="15"/>
      <c r="W236" s="14"/>
      <c r="X236" s="15"/>
      <c r="Y236" s="14"/>
      <c r="Z236" s="15"/>
    </row>
    <row r="237" spans="1:26" x14ac:dyDescent="0.25">
      <c r="Q237" s="14"/>
      <c r="R237" s="15"/>
      <c r="S237" s="14"/>
      <c r="T237" s="15"/>
      <c r="U237" s="14"/>
      <c r="V237" s="15"/>
      <c r="W237" s="14"/>
      <c r="X237" s="15"/>
      <c r="Y237" s="14"/>
      <c r="Z237" s="15"/>
    </row>
    <row r="238" spans="1:26" x14ac:dyDescent="0.25">
      <c r="Q238" s="14"/>
      <c r="R238" s="15"/>
      <c r="S238" s="14"/>
      <c r="T238" s="15"/>
      <c r="U238" s="14"/>
      <c r="V238" s="15"/>
      <c r="W238" s="14"/>
      <c r="X238" s="15"/>
      <c r="Y238" s="14"/>
      <c r="Z238" s="15"/>
    </row>
    <row r="239" spans="1:26" x14ac:dyDescent="0.25">
      <c r="Q239" s="14"/>
      <c r="R239" s="15"/>
      <c r="S239" s="14"/>
      <c r="T239" s="15"/>
      <c r="U239" s="14"/>
      <c r="V239" s="15"/>
      <c r="W239" s="14"/>
      <c r="X239" s="15"/>
      <c r="Y239" s="14"/>
      <c r="Z239" s="15"/>
    </row>
    <row r="240" spans="1:26" x14ac:dyDescent="0.25">
      <c r="Q240" s="14"/>
      <c r="R240" s="15"/>
      <c r="S240" s="14"/>
      <c r="T240" s="15"/>
      <c r="U240" s="14"/>
      <c r="V240" s="15"/>
      <c r="W240" s="14"/>
      <c r="X240" s="15"/>
      <c r="Y240" s="14"/>
      <c r="Z240" s="15"/>
    </row>
    <row r="241" spans="1:26" x14ac:dyDescent="0.25">
      <c r="Q241" s="14"/>
      <c r="R241" s="15"/>
      <c r="S241" s="14"/>
      <c r="T241" s="15"/>
      <c r="U241" s="14"/>
      <c r="V241" s="15"/>
      <c r="W241" s="14"/>
      <c r="X241" s="15"/>
      <c r="Y241" s="14"/>
      <c r="Z241" s="15"/>
    </row>
    <row r="242" spans="1:26" x14ac:dyDescent="0.25">
      <c r="Q242" s="14"/>
      <c r="R242" s="15"/>
      <c r="S242" s="14"/>
      <c r="T242" s="15"/>
      <c r="U242" s="14"/>
      <c r="V242" s="15"/>
      <c r="W242" s="14"/>
      <c r="X242" s="15"/>
      <c r="Y242" s="14"/>
      <c r="Z242" s="15"/>
    </row>
    <row r="243" spans="1:26" x14ac:dyDescent="0.25">
      <c r="Q243" s="14"/>
      <c r="R243" s="15"/>
      <c r="S243" s="14"/>
      <c r="T243" s="15"/>
      <c r="U243" s="14"/>
      <c r="V243" s="15"/>
      <c r="W243" s="14"/>
      <c r="X243" s="15"/>
      <c r="Y243" s="14"/>
      <c r="Z243" s="15"/>
    </row>
    <row r="244" spans="1:26" x14ac:dyDescent="0.25">
      <c r="Q244" s="14"/>
      <c r="R244" s="15"/>
      <c r="S244" s="14"/>
      <c r="T244" s="15"/>
      <c r="U244" s="14"/>
      <c r="V244" s="15"/>
      <c r="W244" s="14"/>
      <c r="X244" s="15"/>
      <c r="Y244" s="14"/>
      <c r="Z244" s="15"/>
    </row>
    <row r="245" spans="1:26" x14ac:dyDescent="0.25">
      <c r="Q245" s="14"/>
      <c r="R245" s="15"/>
      <c r="S245" s="14"/>
      <c r="T245" s="15"/>
      <c r="U245" s="14"/>
      <c r="V245" s="15"/>
      <c r="W245" s="14"/>
      <c r="X245" s="15"/>
      <c r="Y245" s="14"/>
      <c r="Z245" s="15"/>
    </row>
    <row r="246" spans="1:26" x14ac:dyDescent="0.25">
      <c r="Q246" s="14"/>
      <c r="R246" s="15"/>
      <c r="S246" s="14"/>
      <c r="T246" s="15"/>
      <c r="U246" s="14"/>
      <c r="V246" s="15"/>
      <c r="W246" s="14"/>
      <c r="X246" s="15"/>
      <c r="Y246" s="14"/>
      <c r="Z246" s="15"/>
    </row>
    <row r="247" spans="1:26" x14ac:dyDescent="0.25">
      <c r="Q247" s="14"/>
      <c r="R247" s="15"/>
      <c r="S247" s="14"/>
      <c r="T247" s="15"/>
      <c r="U247" s="14"/>
      <c r="V247" s="15"/>
      <c r="W247" s="14"/>
      <c r="X247" s="15"/>
      <c r="Y247" s="14"/>
      <c r="Z247" s="15"/>
    </row>
    <row r="248" spans="1:26" x14ac:dyDescent="0.25">
      <c r="Q248" s="14"/>
      <c r="R248" s="15"/>
      <c r="S248" s="14"/>
      <c r="T248" s="15"/>
      <c r="U248" s="14"/>
      <c r="V248" s="15"/>
      <c r="W248" s="14"/>
      <c r="X248" s="15"/>
      <c r="Y248" s="14"/>
      <c r="Z248" s="15"/>
    </row>
    <row r="249" spans="1:26" x14ac:dyDescent="0.25">
      <c r="Q249" s="14"/>
      <c r="R249" s="15"/>
      <c r="S249" s="14"/>
      <c r="T249" s="15"/>
      <c r="U249" s="14"/>
      <c r="V249" s="15"/>
      <c r="W249" s="14"/>
      <c r="X249" s="15"/>
      <c r="Y249" s="14"/>
      <c r="Z249" s="15"/>
    </row>
    <row r="250" spans="1:26" x14ac:dyDescent="0.25">
      <c r="Q250" s="14"/>
      <c r="R250" s="15"/>
      <c r="S250" s="14"/>
      <c r="T250" s="15"/>
      <c r="U250" s="14"/>
      <c r="V250" s="15"/>
      <c r="W250" s="14"/>
      <c r="X250" s="15"/>
      <c r="Y250" s="14"/>
      <c r="Z250" s="15"/>
    </row>
    <row r="251" spans="1:26" x14ac:dyDescent="0.25">
      <c r="Q251" s="14"/>
      <c r="R251" s="15"/>
      <c r="S251" s="14"/>
      <c r="T251" s="15"/>
      <c r="U251" s="14"/>
      <c r="V251" s="15"/>
      <c r="W251" s="14"/>
      <c r="X251" s="15"/>
      <c r="Y251" s="14"/>
      <c r="Z251" s="15"/>
    </row>
    <row r="252" spans="1:26" x14ac:dyDescent="0.25">
      <c r="Q252" s="14"/>
      <c r="R252" s="15"/>
      <c r="S252" s="14"/>
      <c r="T252" s="15"/>
      <c r="U252" s="14"/>
      <c r="V252" s="15"/>
      <c r="W252" s="14"/>
      <c r="X252" s="15"/>
      <c r="Y252" s="14"/>
      <c r="Z252" s="15"/>
    </row>
    <row r="253" spans="1:26" x14ac:dyDescent="0.25">
      <c r="Q253" s="14"/>
      <c r="R253" s="15"/>
      <c r="S253" s="14"/>
      <c r="T253" s="15"/>
      <c r="U253" s="14"/>
      <c r="V253" s="15"/>
      <c r="W253" s="14"/>
      <c r="X253" s="15"/>
      <c r="Y253" s="14"/>
      <c r="Z253" s="15"/>
    </row>
    <row r="254" spans="1:26" x14ac:dyDescent="0.25">
      <c r="Q254" s="14"/>
      <c r="R254" s="15"/>
      <c r="S254" s="14"/>
      <c r="T254" s="15"/>
      <c r="U254" s="14"/>
      <c r="V254" s="15"/>
      <c r="W254" s="14"/>
      <c r="X254" s="15"/>
      <c r="Y254" s="14"/>
      <c r="Z254" s="15"/>
    </row>
    <row r="255" spans="1:26" x14ac:dyDescent="0.25">
      <c r="Q255" s="14"/>
      <c r="R255" s="15"/>
      <c r="S255" s="14"/>
      <c r="T255" s="15"/>
      <c r="U255" s="14"/>
      <c r="V255" s="15"/>
      <c r="W255" s="14"/>
      <c r="X255" s="15"/>
      <c r="Y255" s="14"/>
      <c r="Z255" s="15"/>
    </row>
    <row r="256" spans="1:26" x14ac:dyDescent="0.25">
      <c r="Q256" s="14"/>
      <c r="R256" s="15"/>
      <c r="S256" s="14"/>
      <c r="T256" s="15"/>
      <c r="U256" s="14"/>
      <c r="V256" s="15"/>
      <c r="W256" s="14"/>
      <c r="X256" s="15"/>
      <c r="Y256" s="14"/>
      <c r="Z256" s="15"/>
    </row>
    <row r="257" spans="1:26" x14ac:dyDescent="0.25">
      <c r="Q257" s="14"/>
      <c r="R257" s="15"/>
      <c r="S257" s="14"/>
      <c r="T257" s="15"/>
      <c r="U257" s="14"/>
      <c r="V257" s="15"/>
      <c r="W257" s="14"/>
      <c r="X257" s="15"/>
      <c r="Y257" s="14"/>
      <c r="Z257" s="15"/>
    </row>
    <row r="258" spans="1:26" x14ac:dyDescent="0.25">
      <c r="Q258" s="14"/>
      <c r="R258" s="15"/>
      <c r="S258" s="14"/>
      <c r="T258" s="15"/>
      <c r="U258" s="14"/>
      <c r="V258" s="15"/>
      <c r="W258" s="14"/>
      <c r="X258" s="15"/>
      <c r="Y258" s="14"/>
      <c r="Z258" s="15"/>
    </row>
    <row r="259" spans="1:26" x14ac:dyDescent="0.25">
      <c r="Q259" s="14"/>
      <c r="R259" s="15"/>
      <c r="S259" s="14"/>
      <c r="T259" s="15"/>
      <c r="U259" s="14"/>
      <c r="V259" s="15"/>
      <c r="W259" s="14"/>
      <c r="X259" s="15"/>
      <c r="Y259" s="14"/>
      <c r="Z259" s="15"/>
    </row>
    <row r="260" spans="1:26" x14ac:dyDescent="0.25">
      <c r="Q260" s="14"/>
      <c r="R260" s="15"/>
      <c r="S260" s="14"/>
      <c r="T260" s="15"/>
      <c r="U260" s="14"/>
      <c r="V260" s="15"/>
      <c r="W260" s="14"/>
      <c r="X260" s="15"/>
      <c r="Y260" s="14"/>
      <c r="Z260" s="15"/>
    </row>
    <row r="261" spans="1:26" x14ac:dyDescent="0.25">
      <c r="Q261" s="14"/>
      <c r="R261" s="15"/>
      <c r="S261" s="14"/>
      <c r="T261" s="15"/>
      <c r="U261" s="14"/>
      <c r="V261" s="15"/>
      <c r="W261" s="14"/>
      <c r="X261" s="15"/>
      <c r="Y261" s="14"/>
      <c r="Z261" s="15"/>
    </row>
    <row r="262" spans="1:26" x14ac:dyDescent="0.25">
      <c r="Q262" s="14"/>
      <c r="R262" s="15"/>
      <c r="S262" s="14"/>
      <c r="T262" s="15"/>
      <c r="U262" s="14"/>
      <c r="V262" s="15"/>
      <c r="W262" s="14"/>
      <c r="X262" s="15"/>
      <c r="Y262" s="14"/>
      <c r="Z262" s="15"/>
    </row>
    <row r="263" spans="1:26" x14ac:dyDescent="0.25">
      <c r="Q263" s="14"/>
      <c r="R263" s="15"/>
      <c r="S263" s="14"/>
      <c r="T263" s="15"/>
      <c r="U263" s="14"/>
      <c r="V263" s="15"/>
      <c r="W263" s="14"/>
      <c r="X263" s="15"/>
      <c r="Y263" s="14"/>
      <c r="Z263" s="15"/>
    </row>
    <row r="264" spans="1:26" x14ac:dyDescent="0.25">
      <c r="Q264" s="14"/>
      <c r="R264" s="15"/>
      <c r="S264" s="14"/>
      <c r="T264" s="15"/>
      <c r="U264" s="14"/>
      <c r="V264" s="15"/>
      <c r="W264" s="14"/>
      <c r="X264" s="15"/>
      <c r="Y264" s="14"/>
      <c r="Z264" s="15"/>
    </row>
    <row r="265" spans="1:26" x14ac:dyDescent="0.25">
      <c r="Q265" s="14"/>
      <c r="R265" s="15"/>
      <c r="S265" s="14"/>
      <c r="T265" s="15"/>
      <c r="U265" s="14"/>
      <c r="V265" s="15"/>
      <c r="W265" s="14"/>
      <c r="X265" s="15"/>
      <c r="Y265" s="14"/>
      <c r="Z265" s="15"/>
    </row>
    <row r="266" spans="1:26" x14ac:dyDescent="0.25">
      <c r="Q266" s="14"/>
      <c r="R266" s="15"/>
      <c r="S266" s="14"/>
      <c r="T266" s="15"/>
      <c r="U266" s="14"/>
      <c r="V266" s="15"/>
      <c r="W266" s="14"/>
      <c r="X266" s="15"/>
      <c r="Y266" s="14"/>
      <c r="Z266" s="15"/>
    </row>
    <row r="267" spans="1:26" x14ac:dyDescent="0.25">
      <c r="Q267" s="14"/>
      <c r="R267" s="15"/>
      <c r="S267" s="14"/>
      <c r="T267" s="15"/>
      <c r="U267" s="14"/>
      <c r="V267" s="15"/>
      <c r="W267" s="14"/>
      <c r="X267" s="15"/>
      <c r="Y267" s="14"/>
      <c r="Z267" s="15"/>
    </row>
    <row r="268" spans="1:26" x14ac:dyDescent="0.25">
      <c r="Q268" s="14"/>
      <c r="R268" s="15"/>
      <c r="S268" s="14"/>
      <c r="T268" s="15"/>
      <c r="U268" s="14"/>
      <c r="V268" s="15"/>
      <c r="W268" s="14"/>
      <c r="X268" s="15"/>
      <c r="Y268" s="14"/>
      <c r="Z268" s="15"/>
    </row>
    <row r="269" spans="1:26" x14ac:dyDescent="0.25">
      <c r="Q269" s="14"/>
      <c r="R269" s="15"/>
      <c r="S269" s="14"/>
      <c r="T269" s="15"/>
      <c r="U269" s="14"/>
      <c r="V269" s="15"/>
      <c r="W269" s="14"/>
      <c r="X269" s="15"/>
      <c r="Y269" s="14"/>
      <c r="Z269" s="15"/>
    </row>
    <row r="270" spans="1:26" x14ac:dyDescent="0.25">
      <c r="Q270" s="14"/>
      <c r="R270" s="15"/>
      <c r="S270" s="14"/>
      <c r="T270" s="15"/>
      <c r="U270" s="14"/>
      <c r="V270" s="15"/>
      <c r="W270" s="14"/>
      <c r="X270" s="15"/>
      <c r="Y270" s="14"/>
      <c r="Z270" s="15"/>
    </row>
    <row r="271" spans="1:26" x14ac:dyDescent="0.25">
      <c r="Q271" s="14"/>
      <c r="R271" s="15"/>
      <c r="S271" s="14"/>
      <c r="T271" s="15"/>
      <c r="U271" s="14"/>
      <c r="V271" s="15"/>
      <c r="W271" s="14"/>
      <c r="X271" s="15"/>
      <c r="Y271" s="14"/>
      <c r="Z271" s="15"/>
    </row>
    <row r="272" spans="1:26" x14ac:dyDescent="0.25">
      <c r="Q272" s="14"/>
      <c r="R272" s="15"/>
      <c r="S272" s="14"/>
      <c r="T272" s="15"/>
      <c r="U272" s="14"/>
      <c r="V272" s="15"/>
      <c r="W272" s="14"/>
      <c r="X272" s="15"/>
      <c r="Y272" s="14"/>
      <c r="Z272" s="15"/>
    </row>
    <row r="273" spans="1:26" x14ac:dyDescent="0.25">
      <c r="Q273" s="14"/>
      <c r="R273" s="15"/>
      <c r="S273" s="14"/>
      <c r="T273" s="15"/>
      <c r="U273" s="14"/>
      <c r="V273" s="15"/>
      <c r="W273" s="14"/>
      <c r="X273" s="15"/>
      <c r="Y273" s="14"/>
      <c r="Z273" s="15"/>
    </row>
    <row r="274" spans="1:26" x14ac:dyDescent="0.25">
      <c r="Q274" s="14"/>
      <c r="R274" s="15"/>
      <c r="S274" s="14"/>
      <c r="T274" s="15"/>
      <c r="U274" s="14"/>
      <c r="V274" s="15"/>
      <c r="W274" s="14"/>
      <c r="X274" s="15"/>
      <c r="Y274" s="14"/>
      <c r="Z274" s="15"/>
    </row>
    <row r="275" spans="1:26" x14ac:dyDescent="0.25">
      <c r="Q275" s="14"/>
      <c r="R275" s="15"/>
      <c r="S275" s="14"/>
      <c r="T275" s="15"/>
      <c r="U275" s="14"/>
      <c r="V275" s="15"/>
      <c r="W275" s="14"/>
      <c r="X275" s="15"/>
      <c r="Y275" s="14"/>
      <c r="Z275" s="15"/>
    </row>
    <row r="276" spans="1:26" x14ac:dyDescent="0.25">
      <c r="Q276" s="14"/>
      <c r="R276" s="15"/>
      <c r="S276" s="14"/>
      <c r="T276" s="15"/>
      <c r="U276" s="14"/>
      <c r="V276" s="15"/>
      <c r="W276" s="14"/>
      <c r="X276" s="15"/>
      <c r="Y276" s="14"/>
      <c r="Z276" s="15"/>
    </row>
    <row r="277" spans="1:26" x14ac:dyDescent="0.25">
      <c r="Q277" s="14"/>
      <c r="R277" s="15"/>
      <c r="S277" s="14"/>
      <c r="T277" s="15"/>
      <c r="U277" s="14"/>
      <c r="V277" s="15"/>
      <c r="W277" s="14"/>
      <c r="X277" s="15"/>
      <c r="Y277" s="14"/>
      <c r="Z277" s="15"/>
    </row>
    <row r="278" spans="1:26" x14ac:dyDescent="0.25">
      <c r="Q278" s="14"/>
      <c r="R278" s="15"/>
      <c r="S278" s="14"/>
      <c r="T278" s="15"/>
      <c r="U278" s="14"/>
      <c r="V278" s="15"/>
      <c r="W278" s="14"/>
      <c r="X278" s="15"/>
      <c r="Y278" s="14"/>
      <c r="Z278" s="15"/>
    </row>
    <row r="279" spans="1:26" x14ac:dyDescent="0.25">
      <c r="Q279" s="14"/>
      <c r="R279" s="15"/>
      <c r="S279" s="14"/>
      <c r="T279" s="15"/>
      <c r="U279" s="14"/>
      <c r="V279" s="15"/>
      <c r="W279" s="14"/>
      <c r="X279" s="15"/>
      <c r="Y279" s="14"/>
      <c r="Z279" s="15"/>
    </row>
    <row r="280" spans="1:26" x14ac:dyDescent="0.25">
      <c r="Q280" s="14"/>
      <c r="R280" s="15"/>
      <c r="S280" s="14"/>
      <c r="T280" s="15"/>
      <c r="U280" s="14"/>
      <c r="V280" s="15"/>
      <c r="W280" s="14"/>
      <c r="X280" s="15"/>
      <c r="Y280" s="14"/>
      <c r="Z280" s="15"/>
    </row>
    <row r="281" spans="1:26" x14ac:dyDescent="0.25">
      <c r="Q281" s="14"/>
      <c r="R281" s="15"/>
      <c r="S281" s="14"/>
      <c r="T281" s="15"/>
      <c r="U281" s="14"/>
      <c r="V281" s="15"/>
      <c r="W281" s="14"/>
      <c r="X281" s="15"/>
      <c r="Y281" s="14"/>
      <c r="Z281" s="15"/>
    </row>
    <row r="282" spans="1:26" x14ac:dyDescent="0.25">
      <c r="Q282" s="14"/>
      <c r="R282" s="15"/>
      <c r="S282" s="14"/>
      <c r="T282" s="15"/>
      <c r="U282" s="14"/>
      <c r="V282" s="15"/>
      <c r="W282" s="14"/>
      <c r="X282" s="15"/>
      <c r="Y282" s="14"/>
      <c r="Z282" s="15"/>
    </row>
    <row r="283" spans="1:26" x14ac:dyDescent="0.25">
      <c r="Q283" s="14"/>
      <c r="R283" s="15"/>
      <c r="S283" s="14"/>
      <c r="T283" s="15"/>
      <c r="U283" s="14"/>
      <c r="V283" s="15"/>
      <c r="W283" s="14"/>
      <c r="X283" s="15"/>
      <c r="Y283" s="14"/>
      <c r="Z283" s="15"/>
    </row>
    <row r="284" spans="1:26" x14ac:dyDescent="0.25">
      <c r="Q284" s="14"/>
      <c r="R284" s="15"/>
      <c r="S284" s="14"/>
      <c r="T284" s="15"/>
      <c r="U284" s="14"/>
      <c r="V284" s="15"/>
      <c r="W284" s="14"/>
      <c r="X284" s="15"/>
      <c r="Y284" s="14"/>
      <c r="Z284" s="15"/>
    </row>
    <row r="285" spans="1:26" x14ac:dyDescent="0.25">
      <c r="Q285" s="14"/>
      <c r="R285" s="15"/>
      <c r="S285" s="14"/>
      <c r="T285" s="15"/>
      <c r="U285" s="14"/>
      <c r="V285" s="15"/>
      <c r="W285" s="14"/>
      <c r="X285" s="15"/>
      <c r="Y285" s="14"/>
      <c r="Z285" s="15"/>
    </row>
    <row r="286" spans="1:26" x14ac:dyDescent="0.25">
      <c r="Q286" s="14"/>
      <c r="R286" s="15"/>
      <c r="S286" s="14"/>
      <c r="T286" s="15"/>
      <c r="U286" s="14"/>
      <c r="V286" s="15"/>
      <c r="W286" s="14"/>
      <c r="X286" s="15"/>
      <c r="Y286" s="14"/>
      <c r="Z286" s="15"/>
    </row>
    <row r="287" spans="1:26" x14ac:dyDescent="0.25">
      <c r="Q287" s="14"/>
      <c r="R287" s="15"/>
      <c r="S287" s="14"/>
      <c r="T287" s="15"/>
      <c r="U287" s="14"/>
      <c r="V287" s="15"/>
      <c r="W287" s="14"/>
      <c r="X287" s="15"/>
      <c r="Y287" s="14"/>
      <c r="Z287" s="15"/>
    </row>
    <row r="288" spans="1:26" x14ac:dyDescent="0.25">
      <c r="Q288" s="14"/>
      <c r="R288" s="15"/>
      <c r="S288" s="14"/>
      <c r="T288" s="15"/>
      <c r="U288" s="14"/>
      <c r="V288" s="15"/>
      <c r="W288" s="14"/>
      <c r="X288" s="15"/>
      <c r="Y288" s="14"/>
      <c r="Z288" s="15"/>
    </row>
    <row r="289" spans="1:26" x14ac:dyDescent="0.25">
      <c r="Q289" s="14"/>
      <c r="R289" s="15"/>
      <c r="S289" s="14"/>
      <c r="T289" s="15"/>
      <c r="U289" s="14"/>
      <c r="V289" s="15"/>
      <c r="W289" s="14"/>
      <c r="X289" s="15"/>
      <c r="Y289" s="14"/>
      <c r="Z289" s="15"/>
    </row>
    <row r="290" spans="1:26" x14ac:dyDescent="0.25">
      <c r="Q290" s="14"/>
      <c r="R290" s="15"/>
      <c r="S290" s="14"/>
      <c r="T290" s="15"/>
      <c r="U290" s="14"/>
      <c r="V290" s="15"/>
      <c r="W290" s="14"/>
      <c r="X290" s="15"/>
      <c r="Y290" s="14"/>
      <c r="Z290" s="15"/>
    </row>
    <row r="291" spans="1:26" x14ac:dyDescent="0.25">
      <c r="Q291" s="14"/>
      <c r="R291" s="15"/>
      <c r="S291" s="14"/>
      <c r="T291" s="15"/>
      <c r="U291" s="14"/>
      <c r="V291" s="15"/>
      <c r="W291" s="14"/>
      <c r="X291" s="15"/>
      <c r="Y291" s="14"/>
      <c r="Z291" s="15"/>
    </row>
    <row r="292" spans="1:26" x14ac:dyDescent="0.25">
      <c r="Q292" s="14"/>
      <c r="R292" s="15"/>
      <c r="S292" s="14"/>
      <c r="T292" s="15"/>
      <c r="U292" s="14"/>
      <c r="V292" s="15"/>
      <c r="W292" s="14"/>
      <c r="X292" s="15"/>
      <c r="Y292" s="14"/>
      <c r="Z292" s="15"/>
    </row>
    <row r="293" spans="1:26" x14ac:dyDescent="0.25">
      <c r="Q293" s="14"/>
      <c r="R293" s="15"/>
      <c r="S293" s="14"/>
      <c r="T293" s="15"/>
      <c r="U293" s="14"/>
      <c r="V293" s="15"/>
      <c r="W293" s="14"/>
      <c r="X293" s="15"/>
      <c r="Y293" s="14"/>
      <c r="Z293" s="15"/>
    </row>
    <row r="294" spans="1:26" x14ac:dyDescent="0.25">
      <c r="Q294" s="14"/>
      <c r="R294" s="15"/>
      <c r="S294" s="14"/>
      <c r="T294" s="15"/>
      <c r="U294" s="14"/>
      <c r="V294" s="15"/>
      <c r="W294" s="14"/>
      <c r="X294" s="15"/>
      <c r="Y294" s="14"/>
      <c r="Z294" s="15"/>
    </row>
    <row r="295" spans="1:26" x14ac:dyDescent="0.25">
      <c r="Q295" s="14"/>
      <c r="R295" s="15"/>
      <c r="S295" s="14"/>
      <c r="T295" s="15"/>
      <c r="U295" s="14"/>
      <c r="V295" s="15"/>
      <c r="W295" s="14"/>
      <c r="X295" s="15"/>
      <c r="Y295" s="14"/>
      <c r="Z295" s="15"/>
    </row>
    <row r="296" spans="1:26" x14ac:dyDescent="0.25">
      <c r="Q296" s="14"/>
      <c r="R296" s="15"/>
      <c r="S296" s="14"/>
      <c r="T296" s="15"/>
      <c r="U296" s="14"/>
      <c r="V296" s="15"/>
      <c r="W296" s="14"/>
      <c r="X296" s="15"/>
      <c r="Y296" s="14"/>
      <c r="Z296" s="15"/>
    </row>
    <row r="297" spans="1:26" x14ac:dyDescent="0.25">
      <c r="Q297" s="14"/>
      <c r="R297" s="15"/>
      <c r="S297" s="14"/>
      <c r="T297" s="15"/>
      <c r="U297" s="14"/>
      <c r="V297" s="15"/>
      <c r="W297" s="14"/>
      <c r="X297" s="15"/>
      <c r="Y297" s="14"/>
      <c r="Z297" s="15"/>
    </row>
    <row r="298" spans="1:26" x14ac:dyDescent="0.25">
      <c r="Q298" s="14"/>
      <c r="R298" s="15"/>
      <c r="S298" s="14"/>
      <c r="T298" s="15"/>
      <c r="U298" s="14"/>
      <c r="V298" s="15"/>
      <c r="W298" s="14"/>
      <c r="X298" s="15"/>
      <c r="Y298" s="14"/>
      <c r="Z298" s="15"/>
    </row>
    <row r="299" spans="1:26" x14ac:dyDescent="0.25">
      <c r="Q299" s="14"/>
      <c r="R299" s="15"/>
      <c r="S299" s="14"/>
      <c r="T299" s="15"/>
      <c r="U299" s="14"/>
      <c r="V299" s="15"/>
      <c r="W299" s="14"/>
      <c r="X299" s="15"/>
      <c r="Y299" s="14"/>
      <c r="Z299" s="15"/>
    </row>
    <row r="300" spans="1:26" x14ac:dyDescent="0.25">
      <c r="Q300" s="14"/>
      <c r="R300" s="15"/>
      <c r="S300" s="14"/>
      <c r="T300" s="15"/>
      <c r="U300" s="14"/>
      <c r="V300" s="15"/>
      <c r="W300" s="14"/>
      <c r="X300" s="15"/>
      <c r="Y300" s="14"/>
      <c r="Z300" s="15"/>
    </row>
    <row r="301" spans="1:26" x14ac:dyDescent="0.25">
      <c r="Q301" s="14"/>
      <c r="R301" s="15"/>
      <c r="S301" s="14"/>
      <c r="T301" s="15"/>
      <c r="U301" s="14"/>
      <c r="V301" s="15"/>
      <c r="W301" s="14"/>
      <c r="X301" s="15"/>
      <c r="Y301" s="14"/>
      <c r="Z301" s="15"/>
    </row>
    <row r="302" spans="1:26" x14ac:dyDescent="0.25">
      <c r="Q302" s="14"/>
      <c r="R302" s="15"/>
      <c r="S302" s="14"/>
      <c r="T302" s="15"/>
      <c r="U302" s="14"/>
      <c r="V302" s="15"/>
      <c r="W302" s="14"/>
      <c r="X302" s="15"/>
      <c r="Y302" s="14"/>
      <c r="Z302" s="15"/>
    </row>
    <row r="303" spans="1:26" x14ac:dyDescent="0.25">
      <c r="Q303" s="14"/>
      <c r="R303" s="15"/>
      <c r="S303" s="14"/>
      <c r="T303" s="15"/>
      <c r="U303" s="14"/>
      <c r="V303" s="15"/>
      <c r="W303" s="14"/>
      <c r="X303" s="15"/>
      <c r="Y303" s="14"/>
      <c r="Z303" s="15"/>
    </row>
    <row r="304" spans="1:26" x14ac:dyDescent="0.25">
      <c r="Q304" s="14"/>
      <c r="R304" s="15"/>
      <c r="S304" s="14"/>
      <c r="T304" s="15"/>
      <c r="U304" s="14"/>
      <c r="V304" s="15"/>
      <c r="W304" s="14"/>
      <c r="X304" s="15"/>
      <c r="Y304" s="14"/>
      <c r="Z304" s="15"/>
    </row>
    <row r="305" spans="1:26" x14ac:dyDescent="0.25">
      <c r="Q305" s="14"/>
      <c r="R305" s="15"/>
      <c r="S305" s="14"/>
      <c r="T305" s="15"/>
      <c r="U305" s="14"/>
      <c r="V305" s="15"/>
      <c r="W305" s="14"/>
      <c r="X305" s="15"/>
      <c r="Y305" s="14"/>
      <c r="Z305" s="15"/>
    </row>
    <row r="306" spans="1:26" x14ac:dyDescent="0.25">
      <c r="Q306" s="14"/>
      <c r="R306" s="15"/>
      <c r="S306" s="14"/>
      <c r="T306" s="15"/>
      <c r="U306" s="14"/>
      <c r="V306" s="15"/>
      <c r="W306" s="14"/>
      <c r="X306" s="15"/>
      <c r="Y306" s="14"/>
      <c r="Z306" s="15"/>
    </row>
    <row r="307" spans="1:26" x14ac:dyDescent="0.25">
      <c r="Q307" s="14"/>
      <c r="R307" s="15"/>
      <c r="S307" s="14"/>
      <c r="T307" s="15"/>
      <c r="U307" s="14"/>
      <c r="V307" s="15"/>
      <c r="W307" s="14"/>
      <c r="X307" s="15"/>
      <c r="Y307" s="14"/>
      <c r="Z307" s="15"/>
    </row>
    <row r="308" spans="1:26" x14ac:dyDescent="0.25">
      <c r="Q308" s="14"/>
      <c r="R308" s="15"/>
      <c r="S308" s="14"/>
      <c r="T308" s="15"/>
      <c r="U308" s="14"/>
      <c r="V308" s="15"/>
      <c r="W308" s="14"/>
      <c r="X308" s="15"/>
      <c r="Y308" s="14"/>
      <c r="Z308" s="15"/>
    </row>
    <row r="309" spans="1:26" x14ac:dyDescent="0.25">
      <c r="Q309" s="14"/>
      <c r="R309" s="15"/>
      <c r="S309" s="14"/>
      <c r="T309" s="15"/>
      <c r="U309" s="14"/>
      <c r="V309" s="15"/>
      <c r="W309" s="14"/>
      <c r="X309" s="15"/>
      <c r="Y309" s="14"/>
      <c r="Z309" s="15"/>
    </row>
    <row r="310" spans="1:26" x14ac:dyDescent="0.25">
      <c r="Q310" s="14"/>
      <c r="R310" s="15"/>
      <c r="S310" s="14"/>
      <c r="T310" s="15"/>
      <c r="U310" s="14"/>
      <c r="V310" s="15"/>
      <c r="W310" s="14"/>
      <c r="X310" s="15"/>
      <c r="Y310" s="14"/>
      <c r="Z310" s="15"/>
    </row>
    <row r="311" spans="1:26" x14ac:dyDescent="0.25">
      <c r="Q311" s="14"/>
      <c r="R311" s="15"/>
      <c r="S311" s="14"/>
      <c r="T311" s="15"/>
      <c r="U311" s="14"/>
      <c r="V311" s="15"/>
      <c r="W311" s="14"/>
      <c r="X311" s="15"/>
      <c r="Y311" s="14"/>
      <c r="Z311" s="15"/>
    </row>
    <row r="312" spans="1:26" x14ac:dyDescent="0.25">
      <c r="Q312" s="14"/>
      <c r="R312" s="15"/>
      <c r="S312" s="14"/>
      <c r="T312" s="15"/>
      <c r="U312" s="14"/>
      <c r="V312" s="15"/>
      <c r="W312" s="14"/>
      <c r="X312" s="15"/>
      <c r="Y312" s="14"/>
      <c r="Z312" s="15"/>
    </row>
    <row r="313" spans="1:26" x14ac:dyDescent="0.25">
      <c r="Q313" s="14"/>
      <c r="R313" s="15"/>
      <c r="S313" s="14"/>
      <c r="T313" s="15"/>
      <c r="U313" s="14"/>
      <c r="V313" s="15"/>
      <c r="W313" s="14"/>
      <c r="X313" s="15"/>
      <c r="Y313" s="14"/>
      <c r="Z313" s="15"/>
    </row>
    <row r="314" spans="1:26" x14ac:dyDescent="0.25">
      <c r="Q314" s="14"/>
      <c r="R314" s="15"/>
      <c r="S314" s="14"/>
      <c r="T314" s="15"/>
      <c r="U314" s="14"/>
      <c r="V314" s="15"/>
      <c r="W314" s="14"/>
      <c r="X314" s="15"/>
      <c r="Y314" s="14"/>
      <c r="Z314" s="15"/>
    </row>
    <row r="315" spans="1:26" x14ac:dyDescent="0.25">
      <c r="Q315" s="14"/>
      <c r="R315" s="15"/>
      <c r="S315" s="14"/>
      <c r="T315" s="15"/>
      <c r="U315" s="14"/>
      <c r="V315" s="15"/>
      <c r="W315" s="14"/>
      <c r="X315" s="15"/>
      <c r="Y315" s="14"/>
      <c r="Z315" s="15"/>
    </row>
    <row r="316" spans="1:26" x14ac:dyDescent="0.25">
      <c r="Q316" s="14"/>
      <c r="R316" s="15"/>
      <c r="S316" s="14"/>
      <c r="T316" s="15"/>
      <c r="U316" s="14"/>
      <c r="V316" s="15"/>
      <c r="W316" s="14"/>
      <c r="X316" s="15"/>
      <c r="Y316" s="14"/>
      <c r="Z316" s="15"/>
    </row>
    <row r="317" spans="1:26" x14ac:dyDescent="0.25">
      <c r="Q317" s="14"/>
      <c r="R317" s="15"/>
      <c r="S317" s="14"/>
      <c r="T317" s="15"/>
      <c r="U317" s="14"/>
      <c r="V317" s="15"/>
      <c r="W317" s="14"/>
      <c r="X317" s="15"/>
      <c r="Y317" s="14"/>
      <c r="Z317" s="15"/>
    </row>
    <row r="318" spans="1:26" x14ac:dyDescent="0.25">
      <c r="Q318" s="14"/>
      <c r="R318" s="15"/>
      <c r="S318" s="14"/>
      <c r="T318" s="15"/>
      <c r="U318" s="14"/>
      <c r="V318" s="15"/>
      <c r="W318" s="14"/>
      <c r="X318" s="15"/>
      <c r="Y318" s="14"/>
      <c r="Z318" s="15"/>
    </row>
    <row r="319" spans="1:26" x14ac:dyDescent="0.25">
      <c r="Q319" s="14"/>
      <c r="R319" s="15"/>
      <c r="S319" s="14"/>
      <c r="T319" s="15"/>
      <c r="U319" s="14"/>
      <c r="V319" s="15"/>
      <c r="W319" s="14"/>
      <c r="X319" s="15"/>
      <c r="Y319" s="14"/>
      <c r="Z319" s="15"/>
    </row>
    <row r="320" spans="1:26" x14ac:dyDescent="0.25">
      <c r="Q320" s="14"/>
      <c r="R320" s="15"/>
      <c r="S320" s="14"/>
      <c r="T320" s="15"/>
      <c r="U320" s="14"/>
      <c r="V320" s="15"/>
      <c r="W320" s="14"/>
      <c r="X320" s="15"/>
      <c r="Y320" s="14"/>
      <c r="Z320" s="15"/>
    </row>
    <row r="321" spans="1:26" x14ac:dyDescent="0.25">
      <c r="Q321" s="14"/>
      <c r="R321" s="15"/>
      <c r="S321" s="14"/>
      <c r="T321" s="15"/>
      <c r="U321" s="14"/>
      <c r="V321" s="15"/>
      <c r="W321" s="14"/>
      <c r="X321" s="15"/>
      <c r="Y321" s="14"/>
      <c r="Z321" s="15"/>
    </row>
    <row r="322" spans="1:26" x14ac:dyDescent="0.25">
      <c r="Q322" s="14"/>
      <c r="R322" s="15"/>
      <c r="S322" s="14"/>
      <c r="T322" s="15"/>
      <c r="U322" s="14"/>
      <c r="V322" s="15"/>
      <c r="W322" s="14"/>
      <c r="X322" s="15"/>
      <c r="Y322" s="14"/>
      <c r="Z322" s="15"/>
    </row>
    <row r="323" spans="1:26" x14ac:dyDescent="0.25">
      <c r="Q323" s="14"/>
      <c r="R323" s="15"/>
      <c r="S323" s="14"/>
      <c r="T323" s="15"/>
      <c r="U323" s="14"/>
      <c r="V323" s="15"/>
      <c r="W323" s="14"/>
      <c r="X323" s="15"/>
      <c r="Y323" s="14"/>
      <c r="Z323" s="15"/>
    </row>
    <row r="324" spans="1:26" x14ac:dyDescent="0.25">
      <c r="Q324" s="14"/>
      <c r="R324" s="15"/>
      <c r="S324" s="14"/>
      <c r="T324" s="15"/>
      <c r="U324" s="14"/>
      <c r="V324" s="15"/>
      <c r="W324" s="14"/>
      <c r="X324" s="15"/>
      <c r="Y324" s="14"/>
      <c r="Z324" s="15"/>
    </row>
    <row r="325" spans="1:26" x14ac:dyDescent="0.25">
      <c r="Q325" s="14"/>
      <c r="R325" s="15"/>
      <c r="S325" s="14"/>
      <c r="T325" s="15"/>
      <c r="U325" s="14"/>
      <c r="V325" s="15"/>
      <c r="W325" s="14"/>
      <c r="X325" s="15"/>
      <c r="Y325" s="14"/>
      <c r="Z325" s="15"/>
    </row>
    <row r="326" spans="1:26" x14ac:dyDescent="0.25">
      <c r="Q326" s="14"/>
      <c r="R326" s="15"/>
      <c r="S326" s="14"/>
      <c r="T326" s="15"/>
      <c r="U326" s="14"/>
      <c r="V326" s="15"/>
      <c r="W326" s="14"/>
      <c r="X326" s="15"/>
      <c r="Y326" s="14"/>
      <c r="Z326" s="15"/>
    </row>
    <row r="327" spans="1:26" x14ac:dyDescent="0.25">
      <c r="Q327" s="14"/>
      <c r="R327" s="15"/>
      <c r="S327" s="14"/>
      <c r="T327" s="15"/>
      <c r="U327" s="14"/>
      <c r="V327" s="15"/>
      <c r="W327" s="14"/>
      <c r="X327" s="15"/>
      <c r="Y327" s="14"/>
      <c r="Z327" s="15"/>
    </row>
    <row r="328" spans="1:26" x14ac:dyDescent="0.25">
      <c r="Q328" s="14"/>
      <c r="R328" s="15"/>
      <c r="S328" s="14"/>
      <c r="T328" s="15"/>
      <c r="U328" s="14"/>
      <c r="V328" s="15"/>
      <c r="W328" s="14"/>
      <c r="X328" s="15"/>
      <c r="Y328" s="14"/>
      <c r="Z328" s="15"/>
    </row>
    <row r="329" spans="1:26" x14ac:dyDescent="0.25">
      <c r="Q329" s="14"/>
      <c r="R329" s="15"/>
      <c r="S329" s="14"/>
      <c r="T329" s="15"/>
      <c r="U329" s="14"/>
      <c r="V329" s="15"/>
      <c r="W329" s="14"/>
      <c r="X329" s="15"/>
      <c r="Y329" s="14"/>
      <c r="Z329" s="15"/>
    </row>
    <row r="330" spans="1:26" x14ac:dyDescent="0.25">
      <c r="Q330" s="14"/>
      <c r="R330" s="15"/>
      <c r="S330" s="14"/>
      <c r="T330" s="15"/>
      <c r="U330" s="14"/>
      <c r="V330" s="15"/>
      <c r="W330" s="14"/>
      <c r="X330" s="15"/>
      <c r="Y330" s="14"/>
      <c r="Z330" s="15"/>
    </row>
    <row r="331" spans="1:26" x14ac:dyDescent="0.25">
      <c r="Q331" s="14"/>
      <c r="R331" s="15"/>
      <c r="S331" s="14"/>
      <c r="T331" s="15"/>
      <c r="U331" s="14"/>
      <c r="V331" s="15"/>
      <c r="W331" s="14"/>
      <c r="X331" s="15"/>
      <c r="Y331" s="14"/>
      <c r="Z331" s="15"/>
    </row>
    <row r="332" spans="1:26" x14ac:dyDescent="0.25">
      <c r="Q332" s="14"/>
      <c r="R332" s="15"/>
      <c r="S332" s="14"/>
      <c r="T332" s="15"/>
      <c r="U332" s="14"/>
      <c r="V332" s="15"/>
      <c r="W332" s="14"/>
      <c r="X332" s="15"/>
      <c r="Y332" s="14"/>
      <c r="Z332" s="15"/>
    </row>
    <row r="333" spans="1:26" x14ac:dyDescent="0.25">
      <c r="Q333" s="14"/>
      <c r="R333" s="15"/>
      <c r="S333" s="14"/>
      <c r="T333" s="15"/>
      <c r="U333" s="14"/>
      <c r="V333" s="15"/>
      <c r="W333" s="14"/>
      <c r="X333" s="15"/>
      <c r="Y333" s="14"/>
      <c r="Z333" s="15"/>
    </row>
    <row r="334" spans="1:26" x14ac:dyDescent="0.25">
      <c r="Q334" s="14"/>
      <c r="R334" s="15"/>
      <c r="S334" s="14"/>
      <c r="T334" s="15"/>
      <c r="U334" s="14"/>
      <c r="V334" s="15"/>
      <c r="W334" s="14"/>
      <c r="X334" s="15"/>
      <c r="Y334" s="14"/>
      <c r="Z334" s="15"/>
    </row>
    <row r="335" spans="1:26" x14ac:dyDescent="0.25">
      <c r="Q335" s="14"/>
      <c r="R335" s="15"/>
      <c r="S335" s="14"/>
      <c r="T335" s="15"/>
      <c r="U335" s="14"/>
      <c r="V335" s="15"/>
      <c r="W335" s="14"/>
      <c r="X335" s="15"/>
      <c r="Y335" s="14"/>
      <c r="Z335" s="15"/>
    </row>
    <row r="336" spans="1:26" x14ac:dyDescent="0.25">
      <c r="Q336" s="14"/>
      <c r="R336" s="15"/>
      <c r="S336" s="14"/>
      <c r="T336" s="15"/>
      <c r="U336" s="14"/>
      <c r="V336" s="15"/>
      <c r="W336" s="14"/>
      <c r="X336" s="15"/>
      <c r="Y336" s="14"/>
      <c r="Z336" s="15"/>
    </row>
    <row r="337" spans="1:26" x14ac:dyDescent="0.25">
      <c r="Q337" s="14"/>
      <c r="R337" s="15"/>
      <c r="S337" s="14"/>
      <c r="T337" s="15"/>
      <c r="U337" s="14"/>
      <c r="V337" s="15"/>
      <c r="W337" s="14"/>
      <c r="X337" s="15"/>
      <c r="Y337" s="14"/>
      <c r="Z337" s="15"/>
    </row>
    <row r="338" spans="1:26" x14ac:dyDescent="0.25">
      <c r="Q338" s="14"/>
      <c r="R338" s="15"/>
      <c r="S338" s="14"/>
      <c r="T338" s="15"/>
      <c r="U338" s="14"/>
      <c r="V338" s="15"/>
      <c r="W338" s="14"/>
      <c r="X338" s="15"/>
      <c r="Y338" s="14"/>
      <c r="Z338" s="15"/>
    </row>
    <row r="339" spans="1:26" x14ac:dyDescent="0.25">
      <c r="Q339" s="14"/>
      <c r="R339" s="15"/>
      <c r="S339" s="14"/>
      <c r="T339" s="15"/>
      <c r="U339" s="14"/>
      <c r="V339" s="15"/>
      <c r="W339" s="14"/>
      <c r="X339" s="15"/>
      <c r="Y339" s="14"/>
      <c r="Z339" s="15"/>
    </row>
    <row r="340" spans="1:26" x14ac:dyDescent="0.25">
      <c r="Q340" s="14"/>
      <c r="R340" s="15"/>
      <c r="S340" s="14"/>
      <c r="T340" s="15"/>
      <c r="U340" s="14"/>
      <c r="V340" s="15"/>
      <c r="W340" s="14"/>
      <c r="X340" s="15"/>
      <c r="Y340" s="14"/>
      <c r="Z340" s="15"/>
    </row>
    <row r="341" spans="1:26" x14ac:dyDescent="0.25">
      <c r="Q341" s="14"/>
      <c r="R341" s="15"/>
      <c r="S341" s="14"/>
      <c r="T341" s="15"/>
      <c r="U341" s="14"/>
      <c r="V341" s="15"/>
      <c r="W341" s="14"/>
      <c r="X341" s="15"/>
      <c r="Y341" s="14"/>
      <c r="Z341" s="15"/>
    </row>
    <row r="342" spans="1:26" x14ac:dyDescent="0.25">
      <c r="Q342" s="14"/>
      <c r="R342" s="15"/>
      <c r="S342" s="14"/>
      <c r="T342" s="15"/>
      <c r="U342" s="14"/>
      <c r="V342" s="15"/>
      <c r="W342" s="14"/>
      <c r="X342" s="15"/>
      <c r="Y342" s="14"/>
      <c r="Z342" s="15"/>
    </row>
    <row r="343" spans="1:26" x14ac:dyDescent="0.25">
      <c r="Q343" s="14"/>
      <c r="R343" s="15"/>
      <c r="S343" s="14"/>
      <c r="T343" s="15"/>
      <c r="U343" s="14"/>
      <c r="V343" s="15"/>
      <c r="W343" s="14"/>
      <c r="X343" s="15"/>
      <c r="Y343" s="14"/>
      <c r="Z343" s="15"/>
    </row>
    <row r="344" spans="1:26" x14ac:dyDescent="0.25">
      <c r="Q344" s="14"/>
      <c r="R344" s="15"/>
      <c r="S344" s="14"/>
      <c r="T344" s="15"/>
      <c r="U344" s="14"/>
      <c r="V344" s="15"/>
      <c r="W344" s="14"/>
      <c r="X344" s="15"/>
      <c r="Y344" s="14"/>
      <c r="Z344" s="15"/>
    </row>
    <row r="345" spans="1:26" x14ac:dyDescent="0.25">
      <c r="Q345" s="14"/>
      <c r="R345" s="15"/>
      <c r="S345" s="14"/>
      <c r="T345" s="15"/>
      <c r="U345" s="14"/>
      <c r="V345" s="15"/>
      <c r="W345" s="14"/>
      <c r="X345" s="15"/>
      <c r="Y345" s="14"/>
      <c r="Z345" s="15"/>
    </row>
    <row r="346" spans="1:26" x14ac:dyDescent="0.25">
      <c r="Q346" s="14"/>
      <c r="R346" s="15"/>
      <c r="S346" s="14"/>
      <c r="T346" s="15"/>
      <c r="U346" s="14"/>
      <c r="V346" s="15"/>
      <c r="W346" s="14"/>
      <c r="X346" s="15"/>
      <c r="Y346" s="14"/>
      <c r="Z346" s="15"/>
    </row>
    <row r="347" spans="1:26" x14ac:dyDescent="0.25">
      <c r="Q347" s="14"/>
      <c r="R347" s="15"/>
      <c r="S347" s="14"/>
      <c r="T347" s="15"/>
      <c r="U347" s="14"/>
      <c r="V347" s="15"/>
      <c r="W347" s="14"/>
      <c r="X347" s="15"/>
      <c r="Y347" s="14"/>
      <c r="Z347" s="15"/>
    </row>
    <row r="348" spans="1:26" x14ac:dyDescent="0.25">
      <c r="Q348" s="14"/>
      <c r="R348" s="15"/>
      <c r="S348" s="14"/>
      <c r="T348" s="15"/>
      <c r="U348" s="14"/>
      <c r="V348" s="15"/>
      <c r="W348" s="14"/>
      <c r="X348" s="15"/>
      <c r="Y348" s="14"/>
      <c r="Z348" s="15"/>
    </row>
    <row r="349" spans="1:26" x14ac:dyDescent="0.25">
      <c r="Q349" s="14"/>
      <c r="R349" s="15"/>
      <c r="S349" s="14"/>
      <c r="T349" s="15"/>
      <c r="U349" s="14"/>
      <c r="V349" s="15"/>
      <c r="W349" s="14"/>
      <c r="X349" s="15"/>
      <c r="Y349" s="14"/>
      <c r="Z349" s="15"/>
    </row>
    <row r="350" spans="1:26" x14ac:dyDescent="0.25">
      <c r="Q350" s="14"/>
      <c r="R350" s="15"/>
      <c r="S350" s="14"/>
      <c r="T350" s="15"/>
      <c r="U350" s="14"/>
      <c r="V350" s="15"/>
      <c r="W350" s="14"/>
      <c r="X350" s="15"/>
      <c r="Y350" s="14"/>
      <c r="Z350" s="15"/>
    </row>
    <row r="351" spans="1:26" x14ac:dyDescent="0.25">
      <c r="Q351" s="14"/>
      <c r="R351" s="15"/>
      <c r="S351" s="14"/>
      <c r="T351" s="15"/>
      <c r="U351" s="14"/>
      <c r="V351" s="15"/>
      <c r="W351" s="14"/>
      <c r="X351" s="15"/>
      <c r="Y351" s="14"/>
      <c r="Z351" s="15"/>
    </row>
    <row r="352" spans="1:26" x14ac:dyDescent="0.25">
      <c r="Q352" s="14"/>
      <c r="R352" s="15"/>
      <c r="S352" s="14"/>
      <c r="T352" s="15"/>
      <c r="U352" s="14"/>
      <c r="V352" s="15"/>
      <c r="W352" s="14"/>
      <c r="X352" s="15"/>
      <c r="Y352" s="14"/>
      <c r="Z352" s="15"/>
    </row>
    <row r="353" spans="1:26" x14ac:dyDescent="0.25">
      <c r="Q353" s="14"/>
      <c r="R353" s="15"/>
      <c r="S353" s="14"/>
      <c r="T353" s="15"/>
      <c r="U353" s="14"/>
      <c r="V353" s="15"/>
      <c r="W353" s="14"/>
      <c r="X353" s="15"/>
      <c r="Y353" s="14"/>
      <c r="Z353" s="15"/>
    </row>
    <row r="354" spans="1:26" x14ac:dyDescent="0.25">
      <c r="Q354" s="14"/>
      <c r="R354" s="15"/>
      <c r="S354" s="14"/>
      <c r="T354" s="15"/>
      <c r="U354" s="14"/>
      <c r="V354" s="15"/>
      <c r="W354" s="14"/>
      <c r="X354" s="15"/>
      <c r="Y354" s="14"/>
      <c r="Z354" s="15"/>
    </row>
    <row r="355" spans="1:26" x14ac:dyDescent="0.25">
      <c r="Q355" s="14"/>
      <c r="R355" s="15"/>
      <c r="S355" s="14"/>
      <c r="T355" s="15"/>
      <c r="U355" s="14"/>
      <c r="V355" s="15"/>
      <c r="W355" s="14"/>
      <c r="X355" s="15"/>
      <c r="Y355" s="14"/>
      <c r="Z355" s="15"/>
    </row>
    <row r="356" spans="1:26" x14ac:dyDescent="0.25">
      <c r="Q356" s="14"/>
      <c r="R356" s="15"/>
      <c r="S356" s="14"/>
      <c r="T356" s="15"/>
      <c r="U356" s="14"/>
      <c r="V356" s="15"/>
      <c r="W356" s="14"/>
      <c r="X356" s="15"/>
      <c r="Y356" s="14"/>
      <c r="Z356" s="15"/>
    </row>
    <row r="357" spans="1:26" x14ac:dyDescent="0.25">
      <c r="Q357" s="14"/>
      <c r="R357" s="15"/>
      <c r="S357" s="14"/>
      <c r="T357" s="15"/>
      <c r="U357" s="14"/>
      <c r="V357" s="15"/>
      <c r="W357" s="14"/>
      <c r="X357" s="15"/>
      <c r="Y357" s="14"/>
      <c r="Z357" s="15"/>
    </row>
    <row r="358" spans="1:26" x14ac:dyDescent="0.25">
      <c r="Q358" s="14"/>
      <c r="R358" s="15"/>
      <c r="S358" s="14"/>
      <c r="T358" s="15"/>
      <c r="U358" s="14"/>
      <c r="V358" s="15"/>
      <c r="W358" s="14"/>
      <c r="X358" s="15"/>
      <c r="Y358" s="14"/>
      <c r="Z358" s="15"/>
    </row>
    <row r="359" spans="1:26" x14ac:dyDescent="0.25">
      <c r="Q359" s="14"/>
      <c r="R359" s="15"/>
      <c r="S359" s="14"/>
      <c r="T359" s="15"/>
      <c r="U359" s="14"/>
      <c r="V359" s="15"/>
      <c r="W359" s="14"/>
      <c r="X359" s="15"/>
      <c r="Y359" s="14"/>
      <c r="Z359" s="15"/>
    </row>
    <row r="360" spans="1:26" x14ac:dyDescent="0.25">
      <c r="Q360" s="14"/>
      <c r="R360" s="15"/>
      <c r="S360" s="14"/>
      <c r="T360" s="15"/>
      <c r="U360" s="14"/>
      <c r="V360" s="15"/>
      <c r="W360" s="14"/>
      <c r="X360" s="15"/>
      <c r="Y360" s="14"/>
      <c r="Z360" s="15"/>
    </row>
    <row r="361" spans="1:26" x14ac:dyDescent="0.25">
      <c r="Q361" s="14"/>
      <c r="R361" s="15"/>
      <c r="S361" s="14"/>
      <c r="T361" s="15"/>
      <c r="U361" s="14"/>
      <c r="V361" s="15"/>
      <c r="W361" s="14"/>
      <c r="X361" s="15"/>
      <c r="Y361" s="14"/>
      <c r="Z361" s="15"/>
    </row>
    <row r="362" spans="1:26" x14ac:dyDescent="0.25">
      <c r="Q362" s="14"/>
      <c r="R362" s="15"/>
      <c r="S362" s="14"/>
      <c r="T362" s="15"/>
      <c r="U362" s="14"/>
      <c r="V362" s="15"/>
      <c r="W362" s="14"/>
      <c r="X362" s="15"/>
      <c r="Y362" s="14"/>
      <c r="Z362" s="15"/>
    </row>
    <row r="363" spans="1:26" x14ac:dyDescent="0.25">
      <c r="Q363" s="14"/>
      <c r="R363" s="15"/>
      <c r="S363" s="14"/>
      <c r="T363" s="15"/>
      <c r="U363" s="14"/>
      <c r="V363" s="15"/>
      <c r="W363" s="14"/>
      <c r="X363" s="15"/>
      <c r="Y363" s="14"/>
      <c r="Z363" s="15"/>
    </row>
    <row r="364" spans="1:26" x14ac:dyDescent="0.25">
      <c r="Q364" s="14"/>
      <c r="R364" s="15"/>
      <c r="S364" s="14"/>
      <c r="T364" s="15"/>
      <c r="U364" s="14"/>
      <c r="V364" s="15"/>
      <c r="W364" s="14"/>
      <c r="X364" s="15"/>
      <c r="Y364" s="14"/>
      <c r="Z364" s="15"/>
    </row>
    <row r="365" spans="1:26" x14ac:dyDescent="0.25">
      <c r="Q365" s="14"/>
      <c r="R365" s="15"/>
      <c r="S365" s="14"/>
      <c r="T365" s="15"/>
      <c r="U365" s="14"/>
      <c r="V365" s="15"/>
      <c r="W365" s="14"/>
      <c r="X365" s="15"/>
      <c r="Y365" s="14"/>
      <c r="Z365" s="15"/>
    </row>
    <row r="366" spans="1:26" x14ac:dyDescent="0.25">
      <c r="Q366" s="14"/>
      <c r="R366" s="15"/>
      <c r="S366" s="14"/>
      <c r="T366" s="15"/>
      <c r="U366" s="14"/>
      <c r="V366" s="15"/>
      <c r="W366" s="14"/>
      <c r="X366" s="15"/>
      <c r="Y366" s="14"/>
      <c r="Z366" s="15"/>
    </row>
    <row r="367" spans="1:26" x14ac:dyDescent="0.25">
      <c r="Q367" s="14"/>
      <c r="R367" s="15"/>
      <c r="S367" s="14"/>
      <c r="T367" s="15"/>
      <c r="U367" s="14"/>
      <c r="V367" s="15"/>
      <c r="W367" s="14"/>
      <c r="X367" s="15"/>
      <c r="Y367" s="14"/>
      <c r="Z367" s="15"/>
    </row>
    <row r="368" spans="1:26" x14ac:dyDescent="0.25">
      <c r="Q368" s="14"/>
      <c r="R368" s="15"/>
      <c r="S368" s="14"/>
      <c r="T368" s="15"/>
      <c r="U368" s="14"/>
      <c r="V368" s="15"/>
      <c r="W368" s="14"/>
      <c r="X368" s="15"/>
      <c r="Y368" s="14"/>
      <c r="Z368" s="15"/>
    </row>
    <row r="369" spans="1:26" x14ac:dyDescent="0.25">
      <c r="Q369" s="14"/>
      <c r="R369" s="15"/>
      <c r="S369" s="14"/>
      <c r="T369" s="15"/>
      <c r="U369" s="14"/>
      <c r="V369" s="15"/>
      <c r="W369" s="14"/>
      <c r="X369" s="15"/>
      <c r="Y369" s="14"/>
      <c r="Z369" s="15"/>
    </row>
    <row r="370" spans="1:26" x14ac:dyDescent="0.25">
      <c r="Q370" s="14"/>
      <c r="R370" s="15"/>
      <c r="S370" s="14"/>
      <c r="T370" s="15"/>
      <c r="U370" s="14"/>
      <c r="V370" s="15"/>
      <c r="W370" s="14"/>
      <c r="X370" s="15"/>
      <c r="Y370" s="14"/>
      <c r="Z370" s="15"/>
    </row>
    <row r="371" spans="1:26" x14ac:dyDescent="0.25">
      <c r="Q371" s="14"/>
      <c r="R371" s="15"/>
      <c r="S371" s="14"/>
      <c r="T371" s="15"/>
      <c r="U371" s="14"/>
      <c r="V371" s="15"/>
      <c r="W371" s="14"/>
      <c r="X371" s="15"/>
      <c r="Y371" s="14"/>
      <c r="Z371" s="15"/>
    </row>
    <row r="372" spans="1:26" x14ac:dyDescent="0.25">
      <c r="Q372" s="14"/>
      <c r="R372" s="15"/>
      <c r="S372" s="14"/>
      <c r="T372" s="15"/>
      <c r="U372" s="14"/>
      <c r="V372" s="15"/>
      <c r="W372" s="14"/>
      <c r="X372" s="15"/>
      <c r="Y372" s="14"/>
      <c r="Z372" s="15"/>
    </row>
    <row r="373" spans="1:26" x14ac:dyDescent="0.25">
      <c r="Q373" s="14"/>
      <c r="R373" s="15"/>
      <c r="S373" s="14"/>
      <c r="T373" s="15"/>
      <c r="U373" s="14"/>
      <c r="V373" s="15"/>
      <c r="W373" s="14"/>
      <c r="X373" s="15"/>
      <c r="Y373" s="14"/>
      <c r="Z373" s="15"/>
    </row>
    <row r="374" spans="1:26" x14ac:dyDescent="0.25">
      <c r="Q374" s="14"/>
      <c r="R374" s="15"/>
      <c r="S374" s="14"/>
      <c r="T374" s="15"/>
      <c r="U374" s="14"/>
      <c r="V374" s="15"/>
      <c r="W374" s="14"/>
      <c r="X374" s="15"/>
      <c r="Y374" s="14"/>
      <c r="Z374" s="15"/>
    </row>
    <row r="375" spans="1:26" x14ac:dyDescent="0.25">
      <c r="Q375" s="14"/>
      <c r="R375" s="15"/>
      <c r="S375" s="14"/>
      <c r="T375" s="15"/>
      <c r="U375" s="14"/>
      <c r="V375" s="15"/>
      <c r="W375" s="14"/>
      <c r="X375" s="15"/>
      <c r="Y375" s="14"/>
      <c r="Z375" s="15"/>
    </row>
    <row r="376" spans="1:26" x14ac:dyDescent="0.25">
      <c r="Q376" s="14"/>
      <c r="R376" s="15"/>
      <c r="S376" s="14"/>
      <c r="T376" s="15"/>
      <c r="U376" s="14"/>
      <c r="V376" s="15"/>
      <c r="W376" s="14"/>
      <c r="X376" s="15"/>
      <c r="Y376" s="14"/>
      <c r="Z376" s="15"/>
    </row>
    <row r="377" spans="1:26" x14ac:dyDescent="0.25">
      <c r="Q377" s="14"/>
      <c r="R377" s="15"/>
      <c r="S377" s="14"/>
      <c r="T377" s="15"/>
      <c r="U377" s="14"/>
      <c r="V377" s="15"/>
      <c r="W377" s="14"/>
      <c r="X377" s="15"/>
      <c r="Y377" s="14"/>
      <c r="Z377" s="15"/>
    </row>
    <row r="378" spans="1:26" x14ac:dyDescent="0.25">
      <c r="Q378" s="14"/>
      <c r="R378" s="15"/>
      <c r="S378" s="14"/>
      <c r="T378" s="15"/>
      <c r="U378" s="14"/>
      <c r="V378" s="15"/>
      <c r="W378" s="14"/>
      <c r="X378" s="15"/>
      <c r="Y378" s="14"/>
      <c r="Z378" s="15"/>
    </row>
    <row r="379" spans="1:26" x14ac:dyDescent="0.25">
      <c r="Q379" s="14"/>
      <c r="R379" s="15"/>
      <c r="S379" s="14"/>
      <c r="T379" s="15"/>
      <c r="U379" s="14"/>
      <c r="V379" s="15"/>
      <c r="W379" s="14"/>
      <c r="X379" s="15"/>
      <c r="Y379" s="14"/>
      <c r="Z379" s="15"/>
    </row>
    <row r="380" spans="1:26" x14ac:dyDescent="0.25">
      <c r="Q380" s="14"/>
      <c r="R380" s="15"/>
      <c r="S380" s="14"/>
      <c r="T380" s="15"/>
      <c r="U380" s="14"/>
      <c r="V380" s="15"/>
      <c r="W380" s="14"/>
      <c r="X380" s="15"/>
      <c r="Y380" s="14"/>
      <c r="Z380" s="15"/>
    </row>
    <row r="381" spans="1:26" x14ac:dyDescent="0.25">
      <c r="Q381" s="14"/>
      <c r="R381" s="15"/>
      <c r="S381" s="14"/>
      <c r="T381" s="15"/>
      <c r="U381" s="14"/>
      <c r="V381" s="15"/>
      <c r="W381" s="14"/>
      <c r="X381" s="15"/>
      <c r="Y381" s="14"/>
      <c r="Z381" s="15"/>
    </row>
    <row r="382" spans="1:26" x14ac:dyDescent="0.25">
      <c r="Q382" s="14"/>
      <c r="R382" s="15"/>
      <c r="S382" s="14"/>
      <c r="T382" s="15"/>
      <c r="U382" s="14"/>
      <c r="V382" s="15"/>
      <c r="W382" s="14"/>
      <c r="X382" s="15"/>
      <c r="Y382" s="14"/>
      <c r="Z382" s="15"/>
    </row>
    <row r="383" spans="1:26" x14ac:dyDescent="0.25">
      <c r="Q383" s="14"/>
      <c r="R383" s="15"/>
      <c r="S383" s="14"/>
      <c r="T383" s="15"/>
      <c r="U383" s="14"/>
      <c r="V383" s="15"/>
      <c r="W383" s="14"/>
      <c r="X383" s="15"/>
      <c r="Y383" s="14"/>
      <c r="Z383" s="15"/>
    </row>
    <row r="384" spans="1:26" x14ac:dyDescent="0.25">
      <c r="Q384" s="14"/>
      <c r="R384" s="15"/>
      <c r="S384" s="14"/>
      <c r="T384" s="15"/>
      <c r="U384" s="14"/>
      <c r="V384" s="15"/>
      <c r="W384" s="14"/>
      <c r="X384" s="15"/>
      <c r="Y384" s="14"/>
      <c r="Z384" s="15"/>
    </row>
    <row r="385" spans="1:26" x14ac:dyDescent="0.25">
      <c r="Q385" s="14"/>
      <c r="R385" s="15"/>
      <c r="S385" s="14"/>
      <c r="T385" s="15"/>
      <c r="U385" s="14"/>
      <c r="V385" s="15"/>
      <c r="W385" s="14"/>
      <c r="X385" s="15"/>
      <c r="Y385" s="14"/>
      <c r="Z385" s="15"/>
    </row>
    <row r="386" spans="1:26" x14ac:dyDescent="0.25">
      <c r="Q386" s="14"/>
      <c r="R386" s="15"/>
      <c r="S386" s="14"/>
      <c r="T386" s="15"/>
      <c r="U386" s="14"/>
      <c r="V386" s="15"/>
      <c r="W386" s="14"/>
      <c r="X386" s="15"/>
      <c r="Y386" s="14"/>
      <c r="Z386" s="15"/>
    </row>
    <row r="387" spans="1:26" x14ac:dyDescent="0.25">
      <c r="Q387" s="14"/>
      <c r="R387" s="15"/>
      <c r="S387" s="14"/>
      <c r="T387" s="15"/>
      <c r="U387" s="14"/>
      <c r="V387" s="15"/>
      <c r="W387" s="14"/>
      <c r="X387" s="15"/>
      <c r="Y387" s="14"/>
      <c r="Z387" s="15"/>
    </row>
    <row r="388" spans="1:26" x14ac:dyDescent="0.25">
      <c r="Q388" s="14"/>
      <c r="R388" s="15"/>
      <c r="S388" s="14"/>
      <c r="T388" s="15"/>
      <c r="U388" s="14"/>
      <c r="V388" s="15"/>
      <c r="W388" s="14"/>
      <c r="X388" s="15"/>
      <c r="Y388" s="14"/>
      <c r="Z388" s="15"/>
    </row>
    <row r="389" spans="1:26" x14ac:dyDescent="0.25">
      <c r="Q389" s="14"/>
      <c r="R389" s="15"/>
      <c r="S389" s="14"/>
      <c r="T389" s="15"/>
      <c r="U389" s="14"/>
      <c r="V389" s="15"/>
      <c r="W389" s="14"/>
      <c r="X389" s="15"/>
      <c r="Y389" s="14"/>
      <c r="Z389" s="15"/>
    </row>
    <row r="390" spans="1:26" x14ac:dyDescent="0.25">
      <c r="Q390" s="14"/>
      <c r="R390" s="15"/>
      <c r="S390" s="14"/>
      <c r="T390" s="15"/>
      <c r="U390" s="14"/>
      <c r="V390" s="15"/>
      <c r="W390" s="14"/>
      <c r="X390" s="15"/>
      <c r="Y390" s="14"/>
      <c r="Z390" s="15"/>
    </row>
    <row r="391" spans="1:26" x14ac:dyDescent="0.25">
      <c r="Q391" s="14"/>
      <c r="R391" s="15"/>
      <c r="S391" s="14"/>
      <c r="T391" s="15"/>
      <c r="U391" s="14"/>
      <c r="V391" s="15"/>
      <c r="W391" s="14"/>
      <c r="X391" s="15"/>
      <c r="Y391" s="14"/>
      <c r="Z391" s="15"/>
    </row>
    <row r="392" spans="1:26" x14ac:dyDescent="0.25">
      <c r="Q392" s="14"/>
      <c r="R392" s="15"/>
      <c r="S392" s="14"/>
      <c r="T392" s="15"/>
      <c r="U392" s="14"/>
      <c r="V392" s="15"/>
      <c r="W392" s="14"/>
      <c r="X392" s="15"/>
      <c r="Y392" s="14"/>
      <c r="Z392" s="15"/>
    </row>
    <row r="393" spans="1:26" x14ac:dyDescent="0.25">
      <c r="Q393" s="14"/>
      <c r="R393" s="15"/>
      <c r="S393" s="14"/>
      <c r="T393" s="15"/>
      <c r="U393" s="14"/>
      <c r="V393" s="15"/>
      <c r="W393" s="14"/>
      <c r="X393" s="15"/>
      <c r="Y393" s="14"/>
      <c r="Z393" s="15"/>
    </row>
    <row r="394" spans="1:26" x14ac:dyDescent="0.25">
      <c r="Q394" s="14"/>
      <c r="R394" s="15"/>
      <c r="S394" s="14"/>
      <c r="T394" s="15"/>
      <c r="U394" s="14"/>
      <c r="V394" s="15"/>
      <c r="W394" s="14"/>
      <c r="X394" s="15"/>
      <c r="Y394" s="14"/>
      <c r="Z394" s="15"/>
    </row>
    <row r="395" spans="1:26" x14ac:dyDescent="0.25">
      <c r="Q395" s="14"/>
      <c r="R395" s="15"/>
      <c r="S395" s="14"/>
      <c r="T395" s="15"/>
      <c r="U395" s="14"/>
      <c r="V395" s="15"/>
      <c r="W395" s="14"/>
      <c r="X395" s="15"/>
      <c r="Y395" s="14"/>
      <c r="Z395" s="15"/>
    </row>
    <row r="396" spans="1:26" x14ac:dyDescent="0.25">
      <c r="Q396" s="14"/>
      <c r="R396" s="15"/>
      <c r="S396" s="14"/>
      <c r="T396" s="15"/>
      <c r="U396" s="14"/>
      <c r="V396" s="15"/>
      <c r="W396" s="14"/>
      <c r="X396" s="15"/>
      <c r="Y396" s="14"/>
      <c r="Z396" s="15"/>
    </row>
    <row r="397" spans="1:26" x14ac:dyDescent="0.25">
      <c r="Q397" s="14"/>
      <c r="R397" s="15"/>
      <c r="S397" s="14"/>
      <c r="T397" s="15"/>
      <c r="U397" s="14"/>
      <c r="V397" s="15"/>
      <c r="W397" s="14"/>
      <c r="X397" s="15"/>
      <c r="Y397" s="14"/>
      <c r="Z397" s="15"/>
    </row>
    <row r="398" spans="1:26" x14ac:dyDescent="0.25">
      <c r="Q398" s="14"/>
      <c r="R398" s="15"/>
      <c r="S398" s="14"/>
      <c r="T398" s="15"/>
      <c r="U398" s="14"/>
      <c r="V398" s="15"/>
      <c r="W398" s="14"/>
      <c r="X398" s="15"/>
      <c r="Y398" s="14"/>
      <c r="Z398" s="15"/>
    </row>
    <row r="399" spans="1:26" x14ac:dyDescent="0.25">
      <c r="Q399" s="14"/>
      <c r="R399" s="15"/>
      <c r="S399" s="14"/>
      <c r="T399" s="15"/>
      <c r="U399" s="14"/>
      <c r="V399" s="15"/>
      <c r="W399" s="14"/>
      <c r="X399" s="15"/>
      <c r="Y399" s="14"/>
      <c r="Z399" s="15"/>
    </row>
    <row r="400" spans="1:26" x14ac:dyDescent="0.25">
      <c r="Q400" s="14"/>
      <c r="R400" s="15"/>
      <c r="S400" s="14"/>
      <c r="T400" s="15"/>
      <c r="U400" s="14"/>
      <c r="V400" s="15"/>
      <c r="W400" s="14"/>
      <c r="X400" s="15"/>
      <c r="Y400" s="14"/>
      <c r="Z400" s="15"/>
    </row>
    <row r="401" spans="1:26" x14ac:dyDescent="0.25">
      <c r="Q401" s="14"/>
      <c r="R401" s="15"/>
      <c r="S401" s="14"/>
      <c r="T401" s="15"/>
      <c r="U401" s="14"/>
      <c r="V401" s="15"/>
      <c r="W401" s="14"/>
      <c r="X401" s="15"/>
      <c r="Y401" s="14"/>
      <c r="Z401" s="15"/>
    </row>
    <row r="402" spans="1:26" x14ac:dyDescent="0.25">
      <c r="Q402" s="14"/>
      <c r="R402" s="15"/>
      <c r="S402" s="14"/>
      <c r="T402" s="15"/>
      <c r="U402" s="14"/>
      <c r="V402" s="15"/>
      <c r="W402" s="14"/>
      <c r="X402" s="15"/>
      <c r="Y402" s="14"/>
      <c r="Z402" s="15"/>
    </row>
    <row r="403" spans="1:26" x14ac:dyDescent="0.25">
      <c r="Q403" s="14"/>
      <c r="R403" s="15"/>
      <c r="S403" s="14"/>
      <c r="T403" s="15"/>
      <c r="U403" s="14"/>
      <c r="V403" s="15"/>
      <c r="W403" s="14"/>
      <c r="X403" s="15"/>
      <c r="Y403" s="14"/>
      <c r="Z403" s="15"/>
    </row>
    <row r="404" spans="1:26" x14ac:dyDescent="0.25">
      <c r="Q404" s="14"/>
      <c r="R404" s="15"/>
      <c r="S404" s="14"/>
      <c r="T404" s="15"/>
      <c r="U404" s="14"/>
      <c r="V404" s="15"/>
      <c r="W404" s="14"/>
      <c r="X404" s="15"/>
      <c r="Y404" s="14"/>
      <c r="Z404" s="15"/>
    </row>
    <row r="405" spans="1:26" x14ac:dyDescent="0.25">
      <c r="Q405" s="14"/>
      <c r="R405" s="15"/>
      <c r="S405" s="14"/>
      <c r="T405" s="15"/>
      <c r="U405" s="14"/>
      <c r="V405" s="15"/>
      <c r="W405" s="14"/>
      <c r="X405" s="15"/>
      <c r="Y405" s="14"/>
      <c r="Z405" s="15"/>
    </row>
    <row r="406" spans="1:26" x14ac:dyDescent="0.25">
      <c r="Q406" s="14"/>
      <c r="R406" s="15"/>
      <c r="S406" s="14"/>
      <c r="T406" s="15"/>
      <c r="U406" s="14"/>
      <c r="V406" s="15"/>
      <c r="W406" s="14"/>
      <c r="X406" s="15"/>
      <c r="Y406" s="14"/>
      <c r="Z406" s="15"/>
    </row>
    <row r="407" spans="1:26" x14ac:dyDescent="0.25">
      <c r="Q407" s="14"/>
      <c r="R407" s="15"/>
      <c r="S407" s="14"/>
      <c r="T407" s="15"/>
      <c r="U407" s="14"/>
      <c r="V407" s="15"/>
      <c r="W407" s="14"/>
      <c r="X407" s="15"/>
      <c r="Y407" s="14"/>
      <c r="Z407" s="15"/>
    </row>
    <row r="408" spans="1:26" x14ac:dyDescent="0.25">
      <c r="Q408" s="14"/>
      <c r="R408" s="15"/>
      <c r="S408" s="14"/>
      <c r="T408" s="15"/>
      <c r="U408" s="14"/>
      <c r="V408" s="15"/>
      <c r="W408" s="14"/>
      <c r="X408" s="15"/>
      <c r="Y408" s="14"/>
      <c r="Z408" s="15"/>
    </row>
    <row r="409" spans="1:26" x14ac:dyDescent="0.25">
      <c r="Q409" s="14"/>
      <c r="R409" s="15"/>
      <c r="S409" s="14"/>
      <c r="T409" s="15"/>
      <c r="U409" s="14"/>
      <c r="V409" s="15"/>
      <c r="W409" s="14"/>
      <c r="X409" s="15"/>
      <c r="Y409" s="14"/>
      <c r="Z409" s="15"/>
    </row>
    <row r="410" spans="1:26" x14ac:dyDescent="0.25">
      <c r="Q410" s="14"/>
      <c r="R410" s="15"/>
      <c r="S410" s="14"/>
      <c r="T410" s="15"/>
      <c r="U410" s="14"/>
      <c r="V410" s="15"/>
      <c r="W410" s="14"/>
      <c r="X410" s="15"/>
      <c r="Y410" s="14"/>
      <c r="Z410" s="15"/>
    </row>
    <row r="411" spans="1:26" x14ac:dyDescent="0.25">
      <c r="Q411" s="14"/>
      <c r="R411" s="15"/>
      <c r="S411" s="14"/>
      <c r="T411" s="15"/>
      <c r="U411" s="14"/>
      <c r="V411" s="15"/>
      <c r="W411" s="14"/>
      <c r="X411" s="15"/>
      <c r="Y411" s="14"/>
      <c r="Z411" s="15"/>
    </row>
    <row r="412" spans="1:26" x14ac:dyDescent="0.25">
      <c r="Q412" s="14"/>
      <c r="R412" s="15"/>
      <c r="S412" s="14"/>
      <c r="T412" s="15"/>
      <c r="U412" s="14"/>
      <c r="V412" s="15"/>
      <c r="W412" s="14"/>
      <c r="X412" s="15"/>
      <c r="Y412" s="14"/>
      <c r="Z412" s="15"/>
    </row>
    <row r="413" spans="1:26" x14ac:dyDescent="0.25">
      <c r="Q413" s="14"/>
      <c r="R413" s="15"/>
      <c r="S413" s="14"/>
      <c r="T413" s="15"/>
      <c r="U413" s="14"/>
      <c r="V413" s="15"/>
      <c r="W413" s="14"/>
      <c r="X413" s="15"/>
      <c r="Y413" s="14"/>
      <c r="Z413" s="15"/>
    </row>
    <row r="414" spans="1:26" x14ac:dyDescent="0.25">
      <c r="Q414" s="14"/>
      <c r="R414" s="15"/>
      <c r="S414" s="14"/>
      <c r="T414" s="15"/>
      <c r="U414" s="14"/>
      <c r="V414" s="15"/>
      <c r="W414" s="14"/>
      <c r="X414" s="15"/>
      <c r="Y414" s="14"/>
      <c r="Z414" s="15"/>
    </row>
    <row r="415" spans="1:26" x14ac:dyDescent="0.25">
      <c r="Q415" s="14"/>
      <c r="R415" s="15"/>
      <c r="S415" s="14"/>
      <c r="T415" s="15"/>
      <c r="U415" s="14"/>
      <c r="V415" s="15"/>
      <c r="W415" s="14"/>
      <c r="X415" s="15"/>
      <c r="Y415" s="14"/>
      <c r="Z415" s="15"/>
    </row>
    <row r="416" spans="1:26" x14ac:dyDescent="0.25">
      <c r="Q416" s="14"/>
      <c r="R416" s="15"/>
      <c r="S416" s="14"/>
      <c r="T416" s="15"/>
      <c r="U416" s="14"/>
      <c r="V416" s="15"/>
      <c r="W416" s="14"/>
      <c r="X416" s="15"/>
      <c r="Y416" s="14"/>
      <c r="Z416" s="15"/>
    </row>
    <row r="417" spans="1:26" x14ac:dyDescent="0.25">
      <c r="Q417" s="14"/>
      <c r="R417" s="15"/>
      <c r="S417" s="14"/>
      <c r="T417" s="15"/>
      <c r="U417" s="14"/>
      <c r="V417" s="15"/>
      <c r="W417" s="14"/>
      <c r="X417" s="15"/>
      <c r="Y417" s="14"/>
      <c r="Z417" s="15"/>
    </row>
    <row r="418" spans="1:26" x14ac:dyDescent="0.25">
      <c r="Q418" s="14"/>
      <c r="R418" s="15"/>
      <c r="S418" s="14"/>
      <c r="T418" s="15"/>
      <c r="U418" s="14"/>
      <c r="V418" s="15"/>
      <c r="W418" s="14"/>
      <c r="X418" s="15"/>
      <c r="Y418" s="14"/>
      <c r="Z418" s="15"/>
    </row>
    <row r="419" spans="1:26" x14ac:dyDescent="0.25">
      <c r="Q419" s="14"/>
      <c r="R419" s="15"/>
      <c r="S419" s="14"/>
      <c r="T419" s="15"/>
      <c r="U419" s="14"/>
      <c r="V419" s="15"/>
      <c r="W419" s="14"/>
      <c r="X419" s="15"/>
      <c r="Y419" s="14"/>
      <c r="Z419" s="15"/>
    </row>
    <row r="420" spans="1:26" x14ac:dyDescent="0.25">
      <c r="Q420" s="14"/>
      <c r="R420" s="15"/>
      <c r="S420" s="14"/>
      <c r="T420" s="15"/>
      <c r="U420" s="14"/>
      <c r="V420" s="15"/>
      <c r="W420" s="14"/>
      <c r="X420" s="15"/>
      <c r="Y420" s="14"/>
      <c r="Z420" s="15"/>
    </row>
    <row r="421" spans="1:26" x14ac:dyDescent="0.25">
      <c r="Q421" s="14"/>
      <c r="R421" s="15"/>
      <c r="S421" s="14"/>
      <c r="T421" s="15"/>
      <c r="U421" s="14"/>
      <c r="V421" s="15"/>
      <c r="W421" s="14"/>
      <c r="X421" s="15"/>
      <c r="Y421" s="14"/>
      <c r="Z421" s="15"/>
    </row>
    <row r="422" spans="1:26" x14ac:dyDescent="0.25">
      <c r="Q422" s="14"/>
      <c r="R422" s="15"/>
      <c r="S422" s="14"/>
      <c r="T422" s="15"/>
      <c r="U422" s="14"/>
      <c r="V422" s="15"/>
      <c r="W422" s="14"/>
      <c r="X422" s="15"/>
      <c r="Y422" s="14"/>
      <c r="Z422" s="15"/>
    </row>
    <row r="423" spans="1:26" x14ac:dyDescent="0.25">
      <c r="Q423" s="14"/>
      <c r="R423" s="15"/>
      <c r="S423" s="14"/>
      <c r="T423" s="15"/>
      <c r="U423" s="14"/>
      <c r="V423" s="15"/>
      <c r="W423" s="14"/>
      <c r="X423" s="15"/>
      <c r="Y423" s="14"/>
      <c r="Z423" s="15"/>
    </row>
    <row r="424" spans="1:26" x14ac:dyDescent="0.25">
      <c r="Q424" s="14"/>
      <c r="R424" s="15"/>
      <c r="S424" s="14"/>
      <c r="T424" s="15"/>
      <c r="U424" s="14"/>
      <c r="V424" s="15"/>
      <c r="W424" s="14"/>
      <c r="X424" s="15"/>
      <c r="Y424" s="14"/>
      <c r="Z424" s="15"/>
    </row>
    <row r="425" spans="1:26" x14ac:dyDescent="0.25">
      <c r="Q425" s="14"/>
      <c r="R425" s="15"/>
      <c r="S425" s="14"/>
      <c r="T425" s="15"/>
      <c r="U425" s="14"/>
      <c r="V425" s="15"/>
      <c r="W425" s="14"/>
      <c r="X425" s="15"/>
      <c r="Y425" s="14"/>
      <c r="Z425" s="15"/>
    </row>
    <row r="426" spans="1:26" x14ac:dyDescent="0.25">
      <c r="Q426" s="14"/>
      <c r="R426" s="15"/>
      <c r="S426" s="14"/>
      <c r="T426" s="15"/>
      <c r="U426" s="14"/>
      <c r="V426" s="15"/>
      <c r="W426" s="14"/>
      <c r="X426" s="15"/>
      <c r="Y426" s="14"/>
      <c r="Z426" s="15"/>
    </row>
    <row r="427" spans="1:26" x14ac:dyDescent="0.25">
      <c r="Q427" s="14"/>
      <c r="R427" s="15"/>
      <c r="S427" s="14"/>
      <c r="T427" s="15"/>
      <c r="U427" s="14"/>
      <c r="V427" s="15"/>
      <c r="W427" s="14"/>
      <c r="X427" s="15"/>
      <c r="Y427" s="14"/>
      <c r="Z427" s="15"/>
    </row>
    <row r="428" spans="1:26" x14ac:dyDescent="0.25">
      <c r="Q428" s="14"/>
      <c r="R428" s="15"/>
      <c r="S428" s="14"/>
      <c r="T428" s="15"/>
      <c r="U428" s="14"/>
      <c r="V428" s="15"/>
      <c r="W428" s="14"/>
      <c r="X428" s="15"/>
      <c r="Y428" s="14"/>
      <c r="Z428" s="15"/>
    </row>
    <row r="429" spans="1:26" x14ac:dyDescent="0.25">
      <c r="Q429" s="14"/>
      <c r="R429" s="15"/>
      <c r="S429" s="14"/>
      <c r="T429" s="15"/>
      <c r="U429" s="14"/>
      <c r="V429" s="15"/>
      <c r="W429" s="14"/>
      <c r="X429" s="15"/>
      <c r="Y429" s="14"/>
      <c r="Z429" s="15"/>
    </row>
    <row r="430" spans="1:26" x14ac:dyDescent="0.25">
      <c r="Q430" s="14"/>
      <c r="R430" s="15"/>
      <c r="S430" s="14"/>
      <c r="T430" s="15"/>
      <c r="U430" s="14"/>
      <c r="V430" s="15"/>
      <c r="W430" s="14"/>
      <c r="X430" s="15"/>
      <c r="Y430" s="14"/>
      <c r="Z430" s="15"/>
    </row>
    <row r="431" spans="1:26" x14ac:dyDescent="0.25">
      <c r="Q431" s="14"/>
      <c r="R431" s="15"/>
      <c r="S431" s="14"/>
      <c r="T431" s="15"/>
      <c r="U431" s="14"/>
      <c r="V431" s="15"/>
      <c r="W431" s="14"/>
      <c r="X431" s="15"/>
      <c r="Y431" s="14"/>
      <c r="Z431" s="15"/>
    </row>
    <row r="432" spans="1:26" x14ac:dyDescent="0.25">
      <c r="Q432" s="14"/>
      <c r="R432" s="15"/>
      <c r="S432" s="14"/>
      <c r="T432" s="15"/>
      <c r="U432" s="14"/>
      <c r="V432" s="15"/>
      <c r="W432" s="14"/>
      <c r="X432" s="15"/>
      <c r="Y432" s="14"/>
      <c r="Z432" s="15"/>
    </row>
    <row r="433" spans="1:26" x14ac:dyDescent="0.25">
      <c r="Q433" s="14"/>
      <c r="R433" s="15"/>
      <c r="S433" s="14"/>
      <c r="T433" s="15"/>
      <c r="U433" s="14"/>
      <c r="V433" s="15"/>
      <c r="W433" s="14"/>
      <c r="X433" s="15"/>
      <c r="Y433" s="14"/>
      <c r="Z433" s="15"/>
    </row>
    <row r="434" spans="1:26" x14ac:dyDescent="0.25">
      <c r="Q434" s="14"/>
      <c r="R434" s="15"/>
      <c r="S434" s="14"/>
      <c r="T434" s="15"/>
      <c r="U434" s="14"/>
      <c r="V434" s="15"/>
      <c r="W434" s="14"/>
      <c r="X434" s="15"/>
      <c r="Y434" s="14"/>
      <c r="Z434" s="15"/>
    </row>
    <row r="435" spans="1:26" x14ac:dyDescent="0.25">
      <c r="Q435" s="14"/>
      <c r="R435" s="15"/>
      <c r="S435" s="14"/>
      <c r="T435" s="15"/>
      <c r="U435" s="14"/>
      <c r="V435" s="15"/>
      <c r="W435" s="14"/>
      <c r="X435" s="15"/>
      <c r="Y435" s="14"/>
      <c r="Z435" s="15"/>
    </row>
    <row r="436" spans="1:26" x14ac:dyDescent="0.25">
      <c r="Q436" s="14"/>
      <c r="R436" s="15"/>
      <c r="S436" s="14"/>
      <c r="T436" s="15"/>
      <c r="U436" s="14"/>
      <c r="V436" s="15"/>
      <c r="W436" s="14"/>
      <c r="X436" s="15"/>
      <c r="Y436" s="14"/>
      <c r="Z436" s="15"/>
    </row>
    <row r="437" spans="1:26" x14ac:dyDescent="0.25">
      <c r="Q437" s="14"/>
      <c r="R437" s="15"/>
      <c r="S437" s="14"/>
      <c r="T437" s="15"/>
      <c r="U437" s="14"/>
      <c r="V437" s="15"/>
      <c r="W437" s="14"/>
      <c r="X437" s="15"/>
      <c r="Y437" s="14"/>
      <c r="Z437" s="15"/>
    </row>
    <row r="438" spans="1:26" x14ac:dyDescent="0.25">
      <c r="Q438" s="14"/>
      <c r="R438" s="15"/>
      <c r="S438" s="14"/>
      <c r="T438" s="15"/>
      <c r="U438" s="14"/>
      <c r="V438" s="15"/>
      <c r="W438" s="14"/>
      <c r="X438" s="15"/>
      <c r="Y438" s="14"/>
      <c r="Z438" s="15"/>
    </row>
    <row r="439" spans="1:26" x14ac:dyDescent="0.25">
      <c r="Q439" s="14"/>
      <c r="R439" s="15"/>
      <c r="S439" s="14"/>
      <c r="T439" s="15"/>
      <c r="U439" s="14"/>
      <c r="V439" s="15"/>
      <c r="W439" s="14"/>
      <c r="X439" s="15"/>
      <c r="Y439" s="14"/>
      <c r="Z439" s="15"/>
    </row>
    <row r="440" spans="1:26" x14ac:dyDescent="0.25">
      <c r="Q440" s="14"/>
      <c r="R440" s="15"/>
      <c r="S440" s="14"/>
      <c r="T440" s="15"/>
      <c r="U440" s="14"/>
      <c r="V440" s="15"/>
      <c r="W440" s="14"/>
      <c r="X440" s="15"/>
      <c r="Y440" s="14"/>
      <c r="Z440" s="15"/>
    </row>
    <row r="441" spans="1:26" x14ac:dyDescent="0.25">
      <c r="Q441" s="14"/>
      <c r="R441" s="15"/>
      <c r="S441" s="14"/>
      <c r="T441" s="15"/>
      <c r="U441" s="14"/>
      <c r="V441" s="15"/>
      <c r="W441" s="14"/>
      <c r="X441" s="15"/>
      <c r="Y441" s="14"/>
      <c r="Z441" s="15"/>
    </row>
    <row r="442" spans="1:26" x14ac:dyDescent="0.25">
      <c r="Q442" s="14"/>
      <c r="R442" s="15"/>
      <c r="S442" s="14"/>
      <c r="T442" s="15"/>
      <c r="U442" s="14"/>
      <c r="V442" s="15"/>
      <c r="W442" s="14"/>
      <c r="X442" s="15"/>
      <c r="Y442" s="14"/>
      <c r="Z442" s="15"/>
    </row>
    <row r="443" spans="1:26" x14ac:dyDescent="0.25">
      <c r="Q443" s="14"/>
      <c r="R443" s="15"/>
      <c r="S443" s="14"/>
      <c r="T443" s="15"/>
      <c r="U443" s="14"/>
      <c r="V443" s="15"/>
      <c r="W443" s="14"/>
      <c r="X443" s="15"/>
      <c r="Y443" s="14"/>
      <c r="Z443" s="15"/>
    </row>
    <row r="444" spans="1:26" x14ac:dyDescent="0.25">
      <c r="Q444" s="14"/>
      <c r="R444" s="15"/>
      <c r="S444" s="14"/>
      <c r="T444" s="15"/>
      <c r="U444" s="14"/>
      <c r="V444" s="15"/>
      <c r="W444" s="14"/>
      <c r="X444" s="15"/>
      <c r="Y444" s="14"/>
      <c r="Z444" s="15"/>
    </row>
    <row r="445" spans="1:26" x14ac:dyDescent="0.25">
      <c r="Q445" s="14"/>
      <c r="R445" s="15"/>
      <c r="S445" s="14"/>
      <c r="T445" s="15"/>
      <c r="U445" s="14"/>
      <c r="V445" s="15"/>
      <c r="W445" s="14"/>
      <c r="X445" s="15"/>
      <c r="Y445" s="14"/>
      <c r="Z445" s="15"/>
    </row>
    <row r="446" spans="1:26" x14ac:dyDescent="0.25">
      <c r="Q446" s="14"/>
      <c r="R446" s="15"/>
      <c r="S446" s="14"/>
      <c r="T446" s="15"/>
      <c r="U446" s="14"/>
      <c r="V446" s="15"/>
      <c r="W446" s="14"/>
      <c r="X446" s="15"/>
      <c r="Y446" s="14"/>
      <c r="Z446" s="15"/>
    </row>
    <row r="447" spans="1:26" x14ac:dyDescent="0.25">
      <c r="Q447" s="14"/>
      <c r="R447" s="15"/>
      <c r="S447" s="14"/>
      <c r="T447" s="15"/>
      <c r="U447" s="14"/>
      <c r="V447" s="15"/>
      <c r="W447" s="14"/>
      <c r="X447" s="15"/>
      <c r="Y447" s="14"/>
      <c r="Z447" s="15"/>
    </row>
    <row r="448" spans="1:26" x14ac:dyDescent="0.25">
      <c r="Q448" s="14"/>
      <c r="R448" s="15"/>
      <c r="S448" s="14"/>
      <c r="T448" s="15"/>
      <c r="U448" s="14"/>
      <c r="V448" s="15"/>
      <c r="W448" s="14"/>
      <c r="X448" s="15"/>
      <c r="Y448" s="14"/>
      <c r="Z448" s="15"/>
    </row>
    <row r="449" spans="1:26" x14ac:dyDescent="0.25">
      <c r="Q449" s="14"/>
      <c r="R449" s="15"/>
      <c r="S449" s="14"/>
      <c r="T449" s="15"/>
      <c r="U449" s="14"/>
      <c r="V449" s="15"/>
      <c r="W449" s="14"/>
      <c r="X449" s="15"/>
      <c r="Y449" s="14"/>
      <c r="Z449" s="15"/>
    </row>
    <row r="450" spans="1:26" x14ac:dyDescent="0.25">
      <c r="Q450" s="14"/>
      <c r="R450" s="15"/>
      <c r="S450" s="14"/>
      <c r="T450" s="15"/>
      <c r="U450" s="14"/>
      <c r="V450" s="15"/>
      <c r="W450" s="14"/>
      <c r="X450" s="15"/>
      <c r="Y450" s="14"/>
      <c r="Z450" s="15"/>
    </row>
    <row r="451" spans="1:26" x14ac:dyDescent="0.25">
      <c r="Q451" s="14"/>
      <c r="R451" s="15"/>
      <c r="S451" s="14"/>
      <c r="T451" s="15"/>
      <c r="U451" s="14"/>
      <c r="V451" s="15"/>
      <c r="W451" s="14"/>
      <c r="X451" s="15"/>
      <c r="Y451" s="14"/>
      <c r="Z451" s="15"/>
    </row>
    <row r="452" spans="1:26" x14ac:dyDescent="0.25">
      <c r="Q452" s="14"/>
      <c r="R452" s="15"/>
      <c r="S452" s="14"/>
      <c r="T452" s="15"/>
      <c r="U452" s="14"/>
      <c r="V452" s="15"/>
      <c r="W452" s="14"/>
      <c r="X452" s="15"/>
      <c r="Y452" s="14"/>
      <c r="Z452" s="15"/>
    </row>
    <row r="453" spans="1:26" x14ac:dyDescent="0.25">
      <c r="Q453" s="14"/>
      <c r="R453" s="15"/>
      <c r="S453" s="14"/>
      <c r="T453" s="15"/>
      <c r="U453" s="14"/>
      <c r="V453" s="15"/>
      <c r="W453" s="14"/>
      <c r="X453" s="15"/>
      <c r="Y453" s="14"/>
      <c r="Z453" s="15"/>
    </row>
    <row r="454" spans="1:26" x14ac:dyDescent="0.25">
      <c r="Q454" s="14"/>
      <c r="R454" s="15"/>
      <c r="S454" s="14"/>
      <c r="T454" s="15"/>
      <c r="U454" s="14"/>
      <c r="V454" s="15"/>
      <c r="W454" s="14"/>
      <c r="X454" s="15"/>
      <c r="Y454" s="14"/>
      <c r="Z454" s="15"/>
    </row>
    <row r="455" spans="1:26" x14ac:dyDescent="0.25">
      <c r="Q455" s="14"/>
      <c r="R455" s="15"/>
      <c r="S455" s="14"/>
      <c r="T455" s="15"/>
      <c r="U455" s="14"/>
      <c r="V455" s="15"/>
      <c r="W455" s="14"/>
      <c r="X455" s="15"/>
      <c r="Y455" s="14"/>
      <c r="Z455" s="15"/>
    </row>
    <row r="456" spans="1:26" x14ac:dyDescent="0.25">
      <c r="Q456" s="14"/>
      <c r="R456" s="15"/>
      <c r="S456" s="14"/>
      <c r="T456" s="15"/>
      <c r="U456" s="14"/>
      <c r="V456" s="15"/>
      <c r="W456" s="14"/>
      <c r="X456" s="15"/>
      <c r="Y456" s="14"/>
      <c r="Z456" s="15"/>
    </row>
    <row r="457" spans="1:26" x14ac:dyDescent="0.25">
      <c r="Q457" s="14"/>
      <c r="R457" s="15"/>
      <c r="S457" s="14"/>
      <c r="T457" s="15"/>
      <c r="U457" s="14"/>
      <c r="V457" s="15"/>
      <c r="W457" s="14"/>
      <c r="X457" s="15"/>
      <c r="Y457" s="14"/>
      <c r="Z457" s="15"/>
    </row>
    <row r="458" spans="1:26" x14ac:dyDescent="0.25">
      <c r="Q458" s="14"/>
      <c r="R458" s="15"/>
      <c r="S458" s="14"/>
      <c r="T458" s="15"/>
      <c r="U458" s="14"/>
      <c r="V458" s="15"/>
      <c r="W458" s="14"/>
      <c r="X458" s="15"/>
      <c r="Y458" s="14"/>
      <c r="Z458" s="15"/>
    </row>
    <row r="459" spans="1:26" x14ac:dyDescent="0.25">
      <c r="Q459" s="14"/>
      <c r="R459" s="15"/>
      <c r="S459" s="14"/>
      <c r="T459" s="15"/>
      <c r="U459" s="14"/>
      <c r="V459" s="15"/>
      <c r="W459" s="14"/>
      <c r="X459" s="15"/>
      <c r="Y459" s="14"/>
      <c r="Z459" s="15"/>
    </row>
    <row r="460" spans="1:26" x14ac:dyDescent="0.25">
      <c r="Q460" s="14"/>
      <c r="R460" s="15"/>
      <c r="S460" s="14"/>
      <c r="T460" s="15"/>
      <c r="U460" s="14"/>
      <c r="V460" s="15"/>
      <c r="W460" s="14"/>
      <c r="X460" s="15"/>
      <c r="Y460" s="14"/>
      <c r="Z460" s="15"/>
    </row>
    <row r="461" spans="1:26" x14ac:dyDescent="0.25">
      <c r="Q461" s="14"/>
      <c r="R461" s="15"/>
      <c r="S461" s="14"/>
      <c r="T461" s="15"/>
      <c r="U461" s="14"/>
      <c r="V461" s="15"/>
      <c r="W461" s="14"/>
      <c r="X461" s="15"/>
      <c r="Y461" s="14"/>
      <c r="Z461" s="15"/>
    </row>
    <row r="462" spans="1:26" x14ac:dyDescent="0.25">
      <c r="Q462" s="14"/>
      <c r="R462" s="15"/>
      <c r="S462" s="14"/>
      <c r="T462" s="15"/>
      <c r="U462" s="14"/>
      <c r="V462" s="15"/>
      <c r="W462" s="14"/>
      <c r="X462" s="15"/>
      <c r="Y462" s="14"/>
      <c r="Z462" s="15"/>
    </row>
    <row r="463" spans="1:26" x14ac:dyDescent="0.25">
      <c r="Q463" s="14"/>
      <c r="R463" s="15"/>
      <c r="S463" s="14"/>
      <c r="T463" s="15"/>
      <c r="U463" s="14"/>
      <c r="V463" s="15"/>
      <c r="W463" s="14"/>
      <c r="X463" s="15"/>
      <c r="Y463" s="14"/>
      <c r="Z463" s="15"/>
    </row>
    <row r="464" spans="1:26" x14ac:dyDescent="0.25">
      <c r="Q464" s="14"/>
      <c r="R464" s="15"/>
      <c r="S464" s="14"/>
      <c r="T464" s="15"/>
      <c r="U464" s="14"/>
      <c r="V464" s="15"/>
      <c r="W464" s="14"/>
      <c r="X464" s="15"/>
      <c r="Y464" s="14"/>
      <c r="Z464" s="15"/>
    </row>
    <row r="465" spans="1:26" x14ac:dyDescent="0.25">
      <c r="Q465" s="14"/>
      <c r="R465" s="15"/>
      <c r="S465" s="14"/>
      <c r="T465" s="15"/>
      <c r="U465" s="14"/>
      <c r="V465" s="15"/>
      <c r="W465" s="14"/>
      <c r="X465" s="15"/>
      <c r="Y465" s="14"/>
      <c r="Z465" s="15"/>
    </row>
    <row r="466" spans="1:26" x14ac:dyDescent="0.25">
      <c r="Q466" s="14"/>
      <c r="R466" s="15"/>
      <c r="S466" s="14"/>
      <c r="T466" s="15"/>
      <c r="U466" s="14"/>
      <c r="V466" s="15"/>
      <c r="W466" s="14"/>
      <c r="X466" s="15"/>
      <c r="Y466" s="14"/>
      <c r="Z466" s="15"/>
    </row>
    <row r="467" spans="1:26" x14ac:dyDescent="0.25">
      <c r="Q467" s="14"/>
      <c r="R467" s="15"/>
      <c r="S467" s="14"/>
      <c r="T467" s="15"/>
      <c r="U467" s="14"/>
      <c r="V467" s="15"/>
      <c r="W467" s="14"/>
      <c r="X467" s="15"/>
      <c r="Y467" s="14"/>
      <c r="Z467" s="15"/>
    </row>
    <row r="468" spans="1:26" x14ac:dyDescent="0.25">
      <c r="Q468" s="14"/>
      <c r="R468" s="15"/>
      <c r="S468" s="14"/>
      <c r="T468" s="15"/>
      <c r="U468" s="14"/>
      <c r="V468" s="15"/>
      <c r="W468" s="14"/>
      <c r="X468" s="15"/>
      <c r="Y468" s="14"/>
      <c r="Z468" s="15"/>
    </row>
    <row r="469" spans="1:26" x14ac:dyDescent="0.25">
      <c r="Q469" s="14"/>
      <c r="R469" s="15"/>
      <c r="S469" s="14"/>
      <c r="T469" s="15"/>
      <c r="U469" s="14"/>
      <c r="V469" s="15"/>
      <c r="W469" s="14"/>
      <c r="X469" s="15"/>
      <c r="Y469" s="14"/>
      <c r="Z469" s="15"/>
    </row>
    <row r="470" spans="1:26" x14ac:dyDescent="0.25">
      <c r="Q470" s="14"/>
      <c r="R470" s="15"/>
      <c r="S470" s="14"/>
      <c r="T470" s="15"/>
      <c r="U470" s="14"/>
      <c r="V470" s="15"/>
      <c r="W470" s="14"/>
      <c r="X470" s="15"/>
      <c r="Y470" s="14"/>
      <c r="Z470" s="15"/>
    </row>
    <row r="471" spans="1:26" x14ac:dyDescent="0.25">
      <c r="Q471" s="14"/>
      <c r="R471" s="15"/>
      <c r="S471" s="14"/>
      <c r="T471" s="15"/>
      <c r="U471" s="14"/>
      <c r="V471" s="15"/>
      <c r="W471" s="14"/>
      <c r="X471" s="15"/>
      <c r="Y471" s="14"/>
      <c r="Z471" s="15"/>
    </row>
    <row r="472" spans="1:26" x14ac:dyDescent="0.25">
      <c r="Q472" s="14"/>
      <c r="R472" s="15"/>
      <c r="S472" s="14"/>
      <c r="T472" s="15"/>
      <c r="U472" s="14"/>
      <c r="V472" s="15"/>
      <c r="W472" s="14"/>
      <c r="X472" s="15"/>
      <c r="Y472" s="14"/>
      <c r="Z472" s="15"/>
    </row>
    <row r="473" spans="1:26" x14ac:dyDescent="0.25">
      <c r="Q473" s="14"/>
      <c r="R473" s="15"/>
      <c r="S473" s="14"/>
      <c r="T473" s="15"/>
      <c r="U473" s="14"/>
      <c r="V473" s="15"/>
      <c r="W473" s="14"/>
      <c r="X473" s="15"/>
      <c r="Y473" s="14"/>
      <c r="Z473" s="15"/>
    </row>
    <row r="474" spans="1:26" x14ac:dyDescent="0.25">
      <c r="Q474" s="14"/>
      <c r="R474" s="15"/>
      <c r="S474" s="14"/>
      <c r="T474" s="15"/>
      <c r="U474" s="14"/>
      <c r="V474" s="15"/>
      <c r="W474" s="14"/>
      <c r="X474" s="15"/>
      <c r="Y474" s="14"/>
      <c r="Z474" s="15"/>
    </row>
    <row r="475" spans="1:26" x14ac:dyDescent="0.25">
      <c r="Q475" s="14"/>
      <c r="R475" s="15"/>
      <c r="S475" s="14"/>
      <c r="T475" s="15"/>
      <c r="U475" s="14"/>
      <c r="V475" s="15"/>
      <c r="W475" s="14"/>
      <c r="X475" s="15"/>
      <c r="Y475" s="14"/>
      <c r="Z475" s="15"/>
    </row>
    <row r="476" spans="1:26" x14ac:dyDescent="0.25">
      <c r="Q476" s="14"/>
      <c r="R476" s="15"/>
      <c r="S476" s="14"/>
      <c r="T476" s="15"/>
      <c r="U476" s="14"/>
      <c r="V476" s="15"/>
      <c r="W476" s="14"/>
      <c r="X476" s="15"/>
      <c r="Y476" s="14"/>
      <c r="Z476" s="15"/>
    </row>
    <row r="477" spans="1:26" x14ac:dyDescent="0.25">
      <c r="Q477" s="14"/>
      <c r="R477" s="15"/>
      <c r="S477" s="14"/>
      <c r="T477" s="15"/>
      <c r="U477" s="14"/>
      <c r="V477" s="15"/>
      <c r="W477" s="14"/>
      <c r="X477" s="15"/>
      <c r="Y477" s="14"/>
      <c r="Z477" s="15"/>
    </row>
    <row r="478" spans="1:26" x14ac:dyDescent="0.25">
      <c r="Q478" s="14"/>
      <c r="R478" s="15"/>
      <c r="S478" s="14"/>
      <c r="T478" s="15"/>
      <c r="U478" s="14"/>
      <c r="V478" s="15"/>
      <c r="W478" s="14"/>
      <c r="X478" s="15"/>
      <c r="Y478" s="14"/>
      <c r="Z478" s="15"/>
    </row>
    <row r="479" spans="1:26" x14ac:dyDescent="0.25">
      <c r="Q479" s="14"/>
      <c r="R479" s="15"/>
      <c r="S479" s="14"/>
      <c r="T479" s="15"/>
      <c r="U479" s="14"/>
      <c r="V479" s="15"/>
      <c r="W479" s="14"/>
      <c r="X479" s="15"/>
      <c r="Y479" s="14"/>
      <c r="Z479" s="15"/>
    </row>
    <row r="480" spans="1:26" x14ac:dyDescent="0.25">
      <c r="Q480" s="14"/>
      <c r="R480" s="15"/>
      <c r="S480" s="14"/>
      <c r="T480" s="15"/>
      <c r="U480" s="14"/>
      <c r="V480" s="15"/>
      <c r="W480" s="14"/>
      <c r="X480" s="15"/>
      <c r="Y480" s="14"/>
      <c r="Z480" s="15"/>
    </row>
    <row r="481" spans="1:26" x14ac:dyDescent="0.25">
      <c r="Q481" s="14"/>
      <c r="R481" s="15"/>
      <c r="S481" s="14"/>
      <c r="T481" s="15"/>
      <c r="U481" s="14"/>
      <c r="V481" s="15"/>
      <c r="W481" s="14"/>
      <c r="X481" s="15"/>
      <c r="Y481" s="14"/>
      <c r="Z481" s="15"/>
    </row>
    <row r="482" spans="1:26" x14ac:dyDescent="0.25">
      <c r="Q482" s="14"/>
      <c r="R482" s="15"/>
      <c r="S482" s="14"/>
      <c r="T482" s="15"/>
      <c r="U482" s="14"/>
      <c r="V482" s="15"/>
      <c r="W482" s="14"/>
      <c r="X482" s="15"/>
      <c r="Y482" s="14"/>
      <c r="Z482" s="15"/>
    </row>
    <row r="483" spans="1:26" x14ac:dyDescent="0.25">
      <c r="Q483" s="14"/>
      <c r="R483" s="15"/>
      <c r="S483" s="14"/>
      <c r="T483" s="15"/>
      <c r="U483" s="14"/>
      <c r="V483" s="15"/>
      <c r="W483" s="14"/>
      <c r="X483" s="15"/>
      <c r="Y483" s="14"/>
      <c r="Z483" s="15"/>
    </row>
    <row r="484" spans="1:26" x14ac:dyDescent="0.25">
      <c r="Q484" s="14"/>
      <c r="R484" s="15"/>
      <c r="S484" s="14"/>
      <c r="T484" s="15"/>
      <c r="U484" s="14"/>
      <c r="V484" s="15"/>
      <c r="W484" s="14"/>
      <c r="X484" s="15"/>
      <c r="Y484" s="14"/>
      <c r="Z484" s="15"/>
    </row>
    <row r="485" spans="1:26" x14ac:dyDescent="0.25">
      <c r="Q485" s="14"/>
      <c r="R485" s="15"/>
      <c r="S485" s="14"/>
      <c r="T485" s="15"/>
      <c r="U485" s="14"/>
      <c r="V485" s="15"/>
      <c r="W485" s="14"/>
      <c r="X485" s="15"/>
      <c r="Y485" s="14"/>
      <c r="Z485" s="15"/>
    </row>
    <row r="486" spans="1:26" x14ac:dyDescent="0.25">
      <c r="Q486" s="14"/>
      <c r="R486" s="15"/>
      <c r="S486" s="14"/>
      <c r="T486" s="15"/>
      <c r="U486" s="14"/>
      <c r="V486" s="15"/>
      <c r="W486" s="14"/>
      <c r="X486" s="15"/>
      <c r="Y486" s="14"/>
      <c r="Z486" s="15"/>
    </row>
    <row r="487" spans="1:26" x14ac:dyDescent="0.25">
      <c r="Q487" s="14"/>
      <c r="R487" s="15"/>
      <c r="S487" s="14"/>
      <c r="T487" s="15"/>
      <c r="U487" s="14"/>
      <c r="V487" s="15"/>
      <c r="W487" s="14"/>
      <c r="X487" s="15"/>
      <c r="Y487" s="14"/>
      <c r="Z487" s="15"/>
    </row>
    <row r="488" spans="1:26" x14ac:dyDescent="0.25">
      <c r="Q488" s="14"/>
      <c r="R488" s="15"/>
      <c r="S488" s="14"/>
      <c r="T488" s="15"/>
      <c r="U488" s="14"/>
      <c r="V488" s="15"/>
      <c r="W488" s="14"/>
      <c r="X488" s="15"/>
      <c r="Y488" s="14"/>
      <c r="Z488" s="15"/>
    </row>
    <row r="489" spans="1:26" x14ac:dyDescent="0.25">
      <c r="Q489" s="14"/>
      <c r="R489" s="15"/>
      <c r="S489" s="14"/>
      <c r="T489" s="15"/>
      <c r="U489" s="14"/>
      <c r="V489" s="15"/>
      <c r="W489" s="14"/>
      <c r="X489" s="15"/>
      <c r="Y489" s="14"/>
      <c r="Z489" s="15"/>
    </row>
    <row r="490" spans="1:26" x14ac:dyDescent="0.25">
      <c r="Q490" s="14"/>
      <c r="R490" s="15"/>
      <c r="S490" s="14"/>
      <c r="T490" s="15"/>
      <c r="U490" s="14"/>
      <c r="V490" s="15"/>
      <c r="W490" s="14"/>
      <c r="X490" s="15"/>
      <c r="Y490" s="14"/>
      <c r="Z490" s="15"/>
    </row>
    <row r="491" spans="1:26" x14ac:dyDescent="0.25">
      <c r="Q491" s="14"/>
      <c r="R491" s="15"/>
      <c r="S491" s="14"/>
      <c r="T491" s="15"/>
      <c r="U491" s="14"/>
      <c r="V491" s="15"/>
      <c r="W491" s="14"/>
      <c r="X491" s="15"/>
      <c r="Y491" s="14"/>
      <c r="Z491" s="15"/>
    </row>
    <row r="492" spans="1:26" x14ac:dyDescent="0.25">
      <c r="Q492" s="14"/>
      <c r="R492" s="15"/>
      <c r="S492" s="14"/>
      <c r="T492" s="15"/>
      <c r="U492" s="14"/>
      <c r="V492" s="15"/>
      <c r="W492" s="14"/>
      <c r="X492" s="15"/>
      <c r="Y492" s="14"/>
      <c r="Z492" s="15"/>
    </row>
    <row r="493" spans="1:26" x14ac:dyDescent="0.25">
      <c r="Q493" s="14"/>
      <c r="R493" s="15"/>
      <c r="S493" s="14"/>
      <c r="T493" s="15"/>
      <c r="U493" s="14"/>
      <c r="V493" s="15"/>
      <c r="W493" s="14"/>
      <c r="X493" s="15"/>
      <c r="Y493" s="14"/>
      <c r="Z493" s="15"/>
    </row>
    <row r="494" spans="1:26" x14ac:dyDescent="0.25">
      <c r="Q494" s="14"/>
      <c r="R494" s="15"/>
      <c r="S494" s="14"/>
      <c r="T494" s="15"/>
      <c r="U494" s="14"/>
      <c r="V494" s="15"/>
      <c r="W494" s="14"/>
      <c r="X494" s="15"/>
      <c r="Y494" s="14"/>
      <c r="Z494" s="15"/>
    </row>
    <row r="495" spans="1:26" x14ac:dyDescent="0.25">
      <c r="Q495" s="14"/>
      <c r="R495" s="15"/>
      <c r="S495" s="14"/>
      <c r="T495" s="15"/>
      <c r="U495" s="14"/>
      <c r="V495" s="15"/>
      <c r="W495" s="14"/>
      <c r="X495" s="15"/>
      <c r="Y495" s="14"/>
      <c r="Z495" s="15"/>
    </row>
    <row r="496" spans="1:26" x14ac:dyDescent="0.25">
      <c r="Q496" s="14"/>
      <c r="R496" s="15"/>
      <c r="S496" s="14"/>
      <c r="T496" s="15"/>
      <c r="U496" s="14"/>
      <c r="V496" s="15"/>
      <c r="W496" s="14"/>
      <c r="X496" s="15"/>
      <c r="Y496" s="14"/>
      <c r="Z496" s="15"/>
    </row>
    <row r="497" spans="1:26" x14ac:dyDescent="0.25">
      <c r="Q497" s="14"/>
      <c r="R497" s="15"/>
      <c r="S497" s="14"/>
      <c r="T497" s="15"/>
      <c r="U497" s="14"/>
      <c r="V497" s="15"/>
      <c r="W497" s="14"/>
      <c r="X497" s="15"/>
      <c r="Y497" s="14"/>
      <c r="Z497" s="15"/>
    </row>
    <row r="498" spans="1:26" x14ac:dyDescent="0.25">
      <c r="Q498" s="14"/>
      <c r="R498" s="15"/>
      <c r="S498" s="14"/>
      <c r="T498" s="15"/>
      <c r="U498" s="14"/>
      <c r="V498" s="15"/>
      <c r="W498" s="14"/>
      <c r="X498" s="15"/>
      <c r="Y498" s="14"/>
      <c r="Z498" s="15"/>
    </row>
    <row r="499" spans="1:26" x14ac:dyDescent="0.25">
      <c r="Q499" s="14"/>
      <c r="R499" s="15"/>
      <c r="S499" s="14"/>
      <c r="T499" s="15"/>
      <c r="U499" s="14"/>
      <c r="V499" s="15"/>
      <c r="W499" s="14"/>
      <c r="X499" s="15"/>
      <c r="Y499" s="14"/>
      <c r="Z499" s="15"/>
    </row>
    <row r="500" spans="1:26" x14ac:dyDescent="0.25">
      <c r="Q500" s="14"/>
      <c r="R500" s="15"/>
      <c r="S500" s="14"/>
      <c r="T500" s="15"/>
      <c r="U500" s="14"/>
      <c r="V500" s="15"/>
      <c r="W500" s="14"/>
      <c r="X500" s="15"/>
      <c r="Y500" s="14"/>
      <c r="Z500" s="15"/>
    </row>
    <row r="501" spans="1:26" x14ac:dyDescent="0.25">
      <c r="Q501" s="14"/>
      <c r="R501" s="15"/>
      <c r="S501" s="14"/>
      <c r="T501" s="15"/>
      <c r="U501" s="14"/>
      <c r="V501" s="15"/>
      <c r="W501" s="14"/>
      <c r="X501" s="15"/>
      <c r="Y501" s="14"/>
      <c r="Z501" s="15"/>
    </row>
    <row r="502" spans="1:26" x14ac:dyDescent="0.25">
      <c r="Q502" s="14"/>
      <c r="R502" s="15"/>
      <c r="S502" s="14"/>
      <c r="T502" s="15"/>
      <c r="U502" s="14"/>
      <c r="V502" s="15"/>
      <c r="W502" s="14"/>
      <c r="X502" s="15"/>
      <c r="Y502" s="14"/>
      <c r="Z502" s="15"/>
    </row>
    <row r="503" spans="1:26" x14ac:dyDescent="0.25">
      <c r="Q503" s="14"/>
      <c r="R503" s="15"/>
      <c r="S503" s="14"/>
      <c r="T503" s="15"/>
      <c r="U503" s="14"/>
      <c r="V503" s="15"/>
      <c r="W503" s="14"/>
      <c r="X503" s="15"/>
      <c r="Y503" s="14"/>
      <c r="Z503" s="15"/>
    </row>
    <row r="504" spans="1:26" x14ac:dyDescent="0.25">
      <c r="Q504" s="14"/>
      <c r="R504" s="15"/>
      <c r="S504" s="14"/>
      <c r="T504" s="15"/>
      <c r="U504" s="14"/>
      <c r="V504" s="15"/>
      <c r="W504" s="14"/>
      <c r="X504" s="15"/>
      <c r="Y504" s="14"/>
      <c r="Z504" s="15"/>
    </row>
    <row r="505" spans="1:26" x14ac:dyDescent="0.25">
      <c r="Q505" s="14"/>
      <c r="R505" s="15"/>
      <c r="S505" s="14"/>
      <c r="T505" s="15"/>
      <c r="U505" s="14"/>
      <c r="V505" s="15"/>
      <c r="W505" s="14"/>
      <c r="X505" s="15"/>
      <c r="Y505" s="14"/>
      <c r="Z505" s="15"/>
    </row>
    <row r="506" spans="1:26" x14ac:dyDescent="0.25">
      <c r="Q506" s="14"/>
      <c r="R506" s="15"/>
      <c r="S506" s="14"/>
      <c r="T506" s="15"/>
      <c r="U506" s="14"/>
      <c r="V506" s="15"/>
      <c r="W506" s="14"/>
      <c r="X506" s="15"/>
      <c r="Y506" s="14"/>
      <c r="Z506" s="15"/>
    </row>
    <row r="507" spans="1:26" x14ac:dyDescent="0.25">
      <c r="Q507" s="14"/>
      <c r="R507" s="15"/>
      <c r="S507" s="14"/>
      <c r="T507" s="15"/>
      <c r="U507" s="14"/>
      <c r="V507" s="15"/>
      <c r="W507" s="14"/>
      <c r="X507" s="15"/>
      <c r="Y507" s="14"/>
      <c r="Z507" s="15"/>
    </row>
    <row r="508" spans="1:26" x14ac:dyDescent="0.25">
      <c r="Q508" s="14"/>
      <c r="R508" s="15"/>
      <c r="S508" s="14"/>
      <c r="T508" s="15"/>
      <c r="U508" s="14"/>
      <c r="V508" s="15"/>
      <c r="W508" s="14"/>
      <c r="X508" s="15"/>
      <c r="Y508" s="14"/>
      <c r="Z508" s="15"/>
    </row>
    <row r="509" spans="1:26" x14ac:dyDescent="0.25">
      <c r="Q509" s="14"/>
      <c r="R509" s="15"/>
      <c r="S509" s="14"/>
      <c r="T509" s="15"/>
      <c r="U509" s="14"/>
      <c r="V509" s="15"/>
      <c r="W509" s="14"/>
      <c r="X509" s="15"/>
      <c r="Y509" s="14"/>
      <c r="Z509" s="15"/>
    </row>
    <row r="510" spans="1:26" x14ac:dyDescent="0.25">
      <c r="Q510" s="14"/>
      <c r="R510" s="15"/>
      <c r="S510" s="14"/>
      <c r="T510" s="15"/>
      <c r="U510" s="14"/>
      <c r="V510" s="15"/>
      <c r="W510" s="14"/>
      <c r="X510" s="15"/>
      <c r="Y510" s="14"/>
      <c r="Z510" s="15"/>
    </row>
    <row r="511" spans="1:26" x14ac:dyDescent="0.25">
      <c r="Q511" s="14"/>
      <c r="R511" s="15"/>
      <c r="S511" s="14"/>
      <c r="T511" s="15"/>
      <c r="U511" s="14"/>
      <c r="V511" s="15"/>
      <c r="W511" s="14"/>
      <c r="X511" s="15"/>
      <c r="Y511" s="14"/>
      <c r="Z511" s="15"/>
    </row>
    <row r="512" spans="1:26" x14ac:dyDescent="0.25">
      <c r="Q512" s="14"/>
      <c r="R512" s="15"/>
      <c r="S512" s="14"/>
      <c r="T512" s="15"/>
      <c r="U512" s="14"/>
      <c r="V512" s="15"/>
      <c r="W512" s="14"/>
      <c r="X512" s="15"/>
      <c r="Y512" s="14"/>
      <c r="Z512" s="15"/>
    </row>
    <row r="513" spans="1:26" x14ac:dyDescent="0.25">
      <c r="Q513" s="14"/>
      <c r="R513" s="15"/>
      <c r="S513" s="14"/>
      <c r="T513" s="15"/>
      <c r="U513" s="14"/>
      <c r="V513" s="15"/>
      <c r="W513" s="14"/>
      <c r="X513" s="15"/>
      <c r="Y513" s="14"/>
      <c r="Z513" s="15"/>
    </row>
    <row r="514" spans="1:26" x14ac:dyDescent="0.25">
      <c r="Q514" s="14"/>
      <c r="R514" s="15"/>
      <c r="S514" s="14"/>
      <c r="T514" s="15"/>
      <c r="U514" s="14"/>
      <c r="V514" s="15"/>
      <c r="W514" s="14"/>
      <c r="X514" s="15"/>
      <c r="Y514" s="14"/>
      <c r="Z514" s="15"/>
    </row>
    <row r="515" spans="1:26" x14ac:dyDescent="0.25">
      <c r="Q515" s="14"/>
      <c r="R515" s="15"/>
      <c r="S515" s="14"/>
      <c r="T515" s="15"/>
      <c r="U515" s="14"/>
      <c r="V515" s="15"/>
      <c r="W515" s="14"/>
      <c r="X515" s="15"/>
      <c r="Y515" s="14"/>
      <c r="Z515" s="15"/>
    </row>
    <row r="516" spans="1:26" x14ac:dyDescent="0.25">
      <c r="Q516" s="14"/>
      <c r="R516" s="15"/>
      <c r="S516" s="14"/>
      <c r="T516" s="15"/>
      <c r="U516" s="14"/>
      <c r="V516" s="15"/>
      <c r="W516" s="14"/>
      <c r="X516" s="15"/>
      <c r="Y516" s="14"/>
      <c r="Z516" s="15"/>
    </row>
    <row r="517" spans="1:26" x14ac:dyDescent="0.25">
      <c r="Q517" s="14"/>
      <c r="R517" s="15"/>
      <c r="S517" s="14"/>
      <c r="T517" s="15"/>
      <c r="U517" s="14"/>
      <c r="V517" s="15"/>
      <c r="W517" s="14"/>
      <c r="X517" s="15"/>
      <c r="Y517" s="14"/>
      <c r="Z517" s="15"/>
    </row>
    <row r="518" spans="1:26" x14ac:dyDescent="0.25">
      <c r="Q518" s="14"/>
      <c r="R518" s="15"/>
      <c r="S518" s="14"/>
      <c r="T518" s="15"/>
      <c r="U518" s="14"/>
      <c r="V518" s="15"/>
      <c r="W518" s="14"/>
      <c r="X518" s="15"/>
      <c r="Y518" s="14"/>
      <c r="Z518" s="15"/>
    </row>
    <row r="519" spans="1:26" x14ac:dyDescent="0.25">
      <c r="Q519" s="14"/>
      <c r="R519" s="15"/>
      <c r="S519" s="14"/>
      <c r="T519" s="15"/>
      <c r="U519" s="14"/>
      <c r="V519" s="15"/>
      <c r="W519" s="14"/>
      <c r="X519" s="15"/>
      <c r="Y519" s="14"/>
      <c r="Z519" s="15"/>
    </row>
    <row r="520" spans="1:26" x14ac:dyDescent="0.25">
      <c r="Q520" s="14"/>
      <c r="R520" s="15"/>
      <c r="S520" s="14"/>
      <c r="T520" s="15"/>
      <c r="U520" s="14"/>
      <c r="V520" s="15"/>
      <c r="W520" s="14"/>
      <c r="X520" s="15"/>
      <c r="Y520" s="14"/>
      <c r="Z520" s="15"/>
    </row>
    <row r="521" spans="1:26" x14ac:dyDescent="0.25">
      <c r="Q521" s="14"/>
      <c r="R521" s="15"/>
      <c r="S521" s="14"/>
      <c r="T521" s="15"/>
      <c r="U521" s="14"/>
      <c r="V521" s="15"/>
      <c r="W521" s="14"/>
      <c r="X521" s="15"/>
      <c r="Y521" s="14"/>
      <c r="Z521" s="15"/>
    </row>
    <row r="522" spans="1:26" x14ac:dyDescent="0.25">
      <c r="Q522" s="14"/>
      <c r="R522" s="15"/>
      <c r="S522" s="14"/>
      <c r="T522" s="15"/>
      <c r="U522" s="14"/>
      <c r="V522" s="15"/>
      <c r="W522" s="14"/>
      <c r="X522" s="15"/>
      <c r="Y522" s="14"/>
      <c r="Z522" s="15"/>
    </row>
    <row r="523" spans="1:26" x14ac:dyDescent="0.25">
      <c r="Q523" s="14"/>
      <c r="R523" s="15"/>
      <c r="S523" s="14"/>
      <c r="T523" s="15"/>
      <c r="U523" s="14"/>
      <c r="V523" s="15"/>
      <c r="W523" s="14"/>
      <c r="X523" s="15"/>
      <c r="Y523" s="14"/>
      <c r="Z523" s="15"/>
    </row>
    <row r="524" spans="1:26" x14ac:dyDescent="0.25">
      <c r="Q524" s="14"/>
      <c r="R524" s="15"/>
      <c r="S524" s="14"/>
      <c r="T524" s="15"/>
      <c r="U524" s="14"/>
      <c r="V524" s="15"/>
      <c r="W524" s="14"/>
      <c r="X524" s="15"/>
      <c r="Y524" s="14"/>
      <c r="Z524" s="15"/>
    </row>
    <row r="525" spans="1:26" x14ac:dyDescent="0.25">
      <c r="Q525" s="14"/>
      <c r="R525" s="15"/>
      <c r="S525" s="14"/>
      <c r="T525" s="15"/>
      <c r="U525" s="14"/>
      <c r="V525" s="15"/>
      <c r="W525" s="14"/>
      <c r="X525" s="15"/>
      <c r="Y525" s="14"/>
      <c r="Z525" s="15"/>
    </row>
    <row r="526" spans="1:26" x14ac:dyDescent="0.25">
      <c r="Q526" s="14"/>
      <c r="R526" s="15"/>
      <c r="S526" s="14"/>
      <c r="T526" s="15"/>
      <c r="U526" s="14"/>
      <c r="V526" s="15"/>
      <c r="W526" s="14"/>
      <c r="X526" s="15"/>
      <c r="Y526" s="14"/>
      <c r="Z526" s="15"/>
    </row>
    <row r="527" spans="1:26" x14ac:dyDescent="0.25">
      <c r="Q527" s="14"/>
      <c r="R527" s="15"/>
      <c r="S527" s="14"/>
      <c r="T527" s="15"/>
      <c r="U527" s="14"/>
      <c r="V527" s="15"/>
      <c r="W527" s="14"/>
      <c r="X527" s="15"/>
      <c r="Y527" s="14"/>
      <c r="Z527" s="15"/>
    </row>
    <row r="528" spans="1:26" x14ac:dyDescent="0.25">
      <c r="Q528" s="14"/>
      <c r="R528" s="15"/>
      <c r="S528" s="14"/>
      <c r="T528" s="15"/>
      <c r="U528" s="14"/>
      <c r="V528" s="15"/>
      <c r="W528" s="14"/>
      <c r="X528" s="15"/>
      <c r="Y528" s="14"/>
      <c r="Z528" s="15"/>
    </row>
    <row r="529" spans="1:26" x14ac:dyDescent="0.25">
      <c r="Q529" s="14"/>
      <c r="R529" s="15"/>
      <c r="S529" s="14"/>
      <c r="T529" s="15"/>
      <c r="U529" s="14"/>
      <c r="V529" s="15"/>
      <c r="W529" s="14"/>
      <c r="X529" s="15"/>
      <c r="Y529" s="14"/>
      <c r="Z529" s="15"/>
    </row>
    <row r="530" spans="1:26" x14ac:dyDescent="0.25">
      <c r="Q530" s="14"/>
      <c r="R530" s="15"/>
      <c r="S530" s="14"/>
      <c r="T530" s="15"/>
      <c r="U530" s="14"/>
      <c r="V530" s="15"/>
      <c r="W530" s="14"/>
      <c r="X530" s="15"/>
      <c r="Y530" s="14"/>
      <c r="Z530" s="15"/>
    </row>
    <row r="531" spans="1:26" x14ac:dyDescent="0.25">
      <c r="Q531" s="14"/>
      <c r="R531" s="15"/>
      <c r="S531" s="14"/>
      <c r="T531" s="15"/>
      <c r="U531" s="14"/>
      <c r="V531" s="15"/>
      <c r="W531" s="14"/>
      <c r="X531" s="15"/>
      <c r="Y531" s="14"/>
      <c r="Z531" s="15"/>
    </row>
    <row r="532" spans="1:26" x14ac:dyDescent="0.25">
      <c r="Q532" s="14"/>
      <c r="R532" s="15"/>
      <c r="S532" s="14"/>
      <c r="T532" s="15"/>
      <c r="U532" s="14"/>
      <c r="V532" s="15"/>
      <c r="W532" s="14"/>
      <c r="X532" s="15"/>
      <c r="Y532" s="14"/>
      <c r="Z532" s="15"/>
    </row>
    <row r="533" spans="1:26" x14ac:dyDescent="0.25">
      <c r="Q533" s="14"/>
      <c r="R533" s="15"/>
      <c r="S533" s="14"/>
      <c r="T533" s="15"/>
      <c r="U533" s="14"/>
      <c r="V533" s="15"/>
      <c r="W533" s="14"/>
      <c r="X533" s="15"/>
      <c r="Y533" s="14"/>
      <c r="Z533" s="15"/>
    </row>
    <row r="534" spans="1:26" x14ac:dyDescent="0.25">
      <c r="Q534" s="14"/>
      <c r="R534" s="15"/>
      <c r="S534" s="14"/>
      <c r="T534" s="15"/>
      <c r="U534" s="14"/>
      <c r="V534" s="15"/>
      <c r="W534" s="14"/>
      <c r="X534" s="15"/>
      <c r="Y534" s="14"/>
      <c r="Z534" s="15"/>
    </row>
    <row r="535" spans="1:26" x14ac:dyDescent="0.25">
      <c r="Q535" s="14"/>
      <c r="R535" s="15"/>
      <c r="S535" s="14"/>
      <c r="T535" s="15"/>
      <c r="U535" s="14"/>
      <c r="V535" s="15"/>
      <c r="W535" s="14"/>
      <c r="X535" s="15"/>
      <c r="Y535" s="14"/>
      <c r="Z535" s="15"/>
    </row>
    <row r="536" spans="1:26" x14ac:dyDescent="0.25">
      <c r="Q536" s="14"/>
      <c r="R536" s="15"/>
      <c r="S536" s="14"/>
      <c r="T536" s="15"/>
      <c r="U536" s="14"/>
      <c r="V536" s="15"/>
      <c r="W536" s="14"/>
      <c r="X536" s="15"/>
      <c r="Y536" s="14"/>
      <c r="Z536" s="15"/>
    </row>
    <row r="537" spans="1:26" x14ac:dyDescent="0.25">
      <c r="Q537" s="14"/>
      <c r="R537" s="15"/>
      <c r="S537" s="14"/>
      <c r="T537" s="15"/>
      <c r="U537" s="14"/>
      <c r="V537" s="15"/>
      <c r="W537" s="14"/>
      <c r="X537" s="15"/>
      <c r="Y537" s="14"/>
      <c r="Z537" s="15"/>
    </row>
    <row r="538" spans="1:26" x14ac:dyDescent="0.25">
      <c r="Q538" s="14"/>
      <c r="R538" s="15"/>
      <c r="S538" s="14"/>
      <c r="T538" s="15"/>
      <c r="U538" s="14"/>
      <c r="V538" s="15"/>
      <c r="W538" s="14"/>
      <c r="X538" s="15"/>
      <c r="Y538" s="14"/>
      <c r="Z538" s="15"/>
    </row>
    <row r="539" spans="1:26" x14ac:dyDescent="0.25">
      <c r="Q539" s="14"/>
      <c r="R539" s="15"/>
      <c r="S539" s="14"/>
      <c r="T539" s="15"/>
      <c r="U539" s="14"/>
      <c r="V539" s="15"/>
      <c r="W539" s="14"/>
      <c r="X539" s="15"/>
      <c r="Y539" s="14"/>
      <c r="Z539" s="15"/>
    </row>
    <row r="540" spans="1:26" x14ac:dyDescent="0.25">
      <c r="Q540" s="14"/>
      <c r="R540" s="15"/>
      <c r="S540" s="14"/>
      <c r="T540" s="15"/>
      <c r="U540" s="14"/>
      <c r="V540" s="15"/>
      <c r="W540" s="14"/>
      <c r="X540" s="15"/>
      <c r="Y540" s="14"/>
      <c r="Z540" s="15"/>
    </row>
    <row r="541" spans="1:26" x14ac:dyDescent="0.25">
      <c r="Q541" s="14"/>
      <c r="R541" s="15"/>
      <c r="S541" s="14"/>
      <c r="T541" s="15"/>
      <c r="U541" s="14"/>
      <c r="V541" s="15"/>
      <c r="W541" s="14"/>
      <c r="X541" s="15"/>
      <c r="Y541" s="14"/>
      <c r="Z541" s="15"/>
    </row>
    <row r="542" spans="1:26" x14ac:dyDescent="0.25">
      <c r="Q542" s="14"/>
      <c r="R542" s="15"/>
      <c r="S542" s="14"/>
      <c r="T542" s="15"/>
      <c r="U542" s="14"/>
      <c r="V542" s="15"/>
      <c r="W542" s="14"/>
      <c r="X542" s="15"/>
      <c r="Y542" s="14"/>
      <c r="Z542" s="15"/>
    </row>
    <row r="543" spans="1:26" x14ac:dyDescent="0.25">
      <c r="Q543" s="14"/>
      <c r="R543" s="15"/>
      <c r="S543" s="14"/>
      <c r="T543" s="15"/>
      <c r="U543" s="14"/>
      <c r="V543" s="15"/>
      <c r="W543" s="14"/>
      <c r="X543" s="15"/>
      <c r="Y543" s="14"/>
      <c r="Z543" s="15"/>
    </row>
    <row r="544" spans="1:26" x14ac:dyDescent="0.25">
      <c r="Q544" s="14"/>
      <c r="R544" s="15"/>
      <c r="S544" s="14"/>
      <c r="T544" s="15"/>
      <c r="U544" s="14"/>
      <c r="V544" s="15"/>
      <c r="W544" s="14"/>
      <c r="X544" s="15"/>
      <c r="Y544" s="14"/>
      <c r="Z544" s="15"/>
    </row>
    <row r="545" spans="1:26" x14ac:dyDescent="0.25">
      <c r="Q545" s="14"/>
      <c r="R545" s="15"/>
      <c r="S545" s="14"/>
      <c r="T545" s="15"/>
      <c r="U545" s="14"/>
      <c r="V545" s="15"/>
      <c r="W545" s="14"/>
      <c r="X545" s="15"/>
      <c r="Y545" s="14"/>
      <c r="Z545" s="15"/>
    </row>
    <row r="546" spans="1:26" x14ac:dyDescent="0.25">
      <c r="Q546" s="14"/>
      <c r="R546" s="15"/>
      <c r="S546" s="14"/>
      <c r="T546" s="15"/>
      <c r="U546" s="14"/>
      <c r="V546" s="15"/>
      <c r="W546" s="14"/>
      <c r="X546" s="15"/>
      <c r="Y546" s="14"/>
      <c r="Z546" s="15"/>
    </row>
    <row r="547" spans="1:26" x14ac:dyDescent="0.25">
      <c r="Q547" s="14"/>
      <c r="R547" s="15"/>
      <c r="S547" s="14"/>
      <c r="T547" s="15"/>
      <c r="U547" s="14"/>
      <c r="V547" s="15"/>
      <c r="W547" s="14"/>
      <c r="X547" s="15"/>
      <c r="Y547" s="14"/>
      <c r="Z547" s="15"/>
    </row>
    <row r="548" spans="1:26" x14ac:dyDescent="0.25">
      <c r="Q548" s="14"/>
      <c r="R548" s="15"/>
      <c r="S548" s="14"/>
      <c r="T548" s="15"/>
      <c r="U548" s="14"/>
      <c r="V548" s="15"/>
      <c r="W548" s="14"/>
      <c r="X548" s="15"/>
      <c r="Y548" s="14"/>
      <c r="Z548" s="15"/>
    </row>
    <row r="549" spans="1:26" x14ac:dyDescent="0.25">
      <c r="Q549" s="14"/>
      <c r="R549" s="15"/>
      <c r="S549" s="14"/>
      <c r="T549" s="15"/>
      <c r="U549" s="14"/>
      <c r="V549" s="15"/>
      <c r="W549" s="14"/>
      <c r="X549" s="15"/>
      <c r="Y549" s="14"/>
      <c r="Z549" s="15"/>
    </row>
    <row r="550" spans="1:26" x14ac:dyDescent="0.25">
      <c r="Q550" s="14"/>
      <c r="R550" s="15"/>
      <c r="S550" s="14"/>
      <c r="T550" s="15"/>
      <c r="U550" s="14"/>
      <c r="V550" s="15"/>
      <c r="W550" s="14"/>
      <c r="X550" s="15"/>
      <c r="Y550" s="14"/>
      <c r="Z550" s="15"/>
    </row>
    <row r="551" spans="1:26" x14ac:dyDescent="0.25">
      <c r="Q551" s="14"/>
      <c r="R551" s="15"/>
      <c r="S551" s="14"/>
      <c r="T551" s="15"/>
      <c r="U551" s="14"/>
      <c r="V551" s="15"/>
      <c r="W551" s="14"/>
      <c r="X551" s="15"/>
      <c r="Y551" s="14"/>
      <c r="Z551" s="15"/>
    </row>
    <row r="552" spans="1:26" x14ac:dyDescent="0.25">
      <c r="Q552" s="14"/>
      <c r="R552" s="15"/>
      <c r="S552" s="14"/>
      <c r="T552" s="15"/>
      <c r="U552" s="14"/>
      <c r="V552" s="15"/>
      <c r="W552" s="14"/>
      <c r="X552" s="15"/>
      <c r="Y552" s="14"/>
      <c r="Z552" s="15"/>
    </row>
    <row r="553" spans="1:26" x14ac:dyDescent="0.25">
      <c r="Q553" s="14"/>
      <c r="R553" s="15"/>
      <c r="S553" s="14"/>
      <c r="T553" s="15"/>
      <c r="U553" s="14"/>
      <c r="V553" s="15"/>
      <c r="W553" s="14"/>
      <c r="X553" s="15"/>
      <c r="Y553" s="14"/>
      <c r="Z553" s="15"/>
    </row>
    <row r="554" spans="1:26" x14ac:dyDescent="0.25">
      <c r="Q554" s="14"/>
      <c r="R554" s="15"/>
      <c r="S554" s="14"/>
      <c r="T554" s="15"/>
      <c r="U554" s="14"/>
      <c r="V554" s="15"/>
      <c r="W554" s="14"/>
      <c r="X554" s="15"/>
      <c r="Y554" s="14"/>
      <c r="Z554" s="15"/>
    </row>
    <row r="555" spans="1:26" x14ac:dyDescent="0.25">
      <c r="Q555" s="14"/>
      <c r="R555" s="15"/>
      <c r="S555" s="14"/>
      <c r="T555" s="15"/>
      <c r="U555" s="14"/>
      <c r="V555" s="15"/>
      <c r="W555" s="14"/>
      <c r="X555" s="15"/>
      <c r="Y555" s="14"/>
      <c r="Z555" s="15"/>
    </row>
    <row r="556" spans="1:26" x14ac:dyDescent="0.25">
      <c r="Q556" s="14"/>
      <c r="R556" s="15"/>
      <c r="S556" s="14"/>
      <c r="T556" s="15"/>
      <c r="U556" s="14"/>
      <c r="V556" s="15"/>
      <c r="W556" s="14"/>
      <c r="X556" s="15"/>
      <c r="Y556" s="14"/>
      <c r="Z556" s="15"/>
    </row>
    <row r="557" spans="1:26" x14ac:dyDescent="0.25">
      <c r="Q557" s="14"/>
      <c r="R557" s="15"/>
      <c r="S557" s="14"/>
      <c r="T557" s="15"/>
      <c r="U557" s="14"/>
      <c r="V557" s="15"/>
      <c r="W557" s="14"/>
      <c r="X557" s="15"/>
      <c r="Y557" s="14"/>
      <c r="Z557" s="15"/>
    </row>
    <row r="558" spans="1:26" x14ac:dyDescent="0.25">
      <c r="Q558" s="14"/>
      <c r="R558" s="15"/>
      <c r="S558" s="14"/>
      <c r="T558" s="15"/>
      <c r="U558" s="14"/>
      <c r="V558" s="15"/>
      <c r="W558" s="14"/>
      <c r="X558" s="15"/>
      <c r="Y558" s="14"/>
      <c r="Z558" s="15"/>
    </row>
    <row r="559" spans="1:26" x14ac:dyDescent="0.25">
      <c r="Q559" s="14"/>
      <c r="R559" s="15"/>
      <c r="S559" s="14"/>
      <c r="T559" s="15"/>
      <c r="U559" s="14"/>
      <c r="V559" s="15"/>
      <c r="W559" s="14"/>
      <c r="X559" s="15"/>
      <c r="Y559" s="14"/>
      <c r="Z559" s="15"/>
    </row>
    <row r="560" spans="1:26" x14ac:dyDescent="0.25">
      <c r="Q560" s="14"/>
      <c r="R560" s="15"/>
      <c r="S560" s="14"/>
      <c r="T560" s="15"/>
      <c r="U560" s="14"/>
      <c r="V560" s="15"/>
      <c r="W560" s="14"/>
      <c r="X560" s="15"/>
      <c r="Y560" s="14"/>
      <c r="Z560" s="15"/>
    </row>
    <row r="561" spans="1:26" x14ac:dyDescent="0.25">
      <c r="Q561" s="14"/>
      <c r="R561" s="15"/>
      <c r="S561" s="14"/>
      <c r="T561" s="15"/>
      <c r="U561" s="14"/>
      <c r="V561" s="15"/>
      <c r="W561" s="14"/>
      <c r="X561" s="15"/>
      <c r="Y561" s="14"/>
      <c r="Z561" s="15"/>
    </row>
    <row r="562" spans="1:26" x14ac:dyDescent="0.25">
      <c r="Q562" s="14"/>
      <c r="R562" s="15"/>
      <c r="S562" s="14"/>
      <c r="T562" s="15"/>
      <c r="U562" s="14"/>
      <c r="V562" s="15"/>
      <c r="W562" s="14"/>
      <c r="X562" s="15"/>
      <c r="Y562" s="14"/>
      <c r="Z562" s="15"/>
    </row>
    <row r="563" spans="1:26" x14ac:dyDescent="0.25">
      <c r="Q563" s="14"/>
      <c r="R563" s="15"/>
      <c r="S563" s="14"/>
      <c r="T563" s="15"/>
      <c r="U563" s="14"/>
      <c r="V563" s="15"/>
      <c r="W563" s="14"/>
      <c r="X563" s="15"/>
      <c r="Y563" s="14"/>
      <c r="Z563" s="15"/>
    </row>
    <row r="564" spans="1:26" x14ac:dyDescent="0.25">
      <c r="Q564" s="14"/>
      <c r="R564" s="15"/>
      <c r="S564" s="14"/>
      <c r="T564" s="15"/>
      <c r="U564" s="14"/>
      <c r="V564" s="15"/>
      <c r="W564" s="14"/>
      <c r="X564" s="15"/>
      <c r="Y564" s="14"/>
      <c r="Z564" s="15"/>
    </row>
    <row r="565" spans="1:26" x14ac:dyDescent="0.25">
      <c r="Q565" s="14"/>
      <c r="R565" s="15"/>
      <c r="S565" s="14"/>
      <c r="T565" s="15"/>
      <c r="U565" s="14"/>
      <c r="V565" s="15"/>
      <c r="W565" s="14"/>
      <c r="X565" s="15"/>
      <c r="Y565" s="14"/>
      <c r="Z565" s="15"/>
    </row>
    <row r="566" spans="1:26" x14ac:dyDescent="0.25">
      <c r="Q566" s="14"/>
      <c r="R566" s="15"/>
      <c r="S566" s="14"/>
      <c r="T566" s="15"/>
      <c r="U566" s="14"/>
      <c r="V566" s="15"/>
      <c r="W566" s="14"/>
      <c r="X566" s="15"/>
      <c r="Y566" s="14"/>
      <c r="Z566" s="15"/>
    </row>
    <row r="567" spans="1:26" x14ac:dyDescent="0.25">
      <c r="Q567" s="14"/>
      <c r="R567" s="15"/>
      <c r="S567" s="14"/>
      <c r="T567" s="15"/>
      <c r="U567" s="14"/>
      <c r="V567" s="15"/>
      <c r="W567" s="14"/>
      <c r="X567" s="15"/>
      <c r="Y567" s="14"/>
      <c r="Z567" s="15"/>
    </row>
    <row r="568" spans="1:26" x14ac:dyDescent="0.25">
      <c r="Q568" s="14"/>
      <c r="R568" s="15"/>
      <c r="S568" s="14"/>
      <c r="T568" s="15"/>
      <c r="U568" s="14"/>
      <c r="V568" s="15"/>
      <c r="W568" s="14"/>
      <c r="X568" s="15"/>
      <c r="Y568" s="14"/>
      <c r="Z568" s="15"/>
    </row>
    <row r="569" spans="1:26" x14ac:dyDescent="0.25">
      <c r="Q569" s="14"/>
      <c r="R569" s="15"/>
      <c r="S569" s="14"/>
      <c r="T569" s="15"/>
      <c r="U569" s="14"/>
      <c r="V569" s="15"/>
      <c r="W569" s="14"/>
      <c r="X569" s="15"/>
      <c r="Y569" s="14"/>
      <c r="Z569" s="15"/>
    </row>
    <row r="570" spans="1:26" x14ac:dyDescent="0.25">
      <c r="Q570" s="14"/>
      <c r="R570" s="15"/>
      <c r="S570" s="14"/>
      <c r="T570" s="15"/>
      <c r="U570" s="14"/>
      <c r="V570" s="15"/>
      <c r="W570" s="14"/>
      <c r="X570" s="15"/>
      <c r="Y570" s="14"/>
      <c r="Z570" s="15"/>
    </row>
    <row r="571" spans="1:26" x14ac:dyDescent="0.25">
      <c r="Q571" s="14"/>
      <c r="R571" s="15"/>
      <c r="S571" s="14"/>
      <c r="T571" s="15"/>
      <c r="U571" s="14"/>
      <c r="V571" s="15"/>
      <c r="W571" s="14"/>
      <c r="X571" s="15"/>
      <c r="Y571" s="14"/>
      <c r="Z571" s="15"/>
    </row>
    <row r="572" spans="1:26" x14ac:dyDescent="0.25">
      <c r="Q572" s="14"/>
      <c r="R572" s="15"/>
      <c r="S572" s="14"/>
      <c r="T572" s="15"/>
      <c r="U572" s="14"/>
      <c r="V572" s="15"/>
      <c r="W572" s="14"/>
      <c r="X572" s="15"/>
      <c r="Y572" s="14"/>
      <c r="Z572" s="15"/>
    </row>
    <row r="573" spans="1:26" x14ac:dyDescent="0.25">
      <c r="Q573" s="14"/>
      <c r="R573" s="15"/>
      <c r="S573" s="14"/>
      <c r="T573" s="15"/>
      <c r="U573" s="14"/>
      <c r="V573" s="15"/>
      <c r="W573" s="14"/>
      <c r="X573" s="15"/>
      <c r="Y573" s="14"/>
      <c r="Z573" s="15"/>
    </row>
    <row r="574" spans="1:26" x14ac:dyDescent="0.25">
      <c r="Q574" s="14"/>
      <c r="R574" s="15"/>
      <c r="S574" s="14"/>
      <c r="T574" s="15"/>
      <c r="U574" s="14"/>
      <c r="V574" s="15"/>
      <c r="W574" s="14"/>
      <c r="X574" s="15"/>
      <c r="Y574" s="14"/>
      <c r="Z574" s="15"/>
    </row>
    <row r="575" spans="1:26" x14ac:dyDescent="0.25">
      <c r="Q575" s="14"/>
      <c r="R575" s="15"/>
      <c r="S575" s="14"/>
      <c r="T575" s="15"/>
      <c r="U575" s="14"/>
      <c r="V575" s="15"/>
      <c r="W575" s="14"/>
      <c r="X575" s="15"/>
      <c r="Y575" s="14"/>
      <c r="Z575" s="15"/>
    </row>
    <row r="576" spans="1:26" x14ac:dyDescent="0.25">
      <c r="Q576" s="14"/>
      <c r="R576" s="15"/>
      <c r="S576" s="14"/>
      <c r="T576" s="15"/>
      <c r="U576" s="14"/>
      <c r="V576" s="15"/>
      <c r="W576" s="14"/>
      <c r="X576" s="15"/>
      <c r="Y576" s="14"/>
      <c r="Z576" s="15"/>
    </row>
    <row r="577" spans="1:26" x14ac:dyDescent="0.25">
      <c r="Q577" s="14"/>
      <c r="R577" s="15"/>
      <c r="S577" s="14"/>
      <c r="T577" s="15"/>
      <c r="U577" s="14"/>
      <c r="V577" s="15"/>
      <c r="W577" s="14"/>
      <c r="X577" s="15"/>
      <c r="Y577" s="14"/>
      <c r="Z577" s="15"/>
    </row>
    <row r="578" spans="1:26" x14ac:dyDescent="0.25">
      <c r="Q578" s="14"/>
      <c r="R578" s="15"/>
      <c r="S578" s="14"/>
      <c r="T578" s="15"/>
      <c r="U578" s="14"/>
      <c r="V578" s="15"/>
      <c r="W578" s="14"/>
      <c r="X578" s="15"/>
      <c r="Y578" s="14"/>
      <c r="Z578" s="15"/>
    </row>
    <row r="579" spans="1:26" x14ac:dyDescent="0.25">
      <c r="Q579" s="14"/>
      <c r="R579" s="15"/>
      <c r="S579" s="14"/>
      <c r="T579" s="15"/>
      <c r="U579" s="14"/>
      <c r="V579" s="15"/>
      <c r="W579" s="14"/>
      <c r="X579" s="15"/>
      <c r="Y579" s="14"/>
      <c r="Z579" s="15"/>
    </row>
    <row r="580" spans="1:26" x14ac:dyDescent="0.25">
      <c r="Q580" s="14"/>
      <c r="R580" s="15"/>
      <c r="S580" s="14"/>
      <c r="T580" s="15"/>
      <c r="U580" s="14"/>
      <c r="V580" s="15"/>
      <c r="W580" s="14"/>
      <c r="X580" s="15"/>
      <c r="Y580" s="14"/>
      <c r="Z580" s="15"/>
    </row>
    <row r="581" spans="1:26" x14ac:dyDescent="0.25">
      <c r="Q581" s="14"/>
      <c r="R581" s="15"/>
      <c r="S581" s="14"/>
      <c r="T581" s="15"/>
      <c r="U581" s="14"/>
      <c r="V581" s="15"/>
      <c r="W581" s="14"/>
      <c r="X581" s="15"/>
      <c r="Y581" s="14"/>
      <c r="Z581" s="15"/>
    </row>
    <row r="582" spans="1:26" x14ac:dyDescent="0.25">
      <c r="Q582" s="14"/>
      <c r="R582" s="15"/>
      <c r="S582" s="14"/>
      <c r="T582" s="15"/>
      <c r="U582" s="14"/>
      <c r="V582" s="15"/>
      <c r="W582" s="14"/>
      <c r="X582" s="15"/>
      <c r="Y582" s="14"/>
      <c r="Z582" s="15"/>
    </row>
    <row r="583" spans="1:26" x14ac:dyDescent="0.25">
      <c r="Q583" s="14"/>
      <c r="R583" s="15"/>
      <c r="S583" s="14"/>
      <c r="T583" s="15"/>
      <c r="U583" s="14"/>
      <c r="V583" s="15"/>
      <c r="W583" s="14"/>
      <c r="X583" s="15"/>
      <c r="Y583" s="14"/>
      <c r="Z583" s="15"/>
    </row>
    <row r="584" spans="1:26" x14ac:dyDescent="0.25">
      <c r="Q584" s="14"/>
      <c r="R584" s="15"/>
      <c r="S584" s="14"/>
      <c r="T584" s="15"/>
      <c r="U584" s="14"/>
      <c r="V584" s="15"/>
      <c r="W584" s="14"/>
      <c r="X584" s="15"/>
      <c r="Y584" s="14"/>
      <c r="Z584" s="15"/>
    </row>
    <row r="585" spans="1:26" x14ac:dyDescent="0.25">
      <c r="Q585" s="14"/>
      <c r="R585" s="15"/>
      <c r="S585" s="14"/>
      <c r="T585" s="15"/>
      <c r="U585" s="14"/>
      <c r="V585" s="15"/>
      <c r="W585" s="14"/>
      <c r="X585" s="15"/>
      <c r="Y585" s="14"/>
      <c r="Z585" s="15"/>
    </row>
    <row r="586" spans="1:26" x14ac:dyDescent="0.25">
      <c r="Q586" s="14"/>
      <c r="R586" s="15"/>
      <c r="S586" s="14"/>
      <c r="T586" s="15"/>
      <c r="U586" s="14"/>
      <c r="V586" s="15"/>
      <c r="W586" s="14"/>
      <c r="X586" s="15"/>
      <c r="Y586" s="14"/>
      <c r="Z586" s="15"/>
    </row>
    <row r="587" spans="1:26" x14ac:dyDescent="0.25">
      <c r="Q587" s="14"/>
      <c r="R587" s="15"/>
      <c r="S587" s="14"/>
      <c r="T587" s="15"/>
      <c r="U587" s="14"/>
      <c r="V587" s="15"/>
      <c r="W587" s="14"/>
      <c r="X587" s="15"/>
      <c r="Y587" s="14"/>
      <c r="Z587" s="15"/>
    </row>
    <row r="588" spans="1:26" x14ac:dyDescent="0.25">
      <c r="Q588" s="14"/>
      <c r="R588" s="15"/>
      <c r="S588" s="14"/>
      <c r="T588" s="15"/>
      <c r="U588" s="14"/>
      <c r="V588" s="15"/>
      <c r="W588" s="14"/>
      <c r="X588" s="15"/>
      <c r="Y588" s="14"/>
      <c r="Z588" s="15"/>
    </row>
    <row r="589" spans="1:26" x14ac:dyDescent="0.25">
      <c r="Q589" s="14"/>
      <c r="R589" s="15"/>
      <c r="S589" s="14"/>
      <c r="T589" s="15"/>
      <c r="U589" s="14"/>
      <c r="V589" s="15"/>
      <c r="W589" s="14"/>
      <c r="X589" s="15"/>
      <c r="Y589" s="14"/>
      <c r="Z589" s="15"/>
    </row>
    <row r="590" spans="1:26" x14ac:dyDescent="0.25">
      <c r="Q590" s="14"/>
      <c r="R590" s="15"/>
      <c r="S590" s="14"/>
      <c r="T590" s="15"/>
      <c r="U590" s="14"/>
      <c r="V590" s="15"/>
      <c r="W590" s="14"/>
      <c r="X590" s="15"/>
      <c r="Y590" s="14"/>
      <c r="Z590" s="15"/>
    </row>
    <row r="591" spans="1:26" x14ac:dyDescent="0.25">
      <c r="Q591" s="14"/>
      <c r="R591" s="15"/>
      <c r="S591" s="14"/>
      <c r="T591" s="15"/>
      <c r="U591" s="14"/>
      <c r="V591" s="15"/>
      <c r="W591" s="14"/>
      <c r="X591" s="15"/>
      <c r="Y591" s="14"/>
      <c r="Z591" s="15"/>
    </row>
    <row r="592" spans="1:26" x14ac:dyDescent="0.25">
      <c r="Q592" s="14"/>
      <c r="R592" s="15"/>
      <c r="S592" s="14"/>
      <c r="T592" s="15"/>
      <c r="U592" s="14"/>
      <c r="V592" s="15"/>
      <c r="W592" s="14"/>
      <c r="X592" s="15"/>
      <c r="Y592" s="14"/>
      <c r="Z592" s="15"/>
    </row>
    <row r="593" spans="1:26" x14ac:dyDescent="0.25">
      <c r="Q593" s="14"/>
      <c r="R593" s="15"/>
      <c r="S593" s="14"/>
      <c r="T593" s="15"/>
      <c r="U593" s="14"/>
      <c r="V593" s="15"/>
      <c r="W593" s="14"/>
      <c r="X593" s="15"/>
      <c r="Y593" s="14"/>
      <c r="Z593" s="15"/>
    </row>
    <row r="594" spans="1:26" x14ac:dyDescent="0.25">
      <c r="Q594" s="14"/>
      <c r="R594" s="15"/>
      <c r="S594" s="14"/>
      <c r="T594" s="15"/>
      <c r="U594" s="14"/>
      <c r="V594" s="15"/>
      <c r="W594" s="14"/>
      <c r="X594" s="15"/>
      <c r="Y594" s="14"/>
      <c r="Z594" s="15"/>
    </row>
    <row r="595" spans="1:26" x14ac:dyDescent="0.25">
      <c r="Q595" s="14"/>
      <c r="R595" s="15"/>
      <c r="S595" s="14"/>
      <c r="T595" s="15"/>
      <c r="U595" s="14"/>
      <c r="V595" s="15"/>
      <c r="W595" s="14"/>
      <c r="X595" s="15"/>
      <c r="Y595" s="14"/>
      <c r="Z595" s="15"/>
    </row>
    <row r="596" spans="1:26" x14ac:dyDescent="0.25">
      <c r="Q596" s="14"/>
      <c r="R596" s="15"/>
      <c r="S596" s="14"/>
      <c r="T596" s="15"/>
      <c r="U596" s="14"/>
      <c r="V596" s="15"/>
      <c r="W596" s="14"/>
      <c r="X596" s="15"/>
      <c r="Y596" s="14"/>
      <c r="Z596" s="15"/>
    </row>
    <row r="597" spans="1:26" x14ac:dyDescent="0.25">
      <c r="Q597" s="14"/>
      <c r="R597" s="15"/>
      <c r="S597" s="14"/>
      <c r="T597" s="15"/>
      <c r="U597" s="14"/>
      <c r="V597" s="15"/>
      <c r="W597" s="14"/>
      <c r="X597" s="15"/>
      <c r="Y597" s="14"/>
      <c r="Z597" s="15"/>
    </row>
    <row r="598" spans="1:26" x14ac:dyDescent="0.25">
      <c r="Q598" s="14"/>
      <c r="R598" s="15"/>
      <c r="S598" s="14"/>
      <c r="T598" s="15"/>
      <c r="U598" s="14"/>
      <c r="V598" s="15"/>
      <c r="W598" s="14"/>
      <c r="X598" s="15"/>
      <c r="Y598" s="14"/>
      <c r="Z598" s="15"/>
    </row>
    <row r="599" spans="1:26" x14ac:dyDescent="0.25">
      <c r="Q599" s="14"/>
      <c r="R599" s="15"/>
      <c r="S599" s="14"/>
      <c r="T599" s="15"/>
      <c r="U599" s="14"/>
      <c r="V599" s="15"/>
      <c r="W599" s="14"/>
      <c r="X599" s="15"/>
      <c r="Y599" s="14"/>
      <c r="Z599" s="15"/>
    </row>
    <row r="600" spans="1:26" x14ac:dyDescent="0.25">
      <c r="Q600" s="14"/>
      <c r="R600" s="15"/>
      <c r="S600" s="14"/>
      <c r="T600" s="15"/>
      <c r="U600" s="14"/>
      <c r="V600" s="15"/>
      <c r="W600" s="14"/>
      <c r="X600" s="15"/>
      <c r="Y600" s="14"/>
      <c r="Z600" s="15"/>
    </row>
    <row r="601" spans="1:26" x14ac:dyDescent="0.25">
      <c r="Q601" s="14"/>
      <c r="R601" s="15"/>
      <c r="S601" s="14"/>
      <c r="T601" s="15"/>
      <c r="U601" s="14"/>
      <c r="V601" s="15"/>
      <c r="W601" s="14"/>
      <c r="X601" s="15"/>
      <c r="Y601" s="14"/>
      <c r="Z601" s="15"/>
    </row>
    <row r="602" spans="1:26" x14ac:dyDescent="0.25">
      <c r="Q602" s="14"/>
      <c r="R602" s="15"/>
      <c r="S602" s="14"/>
      <c r="T602" s="15"/>
      <c r="U602" s="14"/>
      <c r="V602" s="15"/>
      <c r="W602" s="14"/>
      <c r="X602" s="15"/>
      <c r="Y602" s="14"/>
      <c r="Z602" s="15"/>
    </row>
    <row r="603" spans="1:26" x14ac:dyDescent="0.25">
      <c r="Q603" s="14"/>
      <c r="R603" s="15"/>
      <c r="S603" s="14"/>
      <c r="T603" s="15"/>
      <c r="U603" s="14"/>
      <c r="V603" s="15"/>
      <c r="W603" s="14"/>
      <c r="X603" s="15"/>
      <c r="Y603" s="14"/>
      <c r="Z603" s="15"/>
    </row>
    <row r="604" spans="1:26" x14ac:dyDescent="0.25">
      <c r="Q604" s="14"/>
      <c r="R604" s="15"/>
      <c r="S604" s="14"/>
      <c r="T604" s="15"/>
      <c r="U604" s="14"/>
      <c r="V604" s="15"/>
      <c r="W604" s="14"/>
      <c r="X604" s="15"/>
      <c r="Y604" s="14"/>
      <c r="Z604" s="15"/>
    </row>
    <row r="605" spans="1:26" x14ac:dyDescent="0.25">
      <c r="Q605" s="14"/>
      <c r="R605" s="15"/>
      <c r="S605" s="14"/>
      <c r="T605" s="15"/>
      <c r="U605" s="14"/>
      <c r="V605" s="15"/>
      <c r="W605" s="14"/>
      <c r="X605" s="15"/>
      <c r="Y605" s="14"/>
      <c r="Z605" s="15"/>
    </row>
    <row r="606" spans="1:26" x14ac:dyDescent="0.25">
      <c r="Q606" s="14"/>
      <c r="R606" s="15"/>
      <c r="S606" s="14"/>
      <c r="T606" s="15"/>
      <c r="U606" s="14"/>
      <c r="V606" s="15"/>
      <c r="W606" s="14"/>
      <c r="X606" s="15"/>
      <c r="Y606" s="14"/>
      <c r="Z606" s="15"/>
    </row>
    <row r="607" spans="1:26" x14ac:dyDescent="0.25">
      <c r="Q607" s="14"/>
      <c r="R607" s="15"/>
      <c r="S607" s="14"/>
      <c r="T607" s="15"/>
      <c r="U607" s="14"/>
      <c r="V607" s="15"/>
      <c r="W607" s="14"/>
      <c r="X607" s="15"/>
      <c r="Y607" s="14"/>
      <c r="Z607" s="15"/>
    </row>
    <row r="608" spans="1:26" x14ac:dyDescent="0.25">
      <c r="Q608" s="14"/>
      <c r="R608" s="15"/>
      <c r="S608" s="14"/>
      <c r="T608" s="15"/>
      <c r="U608" s="14"/>
      <c r="V608" s="15"/>
      <c r="W608" s="14"/>
      <c r="X608" s="15"/>
      <c r="Y608" s="14"/>
      <c r="Z608" s="15"/>
    </row>
    <row r="609" spans="1:26" x14ac:dyDescent="0.25">
      <c r="Q609" s="14"/>
      <c r="R609" s="15"/>
      <c r="S609" s="14"/>
      <c r="T609" s="15"/>
      <c r="U609" s="14"/>
      <c r="V609" s="15"/>
      <c r="W609" s="14"/>
      <c r="X609" s="15"/>
      <c r="Y609" s="14"/>
      <c r="Z609" s="15"/>
    </row>
    <row r="610" spans="1:26" x14ac:dyDescent="0.25">
      <c r="Q610" s="14"/>
      <c r="R610" s="15"/>
      <c r="S610" s="14"/>
      <c r="T610" s="15"/>
      <c r="U610" s="14"/>
      <c r="V610" s="15"/>
      <c r="W610" s="14"/>
      <c r="X610" s="15"/>
      <c r="Y610" s="14"/>
      <c r="Z610" s="15"/>
    </row>
    <row r="611" spans="1:26" x14ac:dyDescent="0.25">
      <c r="Q611" s="14"/>
      <c r="R611" s="15"/>
      <c r="S611" s="14"/>
      <c r="T611" s="15"/>
      <c r="U611" s="14"/>
      <c r="V611" s="15"/>
      <c r="W611" s="14"/>
      <c r="X611" s="15"/>
      <c r="Y611" s="14"/>
      <c r="Z611" s="15"/>
    </row>
    <row r="612" spans="1:26" x14ac:dyDescent="0.25">
      <c r="Q612" s="14"/>
      <c r="R612" s="15"/>
      <c r="S612" s="14"/>
      <c r="T612" s="15"/>
      <c r="U612" s="14"/>
      <c r="V612" s="15"/>
      <c r="W612" s="14"/>
      <c r="X612" s="15"/>
      <c r="Y612" s="14"/>
      <c r="Z612" s="15"/>
    </row>
    <row r="613" spans="1:26" x14ac:dyDescent="0.25">
      <c r="Q613" s="14"/>
      <c r="R613" s="15"/>
      <c r="S613" s="14"/>
      <c r="T613" s="15"/>
      <c r="U613" s="14"/>
      <c r="V613" s="15"/>
      <c r="W613" s="14"/>
      <c r="X613" s="15"/>
      <c r="Y613" s="14"/>
      <c r="Z613" s="15"/>
    </row>
    <row r="614" spans="1:26" x14ac:dyDescent="0.25">
      <c r="Q614" s="14"/>
      <c r="R614" s="15"/>
      <c r="S614" s="14"/>
      <c r="T614" s="15"/>
      <c r="U614" s="14"/>
      <c r="V614" s="15"/>
      <c r="W614" s="14"/>
      <c r="X614" s="15"/>
      <c r="Y614" s="14"/>
      <c r="Z614" s="15"/>
    </row>
    <row r="615" spans="1:26" x14ac:dyDescent="0.25">
      <c r="Q615" s="14"/>
      <c r="R615" s="15"/>
      <c r="S615" s="14"/>
      <c r="T615" s="15"/>
      <c r="U615" s="14"/>
      <c r="V615" s="15"/>
      <c r="W615" s="14"/>
      <c r="X615" s="15"/>
      <c r="Y615" s="14"/>
      <c r="Z615" s="15"/>
    </row>
    <row r="616" spans="1:26" x14ac:dyDescent="0.25">
      <c r="Q616" s="14"/>
      <c r="R616" s="15"/>
      <c r="S616" s="14"/>
      <c r="T616" s="15"/>
      <c r="U616" s="14"/>
      <c r="V616" s="15"/>
      <c r="W616" s="14"/>
      <c r="X616" s="15"/>
      <c r="Y616" s="14"/>
      <c r="Z616" s="15"/>
    </row>
    <row r="617" spans="1:26" x14ac:dyDescent="0.25">
      <c r="Q617" s="14"/>
      <c r="R617" s="15"/>
      <c r="S617" s="14"/>
      <c r="T617" s="15"/>
      <c r="U617" s="14"/>
      <c r="V617" s="15"/>
      <c r="W617" s="14"/>
      <c r="X617" s="15"/>
      <c r="Y617" s="14"/>
      <c r="Z617" s="15"/>
    </row>
    <row r="618" spans="1:26" x14ac:dyDescent="0.25">
      <c r="Q618" s="14"/>
      <c r="R618" s="15"/>
      <c r="S618" s="14"/>
      <c r="T618" s="15"/>
      <c r="U618" s="14"/>
      <c r="V618" s="15"/>
      <c r="W618" s="14"/>
      <c r="X618" s="15"/>
      <c r="Y618" s="14"/>
      <c r="Z618" s="15"/>
    </row>
    <row r="619" spans="1:26" x14ac:dyDescent="0.25">
      <c r="Q619" s="14"/>
      <c r="R619" s="15"/>
      <c r="S619" s="14"/>
      <c r="T619" s="15"/>
      <c r="U619" s="14"/>
      <c r="V619" s="15"/>
      <c r="W619" s="14"/>
      <c r="X619" s="15"/>
      <c r="Y619" s="14"/>
      <c r="Z619" s="15"/>
    </row>
    <row r="620" spans="1:26" x14ac:dyDescent="0.25">
      <c r="Q620" s="14"/>
      <c r="R620" s="15"/>
      <c r="S620" s="14"/>
      <c r="T620" s="15"/>
      <c r="U620" s="14"/>
      <c r="V620" s="15"/>
      <c r="W620" s="14"/>
      <c r="X620" s="15"/>
      <c r="Y620" s="14"/>
      <c r="Z620" s="15"/>
    </row>
    <row r="621" spans="1:26" x14ac:dyDescent="0.25">
      <c r="Q621" s="14"/>
      <c r="R621" s="15"/>
      <c r="S621" s="14"/>
      <c r="T621" s="15"/>
      <c r="U621" s="14"/>
      <c r="V621" s="15"/>
      <c r="W621" s="14"/>
      <c r="X621" s="15"/>
      <c r="Y621" s="14"/>
      <c r="Z621" s="15"/>
    </row>
    <row r="622" spans="1:26" x14ac:dyDescent="0.25">
      <c r="Q622" s="14"/>
      <c r="R622" s="15"/>
      <c r="S622" s="14"/>
      <c r="T622" s="15"/>
      <c r="U622" s="14"/>
      <c r="V622" s="15"/>
      <c r="W622" s="14"/>
      <c r="X622" s="15"/>
      <c r="Y622" s="14"/>
      <c r="Z622" s="15"/>
    </row>
    <row r="623" spans="1:26" x14ac:dyDescent="0.25">
      <c r="Q623" s="14"/>
      <c r="R623" s="15"/>
      <c r="S623" s="14"/>
      <c r="T623" s="15"/>
      <c r="U623" s="14"/>
      <c r="V623" s="15"/>
      <c r="W623" s="14"/>
      <c r="X623" s="15"/>
      <c r="Y623" s="14"/>
      <c r="Z623" s="15"/>
    </row>
    <row r="624" spans="1:26" x14ac:dyDescent="0.25">
      <c r="Q624" s="14"/>
      <c r="R624" s="15"/>
      <c r="S624" s="14"/>
      <c r="T624" s="15"/>
      <c r="U624" s="14"/>
      <c r="V624" s="15"/>
      <c r="W624" s="14"/>
      <c r="X624" s="15"/>
      <c r="Y624" s="14"/>
      <c r="Z624" s="15"/>
    </row>
    <row r="625" spans="1:26" x14ac:dyDescent="0.25">
      <c r="Q625" s="14"/>
      <c r="R625" s="15"/>
      <c r="S625" s="14"/>
      <c r="T625" s="15"/>
      <c r="U625" s="14"/>
      <c r="V625" s="15"/>
      <c r="W625" s="14"/>
      <c r="X625" s="15"/>
      <c r="Y625" s="14"/>
      <c r="Z625" s="15"/>
    </row>
    <row r="626" spans="1:26" x14ac:dyDescent="0.25">
      <c r="Q626" s="14"/>
      <c r="R626" s="15"/>
      <c r="S626" s="14"/>
      <c r="T626" s="15"/>
      <c r="U626" s="14"/>
      <c r="V626" s="15"/>
      <c r="W626" s="14"/>
      <c r="X626" s="15"/>
      <c r="Y626" s="14"/>
      <c r="Z626" s="15"/>
    </row>
    <row r="627" spans="1:26" x14ac:dyDescent="0.25">
      <c r="Q627" s="14"/>
      <c r="R627" s="15"/>
      <c r="S627" s="14"/>
      <c r="T627" s="15"/>
      <c r="U627" s="14"/>
      <c r="V627" s="15"/>
      <c r="W627" s="14"/>
      <c r="X627" s="15"/>
      <c r="Y627" s="14"/>
      <c r="Z627" s="15"/>
    </row>
    <row r="628" spans="1:26" x14ac:dyDescent="0.25">
      <c r="Q628" s="14"/>
      <c r="R628" s="15"/>
      <c r="S628" s="14"/>
      <c r="T628" s="15"/>
      <c r="U628" s="14"/>
      <c r="V628" s="15"/>
      <c r="W628" s="14"/>
      <c r="X628" s="15"/>
      <c r="Y628" s="14"/>
      <c r="Z628" s="15"/>
    </row>
    <row r="629" spans="1:26" x14ac:dyDescent="0.25">
      <c r="Q629" s="14"/>
      <c r="R629" s="15"/>
      <c r="S629" s="14"/>
      <c r="T629" s="15"/>
      <c r="U629" s="14"/>
      <c r="V629" s="15"/>
      <c r="W629" s="14"/>
      <c r="X629" s="15"/>
      <c r="Y629" s="14"/>
      <c r="Z629" s="15"/>
    </row>
    <row r="630" spans="1:26" x14ac:dyDescent="0.25">
      <c r="Q630" s="14"/>
      <c r="R630" s="15"/>
      <c r="S630" s="14"/>
      <c r="T630" s="15"/>
      <c r="U630" s="14"/>
      <c r="V630" s="15"/>
      <c r="W630" s="14"/>
      <c r="X630" s="15"/>
      <c r="Y630" s="14"/>
      <c r="Z630" s="15"/>
    </row>
    <row r="631" spans="1:26" x14ac:dyDescent="0.25">
      <c r="Q631" s="14"/>
      <c r="R631" s="15"/>
      <c r="S631" s="14"/>
      <c r="T631" s="15"/>
      <c r="U631" s="14"/>
      <c r="V631" s="15"/>
      <c r="W631" s="14"/>
      <c r="X631" s="15"/>
      <c r="Y631" s="14"/>
      <c r="Z631" s="15"/>
    </row>
    <row r="632" spans="1:26" x14ac:dyDescent="0.25">
      <c r="Q632" s="14"/>
      <c r="R632" s="15"/>
      <c r="S632" s="14"/>
      <c r="T632" s="15"/>
      <c r="U632" s="14"/>
      <c r="V632" s="15"/>
      <c r="W632" s="14"/>
      <c r="X632" s="15"/>
      <c r="Y632" s="14"/>
      <c r="Z632" s="15"/>
    </row>
    <row r="633" spans="1:26" x14ac:dyDescent="0.25">
      <c r="Q633" s="14"/>
      <c r="R633" s="15"/>
      <c r="S633" s="14"/>
      <c r="T633" s="15"/>
      <c r="U633" s="14"/>
      <c r="V633" s="15"/>
      <c r="W633" s="14"/>
      <c r="X633" s="15"/>
      <c r="Y633" s="14"/>
      <c r="Z633" s="15"/>
    </row>
    <row r="634" spans="1:26" x14ac:dyDescent="0.25">
      <c r="Q634" s="14"/>
      <c r="R634" s="15"/>
      <c r="S634" s="14"/>
      <c r="T634" s="15"/>
      <c r="U634" s="14"/>
      <c r="V634" s="15"/>
      <c r="W634" s="14"/>
      <c r="X634" s="15"/>
      <c r="Y634" s="14"/>
      <c r="Z634" s="15"/>
    </row>
    <row r="635" spans="1:26" x14ac:dyDescent="0.25">
      <c r="Q635" s="14"/>
      <c r="R635" s="15"/>
      <c r="S635" s="14"/>
      <c r="T635" s="15"/>
      <c r="U635" s="14"/>
      <c r="V635" s="15"/>
      <c r="W635" s="14"/>
      <c r="X635" s="15"/>
      <c r="Y635" s="14"/>
      <c r="Z635" s="15"/>
    </row>
    <row r="636" spans="1:26" x14ac:dyDescent="0.25">
      <c r="Q636" s="14"/>
      <c r="R636" s="15"/>
      <c r="S636" s="14"/>
      <c r="T636" s="15"/>
      <c r="U636" s="14"/>
      <c r="V636" s="15"/>
      <c r="W636" s="14"/>
      <c r="X636" s="15"/>
      <c r="Y636" s="14"/>
      <c r="Z636" s="15"/>
    </row>
    <row r="637" spans="1:26" x14ac:dyDescent="0.25">
      <c r="Q637" s="14"/>
      <c r="R637" s="15"/>
      <c r="S637" s="14"/>
      <c r="T637" s="15"/>
      <c r="U637" s="14"/>
      <c r="V637" s="15"/>
      <c r="W637" s="14"/>
      <c r="X637" s="15"/>
      <c r="Y637" s="14"/>
      <c r="Z637" s="15"/>
    </row>
    <row r="638" spans="1:26" x14ac:dyDescent="0.25">
      <c r="Q638" s="14"/>
      <c r="R638" s="15"/>
      <c r="S638" s="14"/>
      <c r="T638" s="15"/>
      <c r="U638" s="14"/>
      <c r="V638" s="15"/>
      <c r="W638" s="14"/>
      <c r="X638" s="15"/>
      <c r="Y638" s="14"/>
      <c r="Z638" s="15"/>
    </row>
    <row r="639" spans="1:26" x14ac:dyDescent="0.25">
      <c r="Q639" s="14"/>
      <c r="R639" s="15"/>
      <c r="S639" s="14"/>
      <c r="T639" s="15"/>
      <c r="U639" s="14"/>
      <c r="V639" s="15"/>
      <c r="W639" s="14"/>
      <c r="X639" s="15"/>
      <c r="Y639" s="14"/>
      <c r="Z639" s="15"/>
    </row>
    <row r="640" spans="1:26" x14ac:dyDescent="0.25">
      <c r="Q640" s="14"/>
      <c r="R640" s="15"/>
      <c r="S640" s="14"/>
      <c r="T640" s="15"/>
      <c r="U640" s="14"/>
      <c r="V640" s="15"/>
      <c r="W640" s="14"/>
      <c r="X640" s="15"/>
      <c r="Y640" s="14"/>
      <c r="Z640" s="15"/>
    </row>
    <row r="641" spans="1:26" x14ac:dyDescent="0.25">
      <c r="Q641" s="14"/>
      <c r="R641" s="15"/>
      <c r="S641" s="14"/>
      <c r="T641" s="15"/>
      <c r="U641" s="14"/>
      <c r="V641" s="15"/>
      <c r="W641" s="14"/>
      <c r="X641" s="15"/>
      <c r="Y641" s="14"/>
      <c r="Z641" s="15"/>
    </row>
    <row r="642" spans="1:26" x14ac:dyDescent="0.25">
      <c r="Q642" s="14"/>
      <c r="R642" s="15"/>
      <c r="S642" s="14"/>
      <c r="T642" s="15"/>
      <c r="U642" s="14"/>
      <c r="V642" s="15"/>
      <c r="W642" s="14"/>
      <c r="X642" s="15"/>
      <c r="Y642" s="14"/>
      <c r="Z642" s="15"/>
    </row>
    <row r="643" spans="1:26" x14ac:dyDescent="0.25">
      <c r="Q643" s="14"/>
      <c r="R643" s="15"/>
      <c r="S643" s="14"/>
      <c r="T643" s="15"/>
      <c r="U643" s="14"/>
      <c r="V643" s="15"/>
      <c r="W643" s="14"/>
      <c r="X643" s="15"/>
      <c r="Y643" s="14"/>
      <c r="Z643" s="15"/>
    </row>
    <row r="644" spans="1:26" x14ac:dyDescent="0.25">
      <c r="Q644" s="14"/>
      <c r="R644" s="15"/>
      <c r="S644" s="14"/>
      <c r="T644" s="15"/>
      <c r="U644" s="14"/>
      <c r="V644" s="15"/>
      <c r="W644" s="14"/>
      <c r="X644" s="15"/>
      <c r="Y644" s="14"/>
      <c r="Z644" s="15"/>
    </row>
    <row r="645" spans="1:26" x14ac:dyDescent="0.25">
      <c r="Q645" s="14"/>
      <c r="R645" s="15"/>
      <c r="S645" s="14"/>
      <c r="T645" s="15"/>
      <c r="U645" s="14"/>
      <c r="V645" s="15"/>
      <c r="W645" s="14"/>
      <c r="X645" s="15"/>
      <c r="Y645" s="14"/>
      <c r="Z645" s="15"/>
    </row>
    <row r="646" spans="1:26" x14ac:dyDescent="0.25">
      <c r="Q646" s="14"/>
      <c r="R646" s="15"/>
      <c r="S646" s="14"/>
      <c r="T646" s="15"/>
      <c r="U646" s="14"/>
      <c r="V646" s="15"/>
      <c r="W646" s="14"/>
      <c r="X646" s="15"/>
      <c r="Y646" s="14"/>
      <c r="Z646" s="15"/>
    </row>
    <row r="647" spans="1:26" x14ac:dyDescent="0.25">
      <c r="Q647" s="14"/>
      <c r="R647" s="15"/>
      <c r="S647" s="14"/>
      <c r="T647" s="15"/>
      <c r="U647" s="14"/>
      <c r="V647" s="15"/>
      <c r="W647" s="14"/>
      <c r="X647" s="15"/>
      <c r="Y647" s="14"/>
      <c r="Z647" s="15"/>
    </row>
    <row r="648" spans="1:26" x14ac:dyDescent="0.25">
      <c r="Q648" s="14"/>
      <c r="R648" s="15"/>
      <c r="S648" s="14"/>
      <c r="T648" s="15"/>
      <c r="U648" s="14"/>
      <c r="V648" s="15"/>
      <c r="W648" s="14"/>
      <c r="X648" s="15"/>
      <c r="Y648" s="14"/>
      <c r="Z648" s="15"/>
    </row>
    <row r="649" spans="1:26" x14ac:dyDescent="0.25">
      <c r="Q649" s="14"/>
      <c r="R649" s="15"/>
      <c r="S649" s="14"/>
      <c r="T649" s="15"/>
      <c r="U649" s="14"/>
      <c r="V649" s="15"/>
      <c r="W649" s="14"/>
      <c r="X649" s="15"/>
      <c r="Y649" s="14"/>
      <c r="Z649" s="15"/>
    </row>
    <row r="650" spans="1:26" x14ac:dyDescent="0.25">
      <c r="Q650" s="14"/>
      <c r="R650" s="15"/>
      <c r="S650" s="14"/>
      <c r="T650" s="15"/>
      <c r="U650" s="14"/>
      <c r="V650" s="15"/>
      <c r="W650" s="14"/>
      <c r="X650" s="15"/>
      <c r="Y650" s="14"/>
      <c r="Z650" s="15"/>
    </row>
    <row r="651" spans="1:26" x14ac:dyDescent="0.25">
      <c r="Q651" s="14"/>
      <c r="R651" s="15"/>
      <c r="S651" s="14"/>
      <c r="T651" s="15"/>
      <c r="U651" s="14"/>
      <c r="V651" s="15"/>
      <c r="W651" s="14"/>
      <c r="X651" s="15"/>
      <c r="Y651" s="14"/>
      <c r="Z651" s="15"/>
    </row>
    <row r="652" spans="1:26" x14ac:dyDescent="0.25">
      <c r="Q652" s="14"/>
      <c r="R652" s="15"/>
      <c r="S652" s="14"/>
      <c r="T652" s="15"/>
      <c r="U652" s="14"/>
      <c r="V652" s="15"/>
      <c r="W652" s="14"/>
      <c r="X652" s="15"/>
      <c r="Y652" s="14"/>
      <c r="Z652" s="15"/>
    </row>
    <row r="653" spans="1:26" x14ac:dyDescent="0.25">
      <c r="Q653" s="14"/>
      <c r="R653" s="15"/>
      <c r="S653" s="14"/>
      <c r="T653" s="15"/>
      <c r="U653" s="14"/>
      <c r="V653" s="15"/>
      <c r="W653" s="14"/>
      <c r="X653" s="15"/>
      <c r="Y653" s="14"/>
      <c r="Z653" s="15"/>
    </row>
    <row r="654" spans="1:26" x14ac:dyDescent="0.25">
      <c r="Q654" s="14"/>
      <c r="R654" s="15"/>
      <c r="S654" s="14"/>
      <c r="T654" s="15"/>
      <c r="U654" s="14"/>
      <c r="V654" s="15"/>
      <c r="W654" s="14"/>
      <c r="X654" s="15"/>
      <c r="Y654" s="14"/>
      <c r="Z654" s="15"/>
    </row>
    <row r="655" spans="1:26" x14ac:dyDescent="0.25">
      <c r="Q655" s="14"/>
      <c r="R655" s="15"/>
      <c r="S655" s="14"/>
      <c r="T655" s="15"/>
      <c r="U655" s="14"/>
      <c r="V655" s="15"/>
      <c r="W655" s="14"/>
      <c r="X655" s="15"/>
      <c r="Y655" s="14"/>
      <c r="Z655" s="15"/>
    </row>
    <row r="656" spans="1:26" x14ac:dyDescent="0.25">
      <c r="Q656" s="14"/>
      <c r="R656" s="15"/>
      <c r="S656" s="14"/>
      <c r="T656" s="15"/>
      <c r="U656" s="14"/>
      <c r="V656" s="15"/>
      <c r="W656" s="14"/>
      <c r="X656" s="15"/>
      <c r="Y656" s="14"/>
      <c r="Z656" s="15"/>
    </row>
    <row r="657" spans="1:26" x14ac:dyDescent="0.25">
      <c r="Q657" s="14"/>
      <c r="R657" s="15"/>
      <c r="S657" s="14"/>
      <c r="T657" s="15"/>
      <c r="U657" s="14"/>
      <c r="V657" s="15"/>
      <c r="W657" s="14"/>
      <c r="X657" s="15"/>
      <c r="Y657" s="14"/>
      <c r="Z657" s="15"/>
    </row>
    <row r="658" spans="1:26" x14ac:dyDescent="0.25">
      <c r="Q658" s="14"/>
      <c r="R658" s="15"/>
      <c r="S658" s="14"/>
      <c r="T658" s="15"/>
      <c r="U658" s="14"/>
      <c r="V658" s="15"/>
      <c r="W658" s="14"/>
      <c r="X658" s="15"/>
      <c r="Y658" s="14"/>
      <c r="Z658" s="15"/>
    </row>
    <row r="659" spans="1:26" x14ac:dyDescent="0.25">
      <c r="Q659" s="14"/>
      <c r="R659" s="15"/>
      <c r="S659" s="14"/>
      <c r="T659" s="15"/>
      <c r="U659" s="14"/>
      <c r="V659" s="15"/>
      <c r="W659" s="14"/>
      <c r="X659" s="15"/>
      <c r="Y659" s="14"/>
      <c r="Z659" s="15"/>
    </row>
    <row r="660" spans="1:26" x14ac:dyDescent="0.25">
      <c r="Q660" s="14"/>
      <c r="R660" s="15"/>
      <c r="S660" s="14"/>
      <c r="T660" s="15"/>
      <c r="U660" s="14"/>
      <c r="V660" s="15"/>
      <c r="W660" s="14"/>
      <c r="X660" s="15"/>
      <c r="Y660" s="14"/>
      <c r="Z660" s="15"/>
    </row>
    <row r="661" spans="1:26" x14ac:dyDescent="0.25">
      <c r="Q661" s="14"/>
      <c r="R661" s="15"/>
      <c r="S661" s="14"/>
      <c r="T661" s="15"/>
      <c r="U661" s="14"/>
      <c r="V661" s="15"/>
      <c r="W661" s="14"/>
      <c r="X661" s="15"/>
      <c r="Y661" s="14"/>
      <c r="Z661" s="15"/>
    </row>
    <row r="662" spans="1:26" x14ac:dyDescent="0.25">
      <c r="Q662" s="14"/>
      <c r="R662" s="15"/>
      <c r="S662" s="14"/>
      <c r="T662" s="15"/>
      <c r="U662" s="14"/>
      <c r="V662" s="15"/>
      <c r="W662" s="14"/>
      <c r="X662" s="15"/>
      <c r="Y662" s="14"/>
      <c r="Z662" s="15"/>
    </row>
    <row r="663" spans="1:26" x14ac:dyDescent="0.25">
      <c r="Q663" s="14"/>
      <c r="R663" s="15"/>
      <c r="S663" s="14"/>
      <c r="T663" s="15"/>
      <c r="U663" s="14"/>
      <c r="V663" s="15"/>
      <c r="W663" s="14"/>
      <c r="X663" s="15"/>
      <c r="Y663" s="14"/>
      <c r="Z663" s="15"/>
    </row>
    <row r="664" spans="1:26" x14ac:dyDescent="0.25">
      <c r="Q664" s="14"/>
      <c r="R664" s="15"/>
      <c r="S664" s="14"/>
      <c r="T664" s="15"/>
      <c r="U664" s="14"/>
      <c r="V664" s="15"/>
      <c r="W664" s="14"/>
      <c r="X664" s="15"/>
      <c r="Y664" s="14"/>
      <c r="Z664" s="15"/>
    </row>
    <row r="665" spans="1:26" x14ac:dyDescent="0.25">
      <c r="Q665" s="14"/>
      <c r="R665" s="15"/>
      <c r="S665" s="14"/>
      <c r="T665" s="15"/>
      <c r="U665" s="14"/>
      <c r="V665" s="15"/>
      <c r="W665" s="14"/>
      <c r="X665" s="15"/>
      <c r="Y665" s="14"/>
      <c r="Z665" s="15"/>
    </row>
    <row r="666" spans="1:26" x14ac:dyDescent="0.25">
      <c r="Q666" s="14"/>
      <c r="R666" s="15"/>
      <c r="S666" s="14"/>
      <c r="T666" s="15"/>
      <c r="U666" s="14"/>
      <c r="V666" s="15"/>
      <c r="W666" s="14"/>
      <c r="X666" s="15"/>
      <c r="Y666" s="14"/>
      <c r="Z666" s="15"/>
    </row>
    <row r="667" spans="1:26" x14ac:dyDescent="0.25">
      <c r="Q667" s="14"/>
      <c r="R667" s="15"/>
      <c r="S667" s="14"/>
      <c r="T667" s="15"/>
      <c r="U667" s="14"/>
      <c r="V667" s="15"/>
      <c r="W667" s="14"/>
      <c r="X667" s="15"/>
      <c r="Y667" s="14"/>
      <c r="Z667" s="15"/>
    </row>
    <row r="668" spans="1:26" x14ac:dyDescent="0.25">
      <c r="Q668" s="14"/>
      <c r="R668" s="15"/>
      <c r="S668" s="14"/>
      <c r="T668" s="15"/>
      <c r="U668" s="14"/>
      <c r="V668" s="15"/>
      <c r="W668" s="14"/>
      <c r="X668" s="15"/>
      <c r="Y668" s="14"/>
      <c r="Z668" s="15"/>
    </row>
    <row r="669" spans="1:26" x14ac:dyDescent="0.25">
      <c r="Q669" s="14"/>
      <c r="R669" s="15"/>
      <c r="S669" s="14"/>
      <c r="T669" s="15"/>
      <c r="U669" s="14"/>
      <c r="V669" s="15"/>
      <c r="W669" s="14"/>
      <c r="X669" s="15"/>
      <c r="Y669" s="14"/>
      <c r="Z669" s="15"/>
    </row>
    <row r="670" spans="1:26" x14ac:dyDescent="0.25">
      <c r="Q670" s="14"/>
      <c r="R670" s="15"/>
      <c r="S670" s="14"/>
      <c r="T670" s="15"/>
      <c r="U670" s="14"/>
      <c r="V670" s="15"/>
      <c r="W670" s="14"/>
      <c r="X670" s="15"/>
      <c r="Y670" s="14"/>
      <c r="Z670" s="15"/>
    </row>
    <row r="671" spans="1:26" x14ac:dyDescent="0.25">
      <c r="Q671" s="14"/>
      <c r="R671" s="15"/>
      <c r="S671" s="14"/>
      <c r="T671" s="15"/>
      <c r="U671" s="14"/>
      <c r="V671" s="15"/>
      <c r="W671" s="14"/>
      <c r="X671" s="15"/>
      <c r="Y671" s="14"/>
      <c r="Z671" s="15"/>
    </row>
    <row r="672" spans="1:26" x14ac:dyDescent="0.25">
      <c r="Q672" s="14"/>
      <c r="R672" s="15"/>
      <c r="S672" s="14"/>
      <c r="T672" s="15"/>
      <c r="U672" s="14"/>
      <c r="V672" s="15"/>
      <c r="W672" s="14"/>
      <c r="X672" s="15"/>
      <c r="Y672" s="14"/>
      <c r="Z672" s="15"/>
    </row>
    <row r="673" spans="1:26" x14ac:dyDescent="0.25">
      <c r="Q673" s="14"/>
      <c r="R673" s="15"/>
      <c r="S673" s="14"/>
      <c r="T673" s="15"/>
      <c r="U673" s="14"/>
      <c r="V673" s="15"/>
      <c r="W673" s="14"/>
      <c r="X673" s="15"/>
      <c r="Y673" s="14"/>
      <c r="Z673" s="15"/>
    </row>
    <row r="674" spans="1:26" x14ac:dyDescent="0.25">
      <c r="Q674" s="14"/>
      <c r="R674" s="15"/>
      <c r="S674" s="14"/>
      <c r="T674" s="15"/>
      <c r="U674" s="14"/>
      <c r="V674" s="15"/>
      <c r="W674" s="14"/>
      <c r="X674" s="15"/>
      <c r="Y674" s="14"/>
      <c r="Z674" s="15"/>
    </row>
    <row r="675" spans="1:26" x14ac:dyDescent="0.25">
      <c r="Q675" s="14"/>
      <c r="R675" s="15"/>
      <c r="S675" s="14"/>
      <c r="T675" s="15"/>
      <c r="U675" s="14"/>
      <c r="V675" s="15"/>
      <c r="W675" s="14"/>
      <c r="X675" s="15"/>
      <c r="Y675" s="14"/>
      <c r="Z675" s="15"/>
    </row>
    <row r="676" spans="1:26" x14ac:dyDescent="0.25">
      <c r="Q676" s="14"/>
      <c r="R676" s="15"/>
      <c r="S676" s="14"/>
      <c r="T676" s="15"/>
      <c r="U676" s="14"/>
      <c r="V676" s="15"/>
      <c r="W676" s="14"/>
      <c r="X676" s="15"/>
      <c r="Y676" s="14"/>
      <c r="Z676" s="15"/>
    </row>
    <row r="677" spans="1:26" x14ac:dyDescent="0.25">
      <c r="Q677" s="14"/>
      <c r="R677" s="15"/>
      <c r="S677" s="14"/>
      <c r="T677" s="15"/>
      <c r="U677" s="14"/>
      <c r="V677" s="15"/>
      <c r="W677" s="14"/>
      <c r="X677" s="15"/>
      <c r="Y677" s="14"/>
      <c r="Z677" s="15"/>
    </row>
    <row r="678" spans="1:26" x14ac:dyDescent="0.25">
      <c r="Q678" s="14"/>
      <c r="R678" s="15"/>
      <c r="S678" s="14"/>
      <c r="T678" s="15"/>
      <c r="U678" s="14"/>
      <c r="V678" s="15"/>
      <c r="W678" s="14"/>
      <c r="X678" s="15"/>
      <c r="Y678" s="14"/>
      <c r="Z678" s="15"/>
    </row>
    <row r="679" spans="1:26" x14ac:dyDescent="0.25">
      <c r="Q679" s="14"/>
      <c r="R679" s="15"/>
      <c r="S679" s="14"/>
      <c r="T679" s="15"/>
      <c r="U679" s="14"/>
      <c r="V679" s="15"/>
      <c r="W679" s="14"/>
      <c r="X679" s="15"/>
      <c r="Y679" s="14"/>
      <c r="Z679" s="15"/>
    </row>
    <row r="680" spans="1:26" x14ac:dyDescent="0.25">
      <c r="Q680" s="14"/>
      <c r="R680" s="15"/>
      <c r="S680" s="14"/>
      <c r="T680" s="15"/>
      <c r="U680" s="14"/>
      <c r="V680" s="15"/>
      <c r="W680" s="14"/>
      <c r="X680" s="15"/>
      <c r="Y680" s="14"/>
      <c r="Z680" s="15"/>
    </row>
    <row r="681" spans="1:26" x14ac:dyDescent="0.25">
      <c r="Q681" s="14"/>
      <c r="R681" s="15"/>
      <c r="S681" s="14"/>
      <c r="T681" s="15"/>
      <c r="U681" s="14"/>
      <c r="V681" s="15"/>
      <c r="W681" s="14"/>
      <c r="X681" s="15"/>
      <c r="Y681" s="14"/>
      <c r="Z681" s="15"/>
    </row>
    <row r="682" spans="1:26" x14ac:dyDescent="0.25">
      <c r="Q682" s="14"/>
      <c r="R682" s="15"/>
      <c r="S682" s="14"/>
      <c r="T682" s="15"/>
      <c r="U682" s="14"/>
      <c r="V682" s="15"/>
      <c r="W682" s="14"/>
      <c r="X682" s="15"/>
      <c r="Y682" s="14"/>
      <c r="Z682" s="15"/>
    </row>
    <row r="683" spans="1:26" x14ac:dyDescent="0.25">
      <c r="Q683" s="14"/>
      <c r="R683" s="15"/>
      <c r="S683" s="14"/>
      <c r="T683" s="15"/>
      <c r="U683" s="14"/>
      <c r="V683" s="15"/>
      <c r="W683" s="14"/>
      <c r="X683" s="15"/>
      <c r="Y683" s="14"/>
      <c r="Z683" s="15"/>
    </row>
    <row r="684" spans="1:26" x14ac:dyDescent="0.25">
      <c r="Q684" s="14"/>
      <c r="R684" s="15"/>
      <c r="S684" s="14"/>
      <c r="T684" s="15"/>
      <c r="U684" s="14"/>
      <c r="V684" s="15"/>
      <c r="W684" s="14"/>
      <c r="X684" s="15"/>
      <c r="Y684" s="14"/>
      <c r="Z684" s="15"/>
    </row>
    <row r="685" spans="1:26" x14ac:dyDescent="0.25">
      <c r="Q685" s="14"/>
      <c r="R685" s="15"/>
      <c r="S685" s="14"/>
      <c r="T685" s="15"/>
      <c r="U685" s="14"/>
      <c r="V685" s="15"/>
      <c r="W685" s="14"/>
      <c r="X685" s="15"/>
      <c r="Y685" s="14"/>
      <c r="Z685" s="15"/>
    </row>
    <row r="686" spans="1:26" x14ac:dyDescent="0.25">
      <c r="Q686" s="14"/>
      <c r="R686" s="15"/>
      <c r="S686" s="14"/>
      <c r="T686" s="15"/>
      <c r="U686" s="14"/>
      <c r="V686" s="15"/>
      <c r="W686" s="14"/>
      <c r="X686" s="15"/>
      <c r="Y686" s="14"/>
      <c r="Z686" s="15"/>
    </row>
    <row r="687" spans="1:26" x14ac:dyDescent="0.25">
      <c r="Q687" s="14"/>
      <c r="R687" s="15"/>
      <c r="S687" s="14"/>
      <c r="T687" s="15"/>
      <c r="U687" s="14"/>
      <c r="V687" s="15"/>
      <c r="W687" s="14"/>
      <c r="X687" s="15"/>
      <c r="Y687" s="14"/>
      <c r="Z687" s="15"/>
    </row>
    <row r="688" spans="1:26" x14ac:dyDescent="0.25">
      <c r="Q688" s="14"/>
      <c r="R688" s="15"/>
      <c r="S688" s="14"/>
      <c r="T688" s="15"/>
      <c r="U688" s="14"/>
      <c r="V688" s="15"/>
      <c r="W688" s="14"/>
      <c r="X688" s="15"/>
      <c r="Y688" s="14"/>
      <c r="Z688" s="15"/>
    </row>
    <row r="689" spans="1:26" x14ac:dyDescent="0.25">
      <c r="Q689" s="14"/>
      <c r="R689" s="15"/>
      <c r="S689" s="14"/>
      <c r="T689" s="15"/>
      <c r="U689" s="14"/>
      <c r="V689" s="15"/>
      <c r="W689" s="14"/>
      <c r="X689" s="15"/>
      <c r="Y689" s="14"/>
      <c r="Z689" s="15"/>
    </row>
    <row r="690" spans="1:26" x14ac:dyDescent="0.25">
      <c r="Q690" s="14"/>
      <c r="R690" s="15"/>
      <c r="S690" s="14"/>
      <c r="T690" s="15"/>
      <c r="U690" s="14"/>
      <c r="V690" s="15"/>
      <c r="W690" s="14"/>
      <c r="X690" s="15"/>
      <c r="Y690" s="14"/>
      <c r="Z690" s="15"/>
    </row>
    <row r="691" spans="1:26" x14ac:dyDescent="0.25">
      <c r="Q691" s="14"/>
      <c r="R691" s="15"/>
      <c r="S691" s="14"/>
      <c r="T691" s="15"/>
      <c r="U691" s="14"/>
      <c r="V691" s="15"/>
      <c r="W691" s="14"/>
      <c r="X691" s="15"/>
      <c r="Y691" s="14"/>
      <c r="Z691" s="15"/>
    </row>
    <row r="692" spans="1:26" x14ac:dyDescent="0.25">
      <c r="Q692" s="14"/>
      <c r="R692" s="15"/>
      <c r="S692" s="14"/>
      <c r="T692" s="15"/>
      <c r="U692" s="14"/>
      <c r="V692" s="15"/>
      <c r="W692" s="14"/>
      <c r="X692" s="15"/>
      <c r="Y692" s="14"/>
      <c r="Z692" s="15"/>
    </row>
    <row r="693" spans="1:26" x14ac:dyDescent="0.25">
      <c r="Q693" s="14"/>
      <c r="R693" s="15"/>
      <c r="S693" s="14"/>
      <c r="T693" s="15"/>
      <c r="U693" s="14"/>
      <c r="V693" s="15"/>
      <c r="W693" s="14"/>
      <c r="X693" s="15"/>
      <c r="Y693" s="14"/>
      <c r="Z693" s="15"/>
    </row>
    <row r="694" spans="1:26" x14ac:dyDescent="0.25">
      <c r="Q694" s="14"/>
      <c r="R694" s="15"/>
      <c r="S694" s="14"/>
      <c r="T694" s="15"/>
      <c r="U694" s="14"/>
      <c r="V694" s="15"/>
      <c r="W694" s="14"/>
      <c r="X694" s="15"/>
      <c r="Y694" s="14"/>
      <c r="Z694" s="15"/>
    </row>
    <row r="695" spans="1:26" x14ac:dyDescent="0.25">
      <c r="Q695" s="14"/>
      <c r="R695" s="15"/>
      <c r="S695" s="14"/>
      <c r="T695" s="15"/>
      <c r="U695" s="14"/>
      <c r="V695" s="15"/>
      <c r="W695" s="14"/>
      <c r="X695" s="15"/>
      <c r="Y695" s="14"/>
      <c r="Z695" s="15"/>
    </row>
    <row r="696" spans="1:26" x14ac:dyDescent="0.25">
      <c r="Q696" s="14"/>
      <c r="R696" s="15"/>
      <c r="S696" s="14"/>
      <c r="T696" s="15"/>
      <c r="U696" s="14"/>
      <c r="V696" s="15"/>
      <c r="W696" s="14"/>
      <c r="X696" s="15"/>
      <c r="Y696" s="14"/>
      <c r="Z696" s="15"/>
    </row>
    <row r="697" spans="1:26" x14ac:dyDescent="0.25">
      <c r="Q697" s="14"/>
      <c r="R697" s="15"/>
      <c r="S697" s="14"/>
      <c r="T697" s="15"/>
      <c r="U697" s="14"/>
      <c r="V697" s="15"/>
      <c r="W697" s="14"/>
      <c r="X697" s="15"/>
      <c r="Y697" s="14"/>
      <c r="Z697" s="15"/>
    </row>
    <row r="698" spans="1:26" x14ac:dyDescent="0.25">
      <c r="Q698" s="14"/>
      <c r="R698" s="15"/>
      <c r="S698" s="14"/>
      <c r="T698" s="15"/>
      <c r="U698" s="14"/>
      <c r="V698" s="15"/>
      <c r="W698" s="14"/>
      <c r="X698" s="15"/>
      <c r="Y698" s="14"/>
      <c r="Z698" s="15"/>
    </row>
    <row r="699" spans="1:26" x14ac:dyDescent="0.25">
      <c r="Q699" s="14"/>
      <c r="R699" s="15"/>
      <c r="S699" s="14"/>
      <c r="T699" s="15"/>
      <c r="U699" s="14"/>
      <c r="V699" s="15"/>
      <c r="W699" s="14"/>
      <c r="X699" s="15"/>
      <c r="Y699" s="14"/>
      <c r="Z699" s="15"/>
    </row>
    <row r="700" spans="1:26" x14ac:dyDescent="0.25">
      <c r="Q700" s="14"/>
      <c r="R700" s="15"/>
      <c r="S700" s="14"/>
      <c r="T700" s="15"/>
      <c r="U700" s="14"/>
      <c r="V700" s="15"/>
      <c r="W700" s="14"/>
      <c r="X700" s="15"/>
      <c r="Y700" s="14"/>
      <c r="Z700" s="15"/>
    </row>
    <row r="701" spans="1:26" x14ac:dyDescent="0.25">
      <c r="Q701" s="14"/>
      <c r="R701" s="15"/>
      <c r="S701" s="14"/>
      <c r="T701" s="15"/>
      <c r="U701" s="14"/>
      <c r="V701" s="15"/>
      <c r="W701" s="14"/>
      <c r="X701" s="15"/>
      <c r="Y701" s="14"/>
      <c r="Z701" s="15"/>
    </row>
    <row r="702" spans="1:26" x14ac:dyDescent="0.25">
      <c r="Q702" s="14"/>
      <c r="R702" s="15"/>
      <c r="S702" s="14"/>
      <c r="T702" s="15"/>
      <c r="U702" s="14"/>
      <c r="V702" s="15"/>
      <c r="W702" s="14"/>
      <c r="X702" s="15"/>
      <c r="Y702" s="14"/>
      <c r="Z702" s="15"/>
    </row>
    <row r="703" spans="1:26" x14ac:dyDescent="0.25">
      <c r="Q703" s="14"/>
      <c r="R703" s="15"/>
      <c r="S703" s="14"/>
      <c r="T703" s="15"/>
      <c r="U703" s="14"/>
      <c r="V703" s="15"/>
      <c r="W703" s="14"/>
      <c r="X703" s="15"/>
      <c r="Y703" s="14"/>
      <c r="Z703" s="15"/>
    </row>
    <row r="704" spans="1:26" x14ac:dyDescent="0.25">
      <c r="Q704" s="14"/>
      <c r="R704" s="15"/>
      <c r="S704" s="14"/>
      <c r="T704" s="15"/>
      <c r="U704" s="14"/>
      <c r="V704" s="15"/>
      <c r="W704" s="14"/>
      <c r="X704" s="15"/>
      <c r="Y704" s="14"/>
      <c r="Z704" s="15"/>
    </row>
    <row r="705" spans="1:26" x14ac:dyDescent="0.25">
      <c r="Q705" s="14"/>
      <c r="R705" s="15"/>
      <c r="S705" s="14"/>
      <c r="T705" s="15"/>
      <c r="U705" s="14"/>
      <c r="V705" s="15"/>
      <c r="W705" s="14"/>
      <c r="X705" s="15"/>
      <c r="Y705" s="14"/>
      <c r="Z705" s="15"/>
    </row>
    <row r="706" spans="1:26" x14ac:dyDescent="0.25">
      <c r="Q706" s="14"/>
      <c r="R706" s="15"/>
      <c r="S706" s="14"/>
      <c r="T706" s="15"/>
      <c r="U706" s="14"/>
      <c r="V706" s="15"/>
      <c r="W706" s="14"/>
      <c r="X706" s="15"/>
      <c r="Y706" s="14"/>
      <c r="Z706" s="15"/>
    </row>
    <row r="707" spans="1:26" x14ac:dyDescent="0.25">
      <c r="Q707" s="14"/>
      <c r="R707" s="15"/>
      <c r="S707" s="14"/>
      <c r="T707" s="15"/>
      <c r="U707" s="14"/>
      <c r="V707" s="15"/>
      <c r="W707" s="14"/>
      <c r="X707" s="15"/>
      <c r="Y707" s="14"/>
      <c r="Z707" s="15"/>
    </row>
    <row r="708" spans="1:26" x14ac:dyDescent="0.25">
      <c r="Q708" s="14"/>
      <c r="R708" s="15"/>
      <c r="S708" s="14"/>
      <c r="T708" s="15"/>
      <c r="U708" s="14"/>
      <c r="V708" s="15"/>
      <c r="W708" s="14"/>
      <c r="X708" s="15"/>
      <c r="Y708" s="14"/>
      <c r="Z708" s="15"/>
    </row>
    <row r="709" spans="1:26" x14ac:dyDescent="0.25">
      <c r="Q709" s="14"/>
      <c r="R709" s="15"/>
      <c r="S709" s="14"/>
      <c r="T709" s="15"/>
      <c r="U709" s="14"/>
      <c r="V709" s="15"/>
      <c r="W709" s="14"/>
      <c r="X709" s="15"/>
      <c r="Y709" s="14"/>
      <c r="Z709" s="15"/>
    </row>
    <row r="710" spans="1:26" x14ac:dyDescent="0.25">
      <c r="Q710" s="14"/>
      <c r="R710" s="15"/>
      <c r="S710" s="14"/>
      <c r="T710" s="15"/>
      <c r="U710" s="14"/>
      <c r="V710" s="15"/>
      <c r="W710" s="14"/>
      <c r="X710" s="15"/>
      <c r="Y710" s="14"/>
      <c r="Z710" s="15"/>
    </row>
    <row r="711" spans="1:26" x14ac:dyDescent="0.25">
      <c r="Q711" s="14"/>
      <c r="R711" s="15"/>
      <c r="S711" s="14"/>
      <c r="T711" s="15"/>
      <c r="U711" s="14"/>
      <c r="V711" s="15"/>
      <c r="W711" s="14"/>
      <c r="X711" s="15"/>
      <c r="Y711" s="14"/>
      <c r="Z711" s="15"/>
    </row>
    <row r="712" spans="1:26" x14ac:dyDescent="0.25">
      <c r="Q712" s="14"/>
      <c r="R712" s="15"/>
      <c r="S712" s="14"/>
      <c r="T712" s="15"/>
      <c r="U712" s="14"/>
      <c r="V712" s="15"/>
      <c r="W712" s="14"/>
      <c r="X712" s="15"/>
      <c r="Y712" s="14"/>
      <c r="Z712" s="15"/>
    </row>
    <row r="713" spans="1:26" x14ac:dyDescent="0.25">
      <c r="Q713" s="14"/>
      <c r="R713" s="15"/>
      <c r="S713" s="14"/>
      <c r="T713" s="15"/>
      <c r="U713" s="14"/>
      <c r="V713" s="15"/>
      <c r="W713" s="14"/>
      <c r="X713" s="15"/>
      <c r="Y713" s="14"/>
      <c r="Z713" s="15"/>
    </row>
    <row r="714" spans="1:26" x14ac:dyDescent="0.25">
      <c r="Q714" s="14"/>
      <c r="R714" s="15"/>
      <c r="S714" s="14"/>
      <c r="T714" s="15"/>
      <c r="U714" s="14"/>
      <c r="V714" s="15"/>
      <c r="W714" s="14"/>
      <c r="X714" s="15"/>
      <c r="Y714" s="14"/>
      <c r="Z714" s="15"/>
    </row>
    <row r="715" spans="1:26" x14ac:dyDescent="0.25">
      <c r="Q715" s="14"/>
      <c r="R715" s="15"/>
      <c r="S715" s="14"/>
      <c r="T715" s="15"/>
      <c r="U715" s="14"/>
      <c r="V715" s="15"/>
      <c r="W715" s="14"/>
      <c r="X715" s="15"/>
      <c r="Y715" s="14"/>
      <c r="Z715" s="15"/>
    </row>
    <row r="716" spans="1:26" x14ac:dyDescent="0.25">
      <c r="Q716" s="14"/>
      <c r="R716" s="15"/>
      <c r="S716" s="14"/>
      <c r="T716" s="15"/>
      <c r="U716" s="14"/>
      <c r="V716" s="15"/>
      <c r="W716" s="14"/>
      <c r="X716" s="15"/>
      <c r="Y716" s="14"/>
      <c r="Z716" s="15"/>
    </row>
    <row r="717" spans="1:26" x14ac:dyDescent="0.25">
      <c r="Q717" s="14"/>
      <c r="R717" s="15"/>
      <c r="S717" s="14"/>
      <c r="T717" s="15"/>
      <c r="U717" s="14"/>
      <c r="V717" s="15"/>
      <c r="W717" s="14"/>
      <c r="X717" s="15"/>
      <c r="Y717" s="14"/>
      <c r="Z717" s="15"/>
    </row>
    <row r="718" spans="1:26" x14ac:dyDescent="0.25">
      <c r="Q718" s="14"/>
      <c r="R718" s="15"/>
      <c r="S718" s="14"/>
      <c r="T718" s="15"/>
      <c r="U718" s="14"/>
      <c r="V718" s="15"/>
      <c r="W718" s="14"/>
      <c r="X718" s="15"/>
      <c r="Y718" s="14"/>
      <c r="Z718" s="15"/>
    </row>
    <row r="719" spans="1:26" x14ac:dyDescent="0.25">
      <c r="Q719" s="14"/>
      <c r="R719" s="15"/>
      <c r="S719" s="14"/>
      <c r="T719" s="15"/>
      <c r="U719" s="14"/>
      <c r="V719" s="15"/>
      <c r="W719" s="14"/>
      <c r="X719" s="15"/>
      <c r="Y719" s="14"/>
      <c r="Z719" s="15"/>
    </row>
    <row r="720" spans="1:26" x14ac:dyDescent="0.25">
      <c r="Q720" s="14"/>
      <c r="R720" s="15"/>
      <c r="S720" s="14"/>
      <c r="T720" s="15"/>
      <c r="U720" s="14"/>
      <c r="V720" s="15"/>
      <c r="W720" s="14"/>
      <c r="X720" s="15"/>
      <c r="Y720" s="14"/>
      <c r="Z720" s="15"/>
    </row>
    <row r="721" spans="1:26" x14ac:dyDescent="0.25">
      <c r="Q721" s="14"/>
      <c r="R721" s="15"/>
      <c r="S721" s="14"/>
      <c r="T721" s="15"/>
      <c r="U721" s="14"/>
      <c r="V721" s="15"/>
      <c r="W721" s="14"/>
      <c r="X721" s="15"/>
      <c r="Y721" s="14"/>
      <c r="Z721" s="15"/>
    </row>
    <row r="722" spans="1:26" x14ac:dyDescent="0.25">
      <c r="Q722" s="14"/>
      <c r="R722" s="15"/>
      <c r="S722" s="14"/>
      <c r="T722" s="15"/>
      <c r="U722" s="14"/>
      <c r="V722" s="15"/>
      <c r="W722" s="14"/>
      <c r="X722" s="15"/>
      <c r="Y722" s="14"/>
      <c r="Z722" s="15"/>
    </row>
    <row r="723" spans="1:26" x14ac:dyDescent="0.25">
      <c r="Q723" s="14"/>
      <c r="R723" s="15"/>
      <c r="S723" s="14"/>
      <c r="T723" s="15"/>
      <c r="U723" s="14"/>
      <c r="V723" s="15"/>
      <c r="W723" s="14"/>
      <c r="X723" s="15"/>
      <c r="Y723" s="14"/>
      <c r="Z723" s="15"/>
    </row>
    <row r="724" spans="1:26" x14ac:dyDescent="0.25">
      <c r="Q724" s="14"/>
      <c r="R724" s="15"/>
      <c r="S724" s="14"/>
      <c r="T724" s="15"/>
      <c r="U724" s="14"/>
      <c r="V724" s="15"/>
      <c r="W724" s="14"/>
      <c r="X724" s="15"/>
      <c r="Y724" s="14"/>
      <c r="Z724" s="15"/>
    </row>
    <row r="725" spans="1:26" x14ac:dyDescent="0.25">
      <c r="Q725" s="14"/>
      <c r="R725" s="15"/>
      <c r="S725" s="14"/>
      <c r="T725" s="15"/>
      <c r="U725" s="14"/>
      <c r="V725" s="15"/>
      <c r="W725" s="14"/>
      <c r="X725" s="15"/>
      <c r="Y725" s="14"/>
      <c r="Z725" s="15"/>
    </row>
    <row r="726" spans="1:26" x14ac:dyDescent="0.25">
      <c r="Q726" s="14"/>
      <c r="R726" s="15"/>
      <c r="S726" s="14"/>
      <c r="T726" s="15"/>
      <c r="U726" s="14"/>
      <c r="V726" s="15"/>
      <c r="W726" s="14"/>
      <c r="X726" s="15"/>
      <c r="Y726" s="14"/>
      <c r="Z726" s="15"/>
    </row>
    <row r="727" spans="1:26" x14ac:dyDescent="0.25">
      <c r="Q727" s="14"/>
      <c r="R727" s="15"/>
      <c r="S727" s="14"/>
      <c r="T727" s="15"/>
      <c r="U727" s="14"/>
      <c r="V727" s="15"/>
      <c r="W727" s="14"/>
      <c r="X727" s="15"/>
      <c r="Y727" s="14"/>
      <c r="Z727" s="15"/>
    </row>
    <row r="728" spans="1:26" x14ac:dyDescent="0.25">
      <c r="Q728" s="14"/>
      <c r="R728" s="15"/>
      <c r="S728" s="14"/>
      <c r="T728" s="15"/>
      <c r="U728" s="14"/>
      <c r="V728" s="15"/>
      <c r="W728" s="14"/>
      <c r="X728" s="15"/>
      <c r="Y728" s="14"/>
      <c r="Z728" s="15"/>
    </row>
    <row r="729" spans="1:26" x14ac:dyDescent="0.25">
      <c r="Q729" s="14"/>
      <c r="R729" s="15"/>
      <c r="S729" s="14"/>
      <c r="T729" s="15"/>
      <c r="U729" s="14"/>
      <c r="V729" s="15"/>
      <c r="W729" s="14"/>
      <c r="X729" s="15"/>
      <c r="Y729" s="14"/>
      <c r="Z729" s="15"/>
    </row>
    <row r="730" spans="1:26" x14ac:dyDescent="0.25">
      <c r="Q730" s="14"/>
      <c r="R730" s="15"/>
      <c r="S730" s="14"/>
      <c r="T730" s="15"/>
      <c r="U730" s="14"/>
      <c r="V730" s="15"/>
      <c r="W730" s="14"/>
      <c r="X730" s="15"/>
      <c r="Y730" s="14"/>
      <c r="Z730" s="15"/>
    </row>
    <row r="731" spans="1:26" x14ac:dyDescent="0.25">
      <c r="Q731" s="14"/>
      <c r="R731" s="15"/>
      <c r="S731" s="14"/>
      <c r="T731" s="15"/>
      <c r="U731" s="14"/>
      <c r="V731" s="15"/>
      <c r="W731" s="14"/>
      <c r="X731" s="15"/>
      <c r="Y731" s="14"/>
      <c r="Z731" s="15"/>
    </row>
    <row r="732" spans="1:26" x14ac:dyDescent="0.25">
      <c r="Q732" s="14"/>
      <c r="R732" s="15"/>
      <c r="S732" s="14"/>
      <c r="T732" s="15"/>
      <c r="U732" s="14"/>
      <c r="V732" s="15"/>
      <c r="W732" s="14"/>
      <c r="X732" s="15"/>
      <c r="Y732" s="14"/>
      <c r="Z732" s="15"/>
    </row>
    <row r="733" spans="1:26" x14ac:dyDescent="0.25">
      <c r="Q733" s="14"/>
      <c r="R733" s="15"/>
      <c r="S733" s="14"/>
      <c r="T733" s="15"/>
      <c r="U733" s="14"/>
      <c r="V733" s="15"/>
      <c r="W733" s="14"/>
      <c r="X733" s="15"/>
      <c r="Y733" s="14"/>
      <c r="Z733" s="15"/>
    </row>
    <row r="734" spans="1:26" x14ac:dyDescent="0.25">
      <c r="Q734" s="14"/>
      <c r="R734" s="15"/>
      <c r="S734" s="14"/>
      <c r="T734" s="15"/>
      <c r="U734" s="14"/>
      <c r="V734" s="15"/>
      <c r="W734" s="14"/>
      <c r="X734" s="15"/>
      <c r="Y734" s="14"/>
      <c r="Z734" s="15"/>
    </row>
    <row r="735" spans="1:26" x14ac:dyDescent="0.25">
      <c r="Q735" s="14"/>
      <c r="R735" s="15"/>
      <c r="S735" s="14"/>
      <c r="T735" s="15"/>
      <c r="U735" s="14"/>
      <c r="V735" s="15"/>
      <c r="W735" s="14"/>
      <c r="X735" s="15"/>
      <c r="Y735" s="14"/>
      <c r="Z735" s="15"/>
    </row>
    <row r="736" spans="1:26" x14ac:dyDescent="0.25">
      <c r="Q736" s="14"/>
      <c r="R736" s="15"/>
      <c r="S736" s="14"/>
      <c r="T736" s="15"/>
      <c r="U736" s="14"/>
      <c r="V736" s="15"/>
      <c r="W736" s="14"/>
      <c r="X736" s="15"/>
      <c r="Y736" s="14"/>
      <c r="Z736" s="15"/>
    </row>
    <row r="737" spans="1:26" x14ac:dyDescent="0.25">
      <c r="Q737" s="14"/>
      <c r="R737" s="15"/>
      <c r="S737" s="14"/>
      <c r="T737" s="15"/>
      <c r="U737" s="14"/>
      <c r="V737" s="15"/>
      <c r="W737" s="14"/>
      <c r="X737" s="15"/>
      <c r="Y737" s="14"/>
      <c r="Z737" s="15"/>
    </row>
    <row r="738" spans="1:26" x14ac:dyDescent="0.25">
      <c r="Q738" s="14"/>
      <c r="R738" s="15"/>
      <c r="S738" s="14"/>
      <c r="T738" s="15"/>
      <c r="U738" s="14"/>
      <c r="V738" s="15"/>
      <c r="W738" s="14"/>
      <c r="X738" s="15"/>
      <c r="Y738" s="14"/>
      <c r="Z738" s="15"/>
    </row>
    <row r="739" spans="1:26" x14ac:dyDescent="0.25">
      <c r="Q739" s="14"/>
      <c r="R739" s="15"/>
      <c r="S739" s="14"/>
      <c r="T739" s="15"/>
      <c r="U739" s="14"/>
      <c r="V739" s="15"/>
      <c r="W739" s="14"/>
      <c r="X739" s="15"/>
      <c r="Y739" s="14"/>
      <c r="Z739" s="15"/>
    </row>
    <row r="740" spans="1:26" x14ac:dyDescent="0.25">
      <c r="Q740" s="14"/>
      <c r="R740" s="15"/>
      <c r="S740" s="14"/>
      <c r="T740" s="15"/>
      <c r="U740" s="14"/>
      <c r="V740" s="15"/>
      <c r="W740" s="14"/>
      <c r="X740" s="15"/>
      <c r="Y740" s="14"/>
      <c r="Z740" s="15"/>
    </row>
    <row r="741" spans="1:26" x14ac:dyDescent="0.25">
      <c r="Q741" s="14"/>
      <c r="R741" s="15"/>
      <c r="S741" s="14"/>
      <c r="T741" s="15"/>
      <c r="U741" s="14"/>
      <c r="V741" s="15"/>
      <c r="W741" s="14"/>
      <c r="X741" s="15"/>
      <c r="Y741" s="14"/>
      <c r="Z741" s="15"/>
    </row>
    <row r="742" spans="1:26" x14ac:dyDescent="0.25">
      <c r="Q742" s="14"/>
      <c r="R742" s="15"/>
      <c r="S742" s="14"/>
      <c r="T742" s="15"/>
      <c r="U742" s="14"/>
      <c r="V742" s="15"/>
      <c r="W742" s="14"/>
      <c r="X742" s="15"/>
      <c r="Y742" s="14"/>
      <c r="Z742" s="15"/>
    </row>
    <row r="743" spans="1:26" x14ac:dyDescent="0.25">
      <c r="Q743" s="14"/>
      <c r="R743" s="15"/>
      <c r="S743" s="14"/>
      <c r="T743" s="15"/>
      <c r="U743" s="14"/>
      <c r="V743" s="15"/>
      <c r="W743" s="14"/>
      <c r="X743" s="15"/>
      <c r="Y743" s="14"/>
      <c r="Z743" s="15"/>
    </row>
    <row r="744" spans="1:26" x14ac:dyDescent="0.25">
      <c r="Q744" s="14"/>
      <c r="R744" s="15"/>
      <c r="S744" s="14"/>
      <c r="T744" s="15"/>
      <c r="U744" s="14"/>
      <c r="V744" s="15"/>
      <c r="W744" s="14"/>
      <c r="X744" s="15"/>
      <c r="Y744" s="14"/>
      <c r="Z744" s="15"/>
    </row>
    <row r="745" spans="1:26" x14ac:dyDescent="0.25">
      <c r="Q745" s="14"/>
      <c r="R745" s="15"/>
      <c r="S745" s="14"/>
      <c r="T745" s="15"/>
      <c r="U745" s="14"/>
      <c r="V745" s="15"/>
      <c r="W745" s="14"/>
      <c r="X745" s="15"/>
      <c r="Y745" s="14"/>
      <c r="Z745" s="15"/>
    </row>
    <row r="746" spans="1:26" x14ac:dyDescent="0.25">
      <c r="Q746" s="14"/>
      <c r="R746" s="15"/>
      <c r="S746" s="14"/>
      <c r="T746" s="15"/>
      <c r="U746" s="14"/>
      <c r="V746" s="15"/>
      <c r="W746" s="14"/>
      <c r="X746" s="15"/>
      <c r="Y746" s="14"/>
      <c r="Z746" s="15"/>
    </row>
    <row r="747" spans="1:26" x14ac:dyDescent="0.25">
      <c r="Q747" s="14"/>
      <c r="R747" s="15"/>
      <c r="S747" s="14"/>
      <c r="T747" s="15"/>
      <c r="U747" s="14"/>
      <c r="V747" s="15"/>
      <c r="W747" s="14"/>
      <c r="X747" s="15"/>
      <c r="Y747" s="14"/>
      <c r="Z747" s="15"/>
    </row>
    <row r="748" spans="1:26" x14ac:dyDescent="0.25">
      <c r="Q748" s="14"/>
      <c r="R748" s="15"/>
      <c r="S748" s="14"/>
      <c r="T748" s="15"/>
      <c r="U748" s="14"/>
      <c r="V748" s="15"/>
      <c r="W748" s="14"/>
      <c r="X748" s="15"/>
      <c r="Y748" s="14"/>
      <c r="Z748" s="15"/>
    </row>
    <row r="749" spans="1:26" x14ac:dyDescent="0.25">
      <c r="Q749" s="14"/>
      <c r="R749" s="15"/>
      <c r="S749" s="14"/>
      <c r="T749" s="15"/>
      <c r="U749" s="14"/>
      <c r="V749" s="15"/>
      <c r="W749" s="14"/>
      <c r="X749" s="15"/>
      <c r="Y749" s="14"/>
      <c r="Z749" s="15"/>
    </row>
    <row r="750" spans="1:26" x14ac:dyDescent="0.25">
      <c r="Q750" s="14"/>
      <c r="R750" s="15"/>
      <c r="S750" s="14"/>
      <c r="T750" s="15"/>
      <c r="U750" s="14"/>
      <c r="V750" s="15"/>
      <c r="W750" s="14"/>
      <c r="X750" s="15"/>
      <c r="Y750" s="14"/>
      <c r="Z750" s="15"/>
    </row>
    <row r="751" spans="1:26" x14ac:dyDescent="0.25">
      <c r="Q751" s="14"/>
      <c r="R751" s="15"/>
      <c r="S751" s="14"/>
      <c r="T751" s="15"/>
      <c r="U751" s="14"/>
      <c r="V751" s="15"/>
      <c r="W751" s="14"/>
      <c r="X751" s="15"/>
      <c r="Y751" s="14"/>
      <c r="Z751" s="15"/>
    </row>
    <row r="752" spans="1:26" x14ac:dyDescent="0.25">
      <c r="Q752" s="14"/>
      <c r="R752" s="15"/>
      <c r="S752" s="14"/>
      <c r="T752" s="15"/>
      <c r="U752" s="14"/>
      <c r="V752" s="15"/>
      <c r="W752" s="14"/>
      <c r="X752" s="15"/>
      <c r="Y752" s="14"/>
      <c r="Z752" s="15"/>
    </row>
    <row r="753" spans="1:26" x14ac:dyDescent="0.25">
      <c r="Q753" s="14"/>
      <c r="R753" s="15"/>
      <c r="S753" s="14"/>
      <c r="T753" s="15"/>
      <c r="U753" s="14"/>
      <c r="V753" s="15"/>
      <c r="W753" s="14"/>
      <c r="X753" s="15"/>
      <c r="Y753" s="14"/>
      <c r="Z753" s="15"/>
    </row>
    <row r="754" spans="1:26" x14ac:dyDescent="0.25">
      <c r="Q754" s="14"/>
      <c r="R754" s="15"/>
      <c r="S754" s="14"/>
      <c r="T754" s="15"/>
      <c r="U754" s="14"/>
      <c r="V754" s="15"/>
      <c r="W754" s="14"/>
      <c r="X754" s="15"/>
      <c r="Y754" s="14"/>
      <c r="Z754" s="15"/>
    </row>
    <row r="755" spans="1:26" x14ac:dyDescent="0.25">
      <c r="Q755" s="14"/>
      <c r="R755" s="15"/>
      <c r="S755" s="14"/>
      <c r="T755" s="15"/>
      <c r="U755" s="14"/>
      <c r="V755" s="15"/>
      <c r="W755" s="14"/>
      <c r="X755" s="15"/>
      <c r="Y755" s="14"/>
      <c r="Z755" s="15"/>
    </row>
    <row r="756" spans="1:26" x14ac:dyDescent="0.25">
      <c r="Q756" s="14"/>
      <c r="R756" s="15"/>
      <c r="S756" s="14"/>
      <c r="T756" s="15"/>
      <c r="U756" s="14"/>
      <c r="V756" s="15"/>
      <c r="W756" s="14"/>
      <c r="X756" s="15"/>
      <c r="Y756" s="14"/>
      <c r="Z756" s="15"/>
    </row>
    <row r="757" spans="1:26" x14ac:dyDescent="0.25">
      <c r="Q757" s="14"/>
      <c r="R757" s="15"/>
      <c r="S757" s="14"/>
      <c r="T757" s="15"/>
      <c r="U757" s="14"/>
      <c r="V757" s="15"/>
      <c r="W757" s="14"/>
      <c r="X757" s="15"/>
      <c r="Y757" s="14"/>
      <c r="Z757" s="15"/>
    </row>
    <row r="758" spans="1:26" x14ac:dyDescent="0.25">
      <c r="Q758" s="14"/>
      <c r="R758" s="15"/>
      <c r="S758" s="14"/>
      <c r="T758" s="15"/>
      <c r="U758" s="14"/>
      <c r="V758" s="15"/>
      <c r="W758" s="14"/>
      <c r="X758" s="15"/>
      <c r="Y758" s="14"/>
      <c r="Z758" s="15"/>
    </row>
    <row r="759" spans="1:26" x14ac:dyDescent="0.25">
      <c r="Q759" s="14"/>
      <c r="R759" s="15"/>
      <c r="S759" s="14"/>
      <c r="T759" s="15"/>
      <c r="U759" s="14"/>
      <c r="V759" s="15"/>
      <c r="W759" s="14"/>
      <c r="X759" s="15"/>
      <c r="Y759" s="14"/>
      <c r="Z759" s="15"/>
    </row>
    <row r="760" spans="1:26" x14ac:dyDescent="0.25">
      <c r="Q760" s="14"/>
      <c r="R760" s="15"/>
      <c r="S760" s="14"/>
      <c r="T760" s="15"/>
      <c r="U760" s="14"/>
      <c r="V760" s="15"/>
      <c r="W760" s="14"/>
      <c r="X760" s="15"/>
      <c r="Y760" s="14"/>
      <c r="Z760" s="15"/>
    </row>
    <row r="761" spans="1:26" x14ac:dyDescent="0.25">
      <c r="Q761" s="14"/>
      <c r="R761" s="15"/>
      <c r="S761" s="14"/>
      <c r="T761" s="15"/>
      <c r="U761" s="14"/>
      <c r="V761" s="15"/>
      <c r="W761" s="14"/>
      <c r="X761" s="15"/>
      <c r="Y761" s="14"/>
      <c r="Z761" s="15"/>
    </row>
    <row r="762" spans="1:26" x14ac:dyDescent="0.25">
      <c r="Q762" s="14"/>
      <c r="R762" s="15"/>
      <c r="S762" s="14"/>
      <c r="T762" s="15"/>
      <c r="U762" s="14"/>
      <c r="V762" s="15"/>
      <c r="W762" s="14"/>
      <c r="X762" s="15"/>
      <c r="Y762" s="14"/>
      <c r="Z762" s="15"/>
    </row>
    <row r="763" spans="1:26" x14ac:dyDescent="0.25">
      <c r="Q763" s="14"/>
      <c r="R763" s="15"/>
      <c r="S763" s="14"/>
      <c r="T763" s="15"/>
      <c r="U763" s="14"/>
      <c r="V763" s="15"/>
      <c r="W763" s="14"/>
      <c r="X763" s="15"/>
      <c r="Y763" s="14"/>
      <c r="Z763" s="15"/>
    </row>
    <row r="764" spans="1:26" x14ac:dyDescent="0.25">
      <c r="Q764" s="14"/>
      <c r="R764" s="15"/>
      <c r="S764" s="14"/>
      <c r="T764" s="15"/>
      <c r="U764" s="14"/>
      <c r="V764" s="15"/>
      <c r="W764" s="14"/>
      <c r="X764" s="15"/>
      <c r="Y764" s="14"/>
      <c r="Z764" s="15"/>
    </row>
    <row r="765" spans="1:26" x14ac:dyDescent="0.25">
      <c r="Q765" s="14"/>
      <c r="R765" s="15"/>
      <c r="S765" s="14"/>
      <c r="T765" s="15"/>
      <c r="U765" s="14"/>
      <c r="V765" s="15"/>
      <c r="W765" s="14"/>
      <c r="X765" s="15"/>
      <c r="Y765" s="14"/>
      <c r="Z765" s="15"/>
    </row>
    <row r="766" spans="1:26" x14ac:dyDescent="0.25">
      <c r="Q766" s="14"/>
      <c r="R766" s="15"/>
      <c r="S766" s="14"/>
      <c r="T766" s="15"/>
      <c r="U766" s="14"/>
      <c r="V766" s="15"/>
      <c r="W766" s="14"/>
      <c r="X766" s="15"/>
      <c r="Y766" s="14"/>
      <c r="Z766" s="15"/>
    </row>
    <row r="767" spans="1:26" x14ac:dyDescent="0.25">
      <c r="Q767" s="14"/>
      <c r="R767" s="15"/>
      <c r="S767" s="14"/>
      <c r="T767" s="15"/>
      <c r="U767" s="14"/>
      <c r="V767" s="15"/>
      <c r="W767" s="14"/>
      <c r="X767" s="15"/>
      <c r="Y767" s="14"/>
      <c r="Z767" s="15"/>
    </row>
    <row r="768" spans="1:26" x14ac:dyDescent="0.25">
      <c r="Q768" s="14"/>
      <c r="R768" s="15"/>
      <c r="S768" s="14"/>
      <c r="T768" s="15"/>
      <c r="U768" s="14"/>
      <c r="V768" s="15"/>
      <c r="W768" s="14"/>
      <c r="X768" s="15"/>
      <c r="Y768" s="14"/>
      <c r="Z768" s="15"/>
    </row>
    <row r="769" spans="1:26" x14ac:dyDescent="0.25">
      <c r="Q769" s="14"/>
      <c r="R769" s="15"/>
      <c r="S769" s="14"/>
      <c r="T769" s="15"/>
      <c r="U769" s="14"/>
      <c r="V769" s="15"/>
      <c r="W769" s="14"/>
      <c r="X769" s="15"/>
      <c r="Y769" s="14"/>
      <c r="Z769" s="15"/>
    </row>
    <row r="770" spans="1:26" x14ac:dyDescent="0.25">
      <c r="Q770" s="14"/>
      <c r="R770" s="15"/>
      <c r="S770" s="14"/>
      <c r="T770" s="15"/>
      <c r="U770" s="14"/>
      <c r="V770" s="15"/>
      <c r="W770" s="14"/>
      <c r="X770" s="15"/>
      <c r="Y770" s="14"/>
      <c r="Z770" s="15"/>
    </row>
    <row r="771" spans="1:26" x14ac:dyDescent="0.25">
      <c r="Q771" s="14"/>
      <c r="R771" s="15"/>
      <c r="S771" s="14"/>
      <c r="T771" s="15"/>
      <c r="U771" s="14"/>
      <c r="V771" s="15"/>
      <c r="W771" s="14"/>
      <c r="X771" s="15"/>
      <c r="Y771" s="14"/>
      <c r="Z771" s="15"/>
    </row>
    <row r="772" spans="1:26" x14ac:dyDescent="0.25">
      <c r="Q772" s="14"/>
      <c r="R772" s="15"/>
      <c r="S772" s="14"/>
      <c r="T772" s="15"/>
      <c r="U772" s="14"/>
      <c r="V772" s="15"/>
      <c r="W772" s="14"/>
      <c r="X772" s="15"/>
      <c r="Y772" s="14"/>
      <c r="Z772" s="15"/>
    </row>
    <row r="773" spans="1:26" x14ac:dyDescent="0.25">
      <c r="Q773" s="14"/>
      <c r="R773" s="15"/>
      <c r="S773" s="14"/>
      <c r="T773" s="15"/>
      <c r="U773" s="14"/>
      <c r="V773" s="15"/>
      <c r="W773" s="14"/>
      <c r="X773" s="15"/>
      <c r="Y773" s="14"/>
      <c r="Z773" s="15"/>
    </row>
    <row r="774" spans="1:26" x14ac:dyDescent="0.25">
      <c r="Q774" s="14"/>
      <c r="R774" s="15"/>
      <c r="S774" s="14"/>
      <c r="T774" s="15"/>
      <c r="U774" s="14"/>
      <c r="V774" s="15"/>
      <c r="W774" s="14"/>
      <c r="X774" s="15"/>
      <c r="Y774" s="14"/>
      <c r="Z774" s="15"/>
    </row>
    <row r="775" spans="1:26" x14ac:dyDescent="0.25">
      <c r="Q775" s="14"/>
      <c r="R775" s="15"/>
      <c r="S775" s="14"/>
      <c r="T775" s="15"/>
      <c r="U775" s="14"/>
      <c r="V775" s="15"/>
      <c r="W775" s="14"/>
      <c r="X775" s="15"/>
      <c r="Y775" s="14"/>
      <c r="Z775" s="15"/>
    </row>
    <row r="776" spans="1:26" x14ac:dyDescent="0.25">
      <c r="Q776" s="14"/>
      <c r="R776" s="15"/>
      <c r="S776" s="14"/>
      <c r="T776" s="15"/>
      <c r="U776" s="14"/>
      <c r="V776" s="15"/>
      <c r="W776" s="14"/>
      <c r="X776" s="15"/>
      <c r="Y776" s="14"/>
      <c r="Z776" s="15"/>
    </row>
    <row r="777" spans="1:26" x14ac:dyDescent="0.25">
      <c r="Q777" s="14"/>
      <c r="R777" s="15"/>
      <c r="S777" s="14"/>
      <c r="T777" s="15"/>
      <c r="U777" s="14"/>
      <c r="V777" s="15"/>
      <c r="W777" s="14"/>
      <c r="X777" s="15"/>
      <c r="Y777" s="14"/>
      <c r="Z777" s="15"/>
    </row>
    <row r="778" spans="1:26" x14ac:dyDescent="0.25">
      <c r="Q778" s="14"/>
      <c r="R778" s="15"/>
      <c r="S778" s="14"/>
      <c r="T778" s="15"/>
      <c r="U778" s="14"/>
      <c r="V778" s="15"/>
      <c r="W778" s="14"/>
      <c r="X778" s="15"/>
      <c r="Y778" s="14"/>
      <c r="Z778" s="15"/>
    </row>
    <row r="779" spans="1:26" x14ac:dyDescent="0.25">
      <c r="Q779" s="14"/>
      <c r="R779" s="15"/>
      <c r="S779" s="14"/>
      <c r="T779" s="15"/>
      <c r="U779" s="14"/>
      <c r="V779" s="15"/>
      <c r="W779" s="14"/>
      <c r="X779" s="15"/>
      <c r="Y779" s="14"/>
      <c r="Z779" s="15"/>
    </row>
    <row r="780" spans="1:26" x14ac:dyDescent="0.25">
      <c r="Q780" s="14"/>
      <c r="R780" s="15"/>
      <c r="S780" s="14"/>
      <c r="T780" s="15"/>
      <c r="U780" s="14"/>
      <c r="V780" s="15"/>
      <c r="W780" s="14"/>
      <c r="X780" s="15"/>
      <c r="Y780" s="14"/>
      <c r="Z780" s="15"/>
    </row>
    <row r="781" spans="1:26" x14ac:dyDescent="0.25">
      <c r="Q781" s="14"/>
      <c r="R781" s="15"/>
      <c r="S781" s="14"/>
      <c r="T781" s="15"/>
      <c r="U781" s="14"/>
      <c r="V781" s="15"/>
      <c r="W781" s="14"/>
      <c r="X781" s="15"/>
      <c r="Y781" s="14"/>
      <c r="Z781" s="15"/>
    </row>
    <row r="782" spans="1:26" x14ac:dyDescent="0.25">
      <c r="Q782" s="14"/>
      <c r="R782" s="15"/>
      <c r="S782" s="14"/>
      <c r="T782" s="15"/>
      <c r="U782" s="14"/>
      <c r="V782" s="15"/>
      <c r="W782" s="14"/>
      <c r="X782" s="15"/>
      <c r="Y782" s="14"/>
      <c r="Z782" s="15"/>
    </row>
    <row r="783" spans="1:26" x14ac:dyDescent="0.25">
      <c r="Q783" s="14"/>
      <c r="R783" s="15"/>
      <c r="S783" s="14"/>
      <c r="T783" s="15"/>
      <c r="U783" s="14"/>
      <c r="V783" s="15"/>
      <c r="W783" s="14"/>
      <c r="X783" s="15"/>
      <c r="Y783" s="14"/>
      <c r="Z783" s="15"/>
    </row>
    <row r="784" spans="1:26" x14ac:dyDescent="0.25">
      <c r="Q784" s="14"/>
      <c r="R784" s="15"/>
      <c r="S784" s="14"/>
      <c r="T784" s="15"/>
      <c r="U784" s="14"/>
      <c r="V784" s="15"/>
      <c r="W784" s="14"/>
      <c r="X784" s="15"/>
      <c r="Y784" s="14"/>
      <c r="Z784" s="15"/>
    </row>
    <row r="785" spans="1:26" x14ac:dyDescent="0.25">
      <c r="Q785" s="14"/>
      <c r="R785" s="15"/>
      <c r="S785" s="14"/>
      <c r="T785" s="15"/>
      <c r="U785" s="14"/>
      <c r="V785" s="15"/>
      <c r="W785" s="14"/>
      <c r="X785" s="15"/>
      <c r="Y785" s="14"/>
      <c r="Z785" s="15"/>
    </row>
    <row r="786" spans="1:26" x14ac:dyDescent="0.25">
      <c r="Q786" s="14"/>
      <c r="R786" s="15"/>
      <c r="S786" s="14"/>
      <c r="T786" s="15"/>
      <c r="U786" s="14"/>
      <c r="V786" s="15"/>
      <c r="W786" s="14"/>
      <c r="X786" s="15"/>
      <c r="Y786" s="14"/>
      <c r="Z786" s="15"/>
    </row>
    <row r="787" spans="1:26" x14ac:dyDescent="0.25">
      <c r="Q787" s="14"/>
      <c r="R787" s="15"/>
      <c r="S787" s="14"/>
      <c r="T787" s="15"/>
      <c r="U787" s="14"/>
      <c r="V787" s="15"/>
      <c r="W787" s="14"/>
      <c r="X787" s="15"/>
      <c r="Y787" s="14"/>
      <c r="Z787" s="15"/>
    </row>
    <row r="788" spans="1:26" x14ac:dyDescent="0.25">
      <c r="Q788" s="14"/>
      <c r="R788" s="15"/>
      <c r="S788" s="14"/>
      <c r="T788" s="15"/>
      <c r="U788" s="14"/>
      <c r="V788" s="15"/>
      <c r="W788" s="14"/>
      <c r="X788" s="15"/>
      <c r="Y788" s="14"/>
      <c r="Z788" s="15"/>
    </row>
    <row r="789" spans="1:26" x14ac:dyDescent="0.25">
      <c r="Q789" s="14"/>
      <c r="R789" s="15"/>
      <c r="S789" s="14"/>
      <c r="T789" s="15"/>
      <c r="U789" s="14"/>
      <c r="V789" s="15"/>
      <c r="W789" s="14"/>
      <c r="X789" s="15"/>
      <c r="Y789" s="14"/>
      <c r="Z789" s="15"/>
    </row>
    <row r="790" spans="1:26" x14ac:dyDescent="0.25">
      <c r="Q790" s="14"/>
      <c r="R790" s="15"/>
      <c r="S790" s="14"/>
      <c r="T790" s="15"/>
      <c r="U790" s="14"/>
      <c r="V790" s="15"/>
      <c r="W790" s="14"/>
      <c r="X790" s="15"/>
      <c r="Y790" s="14"/>
      <c r="Z790" s="15"/>
    </row>
    <row r="791" spans="1:26" x14ac:dyDescent="0.25">
      <c r="Q791" s="14"/>
      <c r="R791" s="15"/>
      <c r="S791" s="14"/>
      <c r="T791" s="15"/>
      <c r="U791" s="14"/>
      <c r="V791" s="15"/>
      <c r="W791" s="14"/>
      <c r="X791" s="15"/>
      <c r="Y791" s="14"/>
      <c r="Z791" s="15"/>
    </row>
    <row r="792" spans="1:26" x14ac:dyDescent="0.25">
      <c r="Q792" s="14"/>
      <c r="R792" s="15"/>
      <c r="S792" s="14"/>
      <c r="T792" s="15"/>
      <c r="U792" s="14"/>
      <c r="V792" s="15"/>
      <c r="W792" s="14"/>
      <c r="X792" s="15"/>
      <c r="Y792" s="14"/>
      <c r="Z792" s="15"/>
    </row>
    <row r="793" spans="1:26" x14ac:dyDescent="0.25">
      <c r="Q793" s="14"/>
      <c r="R793" s="15"/>
      <c r="S793" s="14"/>
      <c r="T793" s="15"/>
      <c r="U793" s="14"/>
      <c r="V793" s="15"/>
      <c r="W793" s="14"/>
      <c r="X793" s="15"/>
      <c r="Y793" s="14"/>
      <c r="Z793" s="15"/>
    </row>
    <row r="794" spans="1:26" x14ac:dyDescent="0.25">
      <c r="Q794" s="14"/>
      <c r="R794" s="15"/>
      <c r="S794" s="14"/>
      <c r="T794" s="15"/>
      <c r="U794" s="14"/>
      <c r="V794" s="15"/>
      <c r="W794" s="14"/>
      <c r="X794" s="15"/>
      <c r="Y794" s="14"/>
      <c r="Z794" s="15"/>
    </row>
    <row r="795" spans="1:26" x14ac:dyDescent="0.25">
      <c r="Q795" s="14"/>
      <c r="R795" s="15"/>
      <c r="S795" s="14"/>
      <c r="T795" s="15"/>
      <c r="U795" s="14"/>
      <c r="V795" s="15"/>
      <c r="W795" s="14"/>
      <c r="X795" s="15"/>
      <c r="Y795" s="14"/>
      <c r="Z795" s="15"/>
    </row>
    <row r="796" spans="1:26" x14ac:dyDescent="0.25">
      <c r="Q796" s="14"/>
      <c r="R796" s="15"/>
      <c r="S796" s="14"/>
      <c r="T796" s="15"/>
      <c r="U796" s="14"/>
      <c r="V796" s="15"/>
      <c r="W796" s="14"/>
      <c r="X796" s="15"/>
      <c r="Y796" s="14"/>
      <c r="Z796" s="15"/>
    </row>
    <row r="797" spans="1:26" x14ac:dyDescent="0.25">
      <c r="Q797" s="14"/>
      <c r="R797" s="15"/>
      <c r="S797" s="14"/>
      <c r="T797" s="15"/>
      <c r="U797" s="14"/>
      <c r="V797" s="15"/>
      <c r="W797" s="14"/>
      <c r="X797" s="15"/>
      <c r="Y797" s="14"/>
      <c r="Z797" s="15"/>
    </row>
    <row r="798" spans="1:26" x14ac:dyDescent="0.25">
      <c r="Q798" s="14"/>
      <c r="R798" s="15"/>
      <c r="S798" s="14"/>
      <c r="T798" s="15"/>
      <c r="U798" s="14"/>
      <c r="V798" s="15"/>
      <c r="W798" s="14"/>
      <c r="X798" s="15"/>
      <c r="Y798" s="14"/>
      <c r="Z798" s="15"/>
    </row>
    <row r="799" spans="1:26" x14ac:dyDescent="0.25">
      <c r="Q799" s="14"/>
      <c r="R799" s="15"/>
      <c r="S799" s="14"/>
      <c r="T799" s="15"/>
      <c r="U799" s="14"/>
      <c r="V799" s="15"/>
      <c r="W799" s="14"/>
      <c r="X799" s="15"/>
      <c r="Y799" s="14"/>
      <c r="Z799" s="15"/>
    </row>
    <row r="800" spans="1:26" x14ac:dyDescent="0.25">
      <c r="Q800" s="14"/>
      <c r="R800" s="15"/>
      <c r="S800" s="14"/>
      <c r="T800" s="15"/>
      <c r="U800" s="14"/>
      <c r="V800" s="15"/>
      <c r="W800" s="14"/>
      <c r="X800" s="15"/>
      <c r="Y800" s="14"/>
      <c r="Z800" s="15"/>
    </row>
    <row r="801" spans="1:26" x14ac:dyDescent="0.25">
      <c r="Q801" s="14"/>
      <c r="R801" s="15"/>
      <c r="S801" s="14"/>
      <c r="T801" s="15"/>
      <c r="U801" s="14"/>
      <c r="V801" s="15"/>
      <c r="W801" s="14"/>
      <c r="X801" s="15"/>
      <c r="Y801" s="14"/>
      <c r="Z801" s="15"/>
    </row>
    <row r="802" spans="1:26" x14ac:dyDescent="0.25">
      <c r="Q802" s="14"/>
      <c r="R802" s="15"/>
      <c r="S802" s="14"/>
      <c r="T802" s="15"/>
      <c r="U802" s="14"/>
      <c r="V802" s="15"/>
      <c r="W802" s="14"/>
      <c r="X802" s="15"/>
      <c r="Y802" s="14"/>
      <c r="Z802" s="15"/>
    </row>
    <row r="803" spans="1:26" x14ac:dyDescent="0.25">
      <c r="Q803" s="14"/>
      <c r="R803" s="15"/>
      <c r="S803" s="14"/>
      <c r="T803" s="15"/>
      <c r="U803" s="14"/>
      <c r="V803" s="15"/>
      <c r="W803" s="14"/>
      <c r="X803" s="15"/>
      <c r="Y803" s="14"/>
      <c r="Z803" s="15"/>
    </row>
    <row r="804" spans="1:26" x14ac:dyDescent="0.25">
      <c r="Q804" s="14"/>
      <c r="R804" s="15"/>
      <c r="S804" s="14"/>
      <c r="T804" s="15"/>
      <c r="U804" s="14"/>
      <c r="V804" s="15"/>
      <c r="W804" s="14"/>
      <c r="X804" s="15"/>
      <c r="Y804" s="14"/>
      <c r="Z804" s="15"/>
    </row>
    <row r="805" spans="1:26" x14ac:dyDescent="0.25">
      <c r="Q805" s="14"/>
      <c r="R805" s="15"/>
      <c r="S805" s="14"/>
      <c r="T805" s="15"/>
      <c r="U805" s="14"/>
      <c r="V805" s="15"/>
      <c r="W805" s="14"/>
      <c r="X805" s="15"/>
      <c r="Y805" s="14"/>
      <c r="Z805" s="15"/>
    </row>
    <row r="806" spans="1:26" x14ac:dyDescent="0.25">
      <c r="Q806" s="14"/>
      <c r="R806" s="15"/>
      <c r="S806" s="14"/>
      <c r="T806" s="15"/>
      <c r="U806" s="14"/>
      <c r="V806" s="15"/>
      <c r="W806" s="14"/>
      <c r="X806" s="15"/>
      <c r="Y806" s="14"/>
      <c r="Z806" s="15"/>
    </row>
    <row r="807" spans="1:26" x14ac:dyDescent="0.25">
      <c r="Q807" s="14"/>
      <c r="R807" s="15"/>
      <c r="S807" s="14"/>
      <c r="T807" s="15"/>
      <c r="U807" s="14"/>
      <c r="V807" s="15"/>
      <c r="W807" s="14"/>
      <c r="X807" s="15"/>
      <c r="Y807" s="14"/>
      <c r="Z807" s="15"/>
    </row>
    <row r="808" spans="1:26" x14ac:dyDescent="0.25">
      <c r="Q808" s="14"/>
      <c r="R808" s="15"/>
      <c r="S808" s="14"/>
      <c r="T808" s="15"/>
      <c r="U808" s="14"/>
      <c r="V808" s="15"/>
      <c r="W808" s="14"/>
      <c r="X808" s="15"/>
      <c r="Y808" s="14"/>
      <c r="Z808" s="15"/>
    </row>
    <row r="809" spans="1:26" x14ac:dyDescent="0.25">
      <c r="Q809" s="14"/>
      <c r="R809" s="15"/>
      <c r="S809" s="14"/>
      <c r="T809" s="15"/>
      <c r="U809" s="14"/>
      <c r="V809" s="15"/>
      <c r="W809" s="14"/>
      <c r="X809" s="15"/>
      <c r="Y809" s="14"/>
      <c r="Z809" s="15"/>
    </row>
    <row r="810" spans="1:26" x14ac:dyDescent="0.25">
      <c r="Q810" s="14"/>
      <c r="R810" s="15"/>
      <c r="S810" s="14"/>
      <c r="T810" s="15"/>
      <c r="U810" s="14"/>
      <c r="V810" s="15"/>
      <c r="W810" s="14"/>
      <c r="X810" s="15"/>
      <c r="Y810" s="14"/>
      <c r="Z810" s="15"/>
    </row>
    <row r="811" spans="1:26" x14ac:dyDescent="0.25">
      <c r="Q811" s="14"/>
      <c r="R811" s="15"/>
      <c r="S811" s="14"/>
      <c r="T811" s="15"/>
      <c r="U811" s="14"/>
      <c r="V811" s="15"/>
      <c r="W811" s="14"/>
      <c r="X811" s="15"/>
      <c r="Y811" s="14"/>
      <c r="Z811" s="15"/>
    </row>
    <row r="812" spans="1:26" x14ac:dyDescent="0.25">
      <c r="Q812" s="14"/>
      <c r="R812" s="15"/>
      <c r="S812" s="14"/>
      <c r="T812" s="15"/>
      <c r="U812" s="14"/>
      <c r="V812" s="15"/>
      <c r="W812" s="14"/>
      <c r="X812" s="15"/>
      <c r="Y812" s="14"/>
      <c r="Z812" s="15"/>
    </row>
    <row r="813" spans="1:26" x14ac:dyDescent="0.25">
      <c r="Q813" s="14"/>
      <c r="R813" s="15"/>
      <c r="S813" s="14"/>
      <c r="T813" s="15"/>
      <c r="U813" s="14"/>
      <c r="V813" s="15"/>
      <c r="W813" s="14"/>
      <c r="X813" s="15"/>
      <c r="Y813" s="14"/>
      <c r="Z813" s="15"/>
    </row>
    <row r="814" spans="1:26" x14ac:dyDescent="0.25">
      <c r="Q814" s="14"/>
      <c r="R814" s="15"/>
      <c r="S814" s="14"/>
      <c r="T814" s="15"/>
      <c r="U814" s="14"/>
      <c r="V814" s="15"/>
      <c r="W814" s="14"/>
      <c r="X814" s="15"/>
      <c r="Y814" s="14"/>
      <c r="Z814" s="15"/>
    </row>
    <row r="815" spans="1:26" x14ac:dyDescent="0.25">
      <c r="Q815" s="14"/>
      <c r="R815" s="15"/>
      <c r="S815" s="14"/>
      <c r="T815" s="15"/>
      <c r="U815" s="14"/>
      <c r="V815" s="15"/>
      <c r="W815" s="14"/>
      <c r="X815" s="15"/>
      <c r="Y815" s="14"/>
      <c r="Z815" s="15"/>
    </row>
    <row r="816" spans="1:26" x14ac:dyDescent="0.25">
      <c r="Q816" s="14"/>
      <c r="R816" s="15"/>
      <c r="S816" s="14"/>
      <c r="T816" s="15"/>
      <c r="U816" s="14"/>
      <c r="V816" s="15"/>
      <c r="W816" s="14"/>
      <c r="X816" s="15"/>
      <c r="Y816" s="14"/>
      <c r="Z816" s="15"/>
    </row>
    <row r="817" spans="1:26" x14ac:dyDescent="0.25">
      <c r="Q817" s="14"/>
      <c r="R817" s="15"/>
      <c r="S817" s="14"/>
      <c r="T817" s="15"/>
      <c r="U817" s="14"/>
      <c r="V817" s="15"/>
      <c r="W817" s="14"/>
      <c r="X817" s="15"/>
      <c r="Y817" s="14"/>
      <c r="Z817" s="15"/>
    </row>
    <row r="818" spans="1:26" x14ac:dyDescent="0.25">
      <c r="Q818" s="14"/>
      <c r="R818" s="15"/>
      <c r="S818" s="14"/>
      <c r="T818" s="15"/>
      <c r="U818" s="14"/>
      <c r="V818" s="15"/>
      <c r="W818" s="14"/>
      <c r="X818" s="15"/>
      <c r="Y818" s="14"/>
      <c r="Z818" s="15"/>
    </row>
    <row r="819" spans="1:26" x14ac:dyDescent="0.25">
      <c r="Q819" s="14"/>
      <c r="R819" s="15"/>
      <c r="S819" s="14"/>
      <c r="T819" s="15"/>
      <c r="U819" s="14"/>
      <c r="V819" s="15"/>
      <c r="W819" s="14"/>
      <c r="X819" s="15"/>
      <c r="Y819" s="14"/>
      <c r="Z819" s="15"/>
    </row>
    <row r="820" spans="1:26" x14ac:dyDescent="0.25">
      <c r="Q820" s="14"/>
      <c r="R820" s="15"/>
      <c r="S820" s="14"/>
      <c r="T820" s="15"/>
      <c r="U820" s="14"/>
      <c r="V820" s="15"/>
      <c r="W820" s="14"/>
      <c r="X820" s="15"/>
      <c r="Y820" s="14"/>
      <c r="Z820" s="15"/>
    </row>
    <row r="821" spans="1:26" x14ac:dyDescent="0.25">
      <c r="Q821" s="14"/>
      <c r="R821" s="15"/>
      <c r="S821" s="14"/>
      <c r="T821" s="15"/>
      <c r="U821" s="14"/>
      <c r="V821" s="15"/>
      <c r="W821" s="14"/>
      <c r="X821" s="15"/>
      <c r="Y821" s="14"/>
      <c r="Z821" s="15"/>
    </row>
    <row r="822" spans="1:26" x14ac:dyDescent="0.25">
      <c r="Q822" s="14"/>
      <c r="R822" s="15"/>
      <c r="S822" s="14"/>
      <c r="T822" s="15"/>
      <c r="U822" s="14"/>
      <c r="V822" s="15"/>
      <c r="W822" s="14"/>
      <c r="X822" s="15"/>
      <c r="Y822" s="14"/>
      <c r="Z822" s="15"/>
    </row>
    <row r="823" spans="1:26" x14ac:dyDescent="0.25">
      <c r="Q823" s="14"/>
      <c r="R823" s="15"/>
      <c r="S823" s="14"/>
      <c r="T823" s="15"/>
      <c r="U823" s="14"/>
      <c r="V823" s="15"/>
      <c r="W823" s="14"/>
      <c r="X823" s="15"/>
      <c r="Y823" s="14"/>
      <c r="Z823" s="15"/>
    </row>
    <row r="824" spans="1:26" x14ac:dyDescent="0.25">
      <c r="Q824" s="14"/>
      <c r="R824" s="15"/>
      <c r="S824" s="14"/>
      <c r="T824" s="15"/>
      <c r="U824" s="14"/>
      <c r="V824" s="15"/>
      <c r="W824" s="14"/>
      <c r="X824" s="15"/>
      <c r="Y824" s="14"/>
      <c r="Z824" s="15"/>
    </row>
    <row r="825" spans="1:26" x14ac:dyDescent="0.25">
      <c r="Q825" s="14"/>
      <c r="R825" s="15"/>
      <c r="S825" s="14"/>
      <c r="T825" s="15"/>
      <c r="U825" s="14"/>
      <c r="V825" s="15"/>
      <c r="W825" s="14"/>
      <c r="X825" s="15"/>
      <c r="Y825" s="14"/>
      <c r="Z825" s="15"/>
    </row>
    <row r="826" spans="1:26" x14ac:dyDescent="0.25">
      <c r="Q826" s="14"/>
      <c r="R826" s="15"/>
      <c r="S826" s="14"/>
      <c r="T826" s="15"/>
      <c r="U826" s="14"/>
      <c r="V826" s="15"/>
      <c r="W826" s="14"/>
      <c r="X826" s="15"/>
      <c r="Y826" s="14"/>
      <c r="Z826" s="15"/>
    </row>
    <row r="827" spans="1:26" x14ac:dyDescent="0.25">
      <c r="Q827" s="14"/>
      <c r="R827" s="15"/>
      <c r="S827" s="14"/>
      <c r="T827" s="15"/>
      <c r="U827" s="14"/>
      <c r="V827" s="15"/>
      <c r="W827" s="14"/>
      <c r="X827" s="15"/>
      <c r="Y827" s="14"/>
      <c r="Z827" s="15"/>
    </row>
    <row r="828" spans="1:26" x14ac:dyDescent="0.25">
      <c r="Q828" s="14"/>
      <c r="R828" s="15"/>
      <c r="S828" s="14"/>
      <c r="T828" s="15"/>
      <c r="U828" s="14"/>
      <c r="V828" s="15"/>
      <c r="W828" s="14"/>
      <c r="X828" s="15"/>
      <c r="Y828" s="14"/>
      <c r="Z828" s="15"/>
    </row>
    <row r="829" spans="1:26" x14ac:dyDescent="0.25">
      <c r="Q829" s="14"/>
      <c r="R829" s="15"/>
      <c r="S829" s="14"/>
      <c r="T829" s="15"/>
      <c r="U829" s="14"/>
      <c r="V829" s="15"/>
      <c r="W829" s="14"/>
      <c r="X829" s="15"/>
      <c r="Y829" s="14"/>
      <c r="Z829" s="15"/>
    </row>
    <row r="830" spans="1:26" x14ac:dyDescent="0.25">
      <c r="Q830" s="14"/>
      <c r="R830" s="15"/>
      <c r="S830" s="14"/>
      <c r="T830" s="15"/>
      <c r="U830" s="14"/>
      <c r="V830" s="15"/>
      <c r="W830" s="14"/>
      <c r="X830" s="15"/>
      <c r="Y830" s="14"/>
      <c r="Z830" s="15"/>
    </row>
    <row r="831" spans="1:26" x14ac:dyDescent="0.25">
      <c r="Q831" s="14"/>
      <c r="R831" s="15"/>
      <c r="S831" s="14"/>
      <c r="T831" s="15"/>
      <c r="U831" s="14"/>
      <c r="V831" s="15"/>
      <c r="W831" s="14"/>
      <c r="X831" s="15"/>
      <c r="Y831" s="14"/>
      <c r="Z831" s="15"/>
    </row>
    <row r="832" spans="1:26" x14ac:dyDescent="0.25">
      <c r="Q832" s="14"/>
      <c r="R832" s="15"/>
      <c r="S832" s="14"/>
      <c r="T832" s="15"/>
      <c r="U832" s="14"/>
      <c r="V832" s="15"/>
      <c r="W832" s="14"/>
      <c r="X832" s="15"/>
      <c r="Y832" s="14"/>
      <c r="Z832" s="15"/>
    </row>
    <row r="833" spans="1:26" x14ac:dyDescent="0.25">
      <c r="Q833" s="14"/>
      <c r="R833" s="15"/>
      <c r="S833" s="14"/>
      <c r="T833" s="15"/>
      <c r="U833" s="14"/>
      <c r="V833" s="15"/>
      <c r="W833" s="14"/>
      <c r="X833" s="15"/>
      <c r="Y833" s="14"/>
      <c r="Z833" s="15"/>
    </row>
    <row r="834" spans="1:26" x14ac:dyDescent="0.25">
      <c r="Q834" s="14"/>
      <c r="R834" s="15"/>
      <c r="S834" s="14"/>
      <c r="T834" s="15"/>
      <c r="U834" s="14"/>
      <c r="V834" s="15"/>
      <c r="W834" s="14"/>
      <c r="X834" s="15"/>
      <c r="Y834" s="14"/>
      <c r="Z834" s="15"/>
    </row>
    <row r="835" spans="1:26" x14ac:dyDescent="0.25">
      <c r="Q835" s="14"/>
      <c r="R835" s="15"/>
      <c r="S835" s="14"/>
      <c r="T835" s="15"/>
      <c r="U835" s="14"/>
      <c r="V835" s="15"/>
      <c r="W835" s="14"/>
      <c r="X835" s="15"/>
      <c r="Y835" s="14"/>
      <c r="Z835" s="15"/>
    </row>
    <row r="836" spans="1:26" x14ac:dyDescent="0.25">
      <c r="Q836" s="14"/>
      <c r="R836" s="15"/>
      <c r="S836" s="14"/>
      <c r="T836" s="15"/>
      <c r="U836" s="14"/>
      <c r="V836" s="15"/>
      <c r="W836" s="14"/>
      <c r="X836" s="15"/>
      <c r="Y836" s="14"/>
      <c r="Z836" s="15"/>
    </row>
    <row r="837" spans="1:26" x14ac:dyDescent="0.25">
      <c r="Q837" s="14"/>
      <c r="R837" s="15"/>
      <c r="S837" s="14"/>
      <c r="T837" s="15"/>
      <c r="U837" s="14"/>
      <c r="V837" s="15"/>
      <c r="W837" s="14"/>
      <c r="X837" s="15"/>
      <c r="Y837" s="14"/>
      <c r="Z837" s="15"/>
    </row>
    <row r="838" spans="1:26" x14ac:dyDescent="0.25">
      <c r="Q838" s="14"/>
      <c r="R838" s="15"/>
      <c r="S838" s="14"/>
      <c r="T838" s="15"/>
      <c r="U838" s="14"/>
      <c r="V838" s="15"/>
      <c r="W838" s="14"/>
      <c r="X838" s="15"/>
      <c r="Y838" s="14"/>
      <c r="Z838" s="15"/>
    </row>
    <row r="839" spans="1:26" x14ac:dyDescent="0.25">
      <c r="Q839" s="14"/>
      <c r="R839" s="15"/>
      <c r="S839" s="14"/>
      <c r="T839" s="15"/>
      <c r="U839" s="14"/>
      <c r="V839" s="15"/>
      <c r="W839" s="14"/>
      <c r="X839" s="15"/>
      <c r="Y839" s="14"/>
      <c r="Z839" s="15"/>
    </row>
    <row r="840" spans="1:26" x14ac:dyDescent="0.25">
      <c r="Q840" s="14"/>
      <c r="R840" s="15"/>
      <c r="S840" s="14"/>
      <c r="T840" s="15"/>
      <c r="U840" s="14"/>
      <c r="V840" s="15"/>
      <c r="W840" s="14"/>
      <c r="X840" s="15"/>
      <c r="Y840" s="14"/>
      <c r="Z840" s="15"/>
    </row>
    <row r="841" spans="1:26" x14ac:dyDescent="0.25">
      <c r="Q841" s="14"/>
      <c r="R841" s="15"/>
      <c r="S841" s="14"/>
      <c r="T841" s="15"/>
      <c r="U841" s="14"/>
      <c r="V841" s="15"/>
      <c r="W841" s="14"/>
      <c r="X841" s="15"/>
      <c r="Y841" s="14"/>
      <c r="Z841" s="15"/>
    </row>
    <row r="842" spans="1:26" x14ac:dyDescent="0.25">
      <c r="Q842" s="14"/>
      <c r="R842" s="15"/>
      <c r="S842" s="14"/>
      <c r="T842" s="15"/>
      <c r="U842" s="14"/>
      <c r="V842" s="15"/>
      <c r="W842" s="14"/>
      <c r="X842" s="15"/>
      <c r="Y842" s="14"/>
      <c r="Z842" s="15"/>
    </row>
    <row r="843" spans="1:26" x14ac:dyDescent="0.25">
      <c r="Q843" s="14"/>
      <c r="R843" s="15"/>
      <c r="S843" s="14"/>
      <c r="T843" s="15"/>
      <c r="U843" s="14"/>
      <c r="V843" s="15"/>
      <c r="W843" s="14"/>
      <c r="X843" s="15"/>
      <c r="Y843" s="14"/>
      <c r="Z843" s="15"/>
    </row>
    <row r="844" spans="1:26" x14ac:dyDescent="0.25">
      <c r="Q844" s="14"/>
      <c r="R844" s="15"/>
      <c r="S844" s="14"/>
      <c r="T844" s="15"/>
      <c r="U844" s="14"/>
      <c r="V844" s="15"/>
      <c r="W844" s="14"/>
      <c r="X844" s="15"/>
      <c r="Y844" s="14"/>
      <c r="Z844" s="15"/>
    </row>
    <row r="845" spans="1:26" x14ac:dyDescent="0.25">
      <c r="Q845" s="14"/>
      <c r="R845" s="15"/>
      <c r="S845" s="14"/>
      <c r="T845" s="15"/>
      <c r="U845" s="14"/>
      <c r="V845" s="15"/>
      <c r="W845" s="14"/>
      <c r="X845" s="15"/>
      <c r="Y845" s="14"/>
      <c r="Z845" s="15"/>
    </row>
    <row r="846" spans="1:26" x14ac:dyDescent="0.25">
      <c r="Q846" s="14"/>
      <c r="R846" s="15"/>
      <c r="S846" s="14"/>
      <c r="T846" s="15"/>
      <c r="U846" s="14"/>
      <c r="V846" s="15"/>
      <c r="W846" s="14"/>
      <c r="X846" s="15"/>
      <c r="Y846" s="14"/>
      <c r="Z846" s="15"/>
    </row>
    <row r="847" spans="1:26" x14ac:dyDescent="0.25">
      <c r="Q847" s="14"/>
      <c r="R847" s="15"/>
      <c r="S847" s="14"/>
      <c r="T847" s="15"/>
      <c r="U847" s="14"/>
      <c r="V847" s="15"/>
      <c r="W847" s="14"/>
      <c r="X847" s="15"/>
      <c r="Y847" s="14"/>
      <c r="Z847" s="15"/>
    </row>
    <row r="848" spans="1:26" x14ac:dyDescent="0.25">
      <c r="Q848" s="14"/>
      <c r="R848" s="15"/>
      <c r="S848" s="14"/>
      <c r="T848" s="15"/>
      <c r="U848" s="14"/>
      <c r="V848" s="15"/>
      <c r="W848" s="14"/>
      <c r="X848" s="15"/>
      <c r="Y848" s="14"/>
      <c r="Z848" s="15"/>
    </row>
    <row r="849" spans="1:26" x14ac:dyDescent="0.25">
      <c r="Q849" s="14"/>
      <c r="R849" s="15"/>
      <c r="S849" s="14"/>
      <c r="T849" s="15"/>
      <c r="U849" s="14"/>
      <c r="V849" s="15"/>
      <c r="W849" s="14"/>
      <c r="X849" s="15"/>
      <c r="Y849" s="14"/>
      <c r="Z849" s="15"/>
    </row>
    <row r="850" spans="1:26" x14ac:dyDescent="0.25">
      <c r="Q850" s="14"/>
      <c r="R850" s="15"/>
      <c r="S850" s="14"/>
      <c r="T850" s="15"/>
      <c r="U850" s="14"/>
      <c r="V850" s="15"/>
      <c r="W850" s="14"/>
      <c r="X850" s="15"/>
      <c r="Y850" s="14"/>
      <c r="Z850" s="15"/>
    </row>
    <row r="851" spans="1:26" x14ac:dyDescent="0.25">
      <c r="Q851" s="14"/>
      <c r="R851" s="15"/>
      <c r="S851" s="14"/>
      <c r="T851" s="15"/>
      <c r="U851" s="14"/>
      <c r="V851" s="15"/>
      <c r="W851" s="14"/>
      <c r="X851" s="15"/>
      <c r="Y851" s="14"/>
      <c r="Z851" s="15"/>
    </row>
    <row r="852" spans="1:26" x14ac:dyDescent="0.25">
      <c r="Q852" s="14"/>
      <c r="R852" s="15"/>
      <c r="S852" s="14"/>
      <c r="T852" s="15"/>
      <c r="U852" s="14"/>
      <c r="V852" s="15"/>
      <c r="W852" s="14"/>
      <c r="X852" s="15"/>
      <c r="Y852" s="14"/>
      <c r="Z852" s="15"/>
    </row>
    <row r="853" spans="1:26" x14ac:dyDescent="0.25">
      <c r="Q853" s="14"/>
      <c r="R853" s="15"/>
      <c r="S853" s="14"/>
      <c r="T853" s="15"/>
      <c r="U853" s="14"/>
      <c r="V853" s="15"/>
      <c r="W853" s="14"/>
      <c r="X853" s="15"/>
      <c r="Y853" s="14"/>
      <c r="Z853" s="15"/>
    </row>
    <row r="854" spans="1:26" x14ac:dyDescent="0.25">
      <c r="Q854" s="14"/>
      <c r="R854" s="15"/>
      <c r="S854" s="14"/>
      <c r="T854" s="15"/>
      <c r="U854" s="14"/>
      <c r="V854" s="15"/>
      <c r="W854" s="14"/>
      <c r="X854" s="15"/>
      <c r="Y854" s="14"/>
      <c r="Z854" s="15"/>
    </row>
    <row r="855" spans="1:26" x14ac:dyDescent="0.25">
      <c r="Q855" s="14"/>
      <c r="R855" s="15"/>
      <c r="S855" s="14"/>
      <c r="T855" s="15"/>
      <c r="U855" s="14"/>
      <c r="V855" s="15"/>
      <c r="W855" s="14"/>
      <c r="X855" s="15"/>
      <c r="Y855" s="14"/>
      <c r="Z855" s="15"/>
    </row>
    <row r="856" spans="1:26" x14ac:dyDescent="0.25">
      <c r="Q856" s="14"/>
      <c r="R856" s="15"/>
      <c r="S856" s="14"/>
      <c r="T856" s="15"/>
      <c r="U856" s="14"/>
      <c r="V856" s="15"/>
      <c r="W856" s="14"/>
      <c r="X856" s="15"/>
      <c r="Y856" s="14"/>
      <c r="Z856" s="15"/>
    </row>
    <row r="857" spans="1:26" x14ac:dyDescent="0.25">
      <c r="Q857" s="14"/>
      <c r="R857" s="15"/>
      <c r="S857" s="14"/>
      <c r="T857" s="15"/>
      <c r="U857" s="14"/>
      <c r="V857" s="15"/>
      <c r="W857" s="14"/>
      <c r="X857" s="15"/>
      <c r="Y857" s="14"/>
      <c r="Z857" s="15"/>
    </row>
    <row r="858" spans="1:26" x14ac:dyDescent="0.25">
      <c r="Q858" s="14"/>
      <c r="R858" s="15"/>
      <c r="S858" s="14"/>
      <c r="T858" s="15"/>
      <c r="U858" s="14"/>
      <c r="V858" s="15"/>
      <c r="W858" s="14"/>
      <c r="X858" s="15"/>
      <c r="Y858" s="14"/>
      <c r="Z858" s="15"/>
    </row>
    <row r="859" spans="1:26" x14ac:dyDescent="0.25">
      <c r="Q859" s="14"/>
      <c r="R859" s="15"/>
      <c r="S859" s="14"/>
      <c r="T859" s="15"/>
      <c r="U859" s="14"/>
      <c r="V859" s="15"/>
      <c r="W859" s="14"/>
      <c r="X859" s="15"/>
      <c r="Y859" s="14"/>
      <c r="Z859" s="15"/>
    </row>
    <row r="860" spans="1:26" x14ac:dyDescent="0.25">
      <c r="Q860" s="14"/>
      <c r="R860" s="15"/>
      <c r="S860" s="14"/>
      <c r="T860" s="15"/>
      <c r="U860" s="14"/>
      <c r="V860" s="15"/>
      <c r="W860" s="14"/>
      <c r="X860" s="15"/>
      <c r="Y860" s="14"/>
      <c r="Z860" s="15"/>
    </row>
    <row r="861" spans="1:26" x14ac:dyDescent="0.25">
      <c r="Q861" s="14"/>
      <c r="R861" s="15"/>
      <c r="S861" s="14"/>
      <c r="T861" s="15"/>
      <c r="U861" s="14"/>
      <c r="V861" s="15"/>
      <c r="W861" s="14"/>
      <c r="X861" s="15"/>
      <c r="Y861" s="14"/>
      <c r="Z861" s="15"/>
    </row>
    <row r="862" spans="1:26" x14ac:dyDescent="0.25">
      <c r="Q862" s="14"/>
      <c r="R862" s="15"/>
      <c r="S862" s="14"/>
      <c r="T862" s="15"/>
      <c r="U862" s="14"/>
      <c r="V862" s="15"/>
      <c r="W862" s="14"/>
      <c r="X862" s="15"/>
      <c r="Y862" s="14"/>
      <c r="Z862" s="15"/>
    </row>
    <row r="863" spans="1:26" x14ac:dyDescent="0.25">
      <c r="Q863" s="14"/>
      <c r="R863" s="15"/>
      <c r="S863" s="14"/>
      <c r="T863" s="15"/>
      <c r="U863" s="14"/>
      <c r="V863" s="15"/>
      <c r="W863" s="14"/>
      <c r="X863" s="15"/>
      <c r="Y863" s="14"/>
      <c r="Z863" s="15"/>
    </row>
    <row r="864" spans="1:26" x14ac:dyDescent="0.25">
      <c r="Q864" s="14"/>
      <c r="R864" s="15"/>
      <c r="S864" s="14"/>
      <c r="T864" s="15"/>
      <c r="U864" s="14"/>
      <c r="V864" s="15"/>
      <c r="W864" s="14"/>
      <c r="X864" s="15"/>
      <c r="Y864" s="14"/>
      <c r="Z864" s="15"/>
    </row>
    <row r="865" spans="1:26" x14ac:dyDescent="0.25">
      <c r="Q865" s="14"/>
      <c r="R865" s="15"/>
      <c r="S865" s="14"/>
      <c r="T865" s="15"/>
      <c r="U865" s="14"/>
      <c r="V865" s="15"/>
      <c r="W865" s="14"/>
      <c r="X865" s="15"/>
      <c r="Y865" s="14"/>
      <c r="Z865" s="15"/>
    </row>
    <row r="866" spans="1:26" x14ac:dyDescent="0.25">
      <c r="Q866" s="14"/>
      <c r="R866" s="15"/>
      <c r="S866" s="14"/>
      <c r="T866" s="15"/>
      <c r="U866" s="14"/>
      <c r="V866" s="15"/>
      <c r="W866" s="14"/>
      <c r="X866" s="15"/>
      <c r="Y866" s="14"/>
      <c r="Z866" s="15"/>
    </row>
    <row r="867" spans="1:26" x14ac:dyDescent="0.25">
      <c r="Q867" s="14"/>
      <c r="R867" s="15"/>
      <c r="S867" s="14"/>
      <c r="T867" s="15"/>
      <c r="U867" s="14"/>
      <c r="V867" s="15"/>
      <c r="W867" s="14"/>
      <c r="X867" s="15"/>
      <c r="Y867" s="14"/>
      <c r="Z867" s="15"/>
    </row>
    <row r="868" spans="1:26" x14ac:dyDescent="0.25">
      <c r="Q868" s="14"/>
      <c r="R868" s="15"/>
      <c r="S868" s="14"/>
      <c r="T868" s="15"/>
      <c r="U868" s="14"/>
      <c r="V868" s="15"/>
      <c r="W868" s="14"/>
      <c r="X868" s="15"/>
      <c r="Y868" s="14"/>
      <c r="Z868" s="15"/>
    </row>
    <row r="869" spans="1:26" x14ac:dyDescent="0.25">
      <c r="Q869" s="14"/>
      <c r="R869" s="15"/>
      <c r="S869" s="14"/>
      <c r="T869" s="15"/>
      <c r="U869" s="14"/>
      <c r="V869" s="15"/>
      <c r="W869" s="14"/>
      <c r="X869" s="15"/>
      <c r="Y869" s="14"/>
      <c r="Z869" s="15"/>
    </row>
    <row r="870" spans="1:26" x14ac:dyDescent="0.25">
      <c r="Q870" s="14"/>
      <c r="R870" s="15"/>
      <c r="S870" s="14"/>
      <c r="T870" s="15"/>
      <c r="U870" s="14"/>
      <c r="V870" s="15"/>
      <c r="W870" s="14"/>
      <c r="X870" s="15"/>
      <c r="Y870" s="14"/>
      <c r="Z870" s="15"/>
    </row>
    <row r="871" spans="1:26" x14ac:dyDescent="0.25">
      <c r="Q871" s="14"/>
      <c r="R871" s="15"/>
      <c r="S871" s="14"/>
      <c r="T871" s="15"/>
      <c r="U871" s="14"/>
      <c r="V871" s="15"/>
      <c r="W871" s="14"/>
      <c r="X871" s="15"/>
      <c r="Y871" s="14"/>
      <c r="Z871" s="15"/>
    </row>
    <row r="872" spans="1:26" x14ac:dyDescent="0.25">
      <c r="Q872" s="14"/>
      <c r="R872" s="15"/>
      <c r="S872" s="14"/>
      <c r="T872" s="15"/>
      <c r="U872" s="14"/>
      <c r="V872" s="15"/>
      <c r="W872" s="14"/>
      <c r="X872" s="15"/>
      <c r="Y872" s="14"/>
      <c r="Z872" s="15"/>
    </row>
    <row r="873" spans="1:26" x14ac:dyDescent="0.25">
      <c r="Q873" s="14"/>
      <c r="R873" s="15"/>
      <c r="S873" s="14"/>
      <c r="T873" s="15"/>
      <c r="U873" s="14"/>
      <c r="V873" s="15"/>
      <c r="W873" s="14"/>
      <c r="X873" s="15"/>
      <c r="Y873" s="14"/>
      <c r="Z873" s="15"/>
    </row>
    <row r="874" spans="1:26" x14ac:dyDescent="0.25">
      <c r="Q874" s="14"/>
      <c r="R874" s="15"/>
      <c r="S874" s="14"/>
      <c r="T874" s="15"/>
      <c r="U874" s="14"/>
      <c r="V874" s="15"/>
      <c r="W874" s="14"/>
      <c r="X874" s="15"/>
      <c r="Y874" s="14"/>
      <c r="Z874" s="15"/>
    </row>
    <row r="875" spans="1:26" x14ac:dyDescent="0.25">
      <c r="Q875" s="14"/>
      <c r="R875" s="15"/>
      <c r="S875" s="14"/>
      <c r="T875" s="15"/>
      <c r="U875" s="14"/>
      <c r="V875" s="15"/>
      <c r="W875" s="14"/>
      <c r="X875" s="15"/>
      <c r="Y875" s="14"/>
      <c r="Z875" s="15"/>
    </row>
    <row r="876" spans="1:26" x14ac:dyDescent="0.25">
      <c r="Q876" s="14"/>
      <c r="R876" s="15"/>
      <c r="S876" s="14"/>
      <c r="T876" s="15"/>
      <c r="U876" s="14"/>
      <c r="V876" s="15"/>
      <c r="W876" s="14"/>
      <c r="X876" s="15"/>
      <c r="Y876" s="14"/>
      <c r="Z876" s="15"/>
    </row>
    <row r="877" spans="1:26" x14ac:dyDescent="0.25">
      <c r="Q877" s="14"/>
      <c r="R877" s="15"/>
      <c r="S877" s="14"/>
      <c r="T877" s="15"/>
      <c r="U877" s="14"/>
      <c r="V877" s="15"/>
      <c r="W877" s="14"/>
      <c r="X877" s="15"/>
      <c r="Y877" s="14"/>
      <c r="Z877" s="15"/>
    </row>
    <row r="878" spans="1:26" x14ac:dyDescent="0.25">
      <c r="Q878" s="14"/>
      <c r="R878" s="15"/>
      <c r="S878" s="14"/>
      <c r="T878" s="15"/>
      <c r="U878" s="14"/>
      <c r="V878" s="15"/>
      <c r="W878" s="14"/>
      <c r="X878" s="15"/>
      <c r="Y878" s="14"/>
      <c r="Z878" s="15"/>
    </row>
    <row r="879" spans="1:26" x14ac:dyDescent="0.25">
      <c r="Q879" s="14"/>
      <c r="R879" s="15"/>
      <c r="S879" s="14"/>
      <c r="T879" s="15"/>
      <c r="U879" s="14"/>
      <c r="V879" s="15"/>
      <c r="W879" s="14"/>
      <c r="X879" s="15"/>
      <c r="Y879" s="14"/>
      <c r="Z879" s="15"/>
    </row>
    <row r="880" spans="1:26" x14ac:dyDescent="0.25">
      <c r="Q880" s="14"/>
      <c r="R880" s="15"/>
      <c r="S880" s="14"/>
      <c r="T880" s="15"/>
      <c r="U880" s="14"/>
      <c r="V880" s="15"/>
      <c r="W880" s="14"/>
      <c r="X880" s="15"/>
      <c r="Y880" s="14"/>
      <c r="Z880" s="15"/>
    </row>
    <row r="881" spans="1:26" x14ac:dyDescent="0.25">
      <c r="Q881" s="14"/>
      <c r="R881" s="15"/>
      <c r="S881" s="14"/>
      <c r="T881" s="15"/>
      <c r="U881" s="14"/>
      <c r="V881" s="15"/>
      <c r="W881" s="14"/>
      <c r="X881" s="15"/>
      <c r="Y881" s="14"/>
      <c r="Z881" s="15"/>
    </row>
    <row r="882" spans="1:26" x14ac:dyDescent="0.25">
      <c r="Q882" s="14"/>
      <c r="R882" s="15"/>
      <c r="S882" s="14"/>
      <c r="T882" s="15"/>
      <c r="U882" s="14"/>
      <c r="V882" s="15"/>
      <c r="W882" s="14"/>
      <c r="X882" s="15"/>
      <c r="Y882" s="14"/>
      <c r="Z882" s="15"/>
    </row>
    <row r="883" spans="1:26" x14ac:dyDescent="0.25">
      <c r="Q883" s="14"/>
      <c r="R883" s="15"/>
      <c r="S883" s="14"/>
      <c r="T883" s="15"/>
      <c r="U883" s="14"/>
      <c r="V883" s="15"/>
      <c r="W883" s="14"/>
      <c r="X883" s="15"/>
      <c r="Y883" s="14"/>
      <c r="Z883" s="15"/>
    </row>
    <row r="884" spans="1:26" x14ac:dyDescent="0.25">
      <c r="Q884" s="14"/>
      <c r="R884" s="15"/>
      <c r="S884" s="14"/>
      <c r="T884" s="15"/>
      <c r="U884" s="14"/>
      <c r="V884" s="15"/>
      <c r="W884" s="14"/>
      <c r="X884" s="15"/>
      <c r="Y884" s="14"/>
      <c r="Z884" s="15"/>
    </row>
    <row r="885" spans="1:26" x14ac:dyDescent="0.25">
      <c r="Q885" s="14"/>
      <c r="R885" s="15"/>
      <c r="S885" s="14"/>
      <c r="T885" s="15"/>
      <c r="U885" s="14"/>
      <c r="V885" s="15"/>
      <c r="W885" s="14"/>
      <c r="X885" s="15"/>
      <c r="Y885" s="14"/>
      <c r="Z885" s="15"/>
    </row>
    <row r="886" spans="1:26" x14ac:dyDescent="0.25">
      <c r="Q886" s="14"/>
      <c r="R886" s="15"/>
      <c r="S886" s="14"/>
      <c r="T886" s="15"/>
      <c r="U886" s="14"/>
      <c r="V886" s="15"/>
      <c r="W886" s="14"/>
      <c r="X886" s="15"/>
      <c r="Y886" s="14"/>
      <c r="Z886" s="15"/>
    </row>
    <row r="887" spans="1:26" x14ac:dyDescent="0.25">
      <c r="Q887" s="14"/>
      <c r="R887" s="15"/>
      <c r="S887" s="14"/>
      <c r="T887" s="15"/>
      <c r="U887" s="14"/>
      <c r="V887" s="15"/>
      <c r="W887" s="14"/>
      <c r="X887" s="15"/>
      <c r="Y887" s="14"/>
      <c r="Z887" s="15"/>
    </row>
    <row r="888" spans="1:26" x14ac:dyDescent="0.25">
      <c r="Q888" s="14"/>
      <c r="R888" s="15"/>
      <c r="S888" s="14"/>
      <c r="T888" s="15"/>
      <c r="U888" s="14"/>
      <c r="V888" s="15"/>
      <c r="W888" s="14"/>
      <c r="X888" s="15"/>
      <c r="Y888" s="14"/>
      <c r="Z888" s="15"/>
    </row>
    <row r="889" spans="1:26" x14ac:dyDescent="0.25">
      <c r="Q889" s="14"/>
      <c r="R889" s="15"/>
      <c r="S889" s="14"/>
      <c r="T889" s="15"/>
      <c r="U889" s="14"/>
      <c r="V889" s="15"/>
      <c r="W889" s="14"/>
      <c r="X889" s="15"/>
      <c r="Y889" s="14"/>
      <c r="Z889" s="15"/>
    </row>
    <row r="890" spans="1:26" x14ac:dyDescent="0.25">
      <c r="Q890" s="14"/>
      <c r="R890" s="15"/>
      <c r="S890" s="14"/>
      <c r="T890" s="15"/>
      <c r="U890" s="14"/>
      <c r="V890" s="15"/>
      <c r="W890" s="14"/>
      <c r="X890" s="15"/>
      <c r="Y890" s="14"/>
      <c r="Z890" s="15"/>
    </row>
    <row r="891" spans="1:26" x14ac:dyDescent="0.25">
      <c r="Q891" s="14"/>
      <c r="R891" s="15"/>
      <c r="S891" s="14"/>
      <c r="T891" s="15"/>
      <c r="U891" s="14"/>
      <c r="V891" s="15"/>
      <c r="W891" s="14"/>
      <c r="X891" s="15"/>
      <c r="Y891" s="14"/>
      <c r="Z891" s="15"/>
    </row>
    <row r="892" spans="1:26" x14ac:dyDescent="0.25">
      <c r="Q892" s="14"/>
      <c r="R892" s="15"/>
      <c r="S892" s="14"/>
      <c r="T892" s="15"/>
      <c r="U892" s="14"/>
      <c r="V892" s="15"/>
      <c r="W892" s="14"/>
      <c r="X892" s="15"/>
      <c r="Y892" s="14"/>
      <c r="Z892" s="15"/>
    </row>
    <row r="893" spans="1:26" x14ac:dyDescent="0.25">
      <c r="Q893" s="14"/>
      <c r="R893" s="15"/>
      <c r="S893" s="14"/>
      <c r="T893" s="15"/>
      <c r="U893" s="14"/>
      <c r="V893" s="15"/>
      <c r="W893" s="14"/>
      <c r="X893" s="15"/>
      <c r="Y893" s="14"/>
      <c r="Z893" s="15"/>
    </row>
    <row r="894" spans="1:26" x14ac:dyDescent="0.25">
      <c r="Q894" s="14"/>
      <c r="R894" s="15"/>
      <c r="S894" s="14"/>
      <c r="T894" s="15"/>
      <c r="U894" s="14"/>
      <c r="V894" s="15"/>
      <c r="W894" s="14"/>
      <c r="X894" s="15"/>
      <c r="Y894" s="14"/>
      <c r="Z894" s="15"/>
    </row>
    <row r="895" spans="1:26" x14ac:dyDescent="0.25">
      <c r="Q895" s="14"/>
      <c r="R895" s="15"/>
      <c r="S895" s="14"/>
      <c r="T895" s="15"/>
      <c r="U895" s="14"/>
      <c r="V895" s="15"/>
      <c r="W895" s="14"/>
      <c r="X895" s="15"/>
      <c r="Y895" s="14"/>
      <c r="Z895" s="15"/>
    </row>
    <row r="896" spans="1:26" x14ac:dyDescent="0.25">
      <c r="Q896" s="14"/>
      <c r="R896" s="15"/>
      <c r="S896" s="14"/>
      <c r="T896" s="15"/>
      <c r="U896" s="14"/>
      <c r="V896" s="15"/>
      <c r="W896" s="14"/>
      <c r="X896" s="15"/>
      <c r="Y896" s="14"/>
      <c r="Z896" s="15"/>
    </row>
    <row r="897" spans="1:26" x14ac:dyDescent="0.25">
      <c r="Q897" s="14"/>
      <c r="R897" s="15"/>
      <c r="S897" s="14"/>
      <c r="T897" s="15"/>
      <c r="U897" s="14"/>
      <c r="V897" s="15"/>
      <c r="W897" s="14"/>
      <c r="X897" s="15"/>
      <c r="Y897" s="14"/>
      <c r="Z897" s="15"/>
    </row>
    <row r="898" spans="1:26" x14ac:dyDescent="0.25">
      <c r="Q898" s="14"/>
      <c r="R898" s="15"/>
      <c r="S898" s="14"/>
      <c r="T898" s="15"/>
      <c r="U898" s="14"/>
      <c r="V898" s="15"/>
      <c r="W898" s="14"/>
      <c r="X898" s="15"/>
      <c r="Y898" s="14"/>
      <c r="Z898" s="15"/>
    </row>
    <row r="899" spans="1:26" x14ac:dyDescent="0.25">
      <c r="Q899" s="14"/>
      <c r="R899" s="15"/>
      <c r="S899" s="14"/>
      <c r="T899" s="15"/>
      <c r="U899" s="14"/>
      <c r="V899" s="15"/>
      <c r="W899" s="14"/>
      <c r="X899" s="15"/>
      <c r="Y899" s="14"/>
      <c r="Z899" s="15"/>
    </row>
    <row r="900" spans="1:26" x14ac:dyDescent="0.25">
      <c r="Q900" s="14"/>
      <c r="R900" s="15"/>
      <c r="S900" s="14"/>
      <c r="T900" s="15"/>
      <c r="U900" s="14"/>
      <c r="V900" s="15"/>
      <c r="W900" s="14"/>
      <c r="X900" s="15"/>
      <c r="Y900" s="14"/>
      <c r="Z900" s="15"/>
    </row>
    <row r="901" spans="1:26" x14ac:dyDescent="0.25">
      <c r="Q901" s="14"/>
      <c r="R901" s="15"/>
      <c r="S901" s="14"/>
      <c r="T901" s="15"/>
      <c r="U901" s="14"/>
      <c r="V901" s="15"/>
      <c r="W901" s="14"/>
      <c r="X901" s="15"/>
      <c r="Y901" s="14"/>
      <c r="Z901" s="15"/>
    </row>
    <row r="902" spans="1:26" x14ac:dyDescent="0.25">
      <c r="Q902" s="14"/>
      <c r="R902" s="15"/>
      <c r="S902" s="14"/>
      <c r="T902" s="15"/>
      <c r="U902" s="14"/>
      <c r="V902" s="15"/>
      <c r="W902" s="14"/>
      <c r="X902" s="15"/>
      <c r="Y902" s="14"/>
      <c r="Z902" s="15"/>
    </row>
    <row r="903" spans="1:26" x14ac:dyDescent="0.25">
      <c r="Q903" s="14"/>
      <c r="R903" s="15"/>
      <c r="S903" s="14"/>
      <c r="T903" s="15"/>
      <c r="U903" s="14"/>
      <c r="V903" s="15"/>
      <c r="W903" s="14"/>
      <c r="X903" s="15"/>
      <c r="Y903" s="14"/>
      <c r="Z903" s="15"/>
    </row>
    <row r="904" spans="1:26" x14ac:dyDescent="0.25">
      <c r="Q904" s="14"/>
      <c r="R904" s="15"/>
      <c r="S904" s="14"/>
      <c r="T904" s="15"/>
      <c r="U904" s="14"/>
      <c r="V904" s="15"/>
      <c r="W904" s="14"/>
      <c r="X904" s="15"/>
      <c r="Y904" s="14"/>
      <c r="Z904" s="15"/>
    </row>
    <row r="905" spans="1:26" x14ac:dyDescent="0.25">
      <c r="Q905" s="14"/>
      <c r="R905" s="15"/>
      <c r="S905" s="14"/>
      <c r="T905" s="15"/>
      <c r="U905" s="14"/>
      <c r="V905" s="15"/>
      <c r="W905" s="14"/>
      <c r="X905" s="15"/>
      <c r="Y905" s="14"/>
      <c r="Z905" s="15"/>
    </row>
    <row r="906" spans="1:26" x14ac:dyDescent="0.25">
      <c r="Q906" s="14"/>
      <c r="R906" s="15"/>
      <c r="S906" s="14"/>
      <c r="T906" s="15"/>
      <c r="U906" s="14"/>
      <c r="V906" s="15"/>
      <c r="W906" s="14"/>
      <c r="X906" s="15"/>
      <c r="Y906" s="14"/>
      <c r="Z906" s="15"/>
    </row>
    <row r="907" spans="1:26" x14ac:dyDescent="0.25">
      <c r="Q907" s="14"/>
      <c r="R907" s="15"/>
      <c r="S907" s="14"/>
      <c r="T907" s="15"/>
      <c r="U907" s="14"/>
      <c r="V907" s="15"/>
      <c r="W907" s="14"/>
      <c r="X907" s="15"/>
      <c r="Y907" s="14"/>
      <c r="Z907" s="15"/>
    </row>
    <row r="908" spans="1:26" x14ac:dyDescent="0.25">
      <c r="Q908" s="14"/>
      <c r="R908" s="15"/>
      <c r="S908" s="14"/>
      <c r="T908" s="15"/>
      <c r="U908" s="14"/>
      <c r="V908" s="15"/>
      <c r="W908" s="14"/>
      <c r="X908" s="15"/>
      <c r="Y908" s="14"/>
      <c r="Z908" s="15"/>
    </row>
    <row r="909" spans="1:26" x14ac:dyDescent="0.25">
      <c r="Q909" s="14"/>
      <c r="R909" s="15"/>
      <c r="S909" s="14"/>
      <c r="T909" s="15"/>
      <c r="U909" s="14"/>
      <c r="V909" s="15"/>
      <c r="W909" s="14"/>
      <c r="X909" s="15"/>
      <c r="Y909" s="14"/>
      <c r="Z909" s="15"/>
    </row>
    <row r="910" spans="1:26" x14ac:dyDescent="0.25">
      <c r="Q910" s="14"/>
      <c r="R910" s="15"/>
      <c r="S910" s="14"/>
      <c r="T910" s="15"/>
      <c r="U910" s="14"/>
      <c r="V910" s="15"/>
      <c r="W910" s="14"/>
      <c r="X910" s="15"/>
      <c r="Y910" s="14"/>
      <c r="Z910" s="15"/>
    </row>
    <row r="911" spans="1:26" x14ac:dyDescent="0.25">
      <c r="Q911" s="14"/>
      <c r="R911" s="15"/>
      <c r="S911" s="14"/>
      <c r="T911" s="15"/>
      <c r="U911" s="14"/>
      <c r="V911" s="15"/>
      <c r="W911" s="14"/>
      <c r="X911" s="15"/>
      <c r="Y911" s="14"/>
      <c r="Z911" s="15"/>
    </row>
    <row r="912" spans="1:26" x14ac:dyDescent="0.25">
      <c r="Q912" s="14"/>
      <c r="R912" s="15"/>
      <c r="S912" s="14"/>
      <c r="T912" s="15"/>
      <c r="U912" s="14"/>
      <c r="V912" s="15"/>
      <c r="W912" s="14"/>
      <c r="X912" s="15"/>
      <c r="Y912" s="14"/>
      <c r="Z912" s="15"/>
    </row>
    <row r="913" spans="1:26" x14ac:dyDescent="0.25">
      <c r="Q913" s="14"/>
      <c r="R913" s="15"/>
      <c r="S913" s="14"/>
      <c r="T913" s="15"/>
      <c r="U913" s="14"/>
      <c r="V913" s="15"/>
      <c r="W913" s="14"/>
      <c r="X913" s="15"/>
      <c r="Y913" s="14"/>
      <c r="Z913" s="15"/>
    </row>
    <row r="914" spans="1:26" x14ac:dyDescent="0.25">
      <c r="Q914" s="14"/>
      <c r="R914" s="15"/>
      <c r="S914" s="14"/>
      <c r="T914" s="15"/>
      <c r="U914" s="14"/>
      <c r="V914" s="15"/>
      <c r="W914" s="14"/>
      <c r="X914" s="15"/>
      <c r="Y914" s="14"/>
      <c r="Z914" s="15"/>
    </row>
    <row r="915" spans="1:26" x14ac:dyDescent="0.25">
      <c r="Q915" s="14"/>
      <c r="R915" s="15"/>
      <c r="S915" s="14"/>
      <c r="T915" s="15"/>
      <c r="U915" s="14"/>
      <c r="V915" s="15"/>
      <c r="W915" s="14"/>
      <c r="X915" s="15"/>
      <c r="Y915" s="14"/>
      <c r="Z915" s="15"/>
    </row>
    <row r="916" spans="1:26" x14ac:dyDescent="0.25">
      <c r="Q916" s="14"/>
      <c r="R916" s="15"/>
      <c r="S916" s="14"/>
      <c r="T916" s="15"/>
      <c r="U916" s="14"/>
      <c r="V916" s="15"/>
      <c r="W916" s="14"/>
      <c r="X916" s="15"/>
      <c r="Y916" s="14"/>
      <c r="Z916" s="15"/>
    </row>
    <row r="917" spans="1:26" x14ac:dyDescent="0.25">
      <c r="Q917" s="14"/>
      <c r="R917" s="15"/>
      <c r="S917" s="14"/>
      <c r="T917" s="15"/>
      <c r="U917" s="14"/>
      <c r="V917" s="15"/>
      <c r="W917" s="14"/>
      <c r="X917" s="15"/>
      <c r="Y917" s="14"/>
      <c r="Z917" s="15"/>
    </row>
    <row r="918" spans="1:26" x14ac:dyDescent="0.25">
      <c r="Q918" s="14"/>
      <c r="R918" s="15"/>
      <c r="S918" s="14"/>
      <c r="T918" s="15"/>
      <c r="U918" s="14"/>
      <c r="V918" s="15"/>
      <c r="W918" s="14"/>
      <c r="X918" s="15"/>
      <c r="Y918" s="14"/>
      <c r="Z918" s="15"/>
    </row>
    <row r="919" spans="1:26" x14ac:dyDescent="0.25">
      <c r="Q919" s="14"/>
      <c r="R919" s="15"/>
      <c r="S919" s="14"/>
      <c r="T919" s="15"/>
      <c r="U919" s="14"/>
      <c r="V919" s="15"/>
      <c r="W919" s="14"/>
      <c r="X919" s="15"/>
      <c r="Y919" s="14"/>
      <c r="Z919" s="15"/>
    </row>
    <row r="920" spans="1:26" x14ac:dyDescent="0.25">
      <c r="Q920" s="14"/>
      <c r="R920" s="15"/>
      <c r="S920" s="14"/>
      <c r="T920" s="15"/>
      <c r="U920" s="14"/>
      <c r="V920" s="15"/>
      <c r="W920" s="14"/>
      <c r="X920" s="15"/>
      <c r="Y920" s="14"/>
      <c r="Z920" s="15"/>
    </row>
    <row r="921" spans="1:26" x14ac:dyDescent="0.25">
      <c r="Q921" s="14"/>
      <c r="R921" s="15"/>
      <c r="S921" s="14"/>
      <c r="T921" s="15"/>
      <c r="U921" s="14"/>
      <c r="V921" s="15"/>
      <c r="W921" s="14"/>
      <c r="X921" s="15"/>
      <c r="Y921" s="14"/>
      <c r="Z921" s="15"/>
    </row>
    <row r="922" spans="1:26" x14ac:dyDescent="0.25">
      <c r="Q922" s="14"/>
      <c r="R922" s="15"/>
      <c r="S922" s="14"/>
      <c r="T922" s="15"/>
      <c r="U922" s="14"/>
      <c r="V922" s="15"/>
      <c r="W922" s="14"/>
      <c r="X922" s="15"/>
      <c r="Y922" s="14"/>
      <c r="Z922" s="15"/>
    </row>
    <row r="923" spans="1:26" x14ac:dyDescent="0.25">
      <c r="Q923" s="14"/>
      <c r="R923" s="15"/>
      <c r="S923" s="14"/>
      <c r="T923" s="15"/>
      <c r="U923" s="14"/>
      <c r="V923" s="15"/>
      <c r="W923" s="14"/>
      <c r="X923" s="15"/>
      <c r="Y923" s="14"/>
      <c r="Z923" s="15"/>
    </row>
    <row r="924" spans="1:26" x14ac:dyDescent="0.25">
      <c r="Q924" s="14"/>
      <c r="R924" s="15"/>
      <c r="S924" s="14"/>
      <c r="T924" s="15"/>
      <c r="U924" s="14"/>
      <c r="V924" s="15"/>
      <c r="W924" s="14"/>
      <c r="X924" s="15"/>
      <c r="Y924" s="14"/>
      <c r="Z924" s="15"/>
    </row>
    <row r="925" spans="1:26" x14ac:dyDescent="0.25">
      <c r="Q925" s="14"/>
      <c r="R925" s="15"/>
      <c r="S925" s="14"/>
      <c r="T925" s="15"/>
      <c r="U925" s="14"/>
      <c r="V925" s="15"/>
      <c r="W925" s="14"/>
      <c r="X925" s="15"/>
      <c r="Y925" s="14"/>
      <c r="Z925" s="15"/>
    </row>
    <row r="926" spans="1:26" x14ac:dyDescent="0.25">
      <c r="Q926" s="14"/>
      <c r="R926" s="15"/>
      <c r="S926" s="14"/>
      <c r="T926" s="15"/>
      <c r="U926" s="14"/>
      <c r="V926" s="15"/>
      <c r="W926" s="14"/>
      <c r="X926" s="15"/>
      <c r="Y926" s="14"/>
      <c r="Z926" s="15"/>
    </row>
    <row r="927" spans="1:26" x14ac:dyDescent="0.25">
      <c r="Q927" s="14"/>
      <c r="R927" s="15"/>
      <c r="S927" s="14"/>
      <c r="T927" s="15"/>
      <c r="U927" s="14"/>
      <c r="V927" s="15"/>
      <c r="W927" s="14"/>
      <c r="X927" s="15"/>
      <c r="Y927" s="14"/>
      <c r="Z927" s="15"/>
    </row>
    <row r="928" spans="1:26" x14ac:dyDescent="0.25">
      <c r="Q928" s="14"/>
      <c r="R928" s="15"/>
      <c r="S928" s="14"/>
      <c r="T928" s="15"/>
      <c r="U928" s="14"/>
      <c r="V928" s="15"/>
      <c r="W928" s="14"/>
      <c r="X928" s="15"/>
      <c r="Y928" s="14"/>
      <c r="Z928" s="15"/>
    </row>
    <row r="929" spans="1:26" x14ac:dyDescent="0.25">
      <c r="Q929" s="14"/>
      <c r="R929" s="15"/>
      <c r="S929" s="14"/>
      <c r="T929" s="15"/>
      <c r="U929" s="14"/>
      <c r="V929" s="15"/>
      <c r="W929" s="14"/>
      <c r="X929" s="15"/>
      <c r="Y929" s="14"/>
      <c r="Z929" s="15"/>
    </row>
    <row r="930" spans="1:26" x14ac:dyDescent="0.25">
      <c r="Q930" s="14"/>
      <c r="R930" s="15"/>
      <c r="S930" s="14"/>
      <c r="T930" s="15"/>
      <c r="U930" s="14"/>
      <c r="V930" s="15"/>
      <c r="W930" s="14"/>
      <c r="X930" s="15"/>
      <c r="Y930" s="14"/>
      <c r="Z930" s="15"/>
    </row>
    <row r="931" spans="1:26" x14ac:dyDescent="0.25">
      <c r="Q931" s="14"/>
      <c r="R931" s="15"/>
      <c r="S931" s="14"/>
      <c r="T931" s="15"/>
      <c r="U931" s="14"/>
      <c r="V931" s="15"/>
      <c r="W931" s="14"/>
      <c r="X931" s="15"/>
      <c r="Y931" s="14"/>
      <c r="Z931" s="15"/>
    </row>
    <row r="932" spans="1:26" x14ac:dyDescent="0.25">
      <c r="Q932" s="14"/>
      <c r="R932" s="15"/>
      <c r="S932" s="14"/>
      <c r="T932" s="15"/>
      <c r="U932" s="14"/>
      <c r="V932" s="15"/>
      <c r="W932" s="14"/>
      <c r="X932" s="15"/>
      <c r="Y932" s="14"/>
      <c r="Z932" s="15"/>
    </row>
    <row r="933" spans="1:26" x14ac:dyDescent="0.25">
      <c r="Q933" s="14"/>
      <c r="R933" s="15"/>
      <c r="S933" s="14"/>
      <c r="T933" s="15"/>
      <c r="U933" s="14"/>
      <c r="V933" s="15"/>
      <c r="W933" s="14"/>
      <c r="X933" s="15"/>
      <c r="Y933" s="14"/>
      <c r="Z933" s="15"/>
    </row>
    <row r="934" spans="1:26" x14ac:dyDescent="0.25">
      <c r="Q934" s="14"/>
      <c r="R934" s="15"/>
      <c r="S934" s="14"/>
      <c r="T934" s="15"/>
      <c r="U934" s="14"/>
      <c r="V934" s="15"/>
      <c r="W934" s="14"/>
      <c r="X934" s="15"/>
      <c r="Y934" s="14"/>
      <c r="Z934" s="15"/>
    </row>
    <row r="935" spans="1:26" x14ac:dyDescent="0.25">
      <c r="Q935" s="14"/>
      <c r="R935" s="15"/>
      <c r="S935" s="14"/>
      <c r="T935" s="15"/>
      <c r="U935" s="14"/>
      <c r="V935" s="15"/>
      <c r="W935" s="14"/>
      <c r="X935" s="15"/>
      <c r="Y935" s="14"/>
      <c r="Z935" s="15"/>
    </row>
    <row r="936" spans="1:26" x14ac:dyDescent="0.25">
      <c r="Q936" s="14"/>
      <c r="R936" s="15"/>
      <c r="S936" s="14"/>
      <c r="T936" s="15"/>
      <c r="U936" s="14"/>
      <c r="V936" s="15"/>
      <c r="W936" s="14"/>
      <c r="X936" s="15"/>
      <c r="Y936" s="14"/>
      <c r="Z936" s="15"/>
    </row>
    <row r="937" spans="1:26" x14ac:dyDescent="0.25">
      <c r="Q937" s="14"/>
      <c r="R937" s="15"/>
      <c r="S937" s="14"/>
      <c r="T937" s="15"/>
      <c r="U937" s="14"/>
      <c r="V937" s="15"/>
      <c r="W937" s="14"/>
      <c r="X937" s="15"/>
      <c r="Y937" s="14"/>
      <c r="Z937" s="15"/>
    </row>
    <row r="938" spans="1:26" x14ac:dyDescent="0.25">
      <c r="Q938" s="14"/>
      <c r="R938" s="15"/>
      <c r="S938" s="14"/>
      <c r="T938" s="15"/>
      <c r="U938" s="14"/>
      <c r="V938" s="15"/>
      <c r="W938" s="14"/>
      <c r="X938" s="15"/>
      <c r="Y938" s="14"/>
      <c r="Z938" s="15"/>
    </row>
    <row r="939" spans="1:26" x14ac:dyDescent="0.25">
      <c r="Q939" s="14"/>
      <c r="R939" s="15"/>
      <c r="S939" s="14"/>
      <c r="T939" s="15"/>
      <c r="U939" s="14"/>
      <c r="V939" s="15"/>
      <c r="W939" s="14"/>
      <c r="X939" s="15"/>
      <c r="Y939" s="14"/>
      <c r="Z939" s="15"/>
    </row>
    <row r="940" spans="1:26" x14ac:dyDescent="0.25">
      <c r="Q940" s="14"/>
      <c r="R940" s="15"/>
      <c r="S940" s="14"/>
      <c r="T940" s="15"/>
      <c r="U940" s="14"/>
      <c r="V940" s="15"/>
      <c r="W940" s="14"/>
      <c r="X940" s="15"/>
      <c r="Y940" s="14"/>
      <c r="Z940" s="15"/>
    </row>
    <row r="941" spans="1:26" x14ac:dyDescent="0.25">
      <c r="Q941" s="14"/>
      <c r="R941" s="15"/>
      <c r="S941" s="14"/>
      <c r="T941" s="15"/>
      <c r="U941" s="14"/>
      <c r="V941" s="15"/>
      <c r="W941" s="14"/>
      <c r="X941" s="15"/>
      <c r="Y941" s="14"/>
      <c r="Z941" s="15"/>
    </row>
    <row r="942" spans="1:26" x14ac:dyDescent="0.25">
      <c r="Q942" s="14"/>
      <c r="R942" s="15"/>
      <c r="S942" s="14"/>
      <c r="T942" s="15"/>
      <c r="U942" s="14"/>
      <c r="V942" s="15"/>
      <c r="W942" s="14"/>
      <c r="X942" s="15"/>
      <c r="Y942" s="14"/>
      <c r="Z942" s="15"/>
    </row>
    <row r="943" spans="1:26" x14ac:dyDescent="0.25">
      <c r="Q943" s="14"/>
      <c r="R943" s="15"/>
      <c r="S943" s="14"/>
      <c r="T943" s="15"/>
      <c r="U943" s="14"/>
      <c r="V943" s="15"/>
      <c r="W943" s="14"/>
      <c r="X943" s="15"/>
      <c r="Y943" s="14"/>
      <c r="Z943" s="15"/>
    </row>
    <row r="944" spans="1:26" x14ac:dyDescent="0.25">
      <c r="Q944" s="14"/>
      <c r="R944" s="15"/>
      <c r="S944" s="14"/>
      <c r="T944" s="15"/>
      <c r="U944" s="14"/>
      <c r="V944" s="15"/>
      <c r="W944" s="14"/>
      <c r="X944" s="15"/>
      <c r="Y944" s="14"/>
      <c r="Z944" s="15"/>
    </row>
    <row r="945" spans="1:26" x14ac:dyDescent="0.25">
      <c r="Q945" s="14"/>
      <c r="R945" s="15"/>
      <c r="S945" s="14"/>
      <c r="T945" s="15"/>
      <c r="U945" s="14"/>
      <c r="V945" s="15"/>
      <c r="W945" s="14"/>
      <c r="X945" s="15"/>
      <c r="Y945" s="14"/>
      <c r="Z945" s="15"/>
    </row>
    <row r="946" spans="1:26" x14ac:dyDescent="0.25">
      <c r="Q946" s="14"/>
      <c r="R946" s="15"/>
      <c r="S946" s="14"/>
      <c r="T946" s="15"/>
      <c r="U946" s="14"/>
      <c r="V946" s="15"/>
      <c r="W946" s="14"/>
      <c r="X946" s="15"/>
      <c r="Y946" s="14"/>
      <c r="Z946" s="15"/>
    </row>
    <row r="947" spans="1:26" x14ac:dyDescent="0.25">
      <c r="Q947" s="14"/>
      <c r="R947" s="15"/>
      <c r="S947" s="14"/>
      <c r="T947" s="15"/>
      <c r="U947" s="14"/>
      <c r="V947" s="15"/>
      <c r="W947" s="14"/>
      <c r="X947" s="15"/>
      <c r="Y947" s="14"/>
      <c r="Z947" s="15"/>
    </row>
    <row r="948" spans="1:26" x14ac:dyDescent="0.25">
      <c r="Q948" s="14"/>
      <c r="R948" s="15"/>
      <c r="S948" s="14"/>
      <c r="T948" s="15"/>
      <c r="U948" s="14"/>
      <c r="V948" s="15"/>
      <c r="W948" s="14"/>
      <c r="X948" s="15"/>
      <c r="Y948" s="14"/>
      <c r="Z948" s="15"/>
    </row>
    <row r="949" spans="1:26" x14ac:dyDescent="0.25">
      <c r="Q949" s="14"/>
      <c r="R949" s="15"/>
      <c r="S949" s="14"/>
      <c r="T949" s="15"/>
      <c r="U949" s="14"/>
      <c r="V949" s="15"/>
      <c r="W949" s="14"/>
      <c r="X949" s="15"/>
      <c r="Y949" s="14"/>
      <c r="Z949" s="15"/>
    </row>
    <row r="950" spans="1:26" x14ac:dyDescent="0.25">
      <c r="Q950" s="14"/>
      <c r="R950" s="15"/>
      <c r="S950" s="14"/>
      <c r="T950" s="15"/>
      <c r="U950" s="14"/>
      <c r="V950" s="15"/>
      <c r="W950" s="14"/>
      <c r="X950" s="15"/>
      <c r="Y950" s="14"/>
      <c r="Z950" s="15"/>
    </row>
    <row r="951" spans="1:26" x14ac:dyDescent="0.25">
      <c r="Q951" s="14"/>
      <c r="R951" s="15"/>
      <c r="S951" s="14"/>
      <c r="T951" s="15"/>
      <c r="U951" s="14"/>
      <c r="V951" s="15"/>
      <c r="W951" s="14"/>
      <c r="X951" s="15"/>
      <c r="Y951" s="14"/>
      <c r="Z951" s="15"/>
    </row>
    <row r="952" spans="1:26" x14ac:dyDescent="0.25">
      <c r="Q952" s="14"/>
      <c r="R952" s="15"/>
      <c r="S952" s="14"/>
      <c r="T952" s="15"/>
      <c r="U952" s="14"/>
      <c r="V952" s="15"/>
      <c r="W952" s="14"/>
      <c r="X952" s="15"/>
      <c r="Y952" s="14"/>
      <c r="Z952" s="15"/>
    </row>
    <row r="953" spans="1:26" x14ac:dyDescent="0.25">
      <c r="Q953" s="14"/>
      <c r="R953" s="15"/>
      <c r="S953" s="14"/>
      <c r="T953" s="15"/>
      <c r="U953" s="14"/>
      <c r="V953" s="15"/>
      <c r="W953" s="14"/>
      <c r="X953" s="15"/>
      <c r="Y953" s="14"/>
      <c r="Z953" s="15"/>
    </row>
    <row r="954" spans="1:26" x14ac:dyDescent="0.25">
      <c r="Q954" s="14"/>
      <c r="R954" s="15"/>
      <c r="S954" s="14"/>
      <c r="T954" s="15"/>
      <c r="U954" s="14"/>
      <c r="V954" s="15"/>
      <c r="W954" s="14"/>
      <c r="X954" s="15"/>
      <c r="Y954" s="14"/>
      <c r="Z954" s="15"/>
    </row>
    <row r="955" spans="1:26" x14ac:dyDescent="0.25">
      <c r="Q955" s="14"/>
      <c r="R955" s="15"/>
      <c r="S955" s="14"/>
      <c r="T955" s="15"/>
      <c r="U955" s="14"/>
      <c r="V955" s="15"/>
      <c r="W955" s="14"/>
      <c r="X955" s="15"/>
      <c r="Y955" s="14"/>
      <c r="Z955" s="15"/>
    </row>
    <row r="956" spans="1:26" x14ac:dyDescent="0.25">
      <c r="Q956" s="14"/>
      <c r="R956" s="15"/>
      <c r="S956" s="14"/>
      <c r="T956" s="15"/>
      <c r="U956" s="14"/>
      <c r="V956" s="15"/>
      <c r="W956" s="14"/>
      <c r="X956" s="15"/>
      <c r="Y956" s="14"/>
      <c r="Z956" s="15"/>
    </row>
    <row r="957" spans="1:26" x14ac:dyDescent="0.25">
      <c r="Q957" s="14"/>
      <c r="R957" s="15"/>
      <c r="S957" s="14"/>
      <c r="T957" s="15"/>
      <c r="U957" s="14"/>
      <c r="V957" s="15"/>
      <c r="W957" s="14"/>
      <c r="X957" s="15"/>
      <c r="Y957" s="14"/>
      <c r="Z957" s="15"/>
    </row>
    <row r="958" spans="1:26" x14ac:dyDescent="0.25">
      <c r="Q958" s="14"/>
      <c r="R958" s="15"/>
      <c r="S958" s="14"/>
      <c r="T958" s="15"/>
      <c r="U958" s="14"/>
      <c r="V958" s="15"/>
      <c r="W958" s="14"/>
      <c r="X958" s="15"/>
      <c r="Y958" s="14"/>
      <c r="Z958" s="15"/>
    </row>
    <row r="959" spans="1:26" x14ac:dyDescent="0.25">
      <c r="Q959" s="14"/>
      <c r="R959" s="15"/>
      <c r="S959" s="14"/>
      <c r="T959" s="15"/>
      <c r="U959" s="14"/>
      <c r="V959" s="15"/>
      <c r="W959" s="14"/>
      <c r="X959" s="15"/>
      <c r="Y959" s="14"/>
      <c r="Z959" s="15"/>
    </row>
    <row r="960" spans="1:26" x14ac:dyDescent="0.25">
      <c r="Q960" s="14"/>
      <c r="R960" s="15"/>
      <c r="S960" s="14"/>
      <c r="T960" s="15"/>
      <c r="U960" s="14"/>
      <c r="V960" s="15"/>
      <c r="W960" s="14"/>
      <c r="X960" s="15"/>
      <c r="Y960" s="14"/>
      <c r="Z960" s="15"/>
    </row>
    <row r="961" spans="1:26" x14ac:dyDescent="0.25">
      <c r="Q961" s="14"/>
      <c r="R961" s="15"/>
      <c r="S961" s="14"/>
      <c r="T961" s="15"/>
      <c r="U961" s="14"/>
      <c r="V961" s="15"/>
      <c r="W961" s="14"/>
      <c r="X961" s="15"/>
      <c r="Y961" s="14"/>
      <c r="Z961" s="15"/>
    </row>
    <row r="962" spans="1:26" x14ac:dyDescent="0.25">
      <c r="Q962" s="14"/>
      <c r="R962" s="15"/>
      <c r="S962" s="14"/>
      <c r="T962" s="15"/>
      <c r="U962" s="14"/>
      <c r="V962" s="15"/>
      <c r="W962" s="14"/>
      <c r="X962" s="15"/>
      <c r="Y962" s="14"/>
      <c r="Z962" s="15"/>
    </row>
    <row r="963" spans="1:26" x14ac:dyDescent="0.25">
      <c r="Q963" s="14"/>
      <c r="R963" s="15"/>
      <c r="S963" s="14"/>
      <c r="T963" s="15"/>
      <c r="U963" s="14"/>
      <c r="V963" s="15"/>
      <c r="W963" s="14"/>
      <c r="X963" s="15"/>
      <c r="Y963" s="14"/>
      <c r="Z963" s="15"/>
    </row>
    <row r="964" spans="1:26" x14ac:dyDescent="0.25">
      <c r="Q964" s="14"/>
      <c r="R964" s="15"/>
      <c r="S964" s="14"/>
      <c r="T964" s="15"/>
      <c r="U964" s="14"/>
      <c r="V964" s="15"/>
      <c r="W964" s="14"/>
      <c r="X964" s="15"/>
      <c r="Y964" s="14"/>
      <c r="Z964" s="15"/>
    </row>
    <row r="965" spans="1:26" x14ac:dyDescent="0.25">
      <c r="Q965" s="14"/>
      <c r="R965" s="15"/>
      <c r="S965" s="14"/>
      <c r="T965" s="15"/>
      <c r="U965" s="14"/>
      <c r="V965" s="15"/>
      <c r="W965" s="14"/>
      <c r="X965" s="15"/>
      <c r="Y965" s="14"/>
      <c r="Z965" s="15"/>
    </row>
    <row r="966" spans="1:26" x14ac:dyDescent="0.25">
      <c r="Q966" s="14"/>
      <c r="R966" s="15"/>
      <c r="S966" s="14"/>
      <c r="T966" s="15"/>
      <c r="U966" s="14"/>
      <c r="V966" s="15"/>
      <c r="W966" s="14"/>
      <c r="X966" s="15"/>
      <c r="Y966" s="14"/>
      <c r="Z966" s="15"/>
    </row>
    <row r="967" spans="1:26" x14ac:dyDescent="0.25">
      <c r="Q967" s="14"/>
      <c r="R967" s="15"/>
      <c r="S967" s="14"/>
      <c r="T967" s="15"/>
      <c r="U967" s="14"/>
      <c r="V967" s="15"/>
      <c r="W967" s="14"/>
      <c r="X967" s="15"/>
      <c r="Y967" s="14"/>
      <c r="Z967" s="15"/>
    </row>
    <row r="968" spans="1:26" x14ac:dyDescent="0.25">
      <c r="Q968" s="14"/>
      <c r="R968" s="15"/>
      <c r="S968" s="14"/>
      <c r="T968" s="15"/>
      <c r="U968" s="14"/>
      <c r="V968" s="15"/>
      <c r="W968" s="14"/>
      <c r="X968" s="15"/>
      <c r="Y968" s="14"/>
      <c r="Z968" s="15"/>
    </row>
    <row r="969" spans="1:26" x14ac:dyDescent="0.25">
      <c r="Q969" s="14"/>
      <c r="R969" s="15"/>
      <c r="S969" s="14"/>
      <c r="T969" s="15"/>
      <c r="U969" s="14"/>
      <c r="V969" s="15"/>
      <c r="W969" s="14"/>
      <c r="X969" s="15"/>
      <c r="Y969" s="14"/>
      <c r="Z969" s="15"/>
    </row>
    <row r="970" spans="1:26" x14ac:dyDescent="0.25">
      <c r="Q970" s="14"/>
      <c r="R970" s="15"/>
      <c r="S970" s="14"/>
      <c r="T970" s="15"/>
      <c r="U970" s="14"/>
      <c r="V970" s="15"/>
      <c r="W970" s="14"/>
      <c r="X970" s="15"/>
      <c r="Y970" s="14"/>
      <c r="Z970" s="15"/>
    </row>
    <row r="971" spans="1:26" x14ac:dyDescent="0.25">
      <c r="Q971" s="14"/>
      <c r="R971" s="15"/>
      <c r="S971" s="14"/>
      <c r="T971" s="15"/>
      <c r="U971" s="14"/>
      <c r="V971" s="15"/>
      <c r="W971" s="14"/>
      <c r="X971" s="15"/>
      <c r="Y971" s="14"/>
      <c r="Z971" s="15"/>
    </row>
    <row r="972" spans="1:26" x14ac:dyDescent="0.25">
      <c r="Q972" s="14"/>
      <c r="R972" s="15"/>
      <c r="S972" s="14"/>
      <c r="T972" s="15"/>
      <c r="U972" s="14"/>
      <c r="V972" s="15"/>
      <c r="W972" s="14"/>
      <c r="X972" s="15"/>
      <c r="Y972" s="14"/>
      <c r="Z972" s="15"/>
    </row>
    <row r="973" spans="1:26" x14ac:dyDescent="0.25">
      <c r="Q973" s="14"/>
      <c r="R973" s="15"/>
      <c r="S973" s="14"/>
      <c r="T973" s="15"/>
      <c r="U973" s="14"/>
      <c r="V973" s="15"/>
      <c r="W973" s="14"/>
      <c r="X973" s="15"/>
      <c r="Y973" s="14"/>
      <c r="Z973" s="15"/>
    </row>
    <row r="974" spans="1:26" x14ac:dyDescent="0.25">
      <c r="Q974" s="14"/>
      <c r="R974" s="15"/>
      <c r="S974" s="14"/>
      <c r="T974" s="15"/>
      <c r="U974" s="14"/>
      <c r="V974" s="15"/>
      <c r="W974" s="14"/>
      <c r="X974" s="15"/>
      <c r="Y974" s="14"/>
      <c r="Z974" s="15"/>
    </row>
    <row r="975" spans="1:26" x14ac:dyDescent="0.25">
      <c r="Q975" s="14"/>
      <c r="R975" s="15"/>
      <c r="S975" s="14"/>
      <c r="T975" s="15"/>
      <c r="U975" s="14"/>
      <c r="V975" s="15"/>
      <c r="W975" s="14"/>
      <c r="X975" s="15"/>
      <c r="Y975" s="14"/>
      <c r="Z975" s="15"/>
    </row>
    <row r="976" spans="1:26" x14ac:dyDescent="0.25">
      <c r="Q976" s="14"/>
      <c r="R976" s="15"/>
      <c r="S976" s="14"/>
      <c r="T976" s="15"/>
      <c r="U976" s="14"/>
      <c r="V976" s="15"/>
      <c r="W976" s="14"/>
      <c r="X976" s="15"/>
      <c r="Y976" s="14"/>
      <c r="Z976" s="15"/>
    </row>
    <row r="977" spans="1:26" x14ac:dyDescent="0.25">
      <c r="Q977" s="14"/>
      <c r="R977" s="15"/>
      <c r="S977" s="14"/>
      <c r="T977" s="15"/>
      <c r="U977" s="14"/>
      <c r="V977" s="15"/>
      <c r="W977" s="14"/>
      <c r="X977" s="15"/>
      <c r="Y977" s="14"/>
      <c r="Z977" s="15"/>
    </row>
    <row r="978" spans="1:26" x14ac:dyDescent="0.25">
      <c r="Q978" s="14"/>
      <c r="R978" s="15"/>
      <c r="S978" s="14"/>
      <c r="T978" s="15"/>
      <c r="U978" s="14"/>
      <c r="V978" s="15"/>
      <c r="W978" s="14"/>
      <c r="X978" s="15"/>
      <c r="Y978" s="14"/>
      <c r="Z978" s="15"/>
    </row>
    <row r="979" spans="1:26" x14ac:dyDescent="0.25">
      <c r="Q979" s="14"/>
      <c r="R979" s="15"/>
      <c r="S979" s="14"/>
      <c r="T979" s="15"/>
      <c r="U979" s="14"/>
      <c r="V979" s="15"/>
      <c r="W979" s="14"/>
      <c r="X979" s="15"/>
      <c r="Y979" s="14"/>
      <c r="Z979" s="15"/>
    </row>
    <row r="980" spans="1:26" x14ac:dyDescent="0.25">
      <c r="Q980" s="14"/>
      <c r="R980" s="15"/>
      <c r="S980" s="14"/>
      <c r="T980" s="15"/>
      <c r="U980" s="14"/>
      <c r="V980" s="15"/>
      <c r="W980" s="14"/>
      <c r="X980" s="15"/>
      <c r="Y980" s="14"/>
      <c r="Z980" s="15"/>
    </row>
    <row r="981" spans="1:26" x14ac:dyDescent="0.25">
      <c r="Q981" s="14"/>
      <c r="R981" s="15"/>
      <c r="S981" s="14"/>
      <c r="T981" s="15"/>
      <c r="U981" s="14"/>
      <c r="V981" s="15"/>
      <c r="W981" s="14"/>
      <c r="X981" s="15"/>
      <c r="Y981" s="14"/>
      <c r="Z981" s="15"/>
    </row>
    <row r="982" spans="1:26" x14ac:dyDescent="0.25">
      <c r="Q982" s="14"/>
      <c r="R982" s="15"/>
      <c r="S982" s="14"/>
      <c r="T982" s="15"/>
      <c r="U982" s="14"/>
      <c r="V982" s="15"/>
      <c r="W982" s="14"/>
      <c r="X982" s="15"/>
      <c r="Y982" s="14"/>
      <c r="Z982" s="15"/>
    </row>
    <row r="983" spans="1:26" x14ac:dyDescent="0.25">
      <c r="Q983" s="14"/>
      <c r="R983" s="15"/>
      <c r="S983" s="14"/>
      <c r="T983" s="15"/>
      <c r="U983" s="14"/>
      <c r="V983" s="15"/>
      <c r="W983" s="14"/>
      <c r="X983" s="15"/>
      <c r="Y983" s="14"/>
      <c r="Z983" s="15"/>
    </row>
    <row r="984" spans="1:26" x14ac:dyDescent="0.25">
      <c r="Q984" s="14"/>
      <c r="R984" s="15"/>
      <c r="S984" s="14"/>
      <c r="T984" s="15"/>
      <c r="U984" s="14"/>
      <c r="V984" s="15"/>
      <c r="W984" s="14"/>
      <c r="X984" s="15"/>
      <c r="Y984" s="14"/>
      <c r="Z984" s="15"/>
    </row>
    <row r="985" spans="1:26" x14ac:dyDescent="0.25">
      <c r="Q985" s="14"/>
      <c r="R985" s="15"/>
      <c r="S985" s="14"/>
      <c r="T985" s="15"/>
      <c r="U985" s="14"/>
      <c r="V985" s="15"/>
      <c r="W985" s="14"/>
      <c r="X985" s="15"/>
      <c r="Y985" s="14"/>
      <c r="Z985" s="15"/>
    </row>
    <row r="986" spans="1:26" x14ac:dyDescent="0.25">
      <c r="Q986" s="14"/>
      <c r="R986" s="15"/>
      <c r="S986" s="14"/>
      <c r="T986" s="15"/>
      <c r="U986" s="14"/>
      <c r="V986" s="15"/>
      <c r="W986" s="14"/>
      <c r="X986" s="15"/>
      <c r="Y986" s="14"/>
      <c r="Z986" s="15"/>
    </row>
    <row r="987" spans="1:26" x14ac:dyDescent="0.25">
      <c r="Q987" s="14"/>
      <c r="R987" s="15"/>
      <c r="S987" s="14"/>
      <c r="T987" s="15"/>
      <c r="U987" s="14"/>
      <c r="V987" s="15"/>
      <c r="W987" s="14"/>
      <c r="X987" s="15"/>
      <c r="Y987" s="14"/>
      <c r="Z987" s="15"/>
    </row>
    <row r="988" spans="1:26" x14ac:dyDescent="0.25">
      <c r="Q988" s="14"/>
      <c r="R988" s="15"/>
      <c r="S988" s="14"/>
      <c r="T988" s="15"/>
      <c r="U988" s="14"/>
      <c r="V988" s="15"/>
      <c r="W988" s="14"/>
      <c r="X988" s="15"/>
      <c r="Y988" s="14"/>
      <c r="Z988" s="15"/>
    </row>
    <row r="989" spans="1:26" x14ac:dyDescent="0.25">
      <c r="Q989" s="14"/>
      <c r="R989" s="15"/>
      <c r="S989" s="14"/>
      <c r="T989" s="15"/>
      <c r="U989" s="14"/>
      <c r="V989" s="15"/>
      <c r="W989" s="14"/>
      <c r="X989" s="15"/>
      <c r="Y989" s="14"/>
      <c r="Z989" s="15"/>
    </row>
    <row r="990" spans="1:26" x14ac:dyDescent="0.25">
      <c r="Q990" s="14"/>
      <c r="R990" s="15"/>
      <c r="S990" s="14"/>
      <c r="T990" s="15"/>
      <c r="U990" s="14"/>
      <c r="V990" s="15"/>
      <c r="W990" s="14"/>
      <c r="X990" s="15"/>
      <c r="Y990" s="14"/>
      <c r="Z990" s="15"/>
    </row>
    <row r="991" spans="1:26" x14ac:dyDescent="0.25">
      <c r="Q991" s="14"/>
      <c r="R991" s="15"/>
      <c r="S991" s="14"/>
      <c r="T991" s="15"/>
      <c r="U991" s="14"/>
      <c r="V991" s="15"/>
      <c r="W991" s="14"/>
      <c r="X991" s="15"/>
      <c r="Y991" s="14"/>
      <c r="Z991" s="15"/>
    </row>
    <row r="992" spans="1:26" x14ac:dyDescent="0.25">
      <c r="Q992" s="14"/>
      <c r="R992" s="15"/>
      <c r="S992" s="14"/>
      <c r="T992" s="15"/>
      <c r="U992" s="14"/>
      <c r="V992" s="15"/>
      <c r="W992" s="14"/>
      <c r="X992" s="15"/>
      <c r="Y992" s="14"/>
      <c r="Z992" s="15"/>
    </row>
    <row r="993" spans="1:26" x14ac:dyDescent="0.25">
      <c r="Q993" s="14"/>
      <c r="R993" s="15"/>
      <c r="S993" s="14"/>
      <c r="T993" s="15"/>
      <c r="U993" s="14"/>
      <c r="V993" s="15"/>
      <c r="W993" s="14"/>
      <c r="X993" s="15"/>
      <c r="Y993" s="14"/>
      <c r="Z993" s="15"/>
    </row>
    <row r="994" spans="1:26" x14ac:dyDescent="0.25">
      <c r="Q994" s="14"/>
      <c r="R994" s="15"/>
      <c r="S994" s="14"/>
      <c r="T994" s="15"/>
      <c r="U994" s="14"/>
      <c r="V994" s="15"/>
      <c r="W994" s="14"/>
      <c r="X994" s="15"/>
      <c r="Y994" s="14"/>
      <c r="Z994" s="15"/>
    </row>
    <row r="995" spans="1:26" x14ac:dyDescent="0.25">
      <c r="Q995" s="14"/>
      <c r="R995" s="15"/>
      <c r="S995" s="14"/>
      <c r="T995" s="15"/>
      <c r="U995" s="14"/>
      <c r="V995" s="15"/>
      <c r="W995" s="14"/>
      <c r="X995" s="15"/>
      <c r="Y995" s="14"/>
      <c r="Z995" s="15"/>
    </row>
    <row r="996" spans="1:26" x14ac:dyDescent="0.25">
      <c r="Q996" s="14"/>
      <c r="R996" s="15"/>
      <c r="S996" s="14"/>
      <c r="T996" s="15"/>
      <c r="U996" s="14"/>
      <c r="V996" s="15"/>
      <c r="W996" s="14"/>
      <c r="X996" s="15"/>
      <c r="Y996" s="14"/>
      <c r="Z996" s="15"/>
    </row>
    <row r="997" spans="1:26" x14ac:dyDescent="0.25">
      <c r="Q997" s="14"/>
      <c r="R997" s="15"/>
      <c r="S997" s="14"/>
      <c r="T997" s="15"/>
      <c r="U997" s="14"/>
      <c r="V997" s="15"/>
      <c r="W997" s="14"/>
      <c r="X997" s="15"/>
      <c r="Y997" s="14"/>
      <c r="Z997" s="15"/>
    </row>
    <row r="998" spans="1:26" x14ac:dyDescent="0.25">
      <c r="Q998" s="14"/>
      <c r="R998" s="15"/>
      <c r="S998" s="14"/>
      <c r="T998" s="15"/>
      <c r="U998" s="14"/>
      <c r="V998" s="15"/>
      <c r="W998" s="14"/>
      <c r="X998" s="15"/>
      <c r="Y998" s="14"/>
      <c r="Z998" s="15"/>
    </row>
    <row r="999" spans="1:26" x14ac:dyDescent="0.25">
      <c r="Q999" s="14"/>
      <c r="R999" s="15"/>
      <c r="S999" s="14"/>
      <c r="T999" s="15"/>
      <c r="U999" s="14"/>
      <c r="V999" s="15"/>
      <c r="W999" s="14"/>
      <c r="X999" s="15"/>
      <c r="Y999" s="14"/>
      <c r="Z999" s="15"/>
    </row>
    <row r="1000" spans="1:26" x14ac:dyDescent="0.25">
      <c r="Q1000" s="14"/>
      <c r="R1000" s="15"/>
      <c r="S1000" s="14"/>
      <c r="T1000" s="15"/>
      <c r="U1000" s="14"/>
      <c r="V1000" s="15"/>
      <c r="W1000" s="14"/>
      <c r="X1000" s="15"/>
      <c r="Y1000" s="14"/>
      <c r="Z1000" s="15"/>
    </row>
    <row r="1001" spans="1:26" x14ac:dyDescent="0.25">
      <c r="Q1001" s="14"/>
      <c r="R1001" s="15"/>
      <c r="S1001" s="14"/>
      <c r="T1001" s="15"/>
      <c r="U1001" s="14"/>
      <c r="V1001" s="15"/>
      <c r="W1001" s="14"/>
      <c r="X1001" s="15"/>
      <c r="Y1001" s="14"/>
      <c r="Z1001" s="15"/>
    </row>
    <row r="1002" spans="1:26" x14ac:dyDescent="0.25">
      <c r="Q1002" s="14"/>
      <c r="R1002" s="15"/>
      <c r="S1002" s="14"/>
      <c r="T1002" s="15"/>
      <c r="U1002" s="14"/>
      <c r="V1002" s="15"/>
      <c r="W1002" s="14"/>
      <c r="X1002" s="15"/>
      <c r="Y1002" s="14"/>
      <c r="Z1002" s="15"/>
    </row>
    <row r="1003" spans="1:26" x14ac:dyDescent="0.25">
      <c r="Q1003" s="14"/>
      <c r="R1003" s="15"/>
      <c r="S1003" s="14"/>
      <c r="T1003" s="15"/>
      <c r="U1003" s="14"/>
      <c r="V1003" s="15"/>
      <c r="W1003" s="14"/>
      <c r="X1003" s="15"/>
      <c r="Y1003" s="14"/>
      <c r="Z1003" s="15"/>
    </row>
    <row r="1004" spans="1:26" x14ac:dyDescent="0.25">
      <c r="Q1004" s="14"/>
      <c r="R1004" s="15"/>
      <c r="S1004" s="14"/>
      <c r="T1004" s="15"/>
      <c r="U1004" s="14"/>
      <c r="V1004" s="15"/>
      <c r="W1004" s="14"/>
      <c r="X1004" s="15"/>
      <c r="Y1004" s="14"/>
      <c r="Z1004" s="15"/>
    </row>
    <row r="1005" spans="1:26" x14ac:dyDescent="0.25">
      <c r="Q1005" s="14"/>
      <c r="R1005" s="15"/>
      <c r="S1005" s="14"/>
      <c r="T1005" s="15"/>
      <c r="U1005" s="14"/>
      <c r="V1005" s="15"/>
      <c r="W1005" s="14"/>
      <c r="X1005" s="15"/>
      <c r="Y1005" s="14"/>
      <c r="Z1005" s="15"/>
    </row>
    <row r="1006" spans="1:26" x14ac:dyDescent="0.25">
      <c r="Q1006" s="14"/>
      <c r="R1006" s="15"/>
      <c r="S1006" s="14"/>
      <c r="T1006" s="15"/>
      <c r="U1006" s="14"/>
      <c r="V1006" s="15"/>
      <c r="W1006" s="14"/>
      <c r="X1006" s="15"/>
      <c r="Y1006" s="14"/>
      <c r="Z1006" s="15"/>
    </row>
    <row r="1007" spans="1:26" x14ac:dyDescent="0.25">
      <c r="Q1007" s="14"/>
      <c r="R1007" s="15"/>
      <c r="S1007" s="14"/>
      <c r="T1007" s="15"/>
      <c r="U1007" s="14"/>
      <c r="V1007" s="15"/>
      <c r="W1007" s="14"/>
      <c r="X1007" s="15"/>
      <c r="Y1007" s="14"/>
      <c r="Z1007" s="15"/>
    </row>
    <row r="1008" spans="1:26" x14ac:dyDescent="0.25">
      <c r="Q1008" s="14"/>
      <c r="R1008" s="15"/>
      <c r="S1008" s="14"/>
      <c r="T1008" s="15"/>
      <c r="U1008" s="14"/>
      <c r="V1008" s="15"/>
      <c r="W1008" s="14"/>
      <c r="X1008" s="15"/>
      <c r="Y1008" s="14"/>
      <c r="Z1008" s="15"/>
    </row>
    <row r="1009" spans="1:26" x14ac:dyDescent="0.25">
      <c r="Q1009" s="14"/>
      <c r="R1009" s="15"/>
      <c r="S1009" s="14"/>
      <c r="T1009" s="15"/>
      <c r="U1009" s="14"/>
      <c r="V1009" s="15"/>
      <c r="W1009" s="14"/>
      <c r="X1009" s="15"/>
      <c r="Y1009" s="14"/>
      <c r="Z1009" s="15"/>
    </row>
    <row r="1010" spans="1:26" x14ac:dyDescent="0.25">
      <c r="Q1010" s="14"/>
      <c r="R1010" s="15"/>
      <c r="S1010" s="14"/>
      <c r="T1010" s="15"/>
      <c r="U1010" s="14"/>
      <c r="V1010" s="15"/>
      <c r="W1010" s="14"/>
      <c r="X1010" s="15"/>
      <c r="Y1010" s="14"/>
      <c r="Z1010" s="15"/>
    </row>
    <row r="1011" spans="1:26" x14ac:dyDescent="0.25">
      <c r="Q1011" s="14"/>
      <c r="R1011" s="15"/>
      <c r="S1011" s="14"/>
      <c r="T1011" s="15"/>
      <c r="U1011" s="14"/>
      <c r="V1011" s="15"/>
      <c r="W1011" s="14"/>
      <c r="X1011" s="15"/>
      <c r="Y1011" s="14"/>
      <c r="Z1011" s="15"/>
    </row>
    <row r="1012" spans="1:26" x14ac:dyDescent="0.25">
      <c r="Q1012" s="14"/>
      <c r="R1012" s="15"/>
      <c r="S1012" s="14"/>
      <c r="T1012" s="15"/>
      <c r="U1012" s="14"/>
      <c r="V1012" s="15"/>
      <c r="W1012" s="14"/>
      <c r="X1012" s="15"/>
      <c r="Y1012" s="14"/>
      <c r="Z1012" s="15"/>
    </row>
    <row r="1013" spans="1:26" x14ac:dyDescent="0.25">
      <c r="Q1013" s="14"/>
      <c r="R1013" s="15"/>
      <c r="S1013" s="14"/>
      <c r="T1013" s="15"/>
      <c r="U1013" s="14"/>
      <c r="V1013" s="15"/>
      <c r="W1013" s="14"/>
      <c r="X1013" s="15"/>
      <c r="Y1013" s="14"/>
      <c r="Z1013" s="15"/>
    </row>
    <row r="1014" spans="1:26" x14ac:dyDescent="0.25">
      <c r="Q1014" s="14"/>
      <c r="R1014" s="15"/>
      <c r="S1014" s="14"/>
      <c r="T1014" s="15"/>
      <c r="U1014" s="14"/>
      <c r="V1014" s="15"/>
      <c r="W1014" s="14"/>
      <c r="X1014" s="15"/>
      <c r="Y1014" s="14"/>
      <c r="Z1014" s="15"/>
    </row>
    <row r="1015" spans="1:26" x14ac:dyDescent="0.25">
      <c r="Q1015" s="14"/>
      <c r="R1015" s="15"/>
      <c r="S1015" s="14"/>
      <c r="T1015" s="15"/>
      <c r="U1015" s="14"/>
      <c r="V1015" s="15"/>
      <c r="W1015" s="14"/>
      <c r="X1015" s="15"/>
      <c r="Y1015" s="14"/>
      <c r="Z1015" s="15"/>
    </row>
    <row r="1016" spans="1:26" x14ac:dyDescent="0.25">
      <c r="Q1016" s="14"/>
      <c r="R1016" s="15"/>
      <c r="S1016" s="14"/>
      <c r="T1016" s="15"/>
      <c r="U1016" s="14"/>
      <c r="V1016" s="15"/>
      <c r="W1016" s="14"/>
      <c r="X1016" s="15"/>
      <c r="Y1016" s="14"/>
      <c r="Z1016" s="15"/>
    </row>
    <row r="1017" spans="1:26" x14ac:dyDescent="0.25">
      <c r="Q1017" s="14"/>
      <c r="R1017" s="15"/>
      <c r="S1017" s="14"/>
      <c r="T1017" s="15"/>
      <c r="U1017" s="14"/>
      <c r="V1017" s="15"/>
      <c r="W1017" s="14"/>
      <c r="X1017" s="15"/>
      <c r="Y1017" s="14"/>
      <c r="Z1017" s="15"/>
    </row>
    <row r="1018" spans="1:26" x14ac:dyDescent="0.25">
      <c r="Q1018" s="14"/>
      <c r="R1018" s="15"/>
      <c r="S1018" s="14"/>
      <c r="T1018" s="15"/>
      <c r="U1018" s="14"/>
      <c r="V1018" s="15"/>
      <c r="W1018" s="14"/>
      <c r="X1018" s="15"/>
      <c r="Y1018" s="14"/>
      <c r="Z1018" s="15"/>
    </row>
    <row r="1019" spans="1:26" x14ac:dyDescent="0.25">
      <c r="Q1019" s="14"/>
      <c r="R1019" s="15"/>
      <c r="S1019" s="14"/>
      <c r="T1019" s="15"/>
      <c r="U1019" s="14"/>
      <c r="V1019" s="15"/>
      <c r="W1019" s="14"/>
      <c r="X1019" s="15"/>
      <c r="Y1019" s="14"/>
      <c r="Z1019" s="15"/>
    </row>
    <row r="1020" spans="1:26" x14ac:dyDescent="0.25">
      <c r="Q1020" s="14"/>
      <c r="R1020" s="15"/>
      <c r="S1020" s="14"/>
      <c r="T1020" s="15"/>
      <c r="U1020" s="14"/>
      <c r="V1020" s="15"/>
      <c r="W1020" s="14"/>
      <c r="X1020" s="15"/>
      <c r="Y1020" s="14"/>
      <c r="Z1020" s="15"/>
    </row>
    <row r="1021" spans="1:26" x14ac:dyDescent="0.25">
      <c r="Q1021" s="14"/>
      <c r="R1021" s="15"/>
      <c r="S1021" s="14"/>
      <c r="T1021" s="15"/>
      <c r="U1021" s="14"/>
      <c r="V1021" s="15"/>
      <c r="W1021" s="14"/>
      <c r="X1021" s="15"/>
      <c r="Y1021" s="14"/>
      <c r="Z1021" s="15"/>
    </row>
    <row r="1022" spans="1:26" x14ac:dyDescent="0.25">
      <c r="Q1022" s="14"/>
      <c r="R1022" s="15"/>
      <c r="S1022" s="14"/>
      <c r="T1022" s="15"/>
      <c r="U1022" s="14"/>
      <c r="V1022" s="15"/>
      <c r="W1022" s="14"/>
      <c r="X1022" s="15"/>
      <c r="Y1022" s="14"/>
      <c r="Z1022" s="15"/>
    </row>
    <row r="1023" spans="1:26" x14ac:dyDescent="0.25">
      <c r="Q1023" s="14"/>
      <c r="R1023" s="15"/>
      <c r="S1023" s="14"/>
      <c r="T1023" s="15"/>
      <c r="U1023" s="14"/>
      <c r="V1023" s="15"/>
      <c r="W1023" s="14"/>
      <c r="X1023" s="15"/>
      <c r="Y1023" s="14"/>
      <c r="Z1023" s="15"/>
    </row>
    <row r="1024" spans="1:26" x14ac:dyDescent="0.25">
      <c r="Q1024" s="14"/>
      <c r="R1024" s="15"/>
      <c r="S1024" s="14"/>
      <c r="T1024" s="15"/>
      <c r="U1024" s="14"/>
      <c r="V1024" s="15"/>
      <c r="W1024" s="14"/>
      <c r="X1024" s="15"/>
      <c r="Y1024" s="14"/>
      <c r="Z1024" s="15"/>
    </row>
    <row r="1025" spans="1:26" x14ac:dyDescent="0.25">
      <c r="Q1025" s="14"/>
      <c r="R1025" s="15"/>
      <c r="S1025" s="14"/>
      <c r="T1025" s="15"/>
      <c r="U1025" s="14"/>
      <c r="V1025" s="15"/>
      <c r="W1025" s="14"/>
      <c r="X1025" s="15"/>
      <c r="Y1025" s="14"/>
      <c r="Z1025" s="15"/>
    </row>
    <row r="1026" spans="1:26" x14ac:dyDescent="0.25">
      <c r="Q1026" s="14"/>
      <c r="R1026" s="15"/>
      <c r="S1026" s="14"/>
      <c r="T1026" s="15"/>
      <c r="U1026" s="14"/>
      <c r="V1026" s="15"/>
      <c r="W1026" s="14"/>
      <c r="X1026" s="15"/>
      <c r="Y1026" s="14"/>
      <c r="Z1026" s="15"/>
    </row>
    <row r="1027" spans="1:26" x14ac:dyDescent="0.25">
      <c r="Q1027" s="14"/>
      <c r="R1027" s="15"/>
      <c r="S1027" s="14"/>
      <c r="T1027" s="15"/>
      <c r="U1027" s="14"/>
      <c r="V1027" s="15"/>
      <c r="W1027" s="14"/>
      <c r="X1027" s="15"/>
      <c r="Y1027" s="14"/>
      <c r="Z1027" s="15"/>
    </row>
    <row r="1028" spans="1:26" x14ac:dyDescent="0.25">
      <c r="Q1028" s="14"/>
      <c r="R1028" s="15"/>
      <c r="S1028" s="14"/>
      <c r="T1028" s="15"/>
      <c r="U1028" s="14"/>
      <c r="V1028" s="15"/>
      <c r="W1028" s="14"/>
      <c r="X1028" s="15"/>
      <c r="Y1028" s="14"/>
      <c r="Z1028" s="15"/>
    </row>
    <row r="1029" spans="1:26" x14ac:dyDescent="0.25">
      <c r="Q1029" s="14"/>
      <c r="R1029" s="15"/>
      <c r="S1029" s="14"/>
      <c r="T1029" s="15"/>
      <c r="U1029" s="14"/>
      <c r="V1029" s="15"/>
      <c r="W1029" s="14"/>
      <c r="X1029" s="15"/>
      <c r="Y1029" s="14"/>
      <c r="Z1029" s="15"/>
    </row>
    <row r="1030" spans="1:26" x14ac:dyDescent="0.25">
      <c r="Q1030" s="14"/>
      <c r="R1030" s="15"/>
      <c r="S1030" s="14"/>
      <c r="T1030" s="15"/>
      <c r="U1030" s="14"/>
      <c r="V1030" s="15"/>
      <c r="W1030" s="14"/>
      <c r="X1030" s="15"/>
      <c r="Y1030" s="14"/>
      <c r="Z1030" s="15"/>
    </row>
    <row r="1031" spans="1:26" x14ac:dyDescent="0.25">
      <c r="Q1031" s="14"/>
      <c r="R1031" s="15"/>
      <c r="S1031" s="14"/>
      <c r="T1031" s="15"/>
      <c r="U1031" s="14"/>
      <c r="V1031" s="15"/>
      <c r="W1031" s="14"/>
      <c r="X1031" s="15"/>
      <c r="Y1031" s="14"/>
      <c r="Z1031" s="15"/>
    </row>
    <row r="1032" spans="1:26" x14ac:dyDescent="0.25">
      <c r="Q1032" s="14"/>
      <c r="R1032" s="15"/>
      <c r="S1032" s="14"/>
      <c r="T1032" s="15"/>
      <c r="U1032" s="14"/>
      <c r="V1032" s="15"/>
      <c r="W1032" s="14"/>
      <c r="X1032" s="15"/>
      <c r="Y1032" s="14"/>
      <c r="Z1032" s="15"/>
    </row>
    <row r="1033" spans="1:26" x14ac:dyDescent="0.25">
      <c r="Q1033" s="14"/>
      <c r="R1033" s="15"/>
      <c r="S1033" s="14"/>
      <c r="T1033" s="15"/>
      <c r="U1033" s="14"/>
      <c r="V1033" s="15"/>
      <c r="W1033" s="14"/>
      <c r="X1033" s="15"/>
      <c r="Y1033" s="14"/>
      <c r="Z1033" s="15"/>
    </row>
    <row r="1034" spans="1:26" x14ac:dyDescent="0.25">
      <c r="Q1034" s="14"/>
      <c r="R1034" s="15"/>
      <c r="S1034" s="14"/>
      <c r="T1034" s="15"/>
      <c r="U1034" s="14"/>
      <c r="V1034" s="15"/>
      <c r="W1034" s="14"/>
      <c r="X1034" s="15"/>
      <c r="Y1034" s="14"/>
      <c r="Z1034" s="15"/>
    </row>
    <row r="1035" spans="1:26" x14ac:dyDescent="0.25">
      <c r="Q1035" s="14"/>
      <c r="R1035" s="15"/>
      <c r="S1035" s="14"/>
      <c r="T1035" s="15"/>
      <c r="U1035" s="14"/>
      <c r="V1035" s="15"/>
      <c r="W1035" s="14"/>
      <c r="X1035" s="15"/>
      <c r="Y1035" s="14"/>
      <c r="Z1035" s="15"/>
    </row>
    <row r="1036" spans="1:26" x14ac:dyDescent="0.25">
      <c r="Q1036" s="14"/>
      <c r="R1036" s="15"/>
      <c r="S1036" s="14"/>
      <c r="T1036" s="15"/>
      <c r="U1036" s="14"/>
      <c r="V1036" s="15"/>
      <c r="W1036" s="14"/>
      <c r="X1036" s="15"/>
      <c r="Y1036" s="14"/>
      <c r="Z1036" s="15"/>
    </row>
    <row r="1037" spans="1:26" x14ac:dyDescent="0.25">
      <c r="Q1037" s="14"/>
      <c r="R1037" s="15"/>
      <c r="S1037" s="14"/>
      <c r="T1037" s="15"/>
      <c r="U1037" s="14"/>
      <c r="V1037" s="15"/>
      <c r="W1037" s="14"/>
      <c r="X1037" s="15"/>
      <c r="Y1037" s="14"/>
      <c r="Z1037" s="15"/>
    </row>
    <row r="1038" spans="1:26" x14ac:dyDescent="0.25">
      <c r="Q1038" s="14"/>
      <c r="R1038" s="15"/>
      <c r="S1038" s="14"/>
      <c r="T1038" s="15"/>
      <c r="U1038" s="14"/>
      <c r="V1038" s="15"/>
      <c r="W1038" s="14"/>
      <c r="X1038" s="15"/>
      <c r="Y1038" s="14"/>
      <c r="Z1038" s="15"/>
    </row>
    <row r="1039" spans="1:26" x14ac:dyDescent="0.25">
      <c r="Q1039" s="14"/>
      <c r="R1039" s="15"/>
      <c r="S1039" s="14"/>
      <c r="T1039" s="15"/>
      <c r="U1039" s="14"/>
      <c r="V1039" s="15"/>
      <c r="W1039" s="14"/>
      <c r="X1039" s="15"/>
      <c r="Y1039" s="14"/>
      <c r="Z1039" s="15"/>
    </row>
    <row r="1040" spans="1:26" x14ac:dyDescent="0.25">
      <c r="Q1040" s="14"/>
      <c r="R1040" s="15"/>
      <c r="S1040" s="14"/>
      <c r="T1040" s="15"/>
      <c r="U1040" s="14"/>
      <c r="V1040" s="15"/>
      <c r="W1040" s="14"/>
      <c r="X1040" s="15"/>
      <c r="Y1040" s="14"/>
      <c r="Z1040" s="15"/>
    </row>
    <row r="1041" spans="1:26" x14ac:dyDescent="0.25">
      <c r="Q1041" s="14"/>
      <c r="R1041" s="15"/>
      <c r="S1041" s="14"/>
      <c r="T1041" s="15"/>
      <c r="U1041" s="14"/>
      <c r="V1041" s="15"/>
      <c r="W1041" s="14"/>
      <c r="X1041" s="15"/>
      <c r="Y1041" s="14"/>
      <c r="Z1041" s="15"/>
    </row>
    <row r="1042" spans="1:26" x14ac:dyDescent="0.25">
      <c r="Q1042" s="14"/>
      <c r="R1042" s="15"/>
      <c r="S1042" s="14"/>
      <c r="T1042" s="15"/>
      <c r="U1042" s="14"/>
      <c r="V1042" s="15"/>
      <c r="W1042" s="14"/>
      <c r="X1042" s="15"/>
      <c r="Y1042" s="14"/>
      <c r="Z1042" s="15"/>
    </row>
    <row r="1043" spans="1:26" x14ac:dyDescent="0.25">
      <c r="Q1043" s="14"/>
      <c r="R1043" s="15"/>
      <c r="S1043" s="14"/>
      <c r="T1043" s="15"/>
      <c r="U1043" s="14"/>
      <c r="V1043" s="15"/>
      <c r="W1043" s="14"/>
      <c r="X1043" s="15"/>
      <c r="Y1043" s="14"/>
      <c r="Z1043" s="15"/>
    </row>
    <row r="1044" spans="1:26" x14ac:dyDescent="0.25">
      <c r="Q1044" s="14"/>
      <c r="R1044" s="15"/>
      <c r="S1044" s="14"/>
      <c r="T1044" s="15"/>
      <c r="U1044" s="14"/>
      <c r="V1044" s="15"/>
      <c r="W1044" s="14"/>
      <c r="X1044" s="15"/>
      <c r="Y1044" s="14"/>
      <c r="Z1044" s="15"/>
    </row>
    <row r="1045" spans="1:26" x14ac:dyDescent="0.25">
      <c r="Q1045" s="14"/>
      <c r="R1045" s="15"/>
      <c r="S1045" s="14"/>
      <c r="T1045" s="15"/>
      <c r="U1045" s="14"/>
      <c r="V1045" s="15"/>
      <c r="W1045" s="14"/>
      <c r="X1045" s="15"/>
      <c r="Y1045" s="14"/>
      <c r="Z1045" s="15"/>
    </row>
    <row r="1046" spans="1:26" x14ac:dyDescent="0.25">
      <c r="Q1046" s="14"/>
      <c r="R1046" s="15"/>
      <c r="S1046" s="14"/>
      <c r="T1046" s="15"/>
      <c r="U1046" s="14"/>
      <c r="V1046" s="15"/>
      <c r="W1046" s="14"/>
      <c r="X1046" s="15"/>
      <c r="Y1046" s="14"/>
      <c r="Z1046" s="15"/>
    </row>
    <row r="1047" spans="1:26" x14ac:dyDescent="0.25">
      <c r="Q1047" s="14"/>
      <c r="R1047" s="15"/>
      <c r="S1047" s="14"/>
      <c r="T1047" s="15"/>
      <c r="U1047" s="14"/>
      <c r="V1047" s="15"/>
      <c r="W1047" s="14"/>
      <c r="X1047" s="15"/>
      <c r="Y1047" s="14"/>
      <c r="Z1047" s="15"/>
    </row>
    <row r="1048" spans="1:26" x14ac:dyDescent="0.25">
      <c r="Q1048" s="14"/>
      <c r="R1048" s="15"/>
      <c r="S1048" s="14"/>
      <c r="T1048" s="15"/>
      <c r="U1048" s="14"/>
      <c r="V1048" s="15"/>
      <c r="W1048" s="14"/>
      <c r="X1048" s="15"/>
      <c r="Y1048" s="14"/>
      <c r="Z1048" s="15"/>
    </row>
    <row r="1049" spans="1:26" x14ac:dyDescent="0.25">
      <c r="Q1049" s="14"/>
      <c r="R1049" s="15"/>
      <c r="S1049" s="14"/>
      <c r="T1049" s="15"/>
      <c r="U1049" s="14"/>
      <c r="V1049" s="15"/>
      <c r="W1049" s="14"/>
      <c r="X1049" s="15"/>
      <c r="Y1049" s="14"/>
      <c r="Z1049" s="15"/>
    </row>
    <row r="1050" spans="1:26" x14ac:dyDescent="0.25">
      <c r="Q1050" s="14"/>
      <c r="R1050" s="15"/>
      <c r="S1050" s="14"/>
      <c r="T1050" s="15"/>
      <c r="U1050" s="14"/>
      <c r="V1050" s="15"/>
      <c r="W1050" s="14"/>
      <c r="X1050" s="15"/>
      <c r="Y1050" s="14"/>
      <c r="Z1050" s="15"/>
    </row>
    <row r="1051" spans="1:26" x14ac:dyDescent="0.25">
      <c r="Q1051" s="14"/>
      <c r="R1051" s="15"/>
      <c r="S1051" s="14"/>
      <c r="T1051" s="15"/>
      <c r="U1051" s="14"/>
      <c r="V1051" s="15"/>
      <c r="W1051" s="14"/>
      <c r="X1051" s="15"/>
      <c r="Y1051" s="14"/>
      <c r="Z1051" s="15"/>
    </row>
    <row r="1052" spans="1:26" x14ac:dyDescent="0.25">
      <c r="Q1052" s="14"/>
      <c r="R1052" s="15"/>
      <c r="S1052" s="14"/>
      <c r="T1052" s="15"/>
      <c r="U1052" s="14"/>
      <c r="V1052" s="15"/>
      <c r="W1052" s="14"/>
      <c r="X1052" s="15"/>
      <c r="Y1052" s="14"/>
      <c r="Z1052" s="15"/>
    </row>
    <row r="1053" spans="1:26" x14ac:dyDescent="0.25">
      <c r="Q1053" s="14"/>
      <c r="R1053" s="15"/>
      <c r="S1053" s="14"/>
      <c r="T1053" s="15"/>
      <c r="U1053" s="14"/>
      <c r="V1053" s="15"/>
      <c r="W1053" s="14"/>
      <c r="X1053" s="15"/>
      <c r="Y1053" s="14"/>
      <c r="Z1053" s="15"/>
    </row>
    <row r="1054" spans="1:26" x14ac:dyDescent="0.25">
      <c r="Q1054" s="14"/>
      <c r="R1054" s="15"/>
      <c r="S1054" s="14"/>
      <c r="T1054" s="15"/>
      <c r="U1054" s="14"/>
      <c r="V1054" s="15"/>
      <c r="W1054" s="14"/>
      <c r="X1054" s="15"/>
      <c r="Y1054" s="14"/>
      <c r="Z1054" s="15"/>
    </row>
    <row r="1055" spans="1:26" x14ac:dyDescent="0.25">
      <c r="Q1055" s="14"/>
      <c r="R1055" s="15"/>
      <c r="S1055" s="14"/>
      <c r="T1055" s="15"/>
      <c r="U1055" s="14"/>
      <c r="V1055" s="15"/>
      <c r="W1055" s="14"/>
      <c r="X1055" s="15"/>
      <c r="Y1055" s="14"/>
      <c r="Z1055" s="15"/>
    </row>
    <row r="1056" spans="1:26" x14ac:dyDescent="0.25">
      <c r="Q1056" s="14"/>
      <c r="R1056" s="15"/>
      <c r="S1056" s="14"/>
      <c r="T1056" s="15"/>
      <c r="U1056" s="14"/>
      <c r="V1056" s="15"/>
      <c r="W1056" s="14"/>
      <c r="X1056" s="15"/>
      <c r="Y1056" s="14"/>
      <c r="Z1056" s="15"/>
    </row>
    <row r="1057" spans="1:26" x14ac:dyDescent="0.25">
      <c r="Q1057" s="14"/>
      <c r="R1057" s="15"/>
      <c r="S1057" s="14"/>
      <c r="T1057" s="15"/>
      <c r="U1057" s="14"/>
      <c r="V1057" s="15"/>
      <c r="W1057" s="14"/>
      <c r="X1057" s="15"/>
      <c r="Y1057" s="14"/>
      <c r="Z1057" s="15"/>
    </row>
    <row r="1058" spans="1:26" x14ac:dyDescent="0.25">
      <c r="Q1058" s="14"/>
      <c r="R1058" s="15"/>
      <c r="S1058" s="14"/>
      <c r="T1058" s="15"/>
      <c r="U1058" s="14"/>
      <c r="V1058" s="15"/>
      <c r="W1058" s="14"/>
      <c r="X1058" s="15"/>
      <c r="Y1058" s="14"/>
      <c r="Z1058" s="15"/>
    </row>
    <row r="1059" spans="1:26" x14ac:dyDescent="0.25">
      <c r="Q1059" s="14"/>
      <c r="R1059" s="15"/>
      <c r="S1059" s="14"/>
      <c r="T1059" s="15"/>
      <c r="U1059" s="14"/>
      <c r="V1059" s="15"/>
      <c r="W1059" s="14"/>
      <c r="X1059" s="15"/>
      <c r="Y1059" s="14"/>
      <c r="Z1059" s="15"/>
    </row>
    <row r="1060" spans="1:26" x14ac:dyDescent="0.25">
      <c r="Q1060" s="14"/>
      <c r="R1060" s="15"/>
      <c r="S1060" s="14"/>
      <c r="T1060" s="15"/>
      <c r="U1060" s="14"/>
      <c r="V1060" s="15"/>
      <c r="W1060" s="14"/>
      <c r="X1060" s="15"/>
      <c r="Y1060" s="14"/>
      <c r="Z1060" s="15"/>
    </row>
    <row r="1061" spans="1:26" x14ac:dyDescent="0.25">
      <c r="Q1061" s="14"/>
      <c r="R1061" s="15"/>
      <c r="S1061" s="14"/>
      <c r="T1061" s="15"/>
      <c r="U1061" s="14"/>
      <c r="V1061" s="15"/>
      <c r="W1061" s="14"/>
      <c r="X1061" s="15"/>
      <c r="Y1061" s="14"/>
      <c r="Z1061" s="15"/>
    </row>
    <row r="1062" spans="1:26" x14ac:dyDescent="0.25">
      <c r="Q1062" s="14"/>
      <c r="R1062" s="15"/>
      <c r="S1062" s="14"/>
      <c r="T1062" s="15"/>
      <c r="U1062" s="14"/>
      <c r="V1062" s="15"/>
      <c r="W1062" s="14"/>
      <c r="X1062" s="15"/>
      <c r="Y1062" s="14"/>
      <c r="Z1062" s="15"/>
    </row>
    <row r="1063" spans="1:26" x14ac:dyDescent="0.25">
      <c r="Q1063" s="14"/>
      <c r="R1063" s="15"/>
      <c r="S1063" s="14"/>
      <c r="T1063" s="15"/>
      <c r="U1063" s="14"/>
      <c r="V1063" s="15"/>
      <c r="W1063" s="14"/>
      <c r="X1063" s="15"/>
      <c r="Y1063" s="14"/>
      <c r="Z1063" s="15"/>
    </row>
    <row r="1064" spans="1:26" x14ac:dyDescent="0.25">
      <c r="Q1064" s="14"/>
      <c r="R1064" s="15"/>
      <c r="S1064" s="14"/>
      <c r="T1064" s="15"/>
      <c r="U1064" s="14"/>
      <c r="V1064" s="15"/>
      <c r="W1064" s="14"/>
      <c r="X1064" s="15"/>
      <c r="Y1064" s="14"/>
      <c r="Z1064" s="15"/>
    </row>
    <row r="1065" spans="1:26" x14ac:dyDescent="0.25">
      <c r="Q1065" s="14"/>
      <c r="R1065" s="15"/>
      <c r="S1065" s="14"/>
      <c r="T1065" s="15"/>
      <c r="U1065" s="14"/>
      <c r="V1065" s="15"/>
      <c r="W1065" s="14"/>
      <c r="X1065" s="15"/>
      <c r="Y1065" s="14"/>
      <c r="Z1065" s="15"/>
    </row>
    <row r="1066" spans="1:26" x14ac:dyDescent="0.25">
      <c r="Q1066" s="14"/>
      <c r="R1066" s="15"/>
      <c r="S1066" s="14"/>
      <c r="T1066" s="15"/>
      <c r="U1066" s="14"/>
      <c r="V1066" s="15"/>
      <c r="W1066" s="14"/>
      <c r="X1066" s="15"/>
      <c r="Y1066" s="14"/>
      <c r="Z1066" s="15"/>
    </row>
    <row r="1067" spans="1:26" x14ac:dyDescent="0.25">
      <c r="Q1067" s="14"/>
      <c r="R1067" s="15"/>
      <c r="S1067" s="14"/>
      <c r="T1067" s="15"/>
      <c r="U1067" s="14"/>
      <c r="V1067" s="15"/>
      <c r="W1067" s="14"/>
      <c r="X1067" s="15"/>
      <c r="Y1067" s="14"/>
      <c r="Z1067" s="15"/>
    </row>
    <row r="1068" spans="1:26" x14ac:dyDescent="0.25">
      <c r="Q1068" s="14"/>
      <c r="R1068" s="15"/>
      <c r="S1068" s="14"/>
      <c r="T1068" s="15"/>
      <c r="U1068" s="14"/>
      <c r="V1068" s="15"/>
      <c r="W1068" s="14"/>
      <c r="X1068" s="15"/>
      <c r="Y1068" s="14"/>
      <c r="Z1068" s="15"/>
    </row>
    <row r="1069" spans="1:26" x14ac:dyDescent="0.25">
      <c r="Q1069" s="14"/>
      <c r="R1069" s="15"/>
      <c r="S1069" s="14"/>
      <c r="T1069" s="15"/>
      <c r="U1069" s="14"/>
      <c r="V1069" s="15"/>
      <c r="W1069" s="14"/>
      <c r="X1069" s="15"/>
      <c r="Y1069" s="14"/>
      <c r="Z1069" s="15"/>
    </row>
    <row r="1070" spans="1:26" x14ac:dyDescent="0.25">
      <c r="Q1070" s="14"/>
      <c r="R1070" s="15"/>
      <c r="S1070" s="14"/>
      <c r="T1070" s="15"/>
      <c r="U1070" s="14"/>
      <c r="V1070" s="15"/>
      <c r="W1070" s="14"/>
      <c r="X1070" s="15"/>
      <c r="Y1070" s="14"/>
      <c r="Z1070" s="15"/>
    </row>
    <row r="1071" spans="1:26" x14ac:dyDescent="0.25">
      <c r="Q1071" s="14"/>
      <c r="R1071" s="15"/>
      <c r="S1071" s="14"/>
      <c r="T1071" s="15"/>
      <c r="U1071" s="14"/>
      <c r="V1071" s="15"/>
      <c r="W1071" s="14"/>
      <c r="X1071" s="15"/>
      <c r="Y1071" s="14"/>
      <c r="Z1071" s="15"/>
    </row>
    <row r="1072" spans="1:26" x14ac:dyDescent="0.25">
      <c r="Q1072" s="14"/>
      <c r="R1072" s="15"/>
      <c r="S1072" s="14"/>
      <c r="T1072" s="15"/>
      <c r="U1072" s="14"/>
      <c r="V1072" s="15"/>
      <c r="W1072" s="14"/>
      <c r="X1072" s="15"/>
      <c r="Y1072" s="14"/>
      <c r="Z1072" s="15"/>
    </row>
    <row r="1073" spans="1:26" x14ac:dyDescent="0.25">
      <c r="Q1073" s="14"/>
      <c r="R1073" s="15"/>
      <c r="S1073" s="14"/>
      <c r="T1073" s="15"/>
      <c r="U1073" s="14"/>
      <c r="V1073" s="15"/>
      <c r="W1073" s="14"/>
      <c r="X1073" s="15"/>
      <c r="Y1073" s="14"/>
      <c r="Z1073" s="15"/>
    </row>
    <row r="1074" spans="1:26" x14ac:dyDescent="0.25">
      <c r="Q1074" s="14"/>
      <c r="R1074" s="15"/>
      <c r="S1074" s="14"/>
      <c r="T1074" s="15"/>
      <c r="U1074" s="14"/>
      <c r="V1074" s="15"/>
      <c r="W1074" s="14"/>
      <c r="X1074" s="15"/>
      <c r="Y1074" s="14"/>
      <c r="Z1074" s="15"/>
    </row>
    <row r="1075" spans="1:26" x14ac:dyDescent="0.25">
      <c r="Q1075" s="14"/>
      <c r="R1075" s="15"/>
      <c r="S1075" s="14"/>
      <c r="T1075" s="15"/>
      <c r="U1075" s="14"/>
      <c r="V1075" s="15"/>
      <c r="W1075" s="14"/>
      <c r="X1075" s="15"/>
      <c r="Y1075" s="14"/>
      <c r="Z1075" s="15"/>
    </row>
    <row r="1076" spans="1:26" x14ac:dyDescent="0.25">
      <c r="Q1076" s="14"/>
      <c r="R1076" s="15"/>
      <c r="S1076" s="14"/>
      <c r="T1076" s="15"/>
      <c r="U1076" s="14"/>
      <c r="V1076" s="15"/>
      <c r="W1076" s="14"/>
      <c r="X1076" s="15"/>
      <c r="Y1076" s="14"/>
      <c r="Z1076" s="15"/>
    </row>
    <row r="1077" spans="1:26" x14ac:dyDescent="0.25">
      <c r="Q1077" s="14"/>
      <c r="R1077" s="15"/>
      <c r="S1077" s="14"/>
      <c r="T1077" s="15"/>
      <c r="U1077" s="14"/>
      <c r="V1077" s="15"/>
      <c r="W1077" s="14"/>
      <c r="X1077" s="15"/>
      <c r="Y1077" s="14"/>
      <c r="Z1077" s="15"/>
    </row>
    <row r="1078" spans="1:26" x14ac:dyDescent="0.25">
      <c r="Q1078" s="14"/>
      <c r="R1078" s="15"/>
      <c r="S1078" s="14"/>
      <c r="T1078" s="15"/>
      <c r="U1078" s="14"/>
      <c r="V1078" s="15"/>
      <c r="W1078" s="14"/>
      <c r="X1078" s="15"/>
      <c r="Y1078" s="14"/>
      <c r="Z1078" s="15"/>
    </row>
    <row r="1079" spans="1:26" x14ac:dyDescent="0.25">
      <c r="Q1079" s="14"/>
      <c r="R1079" s="15"/>
      <c r="S1079" s="14"/>
      <c r="T1079" s="15"/>
      <c r="U1079" s="14"/>
      <c r="V1079" s="15"/>
      <c r="W1079" s="14"/>
      <c r="X1079" s="15"/>
      <c r="Y1079" s="14"/>
      <c r="Z1079" s="15"/>
    </row>
    <row r="1080" spans="1:26" x14ac:dyDescent="0.25">
      <c r="Q1080" s="14"/>
      <c r="R1080" s="15"/>
      <c r="S1080" s="14"/>
      <c r="T1080" s="15"/>
      <c r="U1080" s="14"/>
      <c r="V1080" s="15"/>
      <c r="W1080" s="14"/>
      <c r="X1080" s="15"/>
      <c r="Y1080" s="14"/>
      <c r="Z1080" s="15"/>
    </row>
    <row r="1081" spans="1:26" x14ac:dyDescent="0.25">
      <c r="Q1081" s="14"/>
      <c r="R1081" s="15"/>
      <c r="S1081" s="14"/>
      <c r="T1081" s="15"/>
      <c r="U1081" s="14"/>
      <c r="V1081" s="15"/>
      <c r="W1081" s="14"/>
      <c r="X1081" s="15"/>
      <c r="Y1081" s="14"/>
      <c r="Z1081" s="15"/>
    </row>
    <row r="1082" spans="1:26" x14ac:dyDescent="0.25">
      <c r="Q1082" s="14"/>
      <c r="R1082" s="15"/>
      <c r="S1082" s="14"/>
      <c r="T1082" s="15"/>
      <c r="U1082" s="14"/>
      <c r="V1082" s="15"/>
      <c r="W1082" s="14"/>
      <c r="X1082" s="15"/>
      <c r="Y1082" s="14"/>
      <c r="Z1082" s="15"/>
    </row>
    <row r="1083" spans="1:26" x14ac:dyDescent="0.25">
      <c r="Q1083" s="14"/>
      <c r="R1083" s="15"/>
      <c r="S1083" s="14"/>
      <c r="T1083" s="15"/>
      <c r="U1083" s="14"/>
      <c r="V1083" s="15"/>
      <c r="W1083" s="14"/>
      <c r="X1083" s="15"/>
      <c r="Y1083" s="14"/>
      <c r="Z1083" s="15"/>
    </row>
    <row r="1084" spans="1:26" x14ac:dyDescent="0.25">
      <c r="Q1084" s="14"/>
      <c r="R1084" s="15"/>
      <c r="S1084" s="14"/>
      <c r="T1084" s="15"/>
      <c r="U1084" s="14"/>
      <c r="V1084" s="15"/>
      <c r="W1084" s="14"/>
      <c r="X1084" s="15"/>
      <c r="Y1084" s="14"/>
      <c r="Z1084" s="15"/>
    </row>
    <row r="1085" spans="1:26" x14ac:dyDescent="0.25">
      <c r="Q1085" s="14"/>
      <c r="R1085" s="15"/>
      <c r="S1085" s="14"/>
      <c r="T1085" s="15"/>
      <c r="U1085" s="14"/>
      <c r="V1085" s="15"/>
      <c r="W1085" s="14"/>
      <c r="X1085" s="15"/>
      <c r="Y1085" s="14"/>
      <c r="Z1085" s="15"/>
    </row>
    <row r="1086" spans="1:26" x14ac:dyDescent="0.25">
      <c r="Q1086" s="14"/>
      <c r="R1086" s="15"/>
      <c r="S1086" s="14"/>
      <c r="T1086" s="15"/>
      <c r="U1086" s="14"/>
      <c r="V1086" s="15"/>
      <c r="W1086" s="14"/>
      <c r="X1086" s="15"/>
      <c r="Y1086" s="14"/>
      <c r="Z1086" s="15"/>
    </row>
    <row r="1087" spans="1:26" x14ac:dyDescent="0.25">
      <c r="Q1087" s="14"/>
      <c r="R1087" s="15"/>
      <c r="S1087" s="14"/>
      <c r="T1087" s="15"/>
      <c r="U1087" s="14"/>
      <c r="V1087" s="15"/>
      <c r="W1087" s="14"/>
      <c r="X1087" s="15"/>
      <c r="Y1087" s="14"/>
      <c r="Z1087" s="15"/>
    </row>
    <row r="1088" spans="1:26" x14ac:dyDescent="0.25">
      <c r="Q1088" s="14"/>
      <c r="R1088" s="15"/>
      <c r="S1088" s="14"/>
      <c r="T1088" s="15"/>
      <c r="U1088" s="14"/>
      <c r="V1088" s="15"/>
      <c r="W1088" s="14"/>
      <c r="X1088" s="15"/>
      <c r="Y1088" s="14"/>
      <c r="Z1088" s="15"/>
    </row>
    <row r="1089" spans="1:26" x14ac:dyDescent="0.25">
      <c r="Q1089" s="14"/>
      <c r="R1089" s="15"/>
      <c r="S1089" s="14"/>
      <c r="T1089" s="15"/>
      <c r="U1089" s="14"/>
      <c r="V1089" s="15"/>
      <c r="W1089" s="14"/>
      <c r="X1089" s="15"/>
      <c r="Y1089" s="14"/>
      <c r="Z1089" s="15"/>
    </row>
    <row r="1090" spans="1:26" x14ac:dyDescent="0.25">
      <c r="Q1090" s="14"/>
      <c r="R1090" s="15"/>
      <c r="S1090" s="14"/>
      <c r="T1090" s="15"/>
      <c r="U1090" s="14"/>
      <c r="V1090" s="15"/>
      <c r="W1090" s="14"/>
      <c r="X1090" s="15"/>
      <c r="Y1090" s="14"/>
      <c r="Z1090" s="15"/>
    </row>
    <row r="1091" spans="1:26" x14ac:dyDescent="0.25">
      <c r="Q1091" s="14"/>
      <c r="R1091" s="15"/>
      <c r="S1091" s="14"/>
      <c r="T1091" s="15"/>
      <c r="U1091" s="14"/>
      <c r="V1091" s="15"/>
      <c r="W1091" s="14"/>
      <c r="X1091" s="15"/>
      <c r="Y1091" s="14"/>
      <c r="Z1091" s="15"/>
    </row>
    <row r="1092" spans="1:26" x14ac:dyDescent="0.25">
      <c r="Q1092" s="14"/>
      <c r="R1092" s="15"/>
      <c r="S1092" s="14"/>
      <c r="T1092" s="15"/>
      <c r="U1092" s="14"/>
      <c r="V1092" s="15"/>
      <c r="W1092" s="14"/>
      <c r="X1092" s="15"/>
      <c r="Y1092" s="14"/>
      <c r="Z1092" s="15"/>
    </row>
    <row r="1093" spans="1:26" x14ac:dyDescent="0.25">
      <c r="Q1093" s="14"/>
      <c r="R1093" s="15"/>
      <c r="S1093" s="14"/>
      <c r="T1093" s="15"/>
      <c r="U1093" s="14"/>
      <c r="V1093" s="15"/>
      <c r="W1093" s="14"/>
      <c r="X1093" s="15"/>
      <c r="Y1093" s="14"/>
      <c r="Z1093" s="15"/>
    </row>
    <row r="1094" spans="1:26" x14ac:dyDescent="0.25">
      <c r="Q1094" s="14"/>
      <c r="R1094" s="15"/>
      <c r="S1094" s="14"/>
      <c r="T1094" s="15"/>
      <c r="U1094" s="14"/>
      <c r="V1094" s="15"/>
      <c r="W1094" s="14"/>
      <c r="X1094" s="15"/>
      <c r="Y1094" s="14"/>
      <c r="Z1094" s="15"/>
    </row>
    <row r="1095" spans="1:26" x14ac:dyDescent="0.25">
      <c r="Q1095" s="14"/>
      <c r="R1095" s="15"/>
      <c r="S1095" s="14"/>
      <c r="T1095" s="15"/>
      <c r="U1095" s="14"/>
      <c r="V1095" s="15"/>
      <c r="W1095" s="14"/>
      <c r="X1095" s="15"/>
      <c r="Y1095" s="14"/>
      <c r="Z1095" s="15"/>
    </row>
    <row r="1096" spans="1:26" x14ac:dyDescent="0.25">
      <c r="Q1096" s="14"/>
      <c r="R1096" s="15"/>
      <c r="S1096" s="14"/>
      <c r="T1096" s="15"/>
      <c r="U1096" s="14"/>
      <c r="V1096" s="15"/>
      <c r="W1096" s="14"/>
      <c r="X1096" s="15"/>
      <c r="Y1096" s="14"/>
      <c r="Z1096" s="15"/>
    </row>
    <row r="1097" spans="1:26" x14ac:dyDescent="0.25">
      <c r="Q1097" s="14"/>
      <c r="R1097" s="15"/>
      <c r="S1097" s="14"/>
      <c r="T1097" s="15"/>
      <c r="U1097" s="14"/>
      <c r="V1097" s="15"/>
      <c r="W1097" s="14"/>
      <c r="X1097" s="15"/>
      <c r="Y1097" s="14"/>
      <c r="Z1097" s="15"/>
    </row>
    <row r="1098" spans="1:26" x14ac:dyDescent="0.25">
      <c r="Q1098" s="14"/>
      <c r="R1098" s="15"/>
      <c r="S1098" s="14"/>
      <c r="T1098" s="15"/>
      <c r="U1098" s="14"/>
      <c r="V1098" s="15"/>
      <c r="W1098" s="14"/>
      <c r="X1098" s="15"/>
      <c r="Y1098" s="14"/>
      <c r="Z1098" s="15"/>
    </row>
    <row r="1099" spans="1:26" x14ac:dyDescent="0.25">
      <c r="Q1099" s="14"/>
      <c r="R1099" s="15"/>
      <c r="S1099" s="14"/>
      <c r="T1099" s="15"/>
      <c r="U1099" s="14"/>
      <c r="V1099" s="15"/>
      <c r="W1099" s="14"/>
      <c r="X1099" s="15"/>
      <c r="Y1099" s="14"/>
      <c r="Z1099" s="15"/>
    </row>
    <row r="1100" spans="1:26" x14ac:dyDescent="0.25">
      <c r="Q1100" s="14"/>
      <c r="R1100" s="15"/>
      <c r="S1100" s="14"/>
      <c r="T1100" s="15"/>
      <c r="U1100" s="14"/>
      <c r="V1100" s="15"/>
      <c r="W1100" s="14"/>
      <c r="X1100" s="15"/>
      <c r="Y1100" s="14"/>
      <c r="Z1100" s="15"/>
    </row>
    <row r="1101" spans="1:26" x14ac:dyDescent="0.25">
      <c r="Q1101" s="14"/>
      <c r="R1101" s="15"/>
      <c r="S1101" s="14"/>
      <c r="T1101" s="15"/>
      <c r="U1101" s="14"/>
      <c r="V1101" s="15"/>
      <c r="W1101" s="14"/>
      <c r="X1101" s="15"/>
      <c r="Y1101" s="14"/>
      <c r="Z1101" s="15"/>
    </row>
    <row r="1102" spans="1:26" x14ac:dyDescent="0.25">
      <c r="Q1102" s="14"/>
      <c r="R1102" s="15"/>
      <c r="S1102" s="14"/>
      <c r="T1102" s="15"/>
      <c r="U1102" s="14"/>
      <c r="V1102" s="15"/>
      <c r="W1102" s="14"/>
      <c r="X1102" s="15"/>
      <c r="Y1102" s="14"/>
      <c r="Z1102" s="15"/>
    </row>
    <row r="1103" spans="1:26" x14ac:dyDescent="0.25">
      <c r="Q1103" s="14"/>
      <c r="R1103" s="15"/>
      <c r="S1103" s="14"/>
      <c r="T1103" s="15"/>
      <c r="U1103" s="14"/>
      <c r="V1103" s="15"/>
      <c r="W1103" s="14"/>
      <c r="X1103" s="15"/>
      <c r="Y1103" s="14"/>
      <c r="Z1103" s="15"/>
    </row>
    <row r="1104" spans="1:26" x14ac:dyDescent="0.25">
      <c r="Q1104" s="14"/>
      <c r="R1104" s="15"/>
      <c r="S1104" s="14"/>
      <c r="T1104" s="15"/>
      <c r="U1104" s="14"/>
      <c r="V1104" s="15"/>
      <c r="W1104" s="14"/>
      <c r="X1104" s="15"/>
      <c r="Y1104" s="14"/>
      <c r="Z1104" s="15"/>
    </row>
    <row r="1105" spans="1:26" x14ac:dyDescent="0.25">
      <c r="Q1105" s="14"/>
      <c r="R1105" s="15"/>
      <c r="S1105" s="14"/>
      <c r="T1105" s="15"/>
      <c r="U1105" s="14"/>
      <c r="V1105" s="15"/>
      <c r="W1105" s="14"/>
      <c r="X1105" s="15"/>
      <c r="Y1105" s="14"/>
      <c r="Z1105" s="15"/>
    </row>
    <row r="1106" spans="1:26" x14ac:dyDescent="0.25">
      <c r="Q1106" s="14"/>
      <c r="R1106" s="15"/>
      <c r="S1106" s="14"/>
      <c r="T1106" s="15"/>
      <c r="U1106" s="14"/>
      <c r="V1106" s="15"/>
      <c r="W1106" s="14"/>
      <c r="X1106" s="15"/>
      <c r="Y1106" s="14"/>
      <c r="Z1106" s="15"/>
    </row>
    <row r="1107" spans="1:26" x14ac:dyDescent="0.25">
      <c r="Q1107" s="14"/>
      <c r="R1107" s="15"/>
      <c r="S1107" s="14"/>
      <c r="T1107" s="15"/>
      <c r="U1107" s="14"/>
      <c r="V1107" s="15"/>
      <c r="W1107" s="14"/>
      <c r="X1107" s="15"/>
      <c r="Y1107" s="14"/>
      <c r="Z1107" s="15"/>
    </row>
    <row r="1108" spans="1:26" x14ac:dyDescent="0.25">
      <c r="Q1108" s="14"/>
      <c r="R1108" s="15"/>
      <c r="S1108" s="14"/>
      <c r="T1108" s="15"/>
      <c r="U1108" s="14"/>
      <c r="V1108" s="15"/>
      <c r="W1108" s="14"/>
      <c r="X1108" s="15"/>
      <c r="Y1108" s="14"/>
      <c r="Z1108" s="15"/>
    </row>
    <row r="1109" spans="1:26" x14ac:dyDescent="0.25">
      <c r="Q1109" s="14"/>
      <c r="R1109" s="15"/>
      <c r="S1109" s="14"/>
      <c r="T1109" s="15"/>
      <c r="U1109" s="14"/>
      <c r="V1109" s="15"/>
      <c r="W1109" s="14"/>
      <c r="X1109" s="15"/>
      <c r="Y1109" s="14"/>
      <c r="Z1109" s="15"/>
    </row>
    <row r="1110" spans="1:26" x14ac:dyDescent="0.25">
      <c r="Q1110" s="14"/>
      <c r="R1110" s="15"/>
      <c r="S1110" s="14"/>
      <c r="T1110" s="15"/>
      <c r="U1110" s="14"/>
      <c r="V1110" s="15"/>
      <c r="W1110" s="14"/>
      <c r="X1110" s="15"/>
      <c r="Y1110" s="14"/>
      <c r="Z1110" s="15"/>
    </row>
    <row r="1111" spans="1:26" x14ac:dyDescent="0.25">
      <c r="Q1111" s="14"/>
      <c r="R1111" s="15"/>
      <c r="S1111" s="14"/>
      <c r="T1111" s="15"/>
      <c r="U1111" s="14"/>
      <c r="V1111" s="15"/>
      <c r="W1111" s="14"/>
      <c r="X1111" s="15"/>
      <c r="Y1111" s="14"/>
      <c r="Z1111" s="15"/>
    </row>
    <row r="1112" spans="1:26" x14ac:dyDescent="0.25">
      <c r="Q1112" s="14"/>
      <c r="R1112" s="15"/>
      <c r="S1112" s="14"/>
      <c r="T1112" s="15"/>
      <c r="U1112" s="14"/>
      <c r="V1112" s="15"/>
      <c r="W1112" s="14"/>
      <c r="X1112" s="15"/>
      <c r="Y1112" s="14"/>
      <c r="Z1112" s="15"/>
    </row>
    <row r="1113" spans="1:26" x14ac:dyDescent="0.25">
      <c r="Q1113" s="14"/>
      <c r="R1113" s="15"/>
      <c r="S1113" s="14"/>
      <c r="T1113" s="15"/>
      <c r="U1113" s="14"/>
      <c r="V1113" s="15"/>
      <c r="W1113" s="14"/>
      <c r="X1113" s="15"/>
      <c r="Y1113" s="14"/>
      <c r="Z1113" s="15"/>
    </row>
    <row r="1114" spans="1:26" x14ac:dyDescent="0.25">
      <c r="Q1114" s="14"/>
      <c r="R1114" s="15"/>
      <c r="S1114" s="14"/>
      <c r="T1114" s="15"/>
      <c r="U1114" s="14"/>
      <c r="V1114" s="15"/>
      <c r="W1114" s="14"/>
      <c r="X1114" s="15"/>
      <c r="Y1114" s="14"/>
      <c r="Z1114" s="15"/>
    </row>
    <row r="1115" spans="1:26" x14ac:dyDescent="0.25">
      <c r="Q1115" s="14"/>
      <c r="R1115" s="15"/>
      <c r="S1115" s="14"/>
      <c r="T1115" s="15"/>
      <c r="U1115" s="14"/>
      <c r="V1115" s="15"/>
      <c r="W1115" s="14"/>
      <c r="X1115" s="15"/>
      <c r="Y1115" s="14"/>
      <c r="Z1115" s="15"/>
    </row>
    <row r="1116" spans="1:26" x14ac:dyDescent="0.25">
      <c r="Q1116" s="14"/>
      <c r="R1116" s="15"/>
      <c r="S1116" s="14"/>
      <c r="T1116" s="15"/>
      <c r="U1116" s="14"/>
      <c r="V1116" s="15"/>
      <c r="W1116" s="14"/>
      <c r="X1116" s="15"/>
      <c r="Y1116" s="14"/>
      <c r="Z1116" s="15"/>
    </row>
    <row r="1117" spans="1:26" x14ac:dyDescent="0.25">
      <c r="Q1117" s="14"/>
      <c r="R1117" s="15"/>
      <c r="S1117" s="14"/>
      <c r="T1117" s="15"/>
      <c r="U1117" s="14"/>
      <c r="V1117" s="15"/>
      <c r="W1117" s="14"/>
      <c r="X1117" s="15"/>
      <c r="Y1117" s="14"/>
      <c r="Z1117" s="15"/>
    </row>
    <row r="1118" spans="1:26" x14ac:dyDescent="0.25">
      <c r="Q1118" s="14"/>
      <c r="R1118" s="15"/>
      <c r="S1118" s="14"/>
      <c r="T1118" s="15"/>
      <c r="U1118" s="14"/>
      <c r="V1118" s="15"/>
      <c r="W1118" s="14"/>
      <c r="X1118" s="15"/>
      <c r="Y1118" s="14"/>
      <c r="Z1118" s="15"/>
    </row>
    <row r="1119" spans="1:26" x14ac:dyDescent="0.25">
      <c r="Q1119" s="14"/>
      <c r="R1119" s="15"/>
      <c r="S1119" s="14"/>
      <c r="T1119" s="15"/>
      <c r="U1119" s="14"/>
      <c r="V1119" s="15"/>
      <c r="W1119" s="14"/>
      <c r="X1119" s="15"/>
      <c r="Y1119" s="14"/>
      <c r="Z1119" s="15"/>
    </row>
    <row r="1120" spans="1:26" x14ac:dyDescent="0.25">
      <c r="Q1120" s="14"/>
      <c r="R1120" s="15"/>
      <c r="S1120" s="14"/>
      <c r="T1120" s="15"/>
      <c r="U1120" s="14"/>
      <c r="V1120" s="15"/>
      <c r="W1120" s="14"/>
      <c r="X1120" s="15"/>
      <c r="Y1120" s="14"/>
      <c r="Z1120" s="15"/>
    </row>
    <row r="1121" spans="1:26" x14ac:dyDescent="0.25">
      <c r="Q1121" s="14"/>
      <c r="R1121" s="15"/>
      <c r="S1121" s="14"/>
      <c r="T1121" s="15"/>
      <c r="U1121" s="14"/>
      <c r="V1121" s="15"/>
      <c r="W1121" s="14"/>
      <c r="X1121" s="15"/>
      <c r="Y1121" s="14"/>
      <c r="Z1121" s="15"/>
    </row>
    <row r="1122" spans="1:26" x14ac:dyDescent="0.25">
      <c r="Q1122" s="14"/>
      <c r="R1122" s="15"/>
      <c r="S1122" s="14"/>
      <c r="T1122" s="15"/>
      <c r="U1122" s="14"/>
      <c r="V1122" s="15"/>
      <c r="W1122" s="14"/>
      <c r="X1122" s="15"/>
      <c r="Y1122" s="14"/>
      <c r="Z1122" s="15"/>
    </row>
    <row r="1123" spans="1:26" x14ac:dyDescent="0.25">
      <c r="Q1123" s="14"/>
      <c r="R1123" s="15"/>
      <c r="S1123" s="14"/>
      <c r="T1123" s="15"/>
      <c r="U1123" s="14"/>
      <c r="V1123" s="15"/>
      <c r="W1123" s="14"/>
      <c r="X1123" s="15"/>
      <c r="Y1123" s="14"/>
      <c r="Z1123" s="15"/>
    </row>
    <row r="1124" spans="1:26" x14ac:dyDescent="0.25">
      <c r="Q1124" s="14"/>
      <c r="R1124" s="15"/>
      <c r="S1124" s="14"/>
      <c r="T1124" s="15"/>
      <c r="U1124" s="14"/>
      <c r="V1124" s="15"/>
      <c r="W1124" s="14"/>
      <c r="X1124" s="15"/>
      <c r="Y1124" s="14"/>
      <c r="Z1124" s="15"/>
    </row>
    <row r="1125" spans="1:26" x14ac:dyDescent="0.25">
      <c r="Q1125" s="14"/>
      <c r="R1125" s="15"/>
      <c r="S1125" s="14"/>
      <c r="T1125" s="15"/>
      <c r="U1125" s="14"/>
      <c r="V1125" s="15"/>
      <c r="W1125" s="14"/>
      <c r="X1125" s="15"/>
      <c r="Y1125" s="14"/>
      <c r="Z1125" s="15"/>
    </row>
    <row r="1126" spans="1:26" x14ac:dyDescent="0.25">
      <c r="Q1126" s="14"/>
      <c r="R1126" s="15"/>
      <c r="S1126" s="14"/>
      <c r="T1126" s="15"/>
      <c r="U1126" s="14"/>
      <c r="V1126" s="15"/>
      <c r="W1126" s="14"/>
      <c r="X1126" s="15"/>
      <c r="Y1126" s="14"/>
      <c r="Z1126" s="15"/>
    </row>
    <row r="1127" spans="1:26" x14ac:dyDescent="0.25">
      <c r="Q1127" s="14"/>
      <c r="R1127" s="15"/>
      <c r="S1127" s="14"/>
      <c r="T1127" s="15"/>
      <c r="U1127" s="14"/>
      <c r="V1127" s="15"/>
      <c r="W1127" s="14"/>
      <c r="X1127" s="15"/>
      <c r="Y1127" s="14"/>
      <c r="Z1127" s="15"/>
    </row>
    <row r="1128" spans="1:26" x14ac:dyDescent="0.25">
      <c r="Q1128" s="14"/>
      <c r="R1128" s="15"/>
      <c r="S1128" s="14"/>
      <c r="T1128" s="15"/>
      <c r="U1128" s="14"/>
      <c r="V1128" s="15"/>
      <c r="W1128" s="14"/>
      <c r="X1128" s="15"/>
      <c r="Y1128" s="14"/>
      <c r="Z1128" s="15"/>
    </row>
    <row r="1129" spans="1:26" x14ac:dyDescent="0.25">
      <c r="Q1129" s="14"/>
      <c r="R1129" s="15"/>
      <c r="S1129" s="14"/>
      <c r="T1129" s="15"/>
      <c r="U1129" s="14"/>
      <c r="V1129" s="15"/>
      <c r="W1129" s="14"/>
      <c r="X1129" s="15"/>
      <c r="Y1129" s="14"/>
      <c r="Z1129" s="15"/>
    </row>
    <row r="1130" spans="1:26" x14ac:dyDescent="0.25">
      <c r="Q1130" s="14"/>
      <c r="R1130" s="15"/>
      <c r="S1130" s="14"/>
      <c r="T1130" s="15"/>
      <c r="U1130" s="14"/>
      <c r="V1130" s="15"/>
      <c r="W1130" s="14"/>
      <c r="X1130" s="15"/>
      <c r="Y1130" s="14"/>
      <c r="Z1130" s="15"/>
    </row>
    <row r="1131" spans="1:26" x14ac:dyDescent="0.25">
      <c r="Q1131" s="14"/>
      <c r="R1131" s="15"/>
      <c r="S1131" s="14"/>
      <c r="T1131" s="15"/>
      <c r="U1131" s="14"/>
      <c r="V1131" s="15"/>
      <c r="W1131" s="14"/>
      <c r="X1131" s="15"/>
      <c r="Y1131" s="14"/>
      <c r="Z1131" s="15"/>
    </row>
    <row r="1132" spans="1:26" x14ac:dyDescent="0.25">
      <c r="Q1132" s="14"/>
      <c r="R1132" s="15"/>
      <c r="S1132" s="14"/>
      <c r="T1132" s="15"/>
      <c r="U1132" s="14"/>
      <c r="V1132" s="15"/>
      <c r="W1132" s="14"/>
      <c r="X1132" s="15"/>
      <c r="Y1132" s="14"/>
      <c r="Z1132" s="15"/>
    </row>
    <row r="1133" spans="1:26" x14ac:dyDescent="0.25">
      <c r="Q1133" s="14"/>
      <c r="R1133" s="15"/>
      <c r="S1133" s="14"/>
      <c r="T1133" s="15"/>
      <c r="U1133" s="14"/>
      <c r="V1133" s="15"/>
      <c r="W1133" s="14"/>
      <c r="X1133" s="15"/>
      <c r="Y1133" s="14"/>
      <c r="Z1133" s="15"/>
    </row>
    <row r="1134" spans="1:26" x14ac:dyDescent="0.25">
      <c r="Q1134" s="14"/>
      <c r="R1134" s="15"/>
      <c r="S1134" s="14"/>
      <c r="T1134" s="15"/>
      <c r="U1134" s="14"/>
      <c r="V1134" s="15"/>
      <c r="W1134" s="14"/>
      <c r="X1134" s="15"/>
      <c r="Y1134" s="14"/>
      <c r="Z1134" s="15"/>
    </row>
    <row r="1135" spans="1:26" x14ac:dyDescent="0.25">
      <c r="Q1135" s="14"/>
      <c r="R1135" s="15"/>
      <c r="S1135" s="14"/>
      <c r="T1135" s="15"/>
      <c r="U1135" s="14"/>
      <c r="V1135" s="15"/>
      <c r="W1135" s="14"/>
      <c r="X1135" s="15"/>
      <c r="Y1135" s="14"/>
      <c r="Z1135" s="15"/>
    </row>
    <row r="1136" spans="1:26" x14ac:dyDescent="0.25">
      <c r="Q1136" s="14"/>
      <c r="R1136" s="15"/>
      <c r="S1136" s="14"/>
      <c r="T1136" s="15"/>
      <c r="U1136" s="14"/>
      <c r="V1136" s="15"/>
      <c r="W1136" s="14"/>
      <c r="X1136" s="15"/>
      <c r="Y1136" s="14"/>
      <c r="Z1136" s="15"/>
    </row>
    <row r="1137" spans="1:26" x14ac:dyDescent="0.25">
      <c r="Q1137" s="14"/>
      <c r="R1137" s="15"/>
      <c r="S1137" s="14"/>
      <c r="T1137" s="15"/>
      <c r="U1137" s="14"/>
      <c r="V1137" s="15"/>
      <c r="W1137" s="14"/>
      <c r="X1137" s="15"/>
      <c r="Y1137" s="14"/>
      <c r="Z1137" s="15"/>
    </row>
    <row r="1138" spans="1:26" x14ac:dyDescent="0.25">
      <c r="Q1138" s="14"/>
      <c r="R1138" s="15"/>
      <c r="S1138" s="14"/>
      <c r="T1138" s="15"/>
      <c r="U1138" s="14"/>
      <c r="V1138" s="15"/>
      <c r="W1138" s="14"/>
      <c r="X1138" s="15"/>
      <c r="Y1138" s="14"/>
      <c r="Z1138" s="15"/>
    </row>
    <row r="1139" spans="1:26" x14ac:dyDescent="0.25">
      <c r="Q1139" s="14"/>
      <c r="R1139" s="15"/>
      <c r="S1139" s="14"/>
      <c r="T1139" s="15"/>
      <c r="U1139" s="14"/>
      <c r="V1139" s="15"/>
      <c r="W1139" s="14"/>
      <c r="X1139" s="15"/>
      <c r="Y1139" s="14"/>
      <c r="Z1139" s="15"/>
    </row>
    <row r="1140" spans="1:26" x14ac:dyDescent="0.25">
      <c r="Q1140" s="14"/>
      <c r="R1140" s="15"/>
      <c r="S1140" s="14"/>
      <c r="T1140" s="15"/>
      <c r="U1140" s="14"/>
      <c r="V1140" s="15"/>
      <c r="W1140" s="14"/>
      <c r="X1140" s="15"/>
      <c r="Y1140" s="14"/>
      <c r="Z1140" s="15"/>
    </row>
    <row r="1141" spans="1:26" x14ac:dyDescent="0.25">
      <c r="Q1141" s="14"/>
      <c r="R1141" s="15"/>
      <c r="S1141" s="14"/>
      <c r="T1141" s="15"/>
      <c r="U1141" s="14"/>
      <c r="V1141" s="15"/>
      <c r="W1141" s="14"/>
      <c r="X1141" s="15"/>
      <c r="Y1141" s="14"/>
      <c r="Z1141" s="15"/>
    </row>
    <row r="1142" spans="1:26" x14ac:dyDescent="0.25">
      <c r="Q1142" s="14"/>
      <c r="R1142" s="15"/>
      <c r="S1142" s="14"/>
      <c r="T1142" s="15"/>
      <c r="U1142" s="14"/>
      <c r="V1142" s="15"/>
      <c r="W1142" s="14"/>
      <c r="X1142" s="15"/>
      <c r="Y1142" s="14"/>
      <c r="Z1142" s="15"/>
    </row>
    <row r="1143" spans="1:26" x14ac:dyDescent="0.25">
      <c r="Q1143" s="14"/>
      <c r="R1143" s="15"/>
      <c r="S1143" s="14"/>
      <c r="T1143" s="15"/>
      <c r="U1143" s="14"/>
      <c r="V1143" s="15"/>
      <c r="W1143" s="14"/>
      <c r="X1143" s="15"/>
      <c r="Y1143" s="14"/>
      <c r="Z1143" s="15"/>
    </row>
    <row r="1144" spans="1:26" x14ac:dyDescent="0.25">
      <c r="Q1144" s="14"/>
      <c r="R1144" s="15"/>
      <c r="S1144" s="14"/>
      <c r="T1144" s="15"/>
      <c r="U1144" s="14"/>
      <c r="V1144" s="15"/>
      <c r="W1144" s="14"/>
      <c r="X1144" s="15"/>
      <c r="Y1144" s="14"/>
      <c r="Z1144" s="15"/>
    </row>
    <row r="1145" spans="1:26" x14ac:dyDescent="0.25">
      <c r="Q1145" s="14"/>
      <c r="R1145" s="15"/>
      <c r="S1145" s="14"/>
      <c r="T1145" s="15"/>
      <c r="U1145" s="14"/>
      <c r="V1145" s="15"/>
      <c r="W1145" s="14"/>
      <c r="X1145" s="15"/>
      <c r="Y1145" s="14"/>
      <c r="Z1145" s="15"/>
    </row>
    <row r="1146" spans="1:26" x14ac:dyDescent="0.25">
      <c r="Q1146" s="14"/>
      <c r="R1146" s="15"/>
      <c r="S1146" s="14"/>
      <c r="T1146" s="15"/>
      <c r="U1146" s="14"/>
      <c r="V1146" s="15"/>
      <c r="W1146" s="14"/>
      <c r="X1146" s="15"/>
      <c r="Y1146" s="14"/>
      <c r="Z1146" s="15"/>
    </row>
    <row r="1147" spans="1:26" x14ac:dyDescent="0.25">
      <c r="Q1147" s="14"/>
      <c r="R1147" s="15"/>
      <c r="S1147" s="14"/>
      <c r="T1147" s="15"/>
      <c r="U1147" s="14"/>
      <c r="V1147" s="15"/>
      <c r="W1147" s="14"/>
      <c r="X1147" s="15"/>
      <c r="Y1147" s="14"/>
      <c r="Z1147" s="15"/>
    </row>
    <row r="1148" spans="1:26" x14ac:dyDescent="0.25">
      <c r="Q1148" s="14"/>
      <c r="R1148" s="15"/>
      <c r="S1148" s="14"/>
      <c r="T1148" s="15"/>
      <c r="U1148" s="14"/>
      <c r="V1148" s="15"/>
      <c r="W1148" s="14"/>
      <c r="X1148" s="15"/>
      <c r="Y1148" s="14"/>
      <c r="Z1148" s="15"/>
    </row>
    <row r="1149" spans="1:26" x14ac:dyDescent="0.25">
      <c r="Q1149" s="14"/>
      <c r="R1149" s="15"/>
      <c r="S1149" s="14"/>
      <c r="T1149" s="15"/>
      <c r="U1149" s="14"/>
      <c r="V1149" s="15"/>
      <c r="W1149" s="14"/>
      <c r="X1149" s="15"/>
      <c r="Y1149" s="14"/>
      <c r="Z1149" s="15"/>
    </row>
    <row r="1150" spans="1:26" x14ac:dyDescent="0.25">
      <c r="Q1150" s="14"/>
      <c r="R1150" s="15"/>
      <c r="S1150" s="14"/>
      <c r="T1150" s="15"/>
      <c r="U1150" s="14"/>
      <c r="V1150" s="15"/>
      <c r="W1150" s="14"/>
      <c r="X1150" s="15"/>
      <c r="Y1150" s="14"/>
      <c r="Z1150" s="15"/>
    </row>
    <row r="1151" spans="1:26" x14ac:dyDescent="0.25">
      <c r="Q1151" s="14"/>
      <c r="R1151" s="15"/>
      <c r="S1151" s="14"/>
      <c r="T1151" s="15"/>
      <c r="U1151" s="14"/>
      <c r="V1151" s="15"/>
      <c r="W1151" s="14"/>
      <c r="X1151" s="15"/>
      <c r="Y1151" s="14"/>
      <c r="Z1151" s="15"/>
    </row>
    <row r="1152" spans="1:26" x14ac:dyDescent="0.25">
      <c r="Q1152" s="14"/>
      <c r="R1152" s="15"/>
      <c r="S1152" s="14"/>
      <c r="T1152" s="15"/>
      <c r="U1152" s="14"/>
      <c r="V1152" s="15"/>
      <c r="W1152" s="14"/>
      <c r="X1152" s="15"/>
      <c r="Y1152" s="14"/>
      <c r="Z1152" s="15"/>
    </row>
    <row r="1153" spans="1:26" x14ac:dyDescent="0.25">
      <c r="Q1153" s="14"/>
      <c r="R1153" s="15"/>
      <c r="S1153" s="14"/>
      <c r="T1153" s="15"/>
      <c r="U1153" s="14"/>
      <c r="V1153" s="15"/>
      <c r="W1153" s="14"/>
      <c r="X1153" s="15"/>
      <c r="Y1153" s="14"/>
      <c r="Z1153" s="15"/>
    </row>
    <row r="1154" spans="1:26" x14ac:dyDescent="0.25">
      <c r="Q1154" s="14"/>
      <c r="R1154" s="15"/>
      <c r="S1154" s="14"/>
      <c r="T1154" s="15"/>
      <c r="U1154" s="14"/>
      <c r="V1154" s="15"/>
      <c r="W1154" s="14"/>
      <c r="X1154" s="15"/>
      <c r="Y1154" s="14"/>
      <c r="Z1154" s="15"/>
    </row>
    <row r="1155" spans="1:26" x14ac:dyDescent="0.25">
      <c r="Q1155" s="14"/>
      <c r="R1155" s="15"/>
      <c r="S1155" s="14"/>
      <c r="T1155" s="15"/>
      <c r="U1155" s="14"/>
      <c r="V1155" s="15"/>
      <c r="W1155" s="14"/>
      <c r="X1155" s="15"/>
      <c r="Y1155" s="14"/>
      <c r="Z1155" s="15"/>
    </row>
    <row r="1156" spans="1:26" x14ac:dyDescent="0.25">
      <c r="Q1156" s="14"/>
      <c r="R1156" s="15"/>
      <c r="S1156" s="14"/>
      <c r="T1156" s="15"/>
      <c r="U1156" s="14"/>
      <c r="V1156" s="15"/>
      <c r="W1156" s="14"/>
      <c r="X1156" s="15"/>
      <c r="Y1156" s="14"/>
      <c r="Z1156" s="15"/>
    </row>
    <row r="1157" spans="1:26" x14ac:dyDescent="0.25">
      <c r="Q1157" s="14"/>
      <c r="R1157" s="15"/>
      <c r="S1157" s="14"/>
      <c r="T1157" s="15"/>
      <c r="U1157" s="14"/>
      <c r="V1157" s="15"/>
      <c r="W1157" s="14"/>
      <c r="X1157" s="15"/>
      <c r="Y1157" s="14"/>
      <c r="Z1157" s="15"/>
    </row>
    <row r="1158" spans="1:26" x14ac:dyDescent="0.25">
      <c r="Q1158" s="14"/>
      <c r="R1158" s="15"/>
      <c r="S1158" s="14"/>
      <c r="T1158" s="15"/>
      <c r="U1158" s="14"/>
      <c r="V1158" s="15"/>
      <c r="W1158" s="14"/>
      <c r="X1158" s="15"/>
      <c r="Y1158" s="14"/>
      <c r="Z1158" s="15"/>
    </row>
    <row r="1159" spans="1:26" x14ac:dyDescent="0.25">
      <c r="Q1159" s="14"/>
      <c r="R1159" s="15"/>
      <c r="S1159" s="14"/>
      <c r="T1159" s="15"/>
      <c r="U1159" s="14"/>
      <c r="V1159" s="15"/>
      <c r="W1159" s="14"/>
      <c r="X1159" s="15"/>
      <c r="Y1159" s="14"/>
      <c r="Z1159" s="15"/>
    </row>
    <row r="1160" spans="1:26" x14ac:dyDescent="0.25">
      <c r="Q1160" s="14"/>
      <c r="R1160" s="15"/>
      <c r="S1160" s="14"/>
      <c r="T1160" s="15"/>
      <c r="U1160" s="14"/>
      <c r="V1160" s="15"/>
      <c r="W1160" s="14"/>
      <c r="X1160" s="15"/>
      <c r="Y1160" s="14"/>
      <c r="Z1160" s="15"/>
    </row>
    <row r="1161" spans="1:26" x14ac:dyDescent="0.25">
      <c r="Q1161" s="14"/>
      <c r="R1161" s="15"/>
      <c r="S1161" s="14"/>
      <c r="T1161" s="15"/>
      <c r="U1161" s="14"/>
      <c r="V1161" s="15"/>
      <c r="W1161" s="14"/>
      <c r="X1161" s="15"/>
      <c r="Y1161" s="14"/>
      <c r="Z1161" s="15"/>
    </row>
    <row r="1162" spans="1:26" x14ac:dyDescent="0.25">
      <c r="Q1162" s="14"/>
      <c r="R1162" s="15"/>
      <c r="S1162" s="14"/>
      <c r="T1162" s="15"/>
      <c r="U1162" s="14"/>
      <c r="V1162" s="15"/>
      <c r="W1162" s="14"/>
      <c r="X1162" s="15"/>
      <c r="Y1162" s="14"/>
      <c r="Z1162" s="15"/>
    </row>
    <row r="1163" spans="1:26" x14ac:dyDescent="0.25">
      <c r="Q1163" s="14"/>
      <c r="R1163" s="15"/>
      <c r="S1163" s="14"/>
      <c r="T1163" s="15"/>
      <c r="U1163" s="14"/>
      <c r="V1163" s="15"/>
      <c r="W1163" s="14"/>
      <c r="X1163" s="15"/>
      <c r="Y1163" s="14"/>
      <c r="Z1163" s="15"/>
    </row>
    <row r="1164" spans="1:26" x14ac:dyDescent="0.25">
      <c r="Q1164" s="14"/>
      <c r="R1164" s="15"/>
      <c r="S1164" s="14"/>
      <c r="T1164" s="15"/>
      <c r="U1164" s="14"/>
      <c r="V1164" s="15"/>
      <c r="W1164" s="14"/>
      <c r="X1164" s="15"/>
      <c r="Y1164" s="14"/>
      <c r="Z1164" s="15"/>
    </row>
    <row r="1165" spans="1:26" x14ac:dyDescent="0.25">
      <c r="Q1165" s="14"/>
      <c r="R1165" s="15"/>
      <c r="S1165" s="14"/>
      <c r="T1165" s="15"/>
      <c r="U1165" s="14"/>
      <c r="V1165" s="15"/>
      <c r="W1165" s="14"/>
      <c r="X1165" s="15"/>
      <c r="Y1165" s="14"/>
      <c r="Z1165" s="15"/>
    </row>
    <row r="1166" spans="1:26" x14ac:dyDescent="0.25">
      <c r="Q1166" s="14"/>
      <c r="R1166" s="15"/>
      <c r="S1166" s="14"/>
      <c r="T1166" s="15"/>
      <c r="U1166" s="14"/>
      <c r="V1166" s="15"/>
      <c r="W1166" s="14"/>
      <c r="X1166" s="15"/>
      <c r="Y1166" s="14"/>
      <c r="Z1166" s="15"/>
    </row>
    <row r="1167" spans="1:26" x14ac:dyDescent="0.25">
      <c r="Q1167" s="14"/>
      <c r="R1167" s="15"/>
      <c r="S1167" s="14"/>
      <c r="T1167" s="15"/>
      <c r="U1167" s="14"/>
      <c r="V1167" s="15"/>
      <c r="W1167" s="14"/>
      <c r="X1167" s="15"/>
      <c r="Y1167" s="14"/>
      <c r="Z1167" s="15"/>
    </row>
    <row r="1168" spans="1:26" x14ac:dyDescent="0.25">
      <c r="Q1168" s="14"/>
      <c r="R1168" s="15"/>
      <c r="S1168" s="14"/>
      <c r="T1168" s="15"/>
      <c r="U1168" s="14"/>
      <c r="V1168" s="15"/>
      <c r="W1168" s="14"/>
      <c r="X1168" s="15"/>
      <c r="Y1168" s="14"/>
      <c r="Z1168" s="15"/>
    </row>
    <row r="1169" spans="1:26" x14ac:dyDescent="0.25">
      <c r="Q1169" s="14"/>
      <c r="R1169" s="15"/>
      <c r="S1169" s="14"/>
      <c r="T1169" s="15"/>
      <c r="U1169" s="14"/>
      <c r="V1169" s="15"/>
      <c r="W1169" s="14"/>
      <c r="X1169" s="15"/>
      <c r="Y1169" s="14"/>
      <c r="Z1169" s="15"/>
    </row>
    <row r="1170" spans="1:26" x14ac:dyDescent="0.25">
      <c r="Q1170" s="14"/>
      <c r="R1170" s="15"/>
      <c r="S1170" s="14"/>
      <c r="T1170" s="15"/>
      <c r="U1170" s="14"/>
      <c r="V1170" s="15"/>
      <c r="W1170" s="14"/>
      <c r="X1170" s="15"/>
      <c r="Y1170" s="14"/>
      <c r="Z1170" s="15"/>
    </row>
    <row r="1171" spans="1:26" x14ac:dyDescent="0.25">
      <c r="Q1171" s="14"/>
      <c r="R1171" s="15"/>
      <c r="S1171" s="14"/>
      <c r="T1171" s="15"/>
      <c r="U1171" s="14"/>
      <c r="V1171" s="15"/>
      <c r="W1171" s="14"/>
      <c r="X1171" s="15"/>
      <c r="Y1171" s="14"/>
      <c r="Z1171" s="15"/>
    </row>
    <row r="1172" spans="1:26" x14ac:dyDescent="0.25">
      <c r="Q1172" s="14"/>
      <c r="R1172" s="15"/>
      <c r="S1172" s="14"/>
      <c r="T1172" s="15"/>
      <c r="U1172" s="14"/>
      <c r="V1172" s="15"/>
      <c r="W1172" s="14"/>
      <c r="X1172" s="15"/>
      <c r="Y1172" s="14"/>
      <c r="Z1172" s="15"/>
    </row>
    <row r="1173" spans="1:26" x14ac:dyDescent="0.25">
      <c r="Q1173" s="14"/>
      <c r="R1173" s="15"/>
      <c r="S1173" s="14"/>
      <c r="T1173" s="15"/>
      <c r="U1173" s="14"/>
      <c r="V1173" s="15"/>
      <c r="W1173" s="14"/>
      <c r="X1173" s="15"/>
      <c r="Y1173" s="14"/>
      <c r="Z1173" s="15"/>
    </row>
    <row r="1174" spans="1:26" x14ac:dyDescent="0.25">
      <c r="Q1174" s="14"/>
      <c r="R1174" s="15"/>
      <c r="S1174" s="14"/>
      <c r="T1174" s="15"/>
      <c r="U1174" s="14"/>
      <c r="V1174" s="15"/>
      <c r="W1174" s="14"/>
      <c r="X1174" s="15"/>
      <c r="Y1174" s="14"/>
      <c r="Z1174" s="15"/>
    </row>
    <row r="1175" spans="1:26" x14ac:dyDescent="0.25">
      <c r="Q1175" s="14"/>
      <c r="R1175" s="15"/>
      <c r="S1175" s="14"/>
      <c r="T1175" s="15"/>
      <c r="U1175" s="14"/>
      <c r="V1175" s="15"/>
      <c r="W1175" s="14"/>
      <c r="X1175" s="15"/>
      <c r="Y1175" s="14"/>
      <c r="Z1175" s="15"/>
    </row>
    <row r="1176" spans="1:26" x14ac:dyDescent="0.25">
      <c r="Q1176" s="14"/>
      <c r="R1176" s="15"/>
      <c r="S1176" s="14"/>
      <c r="T1176" s="15"/>
      <c r="U1176" s="14"/>
      <c r="V1176" s="15"/>
      <c r="W1176" s="14"/>
      <c r="X1176" s="15"/>
      <c r="Y1176" s="14"/>
      <c r="Z1176" s="15"/>
    </row>
    <row r="1177" spans="1:26" x14ac:dyDescent="0.25">
      <c r="Q1177" s="14"/>
      <c r="R1177" s="15"/>
      <c r="S1177" s="14"/>
      <c r="T1177" s="15"/>
      <c r="U1177" s="14"/>
      <c r="V1177" s="15"/>
      <c r="W1177" s="14"/>
      <c r="X1177" s="15"/>
      <c r="Y1177" s="14"/>
      <c r="Z1177" s="15"/>
    </row>
    <row r="1178" spans="1:26" x14ac:dyDescent="0.25">
      <c r="Q1178" s="14"/>
      <c r="R1178" s="15"/>
      <c r="S1178" s="14"/>
      <c r="T1178" s="15"/>
      <c r="U1178" s="14"/>
      <c r="V1178" s="15"/>
      <c r="W1178" s="14"/>
      <c r="X1178" s="15"/>
      <c r="Y1178" s="14"/>
      <c r="Z1178" s="15"/>
    </row>
    <row r="1179" spans="1:26" x14ac:dyDescent="0.25">
      <c r="Q1179" s="14"/>
      <c r="R1179" s="15"/>
      <c r="S1179" s="14"/>
      <c r="T1179" s="15"/>
      <c r="U1179" s="14"/>
      <c r="V1179" s="15"/>
      <c r="W1179" s="14"/>
      <c r="X1179" s="15"/>
      <c r="Y1179" s="14"/>
      <c r="Z1179" s="15"/>
    </row>
    <row r="1180" spans="1:26" x14ac:dyDescent="0.25">
      <c r="Q1180" s="14"/>
      <c r="R1180" s="15"/>
      <c r="S1180" s="14"/>
      <c r="T1180" s="15"/>
      <c r="U1180" s="14"/>
      <c r="V1180" s="15"/>
      <c r="W1180" s="14"/>
      <c r="X1180" s="15"/>
      <c r="Y1180" s="14"/>
      <c r="Z1180" s="15"/>
    </row>
    <row r="1181" spans="1:26" x14ac:dyDescent="0.25">
      <c r="Q1181" s="14"/>
      <c r="R1181" s="15"/>
      <c r="S1181" s="14"/>
      <c r="T1181" s="15"/>
      <c r="U1181" s="14"/>
      <c r="V1181" s="15"/>
      <c r="W1181" s="14"/>
      <c r="X1181" s="15"/>
      <c r="Y1181" s="14"/>
      <c r="Z1181" s="15"/>
    </row>
    <row r="1182" spans="1:26" x14ac:dyDescent="0.25">
      <c r="Q1182" s="14"/>
      <c r="R1182" s="15"/>
      <c r="S1182" s="14"/>
      <c r="T1182" s="15"/>
      <c r="U1182" s="14"/>
      <c r="V1182" s="15"/>
      <c r="W1182" s="14"/>
      <c r="X1182" s="15"/>
      <c r="Y1182" s="14"/>
      <c r="Z1182" s="15"/>
    </row>
    <row r="1183" spans="1:26" x14ac:dyDescent="0.25">
      <c r="Q1183" s="14"/>
      <c r="R1183" s="15"/>
      <c r="S1183" s="14"/>
      <c r="T1183" s="15"/>
      <c r="U1183" s="14"/>
      <c r="V1183" s="15"/>
      <c r="W1183" s="14"/>
      <c r="X1183" s="15"/>
      <c r="Y1183" s="14"/>
      <c r="Z1183" s="15"/>
    </row>
    <row r="1184" spans="1:26" x14ac:dyDescent="0.25">
      <c r="Q1184" s="14"/>
      <c r="R1184" s="15"/>
      <c r="S1184" s="14"/>
      <c r="T1184" s="15"/>
      <c r="U1184" s="14"/>
      <c r="V1184" s="15"/>
      <c r="W1184" s="14"/>
      <c r="X1184" s="15"/>
      <c r="Y1184" s="14"/>
      <c r="Z1184" s="15"/>
    </row>
    <row r="1185" spans="1:26" x14ac:dyDescent="0.25">
      <c r="Q1185" s="14"/>
      <c r="R1185" s="15"/>
      <c r="S1185" s="14"/>
      <c r="T1185" s="15"/>
      <c r="U1185" s="14"/>
      <c r="V1185" s="15"/>
      <c r="W1185" s="14"/>
      <c r="X1185" s="15"/>
      <c r="Y1185" s="14"/>
      <c r="Z1185" s="15"/>
    </row>
    <row r="1186" spans="1:26" x14ac:dyDescent="0.25">
      <c r="Q1186" s="14"/>
      <c r="R1186" s="15"/>
      <c r="S1186" s="14"/>
      <c r="T1186" s="15"/>
      <c r="U1186" s="14"/>
      <c r="V1186" s="15"/>
      <c r="W1186" s="14"/>
      <c r="X1186" s="15"/>
      <c r="Y1186" s="14"/>
      <c r="Z1186" s="15"/>
    </row>
    <row r="1187" spans="1:26" x14ac:dyDescent="0.25">
      <c r="Q1187" s="14"/>
      <c r="R1187" s="15"/>
      <c r="S1187" s="14"/>
      <c r="T1187" s="15"/>
      <c r="U1187" s="14"/>
      <c r="V1187" s="15"/>
      <c r="W1187" s="14"/>
      <c r="X1187" s="15"/>
      <c r="Y1187" s="14"/>
      <c r="Z1187" s="15"/>
    </row>
    <row r="1188" spans="1:26" x14ac:dyDescent="0.25">
      <c r="Q1188" s="14"/>
      <c r="R1188" s="15"/>
      <c r="S1188" s="14"/>
      <c r="T1188" s="15"/>
      <c r="U1188" s="14"/>
      <c r="V1188" s="15"/>
      <c r="W1188" s="14"/>
      <c r="X1188" s="15"/>
      <c r="Y1188" s="14"/>
      <c r="Z1188" s="15"/>
    </row>
    <row r="1189" spans="1:26" x14ac:dyDescent="0.25">
      <c r="Q1189" s="14"/>
      <c r="R1189" s="15"/>
      <c r="S1189" s="14"/>
      <c r="T1189" s="15"/>
      <c r="U1189" s="14"/>
      <c r="V1189" s="15"/>
      <c r="W1189" s="14"/>
      <c r="X1189" s="15"/>
      <c r="Y1189" s="14"/>
      <c r="Z1189" s="15"/>
    </row>
    <row r="1190" spans="1:26" x14ac:dyDescent="0.25">
      <c r="Q1190" s="14"/>
      <c r="R1190" s="15"/>
      <c r="S1190" s="14"/>
      <c r="T1190" s="15"/>
      <c r="U1190" s="14"/>
      <c r="V1190" s="15"/>
      <c r="W1190" s="14"/>
      <c r="X1190" s="15"/>
      <c r="Y1190" s="14"/>
      <c r="Z1190" s="15"/>
    </row>
    <row r="1191" spans="1:26" x14ac:dyDescent="0.25">
      <c r="Q1191" s="14"/>
      <c r="R1191" s="15"/>
      <c r="S1191" s="14"/>
      <c r="T1191" s="15"/>
      <c r="U1191" s="14"/>
      <c r="V1191" s="15"/>
      <c r="W1191" s="14"/>
      <c r="X1191" s="15"/>
      <c r="Y1191" s="14"/>
      <c r="Z1191" s="15"/>
    </row>
    <row r="1192" spans="1:26" x14ac:dyDescent="0.25">
      <c r="Q1192" s="14"/>
      <c r="R1192" s="15"/>
      <c r="S1192" s="14"/>
      <c r="T1192" s="15"/>
      <c r="U1192" s="14"/>
      <c r="V1192" s="15"/>
      <c r="W1192" s="14"/>
      <c r="X1192" s="15"/>
      <c r="Y1192" s="14"/>
      <c r="Z1192" s="15"/>
    </row>
    <row r="1193" spans="1:26" x14ac:dyDescent="0.25">
      <c r="Q1193" s="14"/>
      <c r="R1193" s="15"/>
      <c r="S1193" s="14"/>
      <c r="T1193" s="15"/>
      <c r="U1193" s="14"/>
      <c r="V1193" s="15"/>
      <c r="W1193" s="14"/>
      <c r="X1193" s="15"/>
      <c r="Y1193" s="14"/>
      <c r="Z1193" s="15"/>
    </row>
    <row r="1194" spans="1:26" x14ac:dyDescent="0.25">
      <c r="Q1194" s="14"/>
      <c r="R1194" s="15"/>
      <c r="S1194" s="14"/>
      <c r="T1194" s="15"/>
      <c r="U1194" s="14"/>
      <c r="V1194" s="15"/>
      <c r="W1194" s="14"/>
      <c r="X1194" s="15"/>
      <c r="Y1194" s="14"/>
      <c r="Z1194" s="15"/>
    </row>
    <row r="1195" spans="1:26" x14ac:dyDescent="0.25">
      <c r="Q1195" s="14"/>
      <c r="R1195" s="15"/>
      <c r="S1195" s="14"/>
      <c r="T1195" s="15"/>
      <c r="U1195" s="14"/>
      <c r="V1195" s="15"/>
      <c r="W1195" s="14"/>
      <c r="X1195" s="15"/>
      <c r="Y1195" s="14"/>
      <c r="Z1195" s="15"/>
    </row>
    <row r="1196" spans="1:26" x14ac:dyDescent="0.25">
      <c r="Q1196" s="14"/>
      <c r="R1196" s="15"/>
      <c r="S1196" s="14"/>
      <c r="T1196" s="15"/>
      <c r="U1196" s="14"/>
      <c r="V1196" s="15"/>
      <c r="W1196" s="14"/>
      <c r="X1196" s="15"/>
      <c r="Y1196" s="14"/>
      <c r="Z1196" s="15"/>
    </row>
    <row r="1197" spans="1:26" x14ac:dyDescent="0.25">
      <c r="Q1197" s="14"/>
      <c r="R1197" s="15"/>
      <c r="S1197" s="14"/>
      <c r="T1197" s="15"/>
      <c r="U1197" s="14"/>
      <c r="V1197" s="15"/>
      <c r="W1197" s="14"/>
      <c r="X1197" s="15"/>
      <c r="Y1197" s="14"/>
      <c r="Z1197" s="15"/>
    </row>
    <row r="1198" spans="1:26" x14ac:dyDescent="0.25">
      <c r="Q1198" s="14"/>
      <c r="R1198" s="15"/>
      <c r="S1198" s="14"/>
      <c r="T1198" s="15"/>
      <c r="U1198" s="14"/>
      <c r="V1198" s="15"/>
      <c r="W1198" s="14"/>
      <c r="X1198" s="15"/>
      <c r="Y1198" s="14"/>
      <c r="Z1198" s="15"/>
    </row>
    <row r="1199" spans="1:26" x14ac:dyDescent="0.25">
      <c r="Q1199" s="14"/>
      <c r="R1199" s="15"/>
      <c r="S1199" s="14"/>
      <c r="T1199" s="15"/>
      <c r="U1199" s="14"/>
      <c r="V1199" s="15"/>
      <c r="W1199" s="14"/>
      <c r="X1199" s="15"/>
      <c r="Y1199" s="14"/>
      <c r="Z1199" s="15"/>
    </row>
    <row r="1200" spans="1:26" x14ac:dyDescent="0.25">
      <c r="Q1200" s="14"/>
      <c r="R1200" s="15"/>
      <c r="S1200" s="14"/>
      <c r="T1200" s="15"/>
      <c r="U1200" s="14"/>
      <c r="V1200" s="15"/>
      <c r="W1200" s="14"/>
      <c r="X1200" s="15"/>
      <c r="Y1200" s="14"/>
      <c r="Z1200" s="15"/>
    </row>
    <row r="1201" spans="1:26" x14ac:dyDescent="0.25">
      <c r="Q1201" s="14"/>
      <c r="R1201" s="15"/>
      <c r="S1201" s="14"/>
      <c r="T1201" s="15"/>
      <c r="U1201" s="14"/>
      <c r="V1201" s="15"/>
      <c r="W1201" s="14"/>
      <c r="X1201" s="15"/>
      <c r="Y1201" s="14"/>
      <c r="Z1201" s="15"/>
    </row>
    <row r="1202" spans="1:26" x14ac:dyDescent="0.25">
      <c r="Q1202" s="14"/>
      <c r="R1202" s="15"/>
      <c r="S1202" s="14"/>
      <c r="T1202" s="15"/>
      <c r="U1202" s="14"/>
      <c r="V1202" s="15"/>
      <c r="W1202" s="14"/>
      <c r="X1202" s="15"/>
      <c r="Y1202" s="14"/>
      <c r="Z1202" s="15"/>
    </row>
    <row r="1203" spans="1:26" x14ac:dyDescent="0.25">
      <c r="Q1203" s="14"/>
      <c r="R1203" s="15"/>
      <c r="S1203" s="14"/>
      <c r="T1203" s="15"/>
      <c r="U1203" s="14"/>
      <c r="V1203" s="15"/>
      <c r="W1203" s="14"/>
      <c r="X1203" s="15"/>
      <c r="Y1203" s="14"/>
      <c r="Z1203" s="15"/>
    </row>
    <row r="1204" spans="1:26" x14ac:dyDescent="0.25">
      <c r="Q1204" s="14"/>
      <c r="R1204" s="15"/>
      <c r="S1204" s="14"/>
      <c r="T1204" s="15"/>
      <c r="U1204" s="14"/>
      <c r="V1204" s="15"/>
      <c r="W1204" s="14"/>
      <c r="X1204" s="15"/>
      <c r="Y1204" s="14"/>
      <c r="Z1204" s="15"/>
    </row>
    <row r="1205" spans="1:26" x14ac:dyDescent="0.25">
      <c r="Q1205" s="14"/>
      <c r="R1205" s="15"/>
      <c r="S1205" s="14"/>
      <c r="T1205" s="15"/>
      <c r="U1205" s="14"/>
      <c r="V1205" s="15"/>
      <c r="W1205" s="14"/>
      <c r="X1205" s="15"/>
      <c r="Y1205" s="14"/>
      <c r="Z1205" s="15"/>
    </row>
    <row r="1206" spans="1:26" x14ac:dyDescent="0.25">
      <c r="Q1206" s="14"/>
      <c r="R1206" s="15"/>
      <c r="S1206" s="14"/>
      <c r="T1206" s="15"/>
      <c r="U1206" s="14"/>
      <c r="V1206" s="15"/>
      <c r="W1206" s="14"/>
      <c r="X1206" s="15"/>
      <c r="Y1206" s="14"/>
      <c r="Z1206" s="15"/>
    </row>
    <row r="1207" spans="1:26" x14ac:dyDescent="0.25">
      <c r="Q1207" s="14"/>
      <c r="R1207" s="15"/>
      <c r="S1207" s="14"/>
      <c r="T1207" s="15"/>
      <c r="U1207" s="14"/>
      <c r="V1207" s="15"/>
      <c r="W1207" s="14"/>
      <c r="X1207" s="15"/>
      <c r="Y1207" s="14"/>
      <c r="Z1207" s="15"/>
    </row>
    <row r="1208" spans="1:26" x14ac:dyDescent="0.25">
      <c r="Q1208" s="14"/>
      <c r="R1208" s="15"/>
      <c r="S1208" s="14"/>
      <c r="T1208" s="15"/>
      <c r="U1208" s="14"/>
      <c r="V1208" s="15"/>
      <c r="W1208" s="14"/>
      <c r="X1208" s="15"/>
      <c r="Y1208" s="14"/>
      <c r="Z1208" s="15"/>
    </row>
    <row r="1209" spans="1:26" x14ac:dyDescent="0.25">
      <c r="Q1209" s="14"/>
      <c r="R1209" s="15"/>
      <c r="S1209" s="14"/>
      <c r="T1209" s="15"/>
      <c r="U1209" s="14"/>
      <c r="V1209" s="15"/>
      <c r="W1209" s="14"/>
      <c r="X1209" s="15"/>
      <c r="Y1209" s="14"/>
      <c r="Z1209" s="15"/>
    </row>
    <row r="1210" spans="1:26" x14ac:dyDescent="0.25">
      <c r="Q1210" s="14"/>
      <c r="R1210" s="15"/>
      <c r="S1210" s="14"/>
      <c r="T1210" s="15"/>
      <c r="U1210" s="14"/>
      <c r="V1210" s="15"/>
      <c r="W1210" s="14"/>
      <c r="X1210" s="15"/>
      <c r="Y1210" s="14"/>
      <c r="Z1210" s="15"/>
    </row>
    <row r="1211" spans="1:26" x14ac:dyDescent="0.25">
      <c r="Q1211" s="14"/>
      <c r="R1211" s="15"/>
      <c r="S1211" s="14"/>
      <c r="T1211" s="15"/>
      <c r="U1211" s="14"/>
      <c r="V1211" s="15"/>
      <c r="W1211" s="14"/>
      <c r="X1211" s="15"/>
      <c r="Y1211" s="14"/>
      <c r="Z1211" s="15"/>
    </row>
    <row r="1212" spans="1:26" x14ac:dyDescent="0.25">
      <c r="Q1212" s="14"/>
      <c r="R1212" s="15"/>
      <c r="S1212" s="14"/>
      <c r="T1212" s="15"/>
      <c r="U1212" s="14"/>
      <c r="V1212" s="15"/>
      <c r="W1212" s="14"/>
      <c r="X1212" s="15"/>
      <c r="Y1212" s="14"/>
      <c r="Z1212" s="15"/>
    </row>
    <row r="1213" spans="1:26" x14ac:dyDescent="0.25">
      <c r="Q1213" s="14"/>
      <c r="R1213" s="15"/>
      <c r="S1213" s="14"/>
      <c r="T1213" s="15"/>
      <c r="U1213" s="14"/>
      <c r="V1213" s="15"/>
      <c r="W1213" s="14"/>
      <c r="X1213" s="15"/>
      <c r="Y1213" s="14"/>
      <c r="Z1213" s="15"/>
    </row>
    <row r="1214" spans="1:26" x14ac:dyDescent="0.25">
      <c r="Q1214" s="14"/>
      <c r="R1214" s="15"/>
      <c r="S1214" s="14"/>
      <c r="T1214" s="15"/>
      <c r="U1214" s="14"/>
      <c r="V1214" s="15"/>
      <c r="W1214" s="14"/>
      <c r="X1214" s="15"/>
      <c r="Y1214" s="14"/>
      <c r="Z1214" s="15"/>
    </row>
    <row r="1215" spans="1:26" x14ac:dyDescent="0.25">
      <c r="Q1215" s="14"/>
      <c r="R1215" s="15"/>
      <c r="S1215" s="14"/>
      <c r="T1215" s="15"/>
      <c r="U1215" s="14"/>
      <c r="V1215" s="15"/>
      <c r="W1215" s="14"/>
      <c r="X1215" s="15"/>
      <c r="Y1215" s="14"/>
      <c r="Z1215" s="15"/>
    </row>
    <row r="1216" spans="1:26" x14ac:dyDescent="0.25">
      <c r="Q1216" s="14"/>
      <c r="R1216" s="15"/>
      <c r="S1216" s="14"/>
      <c r="T1216" s="15"/>
      <c r="U1216" s="14"/>
      <c r="V1216" s="15"/>
      <c r="W1216" s="14"/>
      <c r="X1216" s="15"/>
      <c r="Y1216" s="14"/>
      <c r="Z1216" s="15"/>
    </row>
    <row r="1217" spans="1:26" x14ac:dyDescent="0.25">
      <c r="Q1217" s="14"/>
      <c r="R1217" s="15"/>
      <c r="S1217" s="14"/>
      <c r="T1217" s="15"/>
      <c r="U1217" s="14"/>
      <c r="V1217" s="15"/>
      <c r="W1217" s="14"/>
      <c r="X1217" s="15"/>
      <c r="Y1217" s="14"/>
      <c r="Z1217" s="15"/>
    </row>
    <row r="1218" spans="1:26" x14ac:dyDescent="0.25">
      <c r="Q1218" s="14"/>
      <c r="R1218" s="15"/>
      <c r="S1218" s="14"/>
      <c r="T1218" s="15"/>
      <c r="U1218" s="14"/>
      <c r="V1218" s="15"/>
      <c r="W1218" s="14"/>
      <c r="X1218" s="15"/>
      <c r="Y1218" s="14"/>
      <c r="Z1218" s="15"/>
    </row>
    <row r="1219" spans="1:26" x14ac:dyDescent="0.25">
      <c r="Q1219" s="14"/>
      <c r="R1219" s="15"/>
      <c r="S1219" s="14"/>
      <c r="T1219" s="15"/>
      <c r="U1219" s="14"/>
      <c r="V1219" s="15"/>
      <c r="W1219" s="14"/>
      <c r="X1219" s="15"/>
      <c r="Y1219" s="14"/>
      <c r="Z1219" s="15"/>
    </row>
    <row r="1220" spans="1:26" x14ac:dyDescent="0.25">
      <c r="Q1220" s="14"/>
      <c r="R1220" s="15"/>
      <c r="S1220" s="14"/>
      <c r="T1220" s="15"/>
      <c r="U1220" s="14"/>
      <c r="V1220" s="15"/>
      <c r="W1220" s="14"/>
      <c r="X1220" s="15"/>
      <c r="Y1220" s="14"/>
      <c r="Z1220" s="15"/>
    </row>
    <row r="1221" spans="1:26" x14ac:dyDescent="0.25">
      <c r="Q1221" s="14"/>
      <c r="R1221" s="15"/>
      <c r="S1221" s="14"/>
      <c r="T1221" s="15"/>
      <c r="U1221" s="14"/>
      <c r="V1221" s="15"/>
      <c r="W1221" s="14"/>
      <c r="X1221" s="15"/>
      <c r="Y1221" s="14"/>
      <c r="Z1221" s="15"/>
    </row>
    <row r="1222" spans="1:26" x14ac:dyDescent="0.25">
      <c r="Q1222" s="14"/>
      <c r="R1222" s="15"/>
      <c r="S1222" s="14"/>
      <c r="T1222" s="15"/>
      <c r="U1222" s="14"/>
      <c r="V1222" s="15"/>
      <c r="W1222" s="14"/>
      <c r="X1222" s="15"/>
      <c r="Y1222" s="14"/>
      <c r="Z1222" s="15"/>
    </row>
    <row r="1223" spans="1:26" x14ac:dyDescent="0.25">
      <c r="Q1223" s="14"/>
      <c r="R1223" s="15"/>
      <c r="S1223" s="14"/>
      <c r="T1223" s="15"/>
      <c r="U1223" s="14"/>
      <c r="V1223" s="15"/>
      <c r="W1223" s="14"/>
      <c r="X1223" s="15"/>
      <c r="Y1223" s="14"/>
      <c r="Z1223" s="15"/>
    </row>
    <row r="1224" spans="1:26" x14ac:dyDescent="0.25">
      <c r="Q1224" s="14"/>
      <c r="R1224" s="15"/>
      <c r="S1224" s="14"/>
      <c r="T1224" s="15"/>
      <c r="U1224" s="14"/>
      <c r="V1224" s="15"/>
      <c r="W1224" s="14"/>
      <c r="X1224" s="15"/>
      <c r="Y1224" s="14"/>
      <c r="Z1224" s="15"/>
    </row>
    <row r="1225" spans="1:26" x14ac:dyDescent="0.25">
      <c r="Q1225" s="14"/>
      <c r="R1225" s="15"/>
      <c r="S1225" s="14"/>
      <c r="T1225" s="15"/>
      <c r="U1225" s="14"/>
      <c r="V1225" s="15"/>
      <c r="W1225" s="14"/>
      <c r="X1225" s="15"/>
      <c r="Y1225" s="14"/>
      <c r="Z1225" s="15"/>
    </row>
    <row r="1226" spans="1:26" x14ac:dyDescent="0.25">
      <c r="Q1226" s="14"/>
      <c r="R1226" s="15"/>
      <c r="S1226" s="14"/>
      <c r="T1226" s="15"/>
      <c r="U1226" s="14"/>
      <c r="V1226" s="15"/>
      <c r="W1226" s="14"/>
      <c r="X1226" s="15"/>
      <c r="Y1226" s="14"/>
      <c r="Z1226" s="15"/>
    </row>
    <row r="1227" spans="1:26" x14ac:dyDescent="0.25">
      <c r="Q1227" s="14"/>
      <c r="R1227" s="15"/>
      <c r="S1227" s="14"/>
      <c r="T1227" s="15"/>
      <c r="U1227" s="14"/>
      <c r="V1227" s="15"/>
      <c r="W1227" s="14"/>
      <c r="X1227" s="15"/>
      <c r="Y1227" s="14"/>
      <c r="Z1227" s="15"/>
    </row>
    <row r="1228" spans="1:26" x14ac:dyDescent="0.25">
      <c r="Q1228" s="14"/>
      <c r="R1228" s="15"/>
      <c r="S1228" s="14"/>
      <c r="T1228" s="15"/>
      <c r="U1228" s="14"/>
      <c r="V1228" s="15"/>
      <c r="W1228" s="14"/>
      <c r="X1228" s="15"/>
      <c r="Y1228" s="14"/>
      <c r="Z1228" s="15"/>
    </row>
    <row r="1229" spans="1:26" x14ac:dyDescent="0.25">
      <c r="Q1229" s="14"/>
      <c r="R1229" s="15"/>
      <c r="S1229" s="14"/>
      <c r="T1229" s="15"/>
      <c r="U1229" s="14"/>
      <c r="V1229" s="15"/>
      <c r="W1229" s="14"/>
      <c r="X1229" s="15"/>
      <c r="Y1229" s="14"/>
      <c r="Z1229" s="15"/>
    </row>
    <row r="1230" spans="1:26" x14ac:dyDescent="0.25">
      <c r="Q1230" s="14"/>
      <c r="R1230" s="15"/>
      <c r="S1230" s="14"/>
      <c r="T1230" s="15"/>
      <c r="U1230" s="14"/>
      <c r="V1230" s="15"/>
      <c r="W1230" s="14"/>
      <c r="X1230" s="15"/>
      <c r="Y1230" s="14"/>
      <c r="Z1230" s="15"/>
    </row>
    <row r="1231" spans="1:26" x14ac:dyDescent="0.25">
      <c r="Q1231" s="14"/>
      <c r="R1231" s="15"/>
      <c r="S1231" s="14"/>
      <c r="T1231" s="15"/>
      <c r="U1231" s="14"/>
      <c r="V1231" s="15"/>
      <c r="W1231" s="14"/>
      <c r="X1231" s="15"/>
      <c r="Y1231" s="14"/>
      <c r="Z1231" s="15"/>
    </row>
    <row r="1232" spans="1:26" x14ac:dyDescent="0.25">
      <c r="Q1232" s="14"/>
      <c r="R1232" s="15"/>
      <c r="S1232" s="14"/>
      <c r="T1232" s="15"/>
      <c r="U1232" s="14"/>
      <c r="V1232" s="15"/>
      <c r="W1232" s="14"/>
      <c r="X1232" s="15"/>
      <c r="Y1232" s="14"/>
      <c r="Z1232" s="15"/>
    </row>
    <row r="1233" spans="1:26" x14ac:dyDescent="0.25">
      <c r="Q1233" s="14"/>
      <c r="R1233" s="15"/>
      <c r="S1233" s="14"/>
      <c r="T1233" s="15"/>
      <c r="U1233" s="14"/>
      <c r="V1233" s="15"/>
      <c r="W1233" s="14"/>
      <c r="X1233" s="15"/>
      <c r="Y1233" s="14"/>
      <c r="Z1233" s="15"/>
    </row>
    <row r="1234" spans="1:26" x14ac:dyDescent="0.25">
      <c r="Q1234" s="14"/>
      <c r="R1234" s="15"/>
      <c r="S1234" s="14"/>
      <c r="T1234" s="15"/>
      <c r="U1234" s="14"/>
      <c r="V1234" s="15"/>
      <c r="W1234" s="14"/>
      <c r="X1234" s="15"/>
      <c r="Y1234" s="14"/>
      <c r="Z1234" s="15"/>
    </row>
    <row r="1235" spans="1:26" x14ac:dyDescent="0.25">
      <c r="Q1235" s="14"/>
      <c r="R1235" s="15"/>
      <c r="S1235" s="14"/>
      <c r="T1235" s="15"/>
      <c r="U1235" s="14"/>
      <c r="V1235" s="15"/>
      <c r="W1235" s="14"/>
      <c r="X1235" s="15"/>
      <c r="Y1235" s="14"/>
      <c r="Z1235" s="15"/>
    </row>
    <row r="1236" spans="1:26" x14ac:dyDescent="0.25">
      <c r="Q1236" s="14"/>
      <c r="R1236" s="15"/>
      <c r="S1236" s="14"/>
      <c r="T1236" s="15"/>
      <c r="U1236" s="14"/>
      <c r="V1236" s="15"/>
      <c r="W1236" s="14"/>
      <c r="X1236" s="15"/>
      <c r="Y1236" s="14"/>
      <c r="Z1236" s="15"/>
    </row>
    <row r="1237" spans="1:26" x14ac:dyDescent="0.25">
      <c r="Q1237" s="14"/>
      <c r="R1237" s="15"/>
      <c r="S1237" s="14"/>
      <c r="T1237" s="15"/>
      <c r="U1237" s="14"/>
      <c r="V1237" s="15"/>
      <c r="W1237" s="14"/>
      <c r="X1237" s="15"/>
      <c r="Y1237" s="14"/>
      <c r="Z1237" s="15"/>
    </row>
    <row r="1238" spans="1:26" x14ac:dyDescent="0.25">
      <c r="Q1238" s="14"/>
      <c r="R1238" s="15"/>
      <c r="S1238" s="14"/>
      <c r="T1238" s="15"/>
      <c r="U1238" s="14"/>
      <c r="V1238" s="15"/>
      <c r="W1238" s="14"/>
      <c r="X1238" s="15"/>
      <c r="Y1238" s="14"/>
      <c r="Z1238" s="15"/>
    </row>
    <row r="1239" spans="1:26" x14ac:dyDescent="0.25">
      <c r="Q1239" s="14"/>
      <c r="R1239" s="15"/>
      <c r="S1239" s="14"/>
      <c r="T1239" s="15"/>
      <c r="U1239" s="14"/>
      <c r="V1239" s="15"/>
      <c r="W1239" s="14"/>
      <c r="X1239" s="15"/>
      <c r="Y1239" s="14"/>
      <c r="Z1239" s="15"/>
    </row>
    <row r="1240" spans="1:26" x14ac:dyDescent="0.25">
      <c r="Q1240" s="14"/>
      <c r="R1240" s="15"/>
      <c r="S1240" s="14"/>
      <c r="T1240" s="15"/>
      <c r="U1240" s="14"/>
      <c r="V1240" s="15"/>
      <c r="W1240" s="14"/>
      <c r="X1240" s="15"/>
      <c r="Y1240" s="14"/>
      <c r="Z1240" s="15"/>
    </row>
    <row r="1241" spans="1:26" x14ac:dyDescent="0.25">
      <c r="Q1241" s="14"/>
      <c r="R1241" s="15"/>
      <c r="S1241" s="14"/>
      <c r="T1241" s="15"/>
      <c r="U1241" s="14"/>
      <c r="V1241" s="15"/>
      <c r="W1241" s="14"/>
      <c r="X1241" s="15"/>
      <c r="Y1241" s="14"/>
      <c r="Z1241" s="15"/>
    </row>
    <row r="1242" spans="1:26" x14ac:dyDescent="0.25">
      <c r="Q1242" s="14"/>
      <c r="R1242" s="15"/>
      <c r="S1242" s="14"/>
      <c r="T1242" s="15"/>
      <c r="U1242" s="14"/>
      <c r="V1242" s="15"/>
      <c r="W1242" s="14"/>
      <c r="X1242" s="15"/>
      <c r="Y1242" s="14"/>
      <c r="Z1242" s="15"/>
    </row>
    <row r="1243" spans="1:26" x14ac:dyDescent="0.25">
      <c r="Q1243" s="14"/>
      <c r="R1243" s="15"/>
      <c r="S1243" s="14"/>
      <c r="T1243" s="15"/>
      <c r="U1243" s="14"/>
      <c r="V1243" s="15"/>
      <c r="W1243" s="14"/>
      <c r="X1243" s="15"/>
      <c r="Y1243" s="14"/>
      <c r="Z1243" s="15"/>
    </row>
    <row r="1244" spans="1:26" x14ac:dyDescent="0.25">
      <c r="Q1244" s="14"/>
      <c r="R1244" s="15"/>
      <c r="S1244" s="14"/>
      <c r="T1244" s="15"/>
      <c r="U1244" s="14"/>
      <c r="V1244" s="15"/>
      <c r="W1244" s="14"/>
      <c r="X1244" s="15"/>
      <c r="Y1244" s="14"/>
      <c r="Z1244" s="15"/>
    </row>
    <row r="1245" spans="1:26" x14ac:dyDescent="0.25">
      <c r="Q1245" s="14"/>
      <c r="R1245" s="15"/>
      <c r="S1245" s="14"/>
      <c r="T1245" s="15"/>
      <c r="U1245" s="14"/>
      <c r="V1245" s="15"/>
      <c r="W1245" s="14"/>
      <c r="X1245" s="15"/>
      <c r="Y1245" s="14"/>
      <c r="Z1245" s="15"/>
    </row>
    <row r="1246" spans="1:26" x14ac:dyDescent="0.25">
      <c r="Q1246" s="14"/>
      <c r="R1246" s="15"/>
      <c r="S1246" s="14"/>
      <c r="T1246" s="15"/>
      <c r="U1246" s="14"/>
      <c r="V1246" s="15"/>
      <c r="W1246" s="14"/>
      <c r="X1246" s="15"/>
      <c r="Y1246" s="14"/>
      <c r="Z1246" s="15"/>
    </row>
    <row r="1247" spans="1:26" x14ac:dyDescent="0.25">
      <c r="Q1247" s="14"/>
      <c r="R1247" s="15"/>
      <c r="S1247" s="14"/>
      <c r="T1247" s="15"/>
      <c r="U1247" s="14"/>
      <c r="V1247" s="15"/>
      <c r="W1247" s="14"/>
      <c r="X1247" s="15"/>
      <c r="Y1247" s="14"/>
      <c r="Z1247" s="15"/>
    </row>
    <row r="1248" spans="1:26" x14ac:dyDescent="0.25">
      <c r="Q1248" s="14"/>
      <c r="R1248" s="15"/>
      <c r="S1248" s="14"/>
      <c r="T1248" s="15"/>
      <c r="U1248" s="14"/>
      <c r="V1248" s="15"/>
      <c r="W1248" s="14"/>
      <c r="X1248" s="15"/>
      <c r="Y1248" s="14"/>
      <c r="Z1248" s="15"/>
    </row>
    <row r="1249" spans="1:26" x14ac:dyDescent="0.25">
      <c r="Q1249" s="14"/>
      <c r="R1249" s="15"/>
      <c r="S1249" s="14"/>
      <c r="T1249" s="15"/>
      <c r="U1249" s="14"/>
      <c r="V1249" s="15"/>
      <c r="W1249" s="14"/>
      <c r="X1249" s="15"/>
      <c r="Y1249" s="14"/>
      <c r="Z1249" s="15"/>
    </row>
    <row r="1250" spans="1:26" x14ac:dyDescent="0.25">
      <c r="Q1250" s="14"/>
      <c r="R1250" s="15"/>
      <c r="S1250" s="14"/>
      <c r="T1250" s="15"/>
      <c r="U1250" s="14"/>
      <c r="V1250" s="15"/>
      <c r="W1250" s="14"/>
      <c r="X1250" s="15"/>
      <c r="Y1250" s="14"/>
      <c r="Z1250" s="15"/>
    </row>
    <row r="1251" spans="1:26" x14ac:dyDescent="0.25">
      <c r="Q1251" s="14"/>
      <c r="R1251" s="15"/>
      <c r="S1251" s="14"/>
      <c r="T1251" s="15"/>
      <c r="U1251" s="14"/>
      <c r="V1251" s="15"/>
      <c r="W1251" s="14"/>
      <c r="X1251" s="15"/>
      <c r="Y1251" s="14"/>
      <c r="Z1251" s="15"/>
    </row>
    <row r="1252" spans="1:26" x14ac:dyDescent="0.25">
      <c r="Q1252" s="14"/>
      <c r="R1252" s="15"/>
      <c r="S1252" s="14"/>
      <c r="T1252" s="15"/>
      <c r="U1252" s="14"/>
      <c r="V1252" s="15"/>
      <c r="W1252" s="14"/>
      <c r="X1252" s="15"/>
      <c r="Y1252" s="14"/>
      <c r="Z1252" s="15"/>
    </row>
    <row r="1253" spans="1:26" x14ac:dyDescent="0.25">
      <c r="Q1253" s="14"/>
      <c r="R1253" s="15"/>
      <c r="S1253" s="14"/>
      <c r="T1253" s="15"/>
      <c r="U1253" s="14"/>
      <c r="V1253" s="15"/>
      <c r="W1253" s="14"/>
      <c r="X1253" s="15"/>
      <c r="Y1253" s="14"/>
      <c r="Z1253" s="15"/>
    </row>
    <row r="1254" spans="1:26" x14ac:dyDescent="0.25">
      <c r="Q1254" s="14"/>
      <c r="R1254" s="15"/>
      <c r="S1254" s="14"/>
      <c r="T1254" s="15"/>
      <c r="U1254" s="14"/>
      <c r="V1254" s="15"/>
      <c r="W1254" s="14"/>
      <c r="X1254" s="15"/>
      <c r="Y1254" s="14"/>
      <c r="Z1254" s="15"/>
    </row>
    <row r="1255" spans="1:26" x14ac:dyDescent="0.25">
      <c r="Q1255" s="14"/>
      <c r="R1255" s="15"/>
      <c r="S1255" s="14"/>
      <c r="T1255" s="15"/>
      <c r="U1255" s="14"/>
      <c r="V1255" s="15"/>
      <c r="W1255" s="14"/>
      <c r="X1255" s="15"/>
      <c r="Y1255" s="14"/>
      <c r="Z1255" s="15"/>
    </row>
    <row r="1256" spans="1:26" x14ac:dyDescent="0.25">
      <c r="Q1256" s="14"/>
      <c r="R1256" s="15"/>
      <c r="S1256" s="14"/>
      <c r="T1256" s="15"/>
      <c r="U1256" s="14"/>
      <c r="V1256" s="15"/>
      <c r="W1256" s="14"/>
      <c r="X1256" s="15"/>
      <c r="Y1256" s="14"/>
      <c r="Z1256" s="15"/>
    </row>
    <row r="1257" spans="1:26" x14ac:dyDescent="0.25">
      <c r="Q1257" s="14"/>
      <c r="R1257" s="15"/>
      <c r="S1257" s="14"/>
      <c r="T1257" s="15"/>
      <c r="U1257" s="14"/>
      <c r="V1257" s="15"/>
      <c r="W1257" s="14"/>
      <c r="X1257" s="15"/>
      <c r="Y1257" s="14"/>
      <c r="Z1257" s="15"/>
    </row>
    <row r="1258" spans="1:26" x14ac:dyDescent="0.25">
      <c r="Q1258" s="14"/>
      <c r="R1258" s="15"/>
      <c r="S1258" s="14"/>
      <c r="T1258" s="15"/>
      <c r="U1258" s="14"/>
      <c r="V1258" s="15"/>
      <c r="W1258" s="14"/>
      <c r="X1258" s="15"/>
      <c r="Y1258" s="14"/>
      <c r="Z1258" s="15"/>
    </row>
    <row r="1259" spans="1:26" x14ac:dyDescent="0.25">
      <c r="Q1259" s="14"/>
      <c r="R1259" s="15"/>
      <c r="S1259" s="14"/>
      <c r="T1259" s="15"/>
      <c r="U1259" s="14"/>
      <c r="V1259" s="15"/>
      <c r="W1259" s="14"/>
      <c r="X1259" s="15"/>
      <c r="Y1259" s="14"/>
      <c r="Z1259" s="15"/>
    </row>
    <row r="1260" spans="1:26" x14ac:dyDescent="0.25">
      <c r="Q1260" s="14"/>
      <c r="R1260" s="15"/>
      <c r="S1260" s="14"/>
      <c r="T1260" s="15"/>
      <c r="U1260" s="14"/>
      <c r="V1260" s="15"/>
      <c r="W1260" s="14"/>
      <c r="X1260" s="15"/>
      <c r="Y1260" s="14"/>
      <c r="Z1260" s="15"/>
    </row>
    <row r="1261" spans="1:26" x14ac:dyDescent="0.25">
      <c r="Q1261" s="14"/>
      <c r="R1261" s="15"/>
      <c r="S1261" s="14"/>
      <c r="T1261" s="15"/>
      <c r="U1261" s="14"/>
      <c r="V1261" s="15"/>
      <c r="W1261" s="14"/>
      <c r="X1261" s="15"/>
      <c r="Y1261" s="14"/>
      <c r="Z1261" s="15"/>
    </row>
    <row r="1262" spans="1:26" x14ac:dyDescent="0.25">
      <c r="Q1262" s="14"/>
      <c r="R1262" s="15"/>
      <c r="S1262" s="14"/>
      <c r="T1262" s="15"/>
      <c r="U1262" s="14"/>
      <c r="V1262" s="15"/>
      <c r="W1262" s="14"/>
      <c r="X1262" s="15"/>
      <c r="Y1262" s="14"/>
      <c r="Z1262" s="15"/>
    </row>
    <row r="1263" spans="1:26" x14ac:dyDescent="0.25">
      <c r="Q1263" s="14"/>
      <c r="R1263" s="15"/>
      <c r="S1263" s="14"/>
      <c r="T1263" s="15"/>
      <c r="U1263" s="14"/>
      <c r="V1263" s="15"/>
      <c r="W1263" s="14"/>
      <c r="X1263" s="15"/>
      <c r="Y1263" s="14"/>
      <c r="Z1263" s="15"/>
    </row>
    <row r="1264" spans="1:26" x14ac:dyDescent="0.25">
      <c r="Q1264" s="14"/>
      <c r="R1264" s="15"/>
      <c r="S1264" s="14"/>
      <c r="T1264" s="15"/>
      <c r="U1264" s="14"/>
      <c r="V1264" s="15"/>
      <c r="W1264" s="14"/>
      <c r="X1264" s="15"/>
      <c r="Y1264" s="14"/>
      <c r="Z1264" s="15"/>
    </row>
    <row r="1265" spans="1:26" x14ac:dyDescent="0.25">
      <c r="Q1265" s="14"/>
      <c r="R1265" s="15"/>
      <c r="S1265" s="14"/>
      <c r="T1265" s="15"/>
      <c r="U1265" s="14"/>
      <c r="V1265" s="15"/>
      <c r="W1265" s="14"/>
      <c r="X1265" s="15"/>
      <c r="Y1265" s="14"/>
      <c r="Z1265" s="15"/>
    </row>
    <row r="1266" spans="1:26" x14ac:dyDescent="0.25">
      <c r="Q1266" s="14"/>
      <c r="R1266" s="15"/>
      <c r="S1266" s="14"/>
      <c r="T1266" s="15"/>
      <c r="U1266" s="14"/>
      <c r="V1266" s="15"/>
      <c r="W1266" s="14"/>
      <c r="X1266" s="15"/>
      <c r="Y1266" s="14"/>
      <c r="Z1266" s="15"/>
    </row>
    <row r="1267" spans="1:26" x14ac:dyDescent="0.25">
      <c r="Q1267" s="14"/>
      <c r="R1267" s="15"/>
      <c r="S1267" s="14"/>
      <c r="T1267" s="15"/>
      <c r="U1267" s="14"/>
      <c r="V1267" s="15"/>
      <c r="W1267" s="14"/>
      <c r="X1267" s="15"/>
      <c r="Y1267" s="14"/>
      <c r="Z1267" s="15"/>
    </row>
    <row r="1268" spans="1:26" x14ac:dyDescent="0.25">
      <c r="Q1268" s="14"/>
      <c r="R1268" s="15"/>
      <c r="S1268" s="14"/>
      <c r="T1268" s="15"/>
      <c r="U1268" s="14"/>
      <c r="V1268" s="15"/>
      <c r="W1268" s="14"/>
      <c r="X1268" s="15"/>
      <c r="Y1268" s="14"/>
      <c r="Z1268" s="15"/>
    </row>
    <row r="1269" spans="1:26" x14ac:dyDescent="0.25">
      <c r="Q1269" s="14"/>
      <c r="R1269" s="15"/>
      <c r="S1269" s="14"/>
      <c r="T1269" s="15"/>
      <c r="U1269" s="14"/>
      <c r="V1269" s="15"/>
      <c r="W1269" s="14"/>
      <c r="X1269" s="15"/>
      <c r="Y1269" s="14"/>
      <c r="Z1269" s="15"/>
    </row>
    <row r="1270" spans="1:26" x14ac:dyDescent="0.25">
      <c r="Q1270" s="14"/>
      <c r="R1270" s="15"/>
      <c r="S1270" s="14"/>
      <c r="T1270" s="15"/>
      <c r="U1270" s="14"/>
      <c r="V1270" s="15"/>
      <c r="W1270" s="14"/>
      <c r="X1270" s="15"/>
      <c r="Y1270" s="14"/>
      <c r="Z1270" s="15"/>
    </row>
    <row r="1271" spans="1:26" x14ac:dyDescent="0.25">
      <c r="Q1271" s="14"/>
      <c r="R1271" s="15"/>
      <c r="S1271" s="14"/>
      <c r="T1271" s="15"/>
      <c r="U1271" s="14"/>
      <c r="V1271" s="15"/>
      <c r="W1271" s="14"/>
      <c r="X1271" s="15"/>
      <c r="Y1271" s="14"/>
      <c r="Z1271" s="15"/>
    </row>
    <row r="1272" spans="1:26" x14ac:dyDescent="0.25">
      <c r="Q1272" s="14"/>
      <c r="R1272" s="15"/>
      <c r="S1272" s="14"/>
      <c r="T1272" s="15"/>
      <c r="U1272" s="14"/>
      <c r="V1272" s="15"/>
      <c r="W1272" s="14"/>
      <c r="X1272" s="15"/>
      <c r="Y1272" s="14"/>
      <c r="Z1272" s="15"/>
    </row>
    <row r="1273" spans="1:26" x14ac:dyDescent="0.25">
      <c r="Q1273" s="14"/>
      <c r="R1273" s="15"/>
      <c r="S1273" s="14"/>
      <c r="T1273" s="15"/>
      <c r="U1273" s="14"/>
      <c r="V1273" s="15"/>
      <c r="W1273" s="14"/>
      <c r="X1273" s="15"/>
      <c r="Y1273" s="14"/>
      <c r="Z1273" s="15"/>
    </row>
    <row r="1274" spans="1:26" x14ac:dyDescent="0.25">
      <c r="Q1274" s="14"/>
      <c r="R1274" s="15"/>
      <c r="S1274" s="14"/>
      <c r="T1274" s="15"/>
      <c r="U1274" s="14"/>
      <c r="V1274" s="15"/>
      <c r="W1274" s="14"/>
      <c r="X1274" s="15"/>
      <c r="Y1274" s="14"/>
      <c r="Z1274" s="15"/>
    </row>
    <row r="1275" spans="1:26" x14ac:dyDescent="0.25">
      <c r="Q1275" s="14"/>
      <c r="R1275" s="15"/>
      <c r="S1275" s="14"/>
      <c r="T1275" s="15"/>
      <c r="U1275" s="14"/>
      <c r="V1275" s="15"/>
      <c r="W1275" s="14"/>
      <c r="X1275" s="15"/>
      <c r="Y1275" s="14"/>
      <c r="Z1275" s="15"/>
    </row>
    <row r="1276" spans="1:26" x14ac:dyDescent="0.25">
      <c r="Q1276" s="14"/>
      <c r="R1276" s="15"/>
      <c r="S1276" s="14"/>
      <c r="T1276" s="15"/>
      <c r="U1276" s="14"/>
      <c r="V1276" s="15"/>
      <c r="W1276" s="14"/>
      <c r="X1276" s="15"/>
      <c r="Y1276" s="14"/>
      <c r="Z1276" s="15"/>
    </row>
    <row r="1277" spans="1:26" x14ac:dyDescent="0.25">
      <c r="Q1277" s="14"/>
      <c r="R1277" s="15"/>
      <c r="S1277" s="14"/>
      <c r="T1277" s="15"/>
      <c r="U1277" s="14"/>
      <c r="V1277" s="15"/>
      <c r="W1277" s="14"/>
      <c r="X1277" s="15"/>
      <c r="Y1277" s="14"/>
      <c r="Z1277" s="15"/>
    </row>
    <row r="1278" spans="1:26" x14ac:dyDescent="0.25">
      <c r="Q1278" s="14"/>
      <c r="R1278" s="15"/>
      <c r="S1278" s="14"/>
      <c r="T1278" s="15"/>
      <c r="U1278" s="14"/>
      <c r="V1278" s="15"/>
      <c r="W1278" s="14"/>
      <c r="X1278" s="15"/>
      <c r="Y1278" s="14"/>
      <c r="Z1278" s="15"/>
    </row>
    <row r="1279" spans="1:26" x14ac:dyDescent="0.25">
      <c r="Q1279" s="14"/>
      <c r="R1279" s="15"/>
      <c r="S1279" s="14"/>
      <c r="T1279" s="15"/>
      <c r="U1279" s="14"/>
      <c r="V1279" s="15"/>
      <c r="W1279" s="14"/>
      <c r="X1279" s="15"/>
      <c r="Y1279" s="14"/>
      <c r="Z1279" s="15"/>
    </row>
    <row r="1280" spans="1:26" x14ac:dyDescent="0.25">
      <c r="Q1280" s="14"/>
      <c r="R1280" s="15"/>
      <c r="S1280" s="14"/>
      <c r="T1280" s="15"/>
      <c r="U1280" s="14"/>
      <c r="V1280" s="15"/>
      <c r="W1280" s="14"/>
      <c r="X1280" s="15"/>
      <c r="Y1280" s="14"/>
      <c r="Z1280" s="15"/>
    </row>
    <row r="1281" spans="1:26" x14ac:dyDescent="0.25">
      <c r="Q1281" s="14"/>
      <c r="R1281" s="15"/>
      <c r="S1281" s="14"/>
      <c r="T1281" s="15"/>
      <c r="U1281" s="14"/>
      <c r="V1281" s="15"/>
      <c r="W1281" s="14"/>
      <c r="X1281" s="15"/>
      <c r="Y1281" s="14"/>
      <c r="Z1281" s="15"/>
    </row>
    <row r="1282" spans="1:26" x14ac:dyDescent="0.25">
      <c r="Q1282" s="14"/>
      <c r="R1282" s="15"/>
      <c r="S1282" s="14"/>
      <c r="T1282" s="15"/>
      <c r="U1282" s="14"/>
      <c r="V1282" s="15"/>
      <c r="W1282" s="14"/>
      <c r="X1282" s="15"/>
      <c r="Y1282" s="14"/>
      <c r="Z1282" s="15"/>
    </row>
    <row r="1283" spans="1:26" x14ac:dyDescent="0.25">
      <c r="Q1283" s="14"/>
      <c r="R1283" s="15"/>
      <c r="S1283" s="14"/>
      <c r="T1283" s="15"/>
      <c r="U1283" s="14"/>
      <c r="V1283" s="15"/>
      <c r="W1283" s="14"/>
      <c r="X1283" s="15"/>
      <c r="Y1283" s="14"/>
      <c r="Z1283" s="15"/>
    </row>
    <row r="1284" spans="1:26" x14ac:dyDescent="0.25">
      <c r="Q1284" s="14"/>
      <c r="R1284" s="15"/>
      <c r="S1284" s="14"/>
      <c r="T1284" s="15"/>
      <c r="U1284" s="14"/>
      <c r="V1284" s="15"/>
      <c r="W1284" s="14"/>
      <c r="X1284" s="15"/>
      <c r="Y1284" s="14"/>
      <c r="Z1284" s="15"/>
    </row>
    <row r="1285" spans="1:26" x14ac:dyDescent="0.25">
      <c r="Q1285" s="14"/>
      <c r="R1285" s="15"/>
      <c r="S1285" s="14"/>
      <c r="T1285" s="15"/>
      <c r="U1285" s="14"/>
      <c r="V1285" s="15"/>
      <c r="W1285" s="14"/>
      <c r="X1285" s="15"/>
      <c r="Y1285" s="14"/>
      <c r="Z1285" s="15"/>
    </row>
    <row r="1286" spans="1:26" x14ac:dyDescent="0.25">
      <c r="Q1286" s="14"/>
      <c r="R1286" s="15"/>
      <c r="S1286" s="14"/>
      <c r="T1286" s="15"/>
      <c r="U1286" s="14"/>
      <c r="V1286" s="15"/>
      <c r="W1286" s="14"/>
      <c r="X1286" s="15"/>
      <c r="Y1286" s="14"/>
      <c r="Z1286" s="15"/>
    </row>
    <row r="1287" spans="1:26" x14ac:dyDescent="0.25">
      <c r="Q1287" s="14"/>
      <c r="R1287" s="15"/>
      <c r="S1287" s="14"/>
      <c r="T1287" s="15"/>
      <c r="U1287" s="14"/>
      <c r="V1287" s="15"/>
      <c r="W1287" s="14"/>
      <c r="X1287" s="15"/>
      <c r="Y1287" s="14"/>
      <c r="Z1287" s="15"/>
    </row>
    <row r="1288" spans="1:26" x14ac:dyDescent="0.25">
      <c r="Q1288" s="14"/>
      <c r="R1288" s="15"/>
      <c r="S1288" s="14"/>
      <c r="T1288" s="15"/>
      <c r="U1288" s="14"/>
      <c r="V1288" s="15"/>
      <c r="W1288" s="14"/>
      <c r="X1288" s="15"/>
      <c r="Y1288" s="14"/>
      <c r="Z1288" s="15"/>
    </row>
    <row r="1289" spans="1:26" x14ac:dyDescent="0.25">
      <c r="Q1289" s="14"/>
      <c r="R1289" s="15"/>
      <c r="S1289" s="14"/>
      <c r="T1289" s="15"/>
      <c r="U1289" s="14"/>
      <c r="V1289" s="15"/>
      <c r="W1289" s="14"/>
      <c r="X1289" s="15"/>
      <c r="Y1289" s="14"/>
      <c r="Z1289" s="15"/>
    </row>
    <row r="1290" spans="1:26" x14ac:dyDescent="0.25">
      <c r="Q1290" s="14"/>
      <c r="R1290" s="15"/>
      <c r="S1290" s="14"/>
      <c r="T1290" s="15"/>
      <c r="U1290" s="14"/>
      <c r="V1290" s="15"/>
      <c r="W1290" s="14"/>
      <c r="X1290" s="15"/>
      <c r="Y1290" s="14"/>
      <c r="Z1290" s="15"/>
    </row>
    <row r="1291" spans="1:26" x14ac:dyDescent="0.25">
      <c r="Q1291" s="14"/>
      <c r="R1291" s="15"/>
      <c r="S1291" s="14"/>
      <c r="T1291" s="15"/>
      <c r="U1291" s="14"/>
      <c r="V1291" s="15"/>
      <c r="W1291" s="14"/>
      <c r="X1291" s="15"/>
      <c r="Y1291" s="14"/>
      <c r="Z1291" s="15"/>
    </row>
    <row r="1292" spans="1:26" x14ac:dyDescent="0.25">
      <c r="Q1292" s="14"/>
      <c r="R1292" s="15"/>
      <c r="S1292" s="14"/>
      <c r="T1292" s="15"/>
      <c r="U1292" s="14"/>
      <c r="V1292" s="15"/>
      <c r="W1292" s="14"/>
      <c r="X1292" s="15"/>
      <c r="Y1292" s="14"/>
      <c r="Z1292" s="15"/>
    </row>
    <row r="1293" spans="1:26" x14ac:dyDescent="0.25">
      <c r="Q1293" s="14"/>
      <c r="R1293" s="15"/>
      <c r="S1293" s="14"/>
      <c r="T1293" s="15"/>
      <c r="U1293" s="14"/>
      <c r="V1293" s="15"/>
      <c r="W1293" s="14"/>
      <c r="X1293" s="15"/>
      <c r="Y1293" s="14"/>
      <c r="Z1293" s="15"/>
    </row>
    <row r="1294" spans="1:26" x14ac:dyDescent="0.25">
      <c r="Q1294" s="14"/>
      <c r="R1294" s="15"/>
      <c r="S1294" s="14"/>
      <c r="T1294" s="15"/>
      <c r="U1294" s="14"/>
      <c r="V1294" s="15"/>
      <c r="W1294" s="14"/>
      <c r="X1294" s="15"/>
      <c r="Y1294" s="14"/>
      <c r="Z1294" s="15"/>
    </row>
    <row r="1295" spans="1:26" x14ac:dyDescent="0.25">
      <c r="Q1295" s="14"/>
      <c r="R1295" s="15"/>
      <c r="S1295" s="14"/>
      <c r="T1295" s="15"/>
      <c r="U1295" s="14"/>
      <c r="V1295" s="15"/>
      <c r="W1295" s="14"/>
      <c r="X1295" s="15"/>
      <c r="Y1295" s="14"/>
      <c r="Z1295" s="15"/>
    </row>
    <row r="1296" spans="1:26" x14ac:dyDescent="0.25">
      <c r="Q1296" s="14"/>
      <c r="R1296" s="15"/>
      <c r="S1296" s="14"/>
      <c r="T1296" s="15"/>
      <c r="U1296" s="14"/>
      <c r="V1296" s="15"/>
      <c r="W1296" s="14"/>
      <c r="X1296" s="15"/>
      <c r="Y1296" s="14"/>
      <c r="Z1296" s="15"/>
    </row>
    <row r="1297" spans="1:26" x14ac:dyDescent="0.25">
      <c r="Q1297" s="14"/>
      <c r="R1297" s="15"/>
      <c r="S1297" s="14"/>
      <c r="T1297" s="15"/>
      <c r="U1297" s="14"/>
      <c r="V1297" s="15"/>
      <c r="W1297" s="14"/>
      <c r="X1297" s="15"/>
      <c r="Y1297" s="14"/>
      <c r="Z1297" s="15"/>
    </row>
    <row r="1298" spans="1:26" x14ac:dyDescent="0.25">
      <c r="Q1298" s="14"/>
      <c r="R1298" s="15"/>
      <c r="S1298" s="14"/>
      <c r="T1298" s="15"/>
      <c r="U1298" s="14"/>
      <c r="V1298" s="15"/>
      <c r="W1298" s="14"/>
      <c r="X1298" s="15"/>
      <c r="Y1298" s="14"/>
      <c r="Z1298" s="15"/>
    </row>
    <row r="1299" spans="1:26" x14ac:dyDescent="0.25">
      <c r="Q1299" s="14"/>
      <c r="R1299" s="15"/>
      <c r="S1299" s="14"/>
      <c r="T1299" s="15"/>
      <c r="U1299" s="14"/>
      <c r="V1299" s="15"/>
      <c r="W1299" s="14"/>
      <c r="X1299" s="15"/>
      <c r="Y1299" s="14"/>
      <c r="Z1299" s="15"/>
    </row>
    <row r="1300" spans="1:26" x14ac:dyDescent="0.25">
      <c r="Q1300" s="14"/>
      <c r="R1300" s="15"/>
      <c r="S1300" s="14"/>
      <c r="T1300" s="15"/>
      <c r="U1300" s="14"/>
      <c r="V1300" s="15"/>
      <c r="W1300" s="14"/>
      <c r="X1300" s="15"/>
      <c r="Y1300" s="14"/>
      <c r="Z1300" s="15"/>
    </row>
    <row r="1301" spans="1:26" x14ac:dyDescent="0.25">
      <c r="Q1301" s="14"/>
      <c r="R1301" s="15"/>
      <c r="S1301" s="14"/>
      <c r="T1301" s="15"/>
      <c r="U1301" s="14"/>
      <c r="V1301" s="15"/>
      <c r="W1301" s="14"/>
      <c r="X1301" s="15"/>
      <c r="Y1301" s="14"/>
      <c r="Z1301" s="15"/>
    </row>
    <row r="1302" spans="1:26" x14ac:dyDescent="0.25">
      <c r="Q1302" s="14"/>
      <c r="R1302" s="15"/>
      <c r="S1302" s="14"/>
      <c r="T1302" s="15"/>
      <c r="U1302" s="14"/>
      <c r="V1302" s="15"/>
      <c r="W1302" s="14"/>
      <c r="X1302" s="15"/>
      <c r="Y1302" s="14"/>
      <c r="Z1302" s="15"/>
    </row>
    <row r="1303" spans="1:26" x14ac:dyDescent="0.25">
      <c r="Q1303" s="14"/>
      <c r="R1303" s="15"/>
      <c r="S1303" s="14"/>
      <c r="T1303" s="15"/>
      <c r="U1303" s="14"/>
      <c r="V1303" s="15"/>
      <c r="W1303" s="14"/>
      <c r="X1303" s="15"/>
      <c r="Y1303" s="14"/>
      <c r="Z1303" s="15"/>
    </row>
    <row r="1304" spans="1:26" x14ac:dyDescent="0.25">
      <c r="Q1304" s="14"/>
      <c r="R1304" s="15"/>
      <c r="S1304" s="14"/>
      <c r="T1304" s="15"/>
      <c r="U1304" s="14"/>
      <c r="V1304" s="15"/>
      <c r="W1304" s="14"/>
      <c r="X1304" s="15"/>
      <c r="Y1304" s="14"/>
      <c r="Z1304" s="15"/>
    </row>
    <row r="1305" spans="1:26" x14ac:dyDescent="0.25">
      <c r="Q1305" s="14"/>
      <c r="R1305" s="15"/>
      <c r="S1305" s="14"/>
      <c r="T1305" s="15"/>
      <c r="U1305" s="14"/>
      <c r="V1305" s="15"/>
      <c r="W1305" s="14"/>
      <c r="X1305" s="15"/>
      <c r="Y1305" s="14"/>
      <c r="Z1305" s="15"/>
    </row>
    <row r="1306" spans="1:26" x14ac:dyDescent="0.25">
      <c r="Q1306" s="14"/>
      <c r="R1306" s="15"/>
      <c r="S1306" s="14"/>
      <c r="T1306" s="15"/>
      <c r="U1306" s="14"/>
      <c r="V1306" s="15"/>
      <c r="W1306" s="14"/>
      <c r="X1306" s="15"/>
      <c r="Y1306" s="14"/>
      <c r="Z1306" s="15"/>
    </row>
    <row r="1307" spans="1:26" x14ac:dyDescent="0.25">
      <c r="Q1307" s="14"/>
      <c r="R1307" s="15"/>
      <c r="S1307" s="14"/>
      <c r="T1307" s="15"/>
      <c r="U1307" s="14"/>
      <c r="V1307" s="15"/>
      <c r="W1307" s="14"/>
      <c r="X1307" s="15"/>
      <c r="Y1307" s="14"/>
      <c r="Z1307" s="15"/>
    </row>
    <row r="1308" spans="1:26" x14ac:dyDescent="0.25">
      <c r="Q1308" s="14"/>
      <c r="R1308" s="15"/>
      <c r="S1308" s="14"/>
      <c r="T1308" s="15"/>
      <c r="U1308" s="14"/>
      <c r="V1308" s="15"/>
      <c r="W1308" s="14"/>
      <c r="X1308" s="15"/>
      <c r="Y1308" s="14"/>
      <c r="Z1308" s="15"/>
    </row>
    <row r="1309" spans="1:26" x14ac:dyDescent="0.25">
      <c r="Q1309" s="14"/>
      <c r="R1309" s="15"/>
      <c r="S1309" s="14"/>
      <c r="T1309" s="15"/>
      <c r="U1309" s="14"/>
      <c r="V1309" s="15"/>
      <c r="W1309" s="14"/>
      <c r="X1309" s="15"/>
      <c r="Y1309" s="14"/>
      <c r="Z1309" s="15"/>
    </row>
    <row r="1310" spans="1:26" x14ac:dyDescent="0.25">
      <c r="Q1310" s="14"/>
      <c r="R1310" s="15"/>
      <c r="S1310" s="14"/>
      <c r="T1310" s="15"/>
      <c r="U1310" s="14"/>
      <c r="V1310" s="15"/>
      <c r="W1310" s="14"/>
      <c r="X1310" s="15"/>
      <c r="Y1310" s="14"/>
      <c r="Z1310" s="15"/>
    </row>
    <row r="1311" spans="1:26" x14ac:dyDescent="0.25">
      <c r="Q1311" s="14"/>
      <c r="R1311" s="15"/>
      <c r="S1311" s="14"/>
      <c r="T1311" s="15"/>
      <c r="U1311" s="14"/>
      <c r="V1311" s="15"/>
      <c r="W1311" s="14"/>
      <c r="X1311" s="15"/>
      <c r="Y1311" s="14"/>
      <c r="Z1311" s="15"/>
    </row>
    <row r="1312" spans="1:26" x14ac:dyDescent="0.25">
      <c r="Q1312" s="14"/>
      <c r="R1312" s="15"/>
      <c r="S1312" s="14"/>
      <c r="T1312" s="15"/>
      <c r="U1312" s="14"/>
      <c r="V1312" s="15"/>
      <c r="W1312" s="14"/>
      <c r="X1312" s="15"/>
      <c r="Y1312" s="14"/>
      <c r="Z1312" s="15"/>
    </row>
    <row r="1313" spans="1:26" x14ac:dyDescent="0.25">
      <c r="Q1313" s="14"/>
      <c r="R1313" s="15"/>
      <c r="S1313" s="14"/>
      <c r="T1313" s="15"/>
      <c r="U1313" s="14"/>
      <c r="V1313" s="15"/>
      <c r="W1313" s="14"/>
      <c r="X1313" s="15"/>
      <c r="Y1313" s="14"/>
      <c r="Z1313" s="15"/>
    </row>
    <row r="1314" spans="1:26" x14ac:dyDescent="0.25">
      <c r="Q1314" s="14"/>
      <c r="R1314" s="15"/>
      <c r="S1314" s="14"/>
      <c r="T1314" s="15"/>
      <c r="U1314" s="14"/>
      <c r="V1314" s="15"/>
      <c r="W1314" s="14"/>
      <c r="X1314" s="15"/>
      <c r="Y1314" s="14"/>
      <c r="Z1314" s="15"/>
    </row>
    <row r="1315" spans="1:26" x14ac:dyDescent="0.25">
      <c r="Q1315" s="14"/>
      <c r="R1315" s="15"/>
      <c r="S1315" s="14"/>
      <c r="T1315" s="15"/>
      <c r="U1315" s="14"/>
      <c r="V1315" s="15"/>
      <c r="W1315" s="14"/>
      <c r="X1315" s="15"/>
      <c r="Y1315" s="14"/>
      <c r="Z1315" s="15"/>
    </row>
    <row r="1316" spans="1:26" x14ac:dyDescent="0.25">
      <c r="Q1316" s="14"/>
      <c r="R1316" s="15"/>
      <c r="S1316" s="14"/>
      <c r="T1316" s="15"/>
      <c r="U1316" s="14"/>
      <c r="V1316" s="15"/>
      <c r="W1316" s="14"/>
      <c r="X1316" s="15"/>
      <c r="Y1316" s="14"/>
      <c r="Z1316" s="15"/>
    </row>
    <row r="1317" spans="1:26" x14ac:dyDescent="0.25">
      <c r="Q1317" s="14"/>
      <c r="R1317" s="15"/>
      <c r="S1317" s="14"/>
      <c r="T1317" s="15"/>
      <c r="U1317" s="14"/>
      <c r="V1317" s="15"/>
      <c r="W1317" s="14"/>
      <c r="X1317" s="15"/>
      <c r="Y1317" s="14"/>
      <c r="Z1317" s="15"/>
    </row>
    <row r="1318" spans="1:26" x14ac:dyDescent="0.25">
      <c r="Q1318" s="14"/>
      <c r="R1318" s="15"/>
      <c r="S1318" s="14"/>
      <c r="T1318" s="15"/>
      <c r="U1318" s="14"/>
      <c r="V1318" s="15"/>
      <c r="W1318" s="14"/>
      <c r="X1318" s="15"/>
      <c r="Y1318" s="14"/>
      <c r="Z1318" s="15"/>
    </row>
    <row r="1319" spans="1:26" x14ac:dyDescent="0.25">
      <c r="Q1319" s="14"/>
      <c r="R1319" s="15"/>
      <c r="S1319" s="14"/>
      <c r="T1319" s="15"/>
      <c r="U1319" s="14"/>
      <c r="V1319" s="15"/>
      <c r="W1319" s="14"/>
      <c r="X1319" s="15"/>
      <c r="Y1319" s="14"/>
      <c r="Z1319" s="15"/>
    </row>
    <row r="1320" spans="1:26" x14ac:dyDescent="0.25">
      <c r="Q1320" s="14"/>
      <c r="R1320" s="15"/>
      <c r="S1320" s="14"/>
      <c r="T1320" s="15"/>
      <c r="U1320" s="14"/>
      <c r="V1320" s="15"/>
      <c r="W1320" s="14"/>
      <c r="X1320" s="15"/>
      <c r="Y1320" s="14"/>
      <c r="Z1320" s="15"/>
    </row>
    <row r="1321" spans="1:26" x14ac:dyDescent="0.25">
      <c r="Q1321" s="14"/>
      <c r="R1321" s="15"/>
      <c r="S1321" s="14"/>
      <c r="T1321" s="15"/>
      <c r="U1321" s="14"/>
      <c r="V1321" s="15"/>
      <c r="W1321" s="14"/>
      <c r="X1321" s="15"/>
      <c r="Y1321" s="14"/>
      <c r="Z1321" s="15"/>
    </row>
    <row r="1322" spans="1:26" x14ac:dyDescent="0.25">
      <c r="Q1322" s="14"/>
      <c r="R1322" s="15"/>
      <c r="S1322" s="14"/>
      <c r="T1322" s="15"/>
      <c r="U1322" s="14"/>
      <c r="V1322" s="15"/>
      <c r="W1322" s="14"/>
      <c r="X1322" s="15"/>
      <c r="Y1322" s="14"/>
      <c r="Z1322" s="15"/>
    </row>
    <row r="1323" spans="1:26" x14ac:dyDescent="0.25">
      <c r="Q1323" s="14"/>
      <c r="R1323" s="15"/>
      <c r="S1323" s="14"/>
      <c r="T1323" s="15"/>
      <c r="U1323" s="14"/>
      <c r="V1323" s="15"/>
      <c r="W1323" s="14"/>
      <c r="X1323" s="15"/>
      <c r="Y1323" s="14"/>
      <c r="Z1323" s="15"/>
    </row>
    <row r="1324" spans="1:26" x14ac:dyDescent="0.25">
      <c r="Q1324" s="14"/>
      <c r="R1324" s="15"/>
      <c r="S1324" s="14"/>
      <c r="T1324" s="15"/>
      <c r="U1324" s="14"/>
      <c r="V1324" s="15"/>
      <c r="W1324" s="14"/>
      <c r="X1324" s="15"/>
      <c r="Y1324" s="14"/>
      <c r="Z1324" s="15"/>
    </row>
    <row r="1325" spans="1:26" x14ac:dyDescent="0.25">
      <c r="Q1325" s="14"/>
      <c r="R1325" s="15"/>
      <c r="S1325" s="14"/>
      <c r="T1325" s="15"/>
      <c r="U1325" s="14"/>
      <c r="V1325" s="15"/>
      <c r="W1325" s="14"/>
      <c r="X1325" s="15"/>
      <c r="Y1325" s="14"/>
      <c r="Z1325" s="15"/>
    </row>
    <row r="1326" spans="1:26" x14ac:dyDescent="0.25">
      <c r="Q1326" s="14"/>
      <c r="R1326" s="15"/>
      <c r="S1326" s="14"/>
      <c r="T1326" s="15"/>
      <c r="U1326" s="14"/>
      <c r="V1326" s="15"/>
      <c r="W1326" s="14"/>
      <c r="X1326" s="15"/>
      <c r="Y1326" s="14"/>
      <c r="Z1326" s="15"/>
    </row>
    <row r="1327" spans="1:26" x14ac:dyDescent="0.25">
      <c r="Q1327" s="14"/>
      <c r="R1327" s="15"/>
      <c r="S1327" s="14"/>
      <c r="T1327" s="15"/>
      <c r="U1327" s="14"/>
      <c r="V1327" s="15"/>
      <c r="W1327" s="14"/>
      <c r="X1327" s="15"/>
      <c r="Y1327" s="14"/>
      <c r="Z1327" s="15"/>
    </row>
    <row r="1328" spans="1:26" x14ac:dyDescent="0.25">
      <c r="Q1328" s="14"/>
      <c r="R1328" s="15"/>
      <c r="S1328" s="14"/>
      <c r="T1328" s="15"/>
      <c r="U1328" s="14"/>
      <c r="V1328" s="15"/>
      <c r="W1328" s="14"/>
      <c r="X1328" s="15"/>
      <c r="Y1328" s="14"/>
      <c r="Z1328" s="15"/>
    </row>
    <row r="1329" spans="1:26" x14ac:dyDescent="0.25">
      <c r="Q1329" s="14"/>
      <c r="R1329" s="15"/>
      <c r="S1329" s="14"/>
      <c r="T1329" s="15"/>
      <c r="U1329" s="14"/>
      <c r="V1329" s="15"/>
      <c r="W1329" s="14"/>
      <c r="X1329" s="15"/>
      <c r="Y1329" s="14"/>
      <c r="Z1329" s="15"/>
    </row>
    <row r="1330" spans="1:26" x14ac:dyDescent="0.25">
      <c r="Q1330" s="14"/>
      <c r="R1330" s="15"/>
      <c r="S1330" s="14"/>
      <c r="T1330" s="15"/>
      <c r="U1330" s="14"/>
      <c r="V1330" s="15"/>
      <c r="W1330" s="14"/>
      <c r="X1330" s="15"/>
      <c r="Y1330" s="14"/>
      <c r="Z1330" s="15"/>
    </row>
    <row r="1331" spans="1:26" x14ac:dyDescent="0.25">
      <c r="Q1331" s="14"/>
      <c r="R1331" s="15"/>
      <c r="S1331" s="14"/>
      <c r="T1331" s="15"/>
      <c r="U1331" s="14"/>
      <c r="V1331" s="15"/>
      <c r="W1331" s="14"/>
      <c r="X1331" s="15"/>
      <c r="Y1331" s="14"/>
      <c r="Z1331" s="15"/>
    </row>
    <row r="1332" spans="1:26" x14ac:dyDescent="0.25">
      <c r="Q1332" s="14"/>
      <c r="R1332" s="15"/>
      <c r="S1332" s="14"/>
      <c r="T1332" s="15"/>
      <c r="U1332" s="14"/>
      <c r="V1332" s="15"/>
      <c r="W1332" s="14"/>
      <c r="X1332" s="15"/>
      <c r="Y1332" s="14"/>
      <c r="Z1332" s="15"/>
    </row>
    <row r="1333" spans="1:26" x14ac:dyDescent="0.25">
      <c r="Q1333" s="14"/>
      <c r="R1333" s="15"/>
      <c r="S1333" s="14"/>
      <c r="T1333" s="15"/>
      <c r="U1333" s="14"/>
      <c r="V1333" s="15"/>
      <c r="W1333" s="14"/>
      <c r="X1333" s="15"/>
      <c r="Y1333" s="14"/>
      <c r="Z1333" s="15"/>
    </row>
    <row r="1334" spans="1:26" x14ac:dyDescent="0.25">
      <c r="Q1334" s="14"/>
      <c r="R1334" s="15"/>
      <c r="S1334" s="14"/>
      <c r="T1334" s="15"/>
      <c r="U1334" s="14"/>
      <c r="V1334" s="15"/>
      <c r="W1334" s="14"/>
      <c r="X1334" s="15"/>
      <c r="Y1334" s="14"/>
      <c r="Z1334" s="15"/>
    </row>
    <row r="1335" spans="1:26" x14ac:dyDescent="0.25">
      <c r="Q1335" s="14"/>
      <c r="R1335" s="15"/>
      <c r="S1335" s="14"/>
      <c r="T1335" s="15"/>
      <c r="U1335" s="14"/>
      <c r="V1335" s="15"/>
      <c r="W1335" s="14"/>
      <c r="X1335" s="15"/>
      <c r="Y1335" s="14"/>
      <c r="Z1335" s="15"/>
    </row>
    <row r="1336" spans="1:26" x14ac:dyDescent="0.25">
      <c r="Q1336" s="14"/>
      <c r="R1336" s="15"/>
      <c r="S1336" s="14"/>
      <c r="T1336" s="15"/>
      <c r="U1336" s="14"/>
      <c r="V1336" s="15"/>
      <c r="W1336" s="14"/>
      <c r="X1336" s="15"/>
      <c r="Y1336" s="14"/>
      <c r="Z1336" s="15"/>
    </row>
    <row r="1337" spans="1:26" x14ac:dyDescent="0.25">
      <c r="Q1337" s="14"/>
      <c r="R1337" s="15"/>
      <c r="S1337" s="14"/>
      <c r="T1337" s="15"/>
      <c r="U1337" s="14"/>
      <c r="V1337" s="15"/>
      <c r="W1337" s="14"/>
      <c r="X1337" s="15"/>
      <c r="Y1337" s="14"/>
      <c r="Z1337" s="15"/>
    </row>
    <row r="1338" spans="1:26" x14ac:dyDescent="0.25">
      <c r="Q1338" s="14"/>
      <c r="R1338" s="15"/>
      <c r="S1338" s="14"/>
      <c r="T1338" s="15"/>
      <c r="U1338" s="14"/>
      <c r="V1338" s="15"/>
      <c r="W1338" s="14"/>
      <c r="X1338" s="15"/>
      <c r="Y1338" s="14"/>
      <c r="Z1338" s="15"/>
    </row>
    <row r="1339" spans="1:26" x14ac:dyDescent="0.25">
      <c r="Q1339" s="14"/>
      <c r="R1339" s="15"/>
      <c r="S1339" s="14"/>
      <c r="T1339" s="15"/>
      <c r="U1339" s="14"/>
      <c r="V1339" s="15"/>
      <c r="W1339" s="14"/>
      <c r="X1339" s="15"/>
      <c r="Y1339" s="14"/>
      <c r="Z1339" s="15"/>
    </row>
    <row r="1340" spans="1:26" x14ac:dyDescent="0.25">
      <c r="Q1340" s="14"/>
      <c r="R1340" s="15"/>
      <c r="S1340" s="14"/>
      <c r="T1340" s="15"/>
      <c r="U1340" s="14"/>
      <c r="V1340" s="15"/>
      <c r="W1340" s="14"/>
      <c r="X1340" s="15"/>
      <c r="Y1340" s="14"/>
      <c r="Z1340" s="15"/>
    </row>
    <row r="1341" spans="1:26" x14ac:dyDescent="0.25">
      <c r="Q1341" s="14"/>
      <c r="R1341" s="15"/>
      <c r="S1341" s="14"/>
      <c r="T1341" s="15"/>
      <c r="U1341" s="14"/>
      <c r="V1341" s="15"/>
      <c r="W1341" s="14"/>
      <c r="X1341" s="15"/>
      <c r="Y1341" s="14"/>
      <c r="Z1341" s="15"/>
    </row>
    <row r="1342" spans="1:26" x14ac:dyDescent="0.25">
      <c r="Q1342" s="14"/>
      <c r="R1342" s="15"/>
      <c r="S1342" s="14"/>
      <c r="T1342" s="15"/>
      <c r="U1342" s="14"/>
      <c r="V1342" s="15"/>
      <c r="W1342" s="14"/>
      <c r="X1342" s="15"/>
      <c r="Y1342" s="14"/>
      <c r="Z1342" s="15"/>
    </row>
    <row r="1343" spans="1:26" x14ac:dyDescent="0.25">
      <c r="Q1343" s="14"/>
      <c r="R1343" s="15"/>
      <c r="S1343" s="14"/>
      <c r="T1343" s="15"/>
      <c r="U1343" s="14"/>
      <c r="V1343" s="15"/>
      <c r="W1343" s="14"/>
      <c r="X1343" s="15"/>
      <c r="Y1343" s="14"/>
      <c r="Z1343" s="15"/>
    </row>
    <row r="1344" spans="1:26" x14ac:dyDescent="0.25">
      <c r="Q1344" s="14"/>
      <c r="R1344" s="15"/>
      <c r="S1344" s="14"/>
      <c r="T1344" s="15"/>
      <c r="U1344" s="14"/>
      <c r="V1344" s="15"/>
      <c r="W1344" s="14"/>
      <c r="X1344" s="15"/>
      <c r="Y1344" s="14"/>
      <c r="Z1344" s="15"/>
    </row>
    <row r="1345" spans="1:26" x14ac:dyDescent="0.25">
      <c r="Q1345" s="14"/>
      <c r="R1345" s="15"/>
      <c r="S1345" s="14"/>
      <c r="T1345" s="15"/>
      <c r="U1345" s="14"/>
      <c r="V1345" s="15"/>
      <c r="W1345" s="14"/>
      <c r="X1345" s="15"/>
      <c r="Y1345" s="14"/>
      <c r="Z1345" s="15"/>
    </row>
    <row r="1346" spans="1:26" x14ac:dyDescent="0.25">
      <c r="Q1346" s="14"/>
      <c r="R1346" s="15"/>
      <c r="S1346" s="14"/>
      <c r="T1346" s="15"/>
      <c r="U1346" s="14"/>
      <c r="V1346" s="15"/>
      <c r="W1346" s="14"/>
      <c r="X1346" s="15"/>
      <c r="Y1346" s="14"/>
      <c r="Z1346" s="15"/>
    </row>
    <row r="1347" spans="1:26" x14ac:dyDescent="0.25">
      <c r="Q1347" s="14"/>
      <c r="R1347" s="15"/>
      <c r="S1347" s="14"/>
      <c r="T1347" s="15"/>
      <c r="U1347" s="14"/>
      <c r="V1347" s="15"/>
      <c r="W1347" s="14"/>
      <c r="X1347" s="15"/>
      <c r="Y1347" s="14"/>
      <c r="Z1347" s="15"/>
    </row>
    <row r="1348" spans="1:26" x14ac:dyDescent="0.25">
      <c r="Q1348" s="14"/>
      <c r="R1348" s="15"/>
      <c r="S1348" s="14"/>
      <c r="T1348" s="15"/>
      <c r="U1348" s="14"/>
      <c r="V1348" s="15"/>
      <c r="W1348" s="14"/>
      <c r="X1348" s="15"/>
      <c r="Y1348" s="14"/>
      <c r="Z1348" s="15"/>
    </row>
    <row r="1349" spans="1:26" x14ac:dyDescent="0.25">
      <c r="Q1349" s="14"/>
      <c r="R1349" s="15"/>
      <c r="S1349" s="14"/>
      <c r="T1349" s="15"/>
      <c r="U1349" s="14"/>
      <c r="V1349" s="15"/>
      <c r="W1349" s="14"/>
      <c r="X1349" s="15"/>
      <c r="Y1349" s="14"/>
      <c r="Z1349" s="15"/>
    </row>
    <row r="1350" spans="1:26" x14ac:dyDescent="0.25">
      <c r="Q1350" s="14"/>
      <c r="R1350" s="15"/>
      <c r="S1350" s="14"/>
      <c r="T1350" s="15"/>
      <c r="U1350" s="14"/>
      <c r="V1350" s="15"/>
      <c r="W1350" s="14"/>
      <c r="X1350" s="15"/>
      <c r="Y1350" s="14"/>
      <c r="Z1350" s="15"/>
    </row>
    <row r="1351" spans="1:26" x14ac:dyDescent="0.25">
      <c r="Q1351" s="14"/>
      <c r="R1351" s="15"/>
      <c r="S1351" s="14"/>
      <c r="T1351" s="15"/>
      <c r="U1351" s="14"/>
      <c r="V1351" s="15"/>
      <c r="W1351" s="14"/>
      <c r="X1351" s="15"/>
      <c r="Y1351" s="14"/>
      <c r="Z1351" s="15"/>
    </row>
    <row r="1352" spans="1:26" x14ac:dyDescent="0.25">
      <c r="Q1352" s="14"/>
      <c r="R1352" s="15"/>
      <c r="S1352" s="14"/>
      <c r="T1352" s="15"/>
      <c r="U1352" s="14"/>
      <c r="V1352" s="15"/>
      <c r="W1352" s="14"/>
      <c r="X1352" s="15"/>
      <c r="Y1352" s="14"/>
      <c r="Z1352" s="15"/>
    </row>
    <row r="1353" spans="1:26" x14ac:dyDescent="0.25">
      <c r="Q1353" s="14"/>
      <c r="R1353" s="15"/>
      <c r="S1353" s="14"/>
      <c r="T1353" s="15"/>
      <c r="U1353" s="14"/>
      <c r="V1353" s="15"/>
      <c r="W1353" s="14"/>
      <c r="X1353" s="15"/>
      <c r="Y1353" s="14"/>
      <c r="Z1353" s="15"/>
    </row>
    <row r="1354" spans="1:26" x14ac:dyDescent="0.25">
      <c r="Q1354" s="14"/>
      <c r="R1354" s="15"/>
      <c r="S1354" s="14"/>
      <c r="T1354" s="15"/>
      <c r="U1354" s="14"/>
      <c r="V1354" s="15"/>
      <c r="W1354" s="14"/>
      <c r="X1354" s="15"/>
      <c r="Y1354" s="14"/>
      <c r="Z1354" s="15"/>
    </row>
    <row r="1355" spans="1:26" x14ac:dyDescent="0.25">
      <c r="Q1355" s="14"/>
      <c r="R1355" s="15"/>
      <c r="S1355" s="14"/>
      <c r="T1355" s="15"/>
      <c r="U1355" s="14"/>
      <c r="V1355" s="15"/>
      <c r="W1355" s="14"/>
      <c r="X1355" s="15"/>
      <c r="Y1355" s="14"/>
      <c r="Z1355" s="15"/>
    </row>
    <row r="1356" spans="1:26" x14ac:dyDescent="0.25">
      <c r="Q1356" s="14"/>
      <c r="R1356" s="15"/>
      <c r="S1356" s="14"/>
      <c r="T1356" s="15"/>
      <c r="U1356" s="14"/>
      <c r="V1356" s="15"/>
      <c r="W1356" s="14"/>
      <c r="X1356" s="15"/>
      <c r="Y1356" s="14"/>
      <c r="Z1356" s="15"/>
    </row>
    <row r="1357" spans="1:26" x14ac:dyDescent="0.25">
      <c r="Q1357" s="14"/>
      <c r="R1357" s="15"/>
      <c r="S1357" s="14"/>
      <c r="T1357" s="15"/>
      <c r="U1357" s="14"/>
      <c r="V1357" s="15"/>
      <c r="W1357" s="14"/>
      <c r="X1357" s="15"/>
      <c r="Y1357" s="14"/>
      <c r="Z1357" s="15"/>
    </row>
    <row r="1358" spans="1:26" x14ac:dyDescent="0.25">
      <c r="Q1358" s="14"/>
      <c r="R1358" s="15"/>
      <c r="S1358" s="14"/>
      <c r="T1358" s="15"/>
      <c r="U1358" s="14"/>
      <c r="V1358" s="15"/>
      <c r="W1358" s="14"/>
      <c r="X1358" s="15"/>
      <c r="Y1358" s="14"/>
      <c r="Z1358" s="15"/>
    </row>
    <row r="1359" spans="1:26" x14ac:dyDescent="0.25">
      <c r="Q1359" s="14"/>
      <c r="R1359" s="15"/>
      <c r="S1359" s="14"/>
      <c r="T1359" s="15"/>
      <c r="U1359" s="14"/>
      <c r="V1359" s="15"/>
      <c r="W1359" s="14"/>
      <c r="X1359" s="15"/>
      <c r="Y1359" s="14"/>
      <c r="Z1359" s="15"/>
    </row>
    <row r="1360" spans="1:26" x14ac:dyDescent="0.25">
      <c r="Q1360" s="14"/>
      <c r="R1360" s="15"/>
      <c r="S1360" s="14"/>
      <c r="T1360" s="15"/>
      <c r="U1360" s="14"/>
      <c r="V1360" s="15"/>
      <c r="W1360" s="14"/>
      <c r="X1360" s="15"/>
      <c r="Y1360" s="14"/>
      <c r="Z1360" s="15"/>
    </row>
    <row r="1361" spans="1:26" x14ac:dyDescent="0.25">
      <c r="Q1361" s="14"/>
      <c r="R1361" s="15"/>
      <c r="S1361" s="14"/>
      <c r="T1361" s="15"/>
      <c r="U1361" s="14"/>
      <c r="V1361" s="15"/>
      <c r="W1361" s="14"/>
      <c r="X1361" s="15"/>
      <c r="Y1361" s="14"/>
      <c r="Z1361" s="15"/>
    </row>
    <row r="1362" spans="1:26" x14ac:dyDescent="0.25">
      <c r="Q1362" s="14"/>
      <c r="R1362" s="15"/>
      <c r="S1362" s="14"/>
      <c r="T1362" s="15"/>
      <c r="U1362" s="14"/>
      <c r="V1362" s="15"/>
      <c r="W1362" s="14"/>
      <c r="X1362" s="15"/>
      <c r="Y1362" s="14"/>
      <c r="Z1362" s="15"/>
    </row>
    <row r="1363" spans="1:26" x14ac:dyDescent="0.25">
      <c r="Q1363" s="14"/>
      <c r="R1363" s="15"/>
      <c r="S1363" s="14"/>
      <c r="T1363" s="15"/>
      <c r="U1363" s="14"/>
      <c r="V1363" s="15"/>
      <c r="W1363" s="14"/>
      <c r="X1363" s="15"/>
      <c r="Y1363" s="14"/>
      <c r="Z1363" s="15"/>
    </row>
    <row r="1364" spans="1:26" x14ac:dyDescent="0.25">
      <c r="Q1364" s="14"/>
      <c r="R1364" s="15"/>
      <c r="S1364" s="14"/>
      <c r="T1364" s="15"/>
      <c r="U1364" s="14"/>
      <c r="V1364" s="15"/>
      <c r="W1364" s="14"/>
      <c r="X1364" s="15"/>
      <c r="Y1364" s="14"/>
      <c r="Z1364" s="15"/>
    </row>
    <row r="1365" spans="1:26" x14ac:dyDescent="0.25">
      <c r="Q1365" s="14"/>
      <c r="R1365" s="15"/>
      <c r="S1365" s="14"/>
      <c r="T1365" s="15"/>
      <c r="U1365" s="14"/>
      <c r="V1365" s="15"/>
      <c r="W1365" s="14"/>
      <c r="X1365" s="15"/>
      <c r="Y1365" s="14"/>
      <c r="Z1365" s="15"/>
    </row>
    <row r="1366" spans="1:26" x14ac:dyDescent="0.25">
      <c r="Q1366" s="14"/>
      <c r="R1366" s="15"/>
      <c r="S1366" s="14"/>
      <c r="T1366" s="15"/>
      <c r="U1366" s="14"/>
      <c r="V1366" s="15"/>
      <c r="W1366" s="14"/>
      <c r="X1366" s="15"/>
      <c r="Y1366" s="14"/>
      <c r="Z1366" s="15"/>
    </row>
    <row r="1367" spans="1:26" x14ac:dyDescent="0.25">
      <c r="Q1367" s="14"/>
      <c r="R1367" s="15"/>
      <c r="S1367" s="14"/>
      <c r="T1367" s="15"/>
      <c r="U1367" s="14"/>
      <c r="V1367" s="15"/>
      <c r="W1367" s="14"/>
      <c r="X1367" s="15"/>
      <c r="Y1367" s="14"/>
      <c r="Z1367" s="15"/>
    </row>
    <row r="1368" spans="1:26" x14ac:dyDescent="0.25">
      <c r="Q1368" s="14"/>
      <c r="R1368" s="15"/>
      <c r="S1368" s="14"/>
      <c r="T1368" s="15"/>
      <c r="U1368" s="14"/>
      <c r="V1368" s="15"/>
      <c r="W1368" s="14"/>
      <c r="X1368" s="15"/>
      <c r="Y1368" s="14"/>
      <c r="Z1368" s="15"/>
    </row>
    <row r="1369" spans="1:26" x14ac:dyDescent="0.25">
      <c r="Q1369" s="14"/>
      <c r="R1369" s="15"/>
      <c r="S1369" s="14"/>
      <c r="T1369" s="15"/>
      <c r="U1369" s="14"/>
      <c r="V1369" s="15"/>
      <c r="W1369" s="14"/>
      <c r="X1369" s="15"/>
      <c r="Y1369" s="14"/>
      <c r="Z1369" s="15"/>
    </row>
    <row r="1370" spans="1:26" x14ac:dyDescent="0.25">
      <c r="Q1370" s="14"/>
      <c r="R1370" s="15"/>
      <c r="S1370" s="14"/>
      <c r="T1370" s="15"/>
      <c r="U1370" s="14"/>
      <c r="V1370" s="15"/>
      <c r="W1370" s="14"/>
      <c r="X1370" s="15"/>
      <c r="Y1370" s="14"/>
      <c r="Z1370" s="15"/>
    </row>
    <row r="1371" spans="1:26" x14ac:dyDescent="0.25">
      <c r="Q1371" s="14"/>
      <c r="R1371" s="15"/>
      <c r="S1371" s="14"/>
      <c r="T1371" s="15"/>
      <c r="U1371" s="14"/>
      <c r="V1371" s="15"/>
      <c r="W1371" s="14"/>
      <c r="X1371" s="15"/>
      <c r="Y1371" s="14"/>
      <c r="Z1371" s="15"/>
    </row>
    <row r="1372" spans="1:26" x14ac:dyDescent="0.25">
      <c r="Q1372" s="14"/>
      <c r="R1372" s="15"/>
      <c r="S1372" s="14"/>
      <c r="T1372" s="15"/>
      <c r="U1372" s="14"/>
      <c r="V1372" s="15"/>
      <c r="W1372" s="14"/>
      <c r="X1372" s="15"/>
      <c r="Y1372" s="14"/>
      <c r="Z1372" s="15"/>
    </row>
    <row r="1373" spans="1:26" x14ac:dyDescent="0.25">
      <c r="Q1373" s="14"/>
      <c r="R1373" s="15"/>
      <c r="S1373" s="14"/>
      <c r="T1373" s="15"/>
      <c r="U1373" s="14"/>
      <c r="V1373" s="15"/>
      <c r="W1373" s="14"/>
      <c r="X1373" s="15"/>
      <c r="Y1373" s="14"/>
      <c r="Z1373" s="15"/>
    </row>
    <row r="1374" spans="1:26" x14ac:dyDescent="0.25">
      <c r="Q1374" s="14"/>
      <c r="R1374" s="15"/>
      <c r="S1374" s="14"/>
      <c r="T1374" s="15"/>
      <c r="U1374" s="14"/>
      <c r="V1374" s="15"/>
      <c r="W1374" s="14"/>
      <c r="X1374" s="15"/>
      <c r="Y1374" s="14"/>
      <c r="Z1374" s="15"/>
    </row>
    <row r="1375" spans="1:26" x14ac:dyDescent="0.25">
      <c r="Q1375" s="14"/>
      <c r="R1375" s="15"/>
      <c r="S1375" s="14"/>
      <c r="T1375" s="15"/>
      <c r="U1375" s="14"/>
      <c r="V1375" s="15"/>
      <c r="W1375" s="14"/>
      <c r="X1375" s="15"/>
      <c r="Y1375" s="14"/>
      <c r="Z1375" s="15"/>
    </row>
    <row r="1376" spans="1:26" x14ac:dyDescent="0.25">
      <c r="Q1376" s="14"/>
      <c r="R1376" s="15"/>
      <c r="S1376" s="14"/>
      <c r="T1376" s="15"/>
      <c r="U1376" s="14"/>
      <c r="V1376" s="15"/>
      <c r="W1376" s="14"/>
      <c r="X1376" s="15"/>
      <c r="Y1376" s="14"/>
      <c r="Z1376" s="15"/>
    </row>
    <row r="1377" spans="1:26" x14ac:dyDescent="0.25">
      <c r="Q1377" s="14"/>
      <c r="R1377" s="15"/>
      <c r="S1377" s="14"/>
      <c r="T1377" s="15"/>
      <c r="U1377" s="14"/>
      <c r="V1377" s="15"/>
      <c r="W1377" s="14"/>
      <c r="X1377" s="15"/>
      <c r="Y1377" s="14"/>
      <c r="Z1377" s="15"/>
    </row>
    <row r="1378" spans="1:26" x14ac:dyDescent="0.25">
      <c r="Q1378" s="14"/>
      <c r="R1378" s="15"/>
      <c r="S1378" s="14"/>
      <c r="T1378" s="15"/>
      <c r="U1378" s="14"/>
      <c r="V1378" s="15"/>
      <c r="W1378" s="14"/>
      <c r="X1378" s="15"/>
      <c r="Y1378" s="14"/>
      <c r="Z1378" s="15"/>
    </row>
    <row r="1379" spans="1:26" x14ac:dyDescent="0.25">
      <c r="Q1379" s="14"/>
      <c r="R1379" s="15"/>
      <c r="S1379" s="14"/>
      <c r="T1379" s="15"/>
      <c r="U1379" s="14"/>
      <c r="V1379" s="15"/>
      <c r="W1379" s="14"/>
      <c r="X1379" s="15"/>
      <c r="Y1379" s="14"/>
      <c r="Z1379" s="15"/>
    </row>
    <row r="1380" spans="1:26" x14ac:dyDescent="0.25">
      <c r="Q1380" s="14"/>
      <c r="R1380" s="15"/>
      <c r="S1380" s="14"/>
      <c r="T1380" s="15"/>
      <c r="U1380" s="14"/>
      <c r="V1380" s="15"/>
      <c r="W1380" s="14"/>
      <c r="X1380" s="15"/>
      <c r="Y1380" s="14"/>
      <c r="Z1380" s="15"/>
    </row>
    <row r="1381" spans="1:26" x14ac:dyDescent="0.25">
      <c r="Q1381" s="14"/>
      <c r="R1381" s="15"/>
      <c r="S1381" s="14"/>
      <c r="T1381" s="15"/>
      <c r="U1381" s="14"/>
      <c r="V1381" s="15"/>
      <c r="W1381" s="14"/>
      <c r="X1381" s="15"/>
      <c r="Y1381" s="14"/>
      <c r="Z1381" s="15"/>
    </row>
    <row r="1382" spans="1:26" x14ac:dyDescent="0.25">
      <c r="Q1382" s="14"/>
      <c r="R1382" s="15"/>
      <c r="S1382" s="14"/>
      <c r="T1382" s="15"/>
      <c r="U1382" s="14"/>
      <c r="V1382" s="15"/>
      <c r="W1382" s="14"/>
      <c r="X1382" s="15"/>
      <c r="Y1382" s="14"/>
      <c r="Z1382" s="15"/>
    </row>
    <row r="1383" spans="1:26" x14ac:dyDescent="0.25">
      <c r="Q1383" s="14"/>
      <c r="R1383" s="15"/>
      <c r="S1383" s="14"/>
      <c r="T1383" s="15"/>
      <c r="U1383" s="14"/>
      <c r="V1383" s="15"/>
      <c r="W1383" s="14"/>
      <c r="X1383" s="15"/>
      <c r="Y1383" s="14"/>
      <c r="Z1383" s="15"/>
    </row>
    <row r="1384" spans="1:26" x14ac:dyDescent="0.25">
      <c r="Q1384" s="14"/>
      <c r="R1384" s="15"/>
      <c r="S1384" s="14"/>
      <c r="T1384" s="15"/>
      <c r="U1384" s="14"/>
      <c r="V1384" s="15"/>
      <c r="W1384" s="14"/>
      <c r="X1384" s="15"/>
      <c r="Y1384" s="14"/>
      <c r="Z1384" s="15"/>
    </row>
    <row r="1385" spans="1:26" x14ac:dyDescent="0.25">
      <c r="Q1385" s="14"/>
      <c r="R1385" s="15"/>
      <c r="S1385" s="14"/>
      <c r="T1385" s="15"/>
      <c r="U1385" s="14"/>
      <c r="V1385" s="15"/>
      <c r="W1385" s="14"/>
      <c r="X1385" s="15"/>
      <c r="Y1385" s="14"/>
      <c r="Z1385" s="15"/>
    </row>
    <row r="1386" spans="1:26" x14ac:dyDescent="0.25">
      <c r="Q1386" s="14"/>
      <c r="R1386" s="15"/>
      <c r="S1386" s="14"/>
      <c r="T1386" s="15"/>
      <c r="U1386" s="14"/>
      <c r="V1386" s="15"/>
      <c r="W1386" s="14"/>
      <c r="X1386" s="15"/>
      <c r="Y1386" s="14"/>
      <c r="Z1386" s="15"/>
    </row>
    <row r="1387" spans="1:26" x14ac:dyDescent="0.25">
      <c r="Q1387" s="14"/>
      <c r="R1387" s="15"/>
      <c r="S1387" s="14"/>
      <c r="T1387" s="15"/>
      <c r="U1387" s="14"/>
      <c r="V1387" s="15"/>
      <c r="W1387" s="14"/>
      <c r="X1387" s="15"/>
      <c r="Y1387" s="14"/>
      <c r="Z1387" s="15"/>
    </row>
    <row r="1388" spans="1:26" x14ac:dyDescent="0.25">
      <c r="Q1388" s="14"/>
      <c r="R1388" s="15"/>
      <c r="S1388" s="14"/>
      <c r="T1388" s="15"/>
      <c r="U1388" s="14"/>
      <c r="V1388" s="15"/>
      <c r="W1388" s="14"/>
      <c r="X1388" s="15"/>
      <c r="Y1388" s="14"/>
      <c r="Z1388" s="15"/>
    </row>
    <row r="1389" spans="1:26" x14ac:dyDescent="0.25">
      <c r="Q1389" s="14"/>
      <c r="R1389" s="15"/>
      <c r="S1389" s="14"/>
      <c r="T1389" s="15"/>
      <c r="U1389" s="14"/>
      <c r="V1389" s="15"/>
      <c r="W1389" s="14"/>
      <c r="X1389" s="15"/>
      <c r="Y1389" s="14"/>
      <c r="Z1389" s="15"/>
    </row>
    <row r="1390" spans="1:26" x14ac:dyDescent="0.25">
      <c r="Q1390" s="14"/>
      <c r="R1390" s="15"/>
      <c r="S1390" s="14"/>
      <c r="T1390" s="15"/>
      <c r="U1390" s="14"/>
      <c r="V1390" s="15"/>
      <c r="W1390" s="14"/>
      <c r="X1390" s="15"/>
      <c r="Y1390" s="14"/>
      <c r="Z1390" s="15"/>
    </row>
    <row r="1391" spans="1:26" x14ac:dyDescent="0.25">
      <c r="Q1391" s="14"/>
      <c r="R1391" s="15"/>
      <c r="S1391" s="14"/>
      <c r="T1391" s="15"/>
      <c r="U1391" s="14"/>
      <c r="V1391" s="15"/>
      <c r="W1391" s="14"/>
      <c r="X1391" s="15"/>
      <c r="Y1391" s="14"/>
      <c r="Z1391" s="15"/>
    </row>
    <row r="1392" spans="1:26" x14ac:dyDescent="0.25">
      <c r="Q1392" s="14"/>
      <c r="R1392" s="15"/>
      <c r="S1392" s="14"/>
      <c r="T1392" s="15"/>
      <c r="U1392" s="14"/>
      <c r="V1392" s="15"/>
      <c r="W1392" s="14"/>
      <c r="X1392" s="15"/>
      <c r="Y1392" s="14"/>
      <c r="Z1392" s="15"/>
    </row>
    <row r="1393" spans="1:26" x14ac:dyDescent="0.25">
      <c r="Q1393" s="14"/>
      <c r="R1393" s="15"/>
      <c r="S1393" s="14"/>
      <c r="T1393" s="15"/>
      <c r="U1393" s="14"/>
      <c r="V1393" s="15"/>
      <c r="W1393" s="14"/>
      <c r="X1393" s="15"/>
      <c r="Y1393" s="14"/>
      <c r="Z1393" s="15"/>
    </row>
    <row r="1394" spans="1:26" x14ac:dyDescent="0.25">
      <c r="Q1394" s="14"/>
      <c r="R1394" s="15"/>
      <c r="S1394" s="14"/>
      <c r="T1394" s="15"/>
      <c r="U1394" s="14"/>
      <c r="V1394" s="15"/>
      <c r="W1394" s="14"/>
      <c r="X1394" s="15"/>
      <c r="Y1394" s="14"/>
      <c r="Z1394" s="15"/>
    </row>
    <row r="1395" spans="1:26" x14ac:dyDescent="0.25">
      <c r="Q1395" s="14"/>
      <c r="R1395" s="15"/>
      <c r="S1395" s="14"/>
      <c r="T1395" s="15"/>
      <c r="U1395" s="14"/>
      <c r="V1395" s="15"/>
      <c r="W1395" s="14"/>
      <c r="X1395" s="15"/>
      <c r="Y1395" s="14"/>
      <c r="Z1395" s="15"/>
    </row>
    <row r="1396" spans="1:26" x14ac:dyDescent="0.25">
      <c r="Q1396" s="14"/>
      <c r="R1396" s="15"/>
      <c r="S1396" s="14"/>
      <c r="T1396" s="15"/>
      <c r="U1396" s="14"/>
      <c r="V1396" s="15"/>
      <c r="W1396" s="14"/>
      <c r="X1396" s="15"/>
      <c r="Y1396" s="14"/>
      <c r="Z1396" s="15"/>
    </row>
    <row r="1397" spans="1:26" x14ac:dyDescent="0.25">
      <c r="Q1397" s="14"/>
      <c r="R1397" s="15"/>
      <c r="S1397" s="14"/>
      <c r="T1397" s="15"/>
      <c r="U1397" s="14"/>
      <c r="V1397" s="15"/>
      <c r="W1397" s="14"/>
      <c r="X1397" s="15"/>
      <c r="Y1397" s="14"/>
      <c r="Z1397" s="15"/>
    </row>
    <row r="1398" spans="1:26" x14ac:dyDescent="0.25">
      <c r="Q1398" s="14"/>
      <c r="R1398" s="15"/>
      <c r="S1398" s="14"/>
      <c r="T1398" s="15"/>
      <c r="U1398" s="14"/>
      <c r="V1398" s="15"/>
      <c r="W1398" s="14"/>
      <c r="X1398" s="15"/>
      <c r="Y1398" s="14"/>
      <c r="Z1398" s="15"/>
    </row>
    <row r="1399" spans="1:26" x14ac:dyDescent="0.25">
      <c r="Q1399" s="14"/>
      <c r="R1399" s="15"/>
      <c r="S1399" s="14"/>
      <c r="T1399" s="15"/>
      <c r="U1399" s="14"/>
      <c r="V1399" s="15"/>
      <c r="W1399" s="14"/>
      <c r="X1399" s="15"/>
      <c r="Y1399" s="14"/>
      <c r="Z1399" s="15"/>
    </row>
    <row r="1400" spans="1:26" x14ac:dyDescent="0.25">
      <c r="Q1400" s="14"/>
      <c r="R1400" s="15"/>
      <c r="S1400" s="14"/>
      <c r="T1400" s="15"/>
      <c r="U1400" s="14"/>
      <c r="V1400" s="15"/>
      <c r="W1400" s="14"/>
      <c r="X1400" s="15"/>
      <c r="Y1400" s="14"/>
      <c r="Z1400" s="15"/>
    </row>
    <row r="1401" spans="1:26" x14ac:dyDescent="0.25">
      <c r="Q1401" s="14"/>
      <c r="R1401" s="15"/>
      <c r="S1401" s="14"/>
      <c r="T1401" s="15"/>
      <c r="U1401" s="14"/>
      <c r="V1401" s="15"/>
      <c r="W1401" s="14"/>
      <c r="X1401" s="15"/>
      <c r="Y1401" s="14"/>
      <c r="Z1401" s="15"/>
    </row>
    <row r="1402" spans="1:26" x14ac:dyDescent="0.25">
      <c r="Q1402" s="14"/>
      <c r="R1402" s="15"/>
      <c r="S1402" s="14"/>
      <c r="T1402" s="15"/>
      <c r="U1402" s="14"/>
      <c r="V1402" s="15"/>
      <c r="W1402" s="14"/>
      <c r="X1402" s="15"/>
      <c r="Y1402" s="14"/>
      <c r="Z1402" s="15"/>
    </row>
    <row r="1403" spans="1:26" x14ac:dyDescent="0.25">
      <c r="Q1403" s="14"/>
      <c r="R1403" s="15"/>
      <c r="S1403" s="14"/>
      <c r="T1403" s="15"/>
      <c r="U1403" s="14"/>
      <c r="V1403" s="15"/>
      <c r="W1403" s="14"/>
      <c r="X1403" s="15"/>
      <c r="Y1403" s="14"/>
      <c r="Z1403" s="15"/>
    </row>
    <row r="1404" spans="1:26" x14ac:dyDescent="0.25">
      <c r="Q1404" s="14"/>
      <c r="R1404" s="15"/>
      <c r="S1404" s="14"/>
      <c r="T1404" s="15"/>
      <c r="U1404" s="14"/>
      <c r="V1404" s="15"/>
      <c r="W1404" s="14"/>
      <c r="X1404" s="15"/>
      <c r="Y1404" s="14"/>
      <c r="Z1404" s="15"/>
    </row>
    <row r="1405" spans="1:26" x14ac:dyDescent="0.25">
      <c r="Q1405" s="14"/>
      <c r="R1405" s="15"/>
      <c r="S1405" s="14"/>
      <c r="T1405" s="15"/>
      <c r="U1405" s="14"/>
      <c r="V1405" s="15"/>
      <c r="W1405" s="14"/>
      <c r="X1405" s="15"/>
      <c r="Y1405" s="14"/>
      <c r="Z1405" s="15"/>
    </row>
    <row r="1406" spans="1:26" x14ac:dyDescent="0.25">
      <c r="Q1406" s="14"/>
      <c r="R1406" s="15"/>
      <c r="S1406" s="14"/>
      <c r="T1406" s="15"/>
      <c r="U1406" s="14"/>
      <c r="V1406" s="15"/>
      <c r="W1406" s="14"/>
      <c r="X1406" s="15"/>
      <c r="Y1406" s="14"/>
      <c r="Z1406" s="15"/>
    </row>
    <row r="1407" spans="1:26" x14ac:dyDescent="0.25">
      <c r="Q1407" s="14"/>
      <c r="R1407" s="15"/>
      <c r="S1407" s="14"/>
      <c r="T1407" s="15"/>
      <c r="U1407" s="14"/>
      <c r="V1407" s="15"/>
      <c r="W1407" s="14"/>
      <c r="X1407" s="15"/>
      <c r="Y1407" s="14"/>
      <c r="Z1407" s="15"/>
    </row>
    <row r="1408" spans="1:26" x14ac:dyDescent="0.25">
      <c r="Q1408" s="14"/>
      <c r="R1408" s="15"/>
      <c r="S1408" s="14"/>
      <c r="T1408" s="15"/>
      <c r="U1408" s="14"/>
      <c r="V1408" s="15"/>
      <c r="W1408" s="14"/>
      <c r="X1408" s="15"/>
      <c r="Y1408" s="14"/>
      <c r="Z1408" s="15"/>
    </row>
    <row r="1409" spans="1:26" x14ac:dyDescent="0.25">
      <c r="Q1409" s="14"/>
      <c r="R1409" s="15"/>
      <c r="S1409" s="14"/>
      <c r="T1409" s="15"/>
      <c r="U1409" s="14"/>
      <c r="V1409" s="15"/>
      <c r="W1409" s="14"/>
      <c r="X1409" s="15"/>
      <c r="Y1409" s="14"/>
      <c r="Z1409" s="15"/>
    </row>
    <row r="1410" spans="1:26" x14ac:dyDescent="0.25">
      <c r="Q1410" s="14"/>
      <c r="R1410" s="15"/>
      <c r="S1410" s="14"/>
      <c r="T1410" s="15"/>
      <c r="U1410" s="14"/>
      <c r="V1410" s="15"/>
      <c r="W1410" s="14"/>
      <c r="X1410" s="15"/>
      <c r="Y1410" s="14"/>
      <c r="Z1410" s="15"/>
    </row>
    <row r="1411" spans="1:26" x14ac:dyDescent="0.25">
      <c r="Q1411" s="14"/>
      <c r="R1411" s="15"/>
      <c r="S1411" s="14"/>
      <c r="T1411" s="15"/>
      <c r="U1411" s="14"/>
      <c r="V1411" s="15"/>
      <c r="W1411" s="14"/>
      <c r="X1411" s="15"/>
      <c r="Y1411" s="14"/>
      <c r="Z1411" s="15"/>
    </row>
    <row r="1412" spans="1:26" x14ac:dyDescent="0.25">
      <c r="Q1412" s="14"/>
      <c r="R1412" s="15"/>
      <c r="S1412" s="14"/>
      <c r="T1412" s="15"/>
      <c r="U1412" s="14"/>
      <c r="V1412" s="15"/>
      <c r="W1412" s="14"/>
      <c r="X1412" s="15"/>
      <c r="Y1412" s="14"/>
      <c r="Z1412" s="15"/>
    </row>
    <row r="1413" spans="1:26" x14ac:dyDescent="0.25">
      <c r="Q1413" s="14"/>
      <c r="R1413" s="15"/>
      <c r="S1413" s="14"/>
      <c r="T1413" s="15"/>
      <c r="U1413" s="14"/>
      <c r="V1413" s="15"/>
      <c r="W1413" s="14"/>
      <c r="X1413" s="15"/>
      <c r="Y1413" s="14"/>
      <c r="Z1413" s="15"/>
    </row>
    <row r="1414" spans="1:26" x14ac:dyDescent="0.25">
      <c r="Q1414" s="14"/>
      <c r="R1414" s="15"/>
      <c r="S1414" s="14"/>
      <c r="T1414" s="15"/>
      <c r="U1414" s="14"/>
      <c r="V1414" s="15"/>
      <c r="W1414" s="14"/>
      <c r="X1414" s="15"/>
      <c r="Y1414" s="14"/>
      <c r="Z1414" s="15"/>
    </row>
    <row r="1415" spans="1:26" x14ac:dyDescent="0.25">
      <c r="Q1415" s="14"/>
      <c r="R1415" s="15"/>
      <c r="S1415" s="14"/>
      <c r="T1415" s="15"/>
      <c r="U1415" s="14"/>
      <c r="V1415" s="15"/>
      <c r="W1415" s="14"/>
      <c r="X1415" s="15"/>
      <c r="Y1415" s="14"/>
      <c r="Z1415" s="15"/>
    </row>
    <row r="1416" spans="1:26" x14ac:dyDescent="0.25">
      <c r="Q1416" s="14"/>
      <c r="R1416" s="15"/>
      <c r="S1416" s="14"/>
      <c r="T1416" s="15"/>
      <c r="U1416" s="14"/>
      <c r="V1416" s="15"/>
      <c r="W1416" s="14"/>
      <c r="X1416" s="15"/>
      <c r="Y1416" s="14"/>
      <c r="Z1416" s="15"/>
    </row>
    <row r="1417" spans="1:26" x14ac:dyDescent="0.25">
      <c r="Q1417" s="14"/>
      <c r="R1417" s="15"/>
      <c r="S1417" s="14"/>
      <c r="T1417" s="15"/>
      <c r="U1417" s="14"/>
      <c r="V1417" s="15"/>
      <c r="W1417" s="14"/>
      <c r="X1417" s="15"/>
      <c r="Y1417" s="14"/>
      <c r="Z1417" s="15"/>
    </row>
    <row r="1418" spans="1:26" x14ac:dyDescent="0.25">
      <c r="Q1418" s="14"/>
      <c r="R1418" s="15"/>
      <c r="S1418" s="14"/>
      <c r="T1418" s="15"/>
      <c r="U1418" s="14"/>
      <c r="V1418" s="15"/>
      <c r="W1418" s="14"/>
      <c r="X1418" s="15"/>
      <c r="Y1418" s="14"/>
      <c r="Z1418" s="15"/>
    </row>
    <row r="1419" spans="1:26" x14ac:dyDescent="0.25">
      <c r="Q1419" s="14"/>
      <c r="R1419" s="15"/>
      <c r="S1419" s="14"/>
      <c r="T1419" s="15"/>
      <c r="U1419" s="14"/>
      <c r="V1419" s="15"/>
      <c r="W1419" s="14"/>
      <c r="X1419" s="15"/>
      <c r="Y1419" s="14"/>
      <c r="Z1419" s="15"/>
    </row>
    <row r="1420" spans="1:26" x14ac:dyDescent="0.25">
      <c r="Q1420" s="14"/>
      <c r="R1420" s="15"/>
      <c r="S1420" s="14"/>
      <c r="T1420" s="15"/>
      <c r="U1420" s="14"/>
      <c r="V1420" s="15"/>
      <c r="W1420" s="14"/>
      <c r="X1420" s="15"/>
      <c r="Y1420" s="14"/>
      <c r="Z1420" s="15"/>
    </row>
    <row r="1421" spans="1:26" x14ac:dyDescent="0.25">
      <c r="Q1421" s="14"/>
      <c r="R1421" s="15"/>
      <c r="S1421" s="14"/>
      <c r="T1421" s="15"/>
      <c r="U1421" s="14"/>
      <c r="V1421" s="15"/>
      <c r="W1421" s="14"/>
      <c r="X1421" s="15"/>
      <c r="Y1421" s="14"/>
      <c r="Z1421" s="15"/>
    </row>
    <row r="1422" spans="1:26" x14ac:dyDescent="0.25">
      <c r="Q1422" s="14"/>
      <c r="R1422" s="15"/>
      <c r="S1422" s="14"/>
      <c r="T1422" s="15"/>
      <c r="U1422" s="14"/>
      <c r="V1422" s="15"/>
      <c r="W1422" s="14"/>
      <c r="X1422" s="15"/>
      <c r="Y1422" s="14"/>
      <c r="Z1422" s="15"/>
    </row>
    <row r="1423" spans="1:26" x14ac:dyDescent="0.25">
      <c r="Q1423" s="14"/>
      <c r="R1423" s="15"/>
      <c r="S1423" s="14"/>
      <c r="T1423" s="15"/>
      <c r="U1423" s="14"/>
      <c r="V1423" s="15"/>
      <c r="W1423" s="14"/>
      <c r="X1423" s="15"/>
      <c r="Y1423" s="14"/>
      <c r="Z1423" s="15"/>
    </row>
    <row r="1424" spans="1:26" x14ac:dyDescent="0.25">
      <c r="Q1424" s="14"/>
      <c r="R1424" s="15"/>
      <c r="S1424" s="14"/>
      <c r="T1424" s="15"/>
      <c r="U1424" s="14"/>
      <c r="V1424" s="15"/>
      <c r="W1424" s="14"/>
      <c r="X1424" s="15"/>
      <c r="Y1424" s="14"/>
      <c r="Z1424" s="15"/>
    </row>
    <row r="1425" spans="1:26" x14ac:dyDescent="0.25">
      <c r="Q1425" s="14"/>
      <c r="R1425" s="15"/>
      <c r="S1425" s="14"/>
      <c r="T1425" s="15"/>
      <c r="U1425" s="14"/>
      <c r="V1425" s="15"/>
      <c r="W1425" s="14"/>
      <c r="X1425" s="15"/>
      <c r="Y1425" s="14"/>
      <c r="Z1425" s="15"/>
    </row>
    <row r="1426" spans="1:26" x14ac:dyDescent="0.25">
      <c r="Q1426" s="14"/>
      <c r="R1426" s="15"/>
      <c r="S1426" s="14"/>
      <c r="T1426" s="15"/>
      <c r="U1426" s="14"/>
      <c r="V1426" s="15"/>
      <c r="W1426" s="14"/>
      <c r="X1426" s="15"/>
      <c r="Y1426" s="14"/>
      <c r="Z1426" s="15"/>
    </row>
    <row r="1427" spans="1:26" x14ac:dyDescent="0.25">
      <c r="Q1427" s="14"/>
      <c r="R1427" s="15"/>
      <c r="S1427" s="14"/>
      <c r="T1427" s="15"/>
      <c r="U1427" s="14"/>
      <c r="V1427" s="15"/>
      <c r="W1427" s="14"/>
      <c r="X1427" s="15"/>
      <c r="Y1427" s="14"/>
      <c r="Z1427" s="15"/>
    </row>
    <row r="1428" spans="1:26" x14ac:dyDescent="0.25">
      <c r="Q1428" s="14"/>
      <c r="R1428" s="15"/>
      <c r="S1428" s="14"/>
      <c r="T1428" s="15"/>
      <c r="U1428" s="14"/>
      <c r="V1428" s="15"/>
      <c r="W1428" s="14"/>
      <c r="X1428" s="15"/>
      <c r="Y1428" s="14"/>
      <c r="Z1428" s="15"/>
    </row>
    <row r="1429" spans="1:26" x14ac:dyDescent="0.25">
      <c r="Q1429" s="14"/>
      <c r="R1429" s="15"/>
      <c r="S1429" s="14"/>
      <c r="T1429" s="15"/>
      <c r="U1429" s="14"/>
      <c r="V1429" s="15"/>
      <c r="W1429" s="14"/>
      <c r="X1429" s="15"/>
      <c r="Y1429" s="14"/>
      <c r="Z1429" s="15"/>
    </row>
    <row r="1430" spans="1:26" x14ac:dyDescent="0.25">
      <c r="Q1430" s="14"/>
      <c r="R1430" s="15"/>
      <c r="S1430" s="14"/>
      <c r="T1430" s="15"/>
      <c r="U1430" s="14"/>
      <c r="V1430" s="15"/>
      <c r="W1430" s="14"/>
      <c r="X1430" s="15"/>
      <c r="Y1430" s="14"/>
      <c r="Z1430" s="15"/>
    </row>
  </sheetData>
  <dataValidations count="73">
    <dataValidation type="list" allowBlank="1" sqref="L10:L1215">
      <formula1>"Must Have,Should Have,Could Have,Will not Have"</formula1>
    </dataValidation>
    <dataValidation type="list" allowBlank="1" sqref="L2:L1215">
      <formula1>"Must Have,Should Have,Could Have,Will not Have"</formula1>
    </dataValidation>
    <dataValidation type="list" allowBlank="1" sqref="Q1000:Q1215">
      <formula1>"0,1,2,3,5,8,13,21,34,55,89"</formula1>
    </dataValidation>
    <dataValidation type="list" allowBlank="1" sqref="Q104:Q108">
      <formula1>"0,1,2,3,5,8,13,21,34,55,89"</formula1>
    </dataValidation>
    <dataValidation type="list" allowBlank="1" sqref="Q112:Q117">
      <formula1>"0,1,2,3,5,8,13,21,34,55,89"</formula1>
    </dataValidation>
    <dataValidation type="list" allowBlank="1" sqref="Q123:Q126">
      <formula1>"0,1,2,3,5,8,13,21,34,55,89"</formula1>
    </dataValidation>
    <dataValidation type="list" allowBlank="1" sqref="Q128:Q129">
      <formula1>"0,1,2,3,5,8,13,21,34,55,89"</formula1>
    </dataValidation>
    <dataValidation type="list" allowBlank="1" sqref="Q133:Q134">
      <formula1>"0,1,2,3,5,8,13,21,34,55,89"</formula1>
    </dataValidation>
    <dataValidation type="list" allowBlank="1" sqref="Q137">
      <formula1>"0,1,2,3,5,8,13,21,34,55,89"</formula1>
    </dataValidation>
    <dataValidation type="list" allowBlank="1" sqref="Q156:Q158">
      <formula1>"0,1,2,3,5,8,13,21,34,55,89"</formula1>
    </dataValidation>
    <dataValidation type="list" allowBlank="1" sqref="Q160:Q161">
      <formula1>"0,1,2,3,5,8,13,21,34,55,89"</formula1>
    </dataValidation>
    <dataValidation type="list" allowBlank="1" sqref="Q163:Q164">
      <formula1>"0,1,2,3,5,8,13,21,34,55,89"</formula1>
    </dataValidation>
    <dataValidation type="list" allowBlank="1" sqref="Q170:Q173">
      <formula1>"0,1,2,3,5,8,13,21,34,55,89"</formula1>
    </dataValidation>
    <dataValidation type="list" allowBlank="1" sqref="Q179:Q180">
      <formula1>"0,1,2,3,5,8,13,21,34,55,89"</formula1>
    </dataValidation>
    <dataValidation type="list" allowBlank="1" sqref="Q182:Q191">
      <formula1>"0,1,2,3,5,8,13,21,34,55,89"</formula1>
    </dataValidation>
    <dataValidation type="list" allowBlank="1" sqref="Q197:Q198">
      <formula1>"0,1,2,3,5,8,13,21,34,55,89"</formula1>
    </dataValidation>
    <dataValidation type="list" allowBlank="1" sqref="Q2:Q3">
      <formula1>"0,1,2,3,5,8,13,21,34,55,89"</formula1>
    </dataValidation>
    <dataValidation type="list" allowBlank="1" sqref="Q201">
      <formula1>"0,1,2,3,5,8,13,21,34,55,89"</formula1>
    </dataValidation>
    <dataValidation type="list" allowBlank="1" sqref="Q205:Q210">
      <formula1>"0,1,2,3,5,8,13,21,34,55,89"</formula1>
    </dataValidation>
    <dataValidation type="list" allowBlank="1" sqref="Q212">
      <formula1>"0,1,2,3,5,8,13,21,34,55,89"</formula1>
    </dataValidation>
    <dataValidation type="list" allowBlank="1" sqref="Q216:Q1215">
      <formula1>"0,1,2,3,5,8,13,21,34,55,89"</formula1>
    </dataValidation>
    <dataValidation type="list" allowBlank="1" sqref="Q34:Q35">
      <formula1>"0,1,2,3,5,8,13,21,34,55,89"</formula1>
    </dataValidation>
    <dataValidation type="list" allowBlank="1" sqref="Q43">
      <formula1>"0,1,2,3,5,8,13,21,34,55,89"</formula1>
    </dataValidation>
    <dataValidation type="list" allowBlank="1" sqref="Q46">
      <formula1>"0,1,2,3,5,8,13,21,34,55,89"</formula1>
    </dataValidation>
    <dataValidation type="list" allowBlank="1" sqref="Q54:Q58">
      <formula1>"0,1,2,3,5,8,13,21,34,55,89"</formula1>
    </dataValidation>
    <dataValidation type="list" allowBlank="1" sqref="Q69">
      <formula1>"0,1,2,3,5,8,13,21,34,55,89"</formula1>
    </dataValidation>
    <dataValidation type="list" allowBlank="1" sqref="Q81:Q83">
      <formula1>"0,1,2,3,5,8,13,21,34,55,89"</formula1>
    </dataValidation>
    <dataValidation type="list" allowBlank="1" sqref="S1000:S1215">
      <formula1>"0,1,2,3,5,8,13,21,34,55,89"</formula1>
    </dataValidation>
    <dataValidation type="list" allowBlank="1" sqref="S104:S108">
      <formula1>"0,1,2,3,5,8,13,21,34,55,89"</formula1>
    </dataValidation>
    <dataValidation type="list" allowBlank="1" sqref="S112:S117">
      <formula1>"0,1,2,3,5,8,13,21,34,55,89"</formula1>
    </dataValidation>
    <dataValidation type="list" allowBlank="1" sqref="S123:S126">
      <formula1>"0,1,2,3,5,8,13,21,34,55,89"</formula1>
    </dataValidation>
    <dataValidation type="list" allowBlank="1" sqref="S128:S129">
      <formula1>"0,1,2,3,5,8,13,21,34,55,89"</formula1>
    </dataValidation>
    <dataValidation type="list" allowBlank="1" sqref="S133:S134">
      <formula1>"0,1,2,3,5,8,13,21,34,55,89"</formula1>
    </dataValidation>
    <dataValidation type="list" allowBlank="1" sqref="S137">
      <formula1>"0,1,2,3,5,8,13,21,34,55,89"</formula1>
    </dataValidation>
    <dataValidation type="list" allowBlank="1" sqref="S156:S158">
      <formula1>"0,1,2,3,5,8,13,21,34,55,89"</formula1>
    </dataValidation>
    <dataValidation type="list" allowBlank="1" sqref="S160:S161">
      <formula1>"0,1,2,3,5,8,13,21,34,55,89"</formula1>
    </dataValidation>
    <dataValidation type="list" allowBlank="1" sqref="S163:S164">
      <formula1>"0,1,2,3,5,8,13,21,34,55,89"</formula1>
    </dataValidation>
    <dataValidation type="list" allowBlank="1" sqref="S170:S173">
      <formula1>"0,1,2,3,5,8,13,21,34,55,89"</formula1>
    </dataValidation>
    <dataValidation type="list" allowBlank="1" sqref="S179:S180">
      <formula1>"0,1,2,3,5,8,13,21,34,55,89"</formula1>
    </dataValidation>
    <dataValidation type="list" allowBlank="1" sqref="S182:S191">
      <formula1>"0,1,2,3,5,8,13,21,34,55,89"</formula1>
    </dataValidation>
    <dataValidation type="list" allowBlank="1" sqref="S197:S198">
      <formula1>"0,1,2,3,5,8,13,21,34,55,89"</formula1>
    </dataValidation>
    <dataValidation type="list" allowBlank="1" sqref="S2:S3">
      <formula1>"0,1,2,3,5,8,13,21,34,55,89"</formula1>
    </dataValidation>
    <dataValidation type="list" allowBlank="1" sqref="S201">
      <formula1>"0,1,2,3,5,8,13,21,34,55,89"</formula1>
    </dataValidation>
    <dataValidation type="list" allowBlank="1" sqref="S205:S210">
      <formula1>"0,1,2,3,5,8,13,21,34,55,89"</formula1>
    </dataValidation>
    <dataValidation type="list" allowBlank="1" sqref="S212">
      <formula1>"0,1,2,3,5,8,13,21,34,55,89"</formula1>
    </dataValidation>
    <dataValidation type="list" allowBlank="1" sqref="S216:S1215">
      <formula1>"0,1,2,3,5,8,13,21,34,55,89"</formula1>
    </dataValidation>
    <dataValidation type="list" allowBlank="1" sqref="S34:S35">
      <formula1>"0,1,2,3,5,8,13,21,34,55,89"</formula1>
    </dataValidation>
    <dataValidation type="list" allowBlank="1" sqref="S43">
      <formula1>"0,1,2,3,5,8,13,21,34,55,89"</formula1>
    </dataValidation>
    <dataValidation type="list" allowBlank="1" sqref="S46">
      <formula1>"0,1,2,3,5,8,13,21,34,55,89"</formula1>
    </dataValidation>
    <dataValidation type="list" allowBlank="1" sqref="S54:S58">
      <formula1>"0,1,2,3,5,8,13,21,34,55,89"</formula1>
    </dataValidation>
    <dataValidation type="list" allowBlank="1" sqref="S69">
      <formula1>"0,1,2,3,5,8,13,21,34,55,89"</formula1>
    </dataValidation>
    <dataValidation type="list" allowBlank="1" sqref="S81:S83">
      <formula1>"0,1,2,3,5,8,13,21,34,55,89"</formula1>
    </dataValidation>
    <dataValidation type="list" allowBlank="1" sqref="U10:U52">
      <formula1>"0,1,2,3,5,8,13,21,34,55,89"</formula1>
    </dataValidation>
    <dataValidation type="list" allowBlank="1" sqref="U100:U167">
      <formula1>"0,1,2,3,5,8,13,21,34,55,89"</formula1>
    </dataValidation>
    <dataValidation type="list" allowBlank="1" sqref="U1000:U1215">
      <formula1>"0,1,2,3,5,8,13,21,34,55,89"</formula1>
    </dataValidation>
    <dataValidation type="list" allowBlank="1" sqref="U169:U210">
      <formula1>"0,1,2,3,5,8,13,21,34,55,89"</formula1>
    </dataValidation>
    <dataValidation type="list" allowBlank="1" sqref="U2:U52">
      <formula1>"0,1,2,3,5,8,13,21,34,55,89"</formula1>
    </dataValidation>
    <dataValidation type="list" allowBlank="1" sqref="U212:U1215">
      <formula1>"0,1,2,3,5,8,13,21,34,55,89"</formula1>
    </dataValidation>
    <dataValidation type="list" allowBlank="1" sqref="U54:U167">
      <formula1>"0,1,2,3,5,8,13,21,34,55,89"</formula1>
    </dataValidation>
    <dataValidation type="list" allowBlank="1" sqref="W10:W52">
      <formula1>"0,1,2,3,5,8,13,21,34,55,89"</formula1>
    </dataValidation>
    <dataValidation type="list" allowBlank="1" sqref="W100:W167">
      <formula1>"0,1,2,3,5,8,13,21,34,55,89"</formula1>
    </dataValidation>
    <dataValidation type="list" allowBlank="1" sqref="W1000:W1215">
      <formula1>"0,1,2,3,5,8,13,21,34,55,89"</formula1>
    </dataValidation>
    <dataValidation type="list" allowBlank="1" sqref="W169:W210">
      <formula1>"0,1,2,3,5,8,13,21,34,55,89"</formula1>
    </dataValidation>
    <dataValidation type="list" allowBlank="1" sqref="W2:W52">
      <formula1>"0,1,2,3,5,8,13,21,34,55,89"</formula1>
    </dataValidation>
    <dataValidation type="list" allowBlank="1" sqref="W212:W1215">
      <formula1>"0,1,2,3,5,8,13,21,34,55,89"</formula1>
    </dataValidation>
    <dataValidation type="list" allowBlank="1" sqref="W54:W167">
      <formula1>"0,1,2,3,5,8,13,21,34,55,89"</formula1>
    </dataValidation>
    <dataValidation type="list" allowBlank="1" sqref="Y10:Y52">
      <formula1>"0,1,2,3,5,8,13,21,34,55,89"</formula1>
    </dataValidation>
    <dataValidation type="list" allowBlank="1" sqref="Y100:Y167">
      <formula1>"0,1,2,3,5,8,13,21,34,55,89"</formula1>
    </dataValidation>
    <dataValidation type="list" allowBlank="1" sqref="Y1000:Y1215">
      <formula1>"0,1,2,3,5,8,13,21,34,55,89"</formula1>
    </dataValidation>
    <dataValidation type="list" allowBlank="1" sqref="Y169:Y210">
      <formula1>"0,1,2,3,5,8,13,21,34,55,89"</formula1>
    </dataValidation>
    <dataValidation type="list" allowBlank="1" sqref="Y2:Y52">
      <formula1>"0,1,2,3,5,8,13,21,34,55,89"</formula1>
    </dataValidation>
    <dataValidation type="list" allowBlank="1" sqref="Y212:Y1215">
      <formula1>"0,1,2,3,5,8,13,21,34,55,89"</formula1>
    </dataValidation>
    <dataValidation type="list" allowBlank="1" sqref="Y54:Y167">
      <formula1>"0,1,2,3,5,8,13,21,34,55,89"</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FormatPr defaultRowHeight="25" outlineLevelRow="0" outlineLevelCol="0" x14ac:dyDescent="55" defaultColWidth="20" customHeight="1"/>
  <cols>
    <col min="1" max="4" width="20" customWidth="1"/>
  </cols>
  <sheetData>
    <row r="1" hidden="1" spans="1:7" x14ac:dyDescent="0.25">
      <c r="A1" t="s">
        <v>490</v>
      </c>
      <c r="B1" t="s">
        <v>3</v>
      </c>
      <c r="C1" t="s">
        <v>22</v>
      </c>
      <c r="D1" t="s">
        <v>491</v>
      </c>
      <c r="E1" t="s">
        <v>45</v>
      </c>
      <c r="F1" t="s">
        <v>492</v>
      </c>
      <c r="G1" t="s">
        <v>493</v>
      </c>
    </row>
    <row r="2" spans="1:1" s="1" customFormat="1" x14ac:dyDescent="0.25">
      <c r="A2" s="2" t="s">
        <v>494</v>
      </c>
    </row>
    <row r="3" spans="1:1" s="3" customFormat="1" x14ac:dyDescent="0.25">
      <c r="A3" s="4" t="s">
        <v>6</v>
      </c>
    </row>
    <row r="4" spans="1:1" s="5" customFormat="1" x14ac:dyDescent="0.25">
      <c r="A4" s="6" t="s">
        <v>495</v>
      </c>
    </row>
    <row r="9" spans="1:6" s="1" customFormat="1" x14ac:dyDescent="0.25">
      <c r="A9" s="2" t="s">
        <v>496</v>
      </c>
      <c r="B9" s="2"/>
      <c r="C9" s="2"/>
      <c r="D9" s="2"/>
      <c r="E9" s="2"/>
      <c r="F9" s="2"/>
    </row>
    <row r="10" spans="1:6" s="3" customFormat="1" x14ac:dyDescent="0.25">
      <c r="A10" s="4" t="s">
        <v>0</v>
      </c>
      <c r="B10" s="4" t="s">
        <v>85</v>
      </c>
      <c r="C10" s="4" t="s">
        <v>468</v>
      </c>
      <c r="D10" s="4" t="s">
        <v>272</v>
      </c>
      <c r="E10" s="4" t="s">
        <v>497</v>
      </c>
      <c r="F10" s="4" t="s">
        <v>9</v>
      </c>
    </row>
    <row r="11" spans="1:6" s="5" customFormat="1" x14ac:dyDescent="0.25">
      <c r="A11" s="7" t="s">
        <v>498</v>
      </c>
      <c r="B11" s="6">
        <f>ifNA(sum(filter(INDIRECT("'"&amp;A4&amp;"'!R2:R1001"), regexmatch(INDIRECT("'"&amp;A4&amp;"'!L2:L1001"), B$10))), 0)</f>
      </c>
      <c r="C11" s="6">
        <f>ifNA(sum(filter(INDIRECT("'"&amp;A4&amp;"'!R2:R1001"), regexmatch(INDIRECT("'"&amp;A4&amp;"'!L2:L1001"), C$10))), 0)</f>
      </c>
      <c r="D11" s="6">
        <f>ifNA(sum(filter(INDIRECT("'"&amp;A4&amp;"'!R2:R1001"), regexmatch(INDIRECT("'"&amp;A4&amp;"'!L2:L1001"), D$10))), 0)</f>
      </c>
      <c r="E11" s="6">
        <f>ifNA(sum(filter(INDIRECT("'"&amp;A4&amp;"'!R2:R1001"), regexmatch(INDIRECT("'"&amp;A4&amp;"'!L2:L1001"), E$10))), 0)</f>
      </c>
      <c r="F11" s="6">
        <f>SUM(B11:E11)</f>
      </c>
    </row>
    <row r="12" spans="1:6" s="5" customFormat="1" x14ac:dyDescent="0.25">
      <c r="A12" s="7" t="s">
        <v>499</v>
      </c>
      <c r="B12" s="6">
        <f>ifNA(sum(filter(INDIRECT("'"&amp;A4&amp;"'!T2:T1001"), regexmatch(INDIRECT("'"&amp;A4&amp;"'!L2:L1001"), B$10))), 0)</f>
      </c>
      <c r="C12" s="6">
        <f>ifNA(sum(filter(INDIRECT("'"&amp;A4&amp;"'!T2:T1001"), regexmatch(INDIRECT("'"&amp;A4&amp;"'!L2:L1001"), C$10))), 0)</f>
      </c>
      <c r="D12" s="6">
        <f>ifNA(sum(filter(INDIRECT("'"&amp;A4&amp;"'!T2:T1001"), regexmatch(INDIRECT("'"&amp;A4&amp;"'!L2:L1001"), D$10))), 0)</f>
      </c>
      <c r="E12" s="6">
        <f>ifNA(sum(filter(INDIRECT("'"&amp;A4&amp;"'!T2:T1001"), regexmatch(INDIRECT("'"&amp;A4&amp;"'!L2:L1001"), E$10))), 0)</f>
      </c>
      <c r="F12" s="6">
        <f>SUM(B12:E12)</f>
      </c>
    </row>
    <row r="13" spans="1:6" s="5" customFormat="1" x14ac:dyDescent="0.25">
      <c r="A13" s="7" t="s">
        <v>500</v>
      </c>
      <c r="B13" s="6">
        <f>ROUND((min(G33, F33) * (B$75/8)) * 40)</f>
      </c>
      <c r="C13" s="6">
        <f>ROUND((min(G34, F34) * (B$75/8)) * 40)</f>
      </c>
      <c r="D13" s="6">
        <f>ROUND((min(G35, F35) * (B$75/8)) * 40)</f>
      </c>
      <c r="E13" s="6">
        <f>ROUND((min(G36, F36) * (B$75/8)) * 40)</f>
      </c>
      <c r="F13" s="6">
        <f>SUM(B13:E13)</f>
      </c>
    </row>
    <row r="14" spans="1:6" s="5" customFormat="1" x14ac:dyDescent="0.25">
      <c r="A14" s="7" t="s">
        <v>501</v>
      </c>
      <c r="B14" s="6">
        <f>ROUND(sum(B11:B12) * 10%)</f>
      </c>
      <c r="C14" s="6">
        <f>ROUND(sum(C11:C12) * 10%)</f>
      </c>
      <c r="D14" s="6">
        <f>ROUND(sum(D11:D12) * 10%)</f>
      </c>
      <c r="E14" s="6">
        <f>ROUND(sum(E11:E12) * 10%)</f>
      </c>
      <c r="F14" s="6">
        <f>SUM(B14:E14)</f>
      </c>
    </row>
    <row r="15" spans="1:6" s="5" customFormat="1" x14ac:dyDescent="0.25">
      <c r="A15" s="7" t="s">
        <v>13</v>
      </c>
      <c r="B15" s="6">
        <f>ROUND((min(G33, F33) * (B$73/8)) * 40)</f>
      </c>
      <c r="C15" s="6">
        <f>ROUND((min(G34, F34) * (B$73/8)) * 40)</f>
      </c>
      <c r="D15" s="6">
        <f>ROUND((min(G35, F35) * (B$73/8)) * 40)</f>
      </c>
      <c r="E15" s="6">
        <f>ROUND((min(G36, F36) * (B$73/8)) * 40)</f>
      </c>
      <c r="F15" s="6">
        <f>SUM(B15:E15)</f>
      </c>
    </row>
    <row r="16" spans="1:6" s="5" customFormat="1" x14ac:dyDescent="0.25">
      <c r="A16" s="7" t="s">
        <v>14</v>
      </c>
      <c r="B16" s="6">
        <f>(((min(G33, F33) / 2 ) / 2) * 40)</f>
      </c>
      <c r="C16" s="6">
        <f>(((min(G34, F34) / 2 ) / 2) * 40)</f>
      </c>
      <c r="D16" s="6">
        <f>(((min(G35, F35) / 2 ) / 2) * 40)</f>
      </c>
      <c r="E16" s="6">
        <f>(((min(G36, F36) / 2 ) / 2) * 40)</f>
      </c>
      <c r="F16" s="6">
        <f>SUM(B16:E16)</f>
      </c>
    </row>
    <row r="17" spans="1:6" s="5" customFormat="1" x14ac:dyDescent="0.25">
      <c r="A17" s="7" t="s">
        <v>15</v>
      </c>
      <c r="B17" s="6">
        <v>0</v>
      </c>
      <c r="C17" s="6">
        <v>0</v>
      </c>
      <c r="D17" s="6">
        <v>0</v>
      </c>
      <c r="E17" s="6">
        <v>0</v>
      </c>
      <c r="F17" s="6">
        <f>SUM(B17:E17)</f>
      </c>
    </row>
    <row r="18" spans="1:6" s="5" customFormat="1" x14ac:dyDescent="0.25">
      <c r="A18" s="7" t="s">
        <v>502</v>
      </c>
      <c r="B18" s="6">
        <f>ifNA(sum(filter(INDIRECT("'"&amp;A4&amp;"'!V2:V1001"), regexmatch(INDIRECT("'"&amp;A4&amp;"'!L2:L1001"), B$10))) + sum(filter(INDIRECT("'"&amp;A4&amp;"'!X2:X1001"), regexmatch(INDIRECT("'"&amp;A4&amp;"'!L2:L1001"), B$10))), 0)</f>
      </c>
      <c r="C18" s="6">
        <f>ifNA(sum(filter(INDIRECT("'"&amp;A4&amp;"'!V2:V1001"), regexmatch(INDIRECT("'"&amp;A4&amp;"'!L2:L1001"), C$10))) + sum(filter(INDIRECT("'"&amp;A4&amp;"'!X2:X1001"), regexmatch(INDIRECT("'"&amp;A4&amp;"'!L2:L1001"), C$10))), 0)</f>
      </c>
      <c r="D18" s="6">
        <f>ifNA(sum(filter(INDIRECT("'"&amp;A4&amp;"'!V2:V1001"), regexmatch(INDIRECT("'"&amp;A4&amp;"'!L2:L1001"), D$10))) + sum(filter(INDIRECT("'"&amp;A4&amp;"'!X2:X1001"), regexmatch(INDIRECT("'"&amp;A4&amp;"'!L2:L1001"), D$10))), 0)</f>
      </c>
      <c r="E18" s="6">
        <f>ifNA(sum(filter(INDIRECT("'"&amp;A4&amp;"'!V2:V1001"), regexmatch(INDIRECT("'"&amp;A4&amp;"'!L2:L1001"), E$10))) + sum(filter(INDIRECT("'"&amp;A4&amp;"'!X2:X1001"), regexmatch(INDIRECT("'"&amp;A4&amp;"'!L2:L1001"), E$10))), 0)</f>
      </c>
      <c r="F18" s="6">
        <f>SUM(B18:E18)</f>
      </c>
    </row>
    <row r="19" spans="1:6" s="5" customFormat="1" x14ac:dyDescent="0.25">
      <c r="A19" s="7" t="s">
        <v>3</v>
      </c>
      <c r="B19" s="6">
        <f>ifNA(sum(filter(INDIRECT("'"&amp;A4&amp;"'!Z2:Z1001"), regexmatch(INDIRECT("'"&amp;A4&amp;"'!L2:L1001"), B$10))), 0)</f>
      </c>
      <c r="C19" s="6">
        <f>ifNA(sum(filter(INDIRECT("'"&amp;A4&amp;"'!Z2:Z1001"), regexmatch(INDIRECT("'"&amp;A4&amp;"'!L2:L1001"), C$10))), 0)</f>
      </c>
      <c r="D19" s="6">
        <f>ifNA(sum(filter(INDIRECT("'"&amp;A4&amp;"'!Z2:Z1001"), regexmatch(INDIRECT("'"&amp;A4&amp;"'!L2:L1001"), D$10))), 0)</f>
      </c>
      <c r="E19" s="6">
        <f>ifNA(sum(filter(INDIRECT("'"&amp;A4&amp;"'!Z2:Z1001"), regexmatch(INDIRECT("'"&amp;A4&amp;"'!L2:L1001"), E$10))), 0)</f>
      </c>
      <c r="F19" s="6">
        <f>SUM(B19:E19)</f>
      </c>
    </row>
    <row r="20" spans="1:6" s="5" customFormat="1" x14ac:dyDescent="0.25">
      <c r="A20" s="7" t="s">
        <v>20</v>
      </c>
      <c r="B20" s="6">
        <f>ROUND((min(C33, B33) * (B$68/8)) * 40)</f>
      </c>
      <c r="C20" s="6">
        <f>ROUND((min(C34, B34) * (B$68/8)) * 40)</f>
      </c>
      <c r="D20" s="6">
        <f>ROUND((min(C35, B35) * (B$68/8)) * 40)</f>
      </c>
      <c r="E20" s="6">
        <f>ROUND((min(C36, B36) * (B$68/8)) * 40)</f>
      </c>
      <c r="F20" s="6">
        <f>SUM(B20:E20)</f>
      </c>
    </row>
    <row r="21" spans="1:6" s="5" customFormat="1" x14ac:dyDescent="0.25">
      <c r="A21" s="7" t="s">
        <v>503</v>
      </c>
      <c r="B21" s="6">
        <f>ROUND((min(C33, B33) * (B$67/8)) * 40)</f>
      </c>
      <c r="C21" s="6">
        <f>ROUND((min(C34, B34) * (B$67/8)) * 40)</f>
      </c>
      <c r="D21" s="6">
        <f>ROUND((min(C35, B35) * (B$67/8)) * 40)</f>
      </c>
      <c r="E21" s="6">
        <f>ROUND((min(C36, B36) * (B$67/8)) * 40)</f>
      </c>
      <c r="F21" s="6">
        <f>SUM(B21:E21)</f>
      </c>
    </row>
    <row r="22" spans="1:6" s="5" customFormat="1" x14ac:dyDescent="0.25">
      <c r="A22" s="7" t="s">
        <v>504</v>
      </c>
      <c r="B22" s="6">
        <f>ROUND((min(C33, B33) * (B$66/8)) * 40)</f>
      </c>
      <c r="C22" s="6">
        <f>ROUND((min(C34, B34) * (B$66/8)) * 40)</f>
      </c>
      <c r="D22" s="6">
        <f>ROUND((min(C35, B35) * (B$66/8)) * 40)</f>
      </c>
      <c r="E22" s="6">
        <f>ROUND((min(C36, B36) * (B$66/8)) * 40)</f>
      </c>
      <c r="F22" s="6">
        <f>SUM(B22:E22)</f>
      </c>
    </row>
    <row r="23" spans="1:6" s="5" customFormat="1" x14ac:dyDescent="0.25">
      <c r="A23" s="7" t="s">
        <v>19</v>
      </c>
      <c r="B23" s="6">
        <f>(((min(C33, B33) / 2 ) / 2) * 40)</f>
      </c>
      <c r="C23" s="6">
        <f>(((min(C34, B34) / 2 ) / 2) * 40)</f>
      </c>
      <c r="D23" s="6">
        <f>(((min(C35, B35) / 2 ) / 2) * 40)</f>
      </c>
      <c r="E23" s="6">
        <f>(((min(C36, B36) / 2 ) / 2) * 40)</f>
      </c>
      <c r="F23" s="6">
        <f>SUM(B23:E23)</f>
      </c>
    </row>
    <row r="24" spans="1:6" s="5" customFormat="1" x14ac:dyDescent="0.25">
      <c r="A24" s="7" t="s">
        <v>22</v>
      </c>
      <c r="B24" s="6">
        <v>40</v>
      </c>
      <c r="C24" s="6">
        <v>0</v>
      </c>
      <c r="D24" s="6">
        <v>0</v>
      </c>
      <c r="E24" s="6">
        <v>0</v>
      </c>
      <c r="F24" s="6">
        <f>SUM(B24:E24)</f>
      </c>
    </row>
    <row r="25" spans="1:6" s="5" customFormat="1" x14ac:dyDescent="0.25">
      <c r="A25" s="7" t="s">
        <v>21</v>
      </c>
      <c r="B25" s="6">
        <v>40</v>
      </c>
      <c r="C25" s="6">
        <v>0</v>
      </c>
      <c r="D25" s="6">
        <v>0</v>
      </c>
      <c r="E25" s="6">
        <v>0</v>
      </c>
      <c r="F25" s="6">
        <f>SUM(B25:E25)</f>
      </c>
    </row>
    <row r="26" spans="1:6" s="5" customFormat="1" x14ac:dyDescent="0.25">
      <c r="A26" s="8" t="s">
        <v>505</v>
      </c>
      <c r="B26" s="9">
        <f>SUM(B11:B25)</f>
      </c>
      <c r="C26" s="9">
        <f>SUM(C11:C25)</f>
      </c>
      <c r="D26" s="9">
        <f>SUM(D11:D25)</f>
      </c>
      <c r="E26" s="9">
        <f>SUM(E11:E25)</f>
      </c>
      <c r="F26" s="9">
        <f>SUM(B26:E26)</f>
      </c>
    </row>
    <row r="31" spans="1:7" s="1" customFormat="1" x14ac:dyDescent="0.25">
      <c r="A31" s="2" t="s">
        <v>506</v>
      </c>
      <c r="B31" s="2"/>
      <c r="C31" s="2"/>
      <c r="D31" s="2"/>
      <c r="E31" s="2"/>
      <c r="F31" s="2"/>
      <c r="G31" s="2"/>
    </row>
    <row r="32" spans="1:7" s="3" customFormat="1" x14ac:dyDescent="0.25">
      <c r="A32" s="4" t="s">
        <v>40</v>
      </c>
      <c r="B32" s="4" t="s">
        <v>41</v>
      </c>
      <c r="C32" s="4" t="s">
        <v>42</v>
      </c>
      <c r="D32" s="4" t="s">
        <v>43</v>
      </c>
      <c r="E32" s="4" t="s">
        <v>44</v>
      </c>
      <c r="F32" s="4" t="s">
        <v>45</v>
      </c>
      <c r="G32" s="4" t="s">
        <v>46</v>
      </c>
    </row>
    <row r="33" spans="1:7" s="5" customFormat="1" x14ac:dyDescent="0.25">
      <c r="A33" s="7" t="s">
        <v>85</v>
      </c>
      <c r="B33" s="6">
        <f>Round(IFERROR((sum(B$18)/ (sum(C$55:C$56) * 40))), 0)</f>
      </c>
      <c r="C33" s="6">
        <f>Round(IFERROR((sum(B$18)/ (sum(C$55:C$56) * 35))), 0)</f>
      </c>
      <c r="D33" s="6">
        <f>Round(IFERROR((sum(B$19)/ (sum(C$57:C$58) * 40))), 0)</f>
      </c>
      <c r="E33" s="6">
        <f>Round(IFERROR((sum(B$19)/ (sum(C$57:C$58) * 35))), 0)</f>
      </c>
      <c r="F33" s="6">
        <f>Round(IFERROR((sum(B$11:B$12)/ (sum($C$59) * 40))), 0)</f>
      </c>
      <c r="G33" s="6">
        <f>Round(IFERROR((sum(B$11:B$12)/ (sum($C$59) * 35))), 0)</f>
      </c>
    </row>
    <row r="34" spans="1:7" s="5" customFormat="1" x14ac:dyDescent="0.25">
      <c r="A34" s="7" t="s">
        <v>468</v>
      </c>
      <c r="B34" s="6">
        <f>Round(IFERROR((sum(C$18)/ (sum(C$55:C$56) * 40))), 0)</f>
      </c>
      <c r="C34" s="6">
        <f>Round(IFERROR((sum(C$18)/ (sum(C$55:C$56) * 35))), 0)</f>
      </c>
      <c r="D34" s="6">
        <f>Round(IFERROR((sum(C$19)/ (sum(C$57:C$58) * 40))), 0)</f>
      </c>
      <c r="E34" s="6">
        <f>Round(IFERROR((sum(C$19)/ (sum(C$57:C$58) * 35))), 0)</f>
      </c>
      <c r="F34" s="6">
        <f>Round(IFERROR((sum(C$11:C$12)/ (sum($C$59) * 40))), 0)</f>
      </c>
      <c r="G34" s="6">
        <f>Round(IFERROR((sum(C$11:C$12)/ (sum($C$59) * 35))), 0)</f>
      </c>
    </row>
    <row r="35" spans="1:7" s="5" customFormat="1" x14ac:dyDescent="0.25">
      <c r="A35" s="7" t="s">
        <v>272</v>
      </c>
      <c r="B35" s="6">
        <f>Round(IFERROR((sum(D$18)/ (sum(C$55:C$56) * 40))), 0)</f>
      </c>
      <c r="C35" s="6">
        <f>Round(IFERROR((sum(D$18)/ (sum(C$55:C$56) * 35))), 0)</f>
      </c>
      <c r="D35" s="6">
        <f>Round(IFERROR((sum(D$19)/ (sum(C$57:C$58) * 40))), 0)</f>
      </c>
      <c r="E35" s="6">
        <f>Round(IFERROR((sum(D$19)/ (sum(C$57:C$58) * 35))), 0)</f>
      </c>
      <c r="F35" s="6">
        <f>Round(IFERROR((sum(D$11:D$12)/ (sum($C$59) * 40))), 0)</f>
      </c>
      <c r="G35" s="6">
        <f>Round(IFERROR((sum(D$11:D$12)/ (sum($C$59) * 35))), 0)</f>
      </c>
    </row>
    <row r="36" spans="1:7" s="5" customFormat="1" x14ac:dyDescent="0.25">
      <c r="A36" s="7" t="s">
        <v>507</v>
      </c>
      <c r="B36" s="6">
        <f>Round(IFERROR((sum(E$18)/ (sum(C$55:C$56) * 40))), 0)</f>
      </c>
      <c r="C36" s="6">
        <f>Round(IFERROR((sum(E$18)/ (sum(C$55:C$56) * 35))), 0)</f>
      </c>
      <c r="D36" s="6">
        <f>Round(IFERROR((sum(E$19)/ (sum(C$57:C$58) * 40))), 0)</f>
      </c>
      <c r="E36" s="6">
        <f>Round(IFERROR((sum(E$19)/ (sum(C$57:C$58) * 35))), 0)</f>
      </c>
      <c r="F36" s="6">
        <f>Round(IFERROR((sum(E$11:E$12)/ (sum($C$59) * 40))), 0)</f>
      </c>
      <c r="G36" s="6">
        <f>Round(IFERROR((sum(E$11:E$12)/ (sum($C$59) * 35))), 0)</f>
      </c>
    </row>
    <row r="37" spans="1:7" s="5" customFormat="1" x14ac:dyDescent="0.25">
      <c r="A37" s="7" t="s">
        <v>9</v>
      </c>
      <c r="B37" s="6">
        <f>Round(IFERROR((sum(F$18)/ (sum(C$55:C$56) * 40))), 0)</f>
      </c>
      <c r="C37" s="6">
        <f>Round(IFERROR((sum(F$18)/ (sum(C$55:C$56) * 35))), 0)</f>
      </c>
      <c r="D37" s="6">
        <f>Round(IFERROR((sum(F$19)/ (sum(C$57:C$58) * 40))), 0)</f>
      </c>
      <c r="E37" s="6">
        <f>Round(IFERROR((sum(F$19)/ (sum(C$57:C$58) * 35))), 0)</f>
      </c>
      <c r="F37" s="6">
        <f>Round(IFERROR((sum(F$11:F$12)/ (sum($C$59) * 40))), 0)</f>
      </c>
      <c r="G37" s="6">
        <f>Round(IFERROR((sum(F$11:F$12)/ (sum($C$59) * 35))), 0)</f>
      </c>
    </row>
    <row r="42" spans="1:7" s="1" customFormat="1" x14ac:dyDescent="0.25">
      <c r="A42" s="2" t="s">
        <v>508</v>
      </c>
      <c r="B42" s="2"/>
      <c r="C42" s="2"/>
      <c r="D42" s="2"/>
      <c r="E42" s="2"/>
      <c r="F42" s="2"/>
      <c r="G42" s="2"/>
    </row>
    <row r="43" spans="1:7" s="3" customFormat="1" x14ac:dyDescent="0.25">
      <c r="A43" s="4" t="s">
        <v>40</v>
      </c>
      <c r="B43" s="4" t="s">
        <v>41</v>
      </c>
      <c r="C43" s="4" t="s">
        <v>42</v>
      </c>
      <c r="D43" s="4" t="s">
        <v>43</v>
      </c>
      <c r="E43" s="4" t="s">
        <v>44</v>
      </c>
      <c r="F43" s="4" t="s">
        <v>45</v>
      </c>
      <c r="G43" s="4" t="s">
        <v>46</v>
      </c>
    </row>
    <row r="44" spans="1:7" s="5" customFormat="1" x14ac:dyDescent="0.25">
      <c r="A44" s="7" t="s">
        <v>85</v>
      </c>
      <c r="B44" s="6">
        <f>ROUNDUP(B33 / 4)</f>
      </c>
      <c r="C44" s="6">
        <f>ROUNDUP(C33 / 4)</f>
      </c>
      <c r="D44" s="6">
        <f>ROUNDUP(D33 / 4)</f>
      </c>
      <c r="E44" s="6">
        <f>ROUNDUP(E33 / 4)</f>
      </c>
      <c r="F44" s="6">
        <f>ROUNDUP(F33 / 4)</f>
      </c>
      <c r="G44" s="6">
        <f>ROUNDUP(G33 / 4)</f>
      </c>
    </row>
    <row r="45" spans="1:7" s="5" customFormat="1" x14ac:dyDescent="0.25">
      <c r="A45" s="7" t="s">
        <v>468</v>
      </c>
      <c r="B45" s="6">
        <f>ROUNDUP(B34 / 4)</f>
      </c>
      <c r="C45" s="6">
        <f>ROUNDUP(C34 / 4)</f>
      </c>
      <c r="D45" s="6">
        <f>ROUNDUP(D34 / 4)</f>
      </c>
      <c r="E45" s="6">
        <f>ROUNDUP(E34 / 4)</f>
      </c>
      <c r="F45" s="6">
        <f>ROUNDUP(F34 / 4)</f>
      </c>
      <c r="G45" s="6">
        <f>ROUNDUP(G34 / 4)</f>
      </c>
    </row>
    <row r="46" spans="1:7" s="5" customFormat="1" x14ac:dyDescent="0.25">
      <c r="A46" s="7" t="s">
        <v>272</v>
      </c>
      <c r="B46" s="6">
        <f>ROUNDUP(B35 / 4)</f>
      </c>
      <c r="C46" s="6">
        <f>ROUNDUP(C35 / 4)</f>
      </c>
      <c r="D46" s="6">
        <f>ROUNDUP(D35 / 4)</f>
      </c>
      <c r="E46" s="6">
        <f>ROUNDUP(E35 / 4)</f>
      </c>
      <c r="F46" s="6">
        <f>ROUNDUP(F35 / 4)</f>
      </c>
      <c r="G46" s="6">
        <f>ROUNDUP(G35 / 4)</f>
      </c>
    </row>
    <row r="47" spans="1:7" s="5" customFormat="1" x14ac:dyDescent="0.25">
      <c r="A47" s="7" t="s">
        <v>507</v>
      </c>
      <c r="B47" s="6">
        <f>ROUNDUP(B36 / 4)</f>
      </c>
      <c r="C47" s="6">
        <f>ROUNDUP(C36 / 4)</f>
      </c>
      <c r="D47" s="6">
        <f>ROUNDUP(D36 / 4)</f>
      </c>
      <c r="E47" s="6">
        <f>ROUNDUP(E36 / 4)</f>
      </c>
      <c r="F47" s="6">
        <f>ROUNDUP(F36 / 4)</f>
      </c>
      <c r="G47" s="6">
        <f>ROUNDUP(G36 / 4)</f>
      </c>
    </row>
    <row r="48" spans="1:7" s="5" customFormat="1" x14ac:dyDescent="0.25">
      <c r="A48" s="7" t="s">
        <v>9</v>
      </c>
      <c r="B48" s="6">
        <f>ROUNDUP(B37 / 4)</f>
      </c>
      <c r="C48" s="6">
        <f>ROUNDUP(C37 / 4)</f>
      </c>
      <c r="D48" s="6">
        <f>ROUNDUP(D37 / 4)</f>
      </c>
      <c r="E48" s="6">
        <f>ROUNDUP(E37 / 4)</f>
      </c>
      <c r="F48" s="6">
        <f>ROUNDUP(F37 / 4)</f>
      </c>
      <c r="G48" s="6">
        <f>ROUNDUP(G37 / 4)</f>
      </c>
    </row>
    <row r="53" spans="1:4" s="1" customFormat="1" x14ac:dyDescent="0.25">
      <c r="A53" s="2" t="s">
        <v>509</v>
      </c>
      <c r="B53" s="2"/>
      <c r="C53" s="2"/>
      <c r="D53" s="2"/>
    </row>
    <row r="54" spans="1:4" s="3" customFormat="1" x14ac:dyDescent="0.25">
      <c r="A54" s="4" t="s">
        <v>490</v>
      </c>
      <c r="B54" s="4" t="s">
        <v>3</v>
      </c>
      <c r="C54" s="4" t="s">
        <v>22</v>
      </c>
      <c r="D54" s="4" t="s">
        <v>491</v>
      </c>
    </row>
    <row r="55" spans="1:4" s="5" customFormat="1" x14ac:dyDescent="0.25">
      <c r="A55" s="6" t="s">
        <v>510</v>
      </c>
      <c r="B55" s="6" t="s">
        <v>511</v>
      </c>
      <c r="C55" s="6" t="s">
        <v>512</v>
      </c>
      <c r="D55" s="6" t="s">
        <v>513</v>
      </c>
    </row>
  </sheetData>
  <mergeCells count="4">
    <mergeCell ref="A9:F9"/>
    <mergeCell ref="A31:G31"/>
    <mergeCell ref="A42:G42"/>
    <mergeCell ref="A53:D5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FormatPr defaultRowHeight="25" outlineLevelRow="0" outlineLevelCol="0" x14ac:dyDescent="55" defaultColWidth="20" customHeight="1"/>
  <cols>
    <col min="1" max="4" width="20" customWidth="1"/>
  </cols>
  <sheetData>
    <row r="1" hidden="1" spans="1:7" x14ac:dyDescent="0.25">
      <c r="A1" t="s">
        <v>490</v>
      </c>
      <c r="B1" t="s">
        <v>3</v>
      </c>
      <c r="C1" t="s">
        <v>22</v>
      </c>
      <c r="D1" t="s">
        <v>491</v>
      </c>
      <c r="E1" t="s">
        <v>45</v>
      </c>
      <c r="F1" t="s">
        <v>492</v>
      </c>
      <c r="G1" t="s">
        <v>493</v>
      </c>
    </row>
    <row r="2" spans="1:1" s="1" customFormat="1" x14ac:dyDescent="0.25">
      <c r="A2" s="2" t="s">
        <v>494</v>
      </c>
    </row>
    <row r="3" spans="1:1" s="3" customFormat="1" x14ac:dyDescent="0.25">
      <c r="A3" s="4" t="s">
        <v>6</v>
      </c>
    </row>
    <row r="4" spans="1:1" s="5" customFormat="1" x14ac:dyDescent="0.25">
      <c r="A4" s="6" t="s">
        <v>514</v>
      </c>
    </row>
    <row r="9" spans="1:6" s="1" customFormat="1" x14ac:dyDescent="0.25">
      <c r="A9" s="2" t="s">
        <v>496</v>
      </c>
      <c r="B9" s="2"/>
      <c r="C9" s="2"/>
      <c r="D9" s="2"/>
      <c r="E9" s="2"/>
      <c r="F9" s="2"/>
    </row>
    <row r="10" spans="1:6" s="3" customFormat="1" x14ac:dyDescent="0.25">
      <c r="A10" s="4" t="s">
        <v>0</v>
      </c>
      <c r="B10" s="4" t="s">
        <v>85</v>
      </c>
      <c r="C10" s="4" t="s">
        <v>468</v>
      </c>
      <c r="D10" s="4" t="s">
        <v>272</v>
      </c>
      <c r="E10" s="4" t="s">
        <v>497</v>
      </c>
      <c r="F10" s="4" t="s">
        <v>9</v>
      </c>
    </row>
    <row r="11" spans="1:6" s="5" customFormat="1" x14ac:dyDescent="0.25">
      <c r="A11" s="7" t="s">
        <v>498</v>
      </c>
      <c r="B11" s="6">
        <f>ifNA(sum(filter(INDIRECT("'"&amp;A4&amp;"'!R2:R1001"), regexmatch(INDIRECT("'"&amp;A4&amp;"'!L2:L1001"), B$10))), 0)</f>
      </c>
      <c r="C11" s="6">
        <f>ifNA(sum(filter(INDIRECT("'"&amp;A4&amp;"'!R2:R1001"), regexmatch(INDIRECT("'"&amp;A4&amp;"'!L2:L1001"), C$10))), 0)</f>
      </c>
      <c r="D11" s="6">
        <f>ifNA(sum(filter(INDIRECT("'"&amp;A4&amp;"'!R2:R1001"), regexmatch(INDIRECT("'"&amp;A4&amp;"'!L2:L1001"), D$10))), 0)</f>
      </c>
      <c r="E11" s="6">
        <f>ifNA(sum(filter(INDIRECT("'"&amp;A4&amp;"'!R2:R1001"), regexmatch(INDIRECT("'"&amp;A4&amp;"'!L2:L1001"), E$10))), 0)</f>
      </c>
      <c r="F11" s="6">
        <f>SUM(B11:E11)</f>
      </c>
    </row>
    <row r="12" spans="1:6" s="5" customFormat="1" x14ac:dyDescent="0.25">
      <c r="A12" s="7" t="s">
        <v>499</v>
      </c>
      <c r="B12" s="6">
        <f>ifNA(sum(filter(INDIRECT("'"&amp;A4&amp;"'!T2:T1001"), regexmatch(INDIRECT("'"&amp;A4&amp;"'!L2:L1001"), B$10))), 0)</f>
      </c>
      <c r="C12" s="6">
        <f>ifNA(sum(filter(INDIRECT("'"&amp;A4&amp;"'!T2:T1001"), regexmatch(INDIRECT("'"&amp;A4&amp;"'!L2:L1001"), C$10))), 0)</f>
      </c>
      <c r="D12" s="6">
        <f>ifNA(sum(filter(INDIRECT("'"&amp;A4&amp;"'!T2:T1001"), regexmatch(INDIRECT("'"&amp;A4&amp;"'!L2:L1001"), D$10))), 0)</f>
      </c>
      <c r="E12" s="6">
        <f>ifNA(sum(filter(INDIRECT("'"&amp;A4&amp;"'!T2:T1001"), regexmatch(INDIRECT("'"&amp;A4&amp;"'!L2:L1001"), E$10))), 0)</f>
      </c>
      <c r="F12" s="6">
        <f>SUM(B12:E12)</f>
      </c>
    </row>
    <row r="13" spans="1:6" s="5" customFormat="1" x14ac:dyDescent="0.25">
      <c r="A13" s="7" t="s">
        <v>500</v>
      </c>
      <c r="B13" s="6">
        <f>ROUND((min(G33, F33) * (B$75/8)) * 40)</f>
      </c>
      <c r="C13" s="6">
        <f>ROUND((min(G34, F34) * (B$75/8)) * 40)</f>
      </c>
      <c r="D13" s="6">
        <f>ROUND((min(G35, F35) * (B$75/8)) * 40)</f>
      </c>
      <c r="E13" s="6">
        <f>ROUND((min(G36, F36) * (B$75/8)) * 40)</f>
      </c>
      <c r="F13" s="6">
        <f>SUM(B13:E13)</f>
      </c>
    </row>
    <row r="14" spans="1:6" s="5" customFormat="1" x14ac:dyDescent="0.25">
      <c r="A14" s="7" t="s">
        <v>501</v>
      </c>
      <c r="B14" s="6">
        <f>ROUND(sum(B11:B12) * 10%)</f>
      </c>
      <c r="C14" s="6">
        <f>ROUND(sum(C11:C12) * 10%)</f>
      </c>
      <c r="D14" s="6">
        <f>ROUND(sum(D11:D12) * 10%)</f>
      </c>
      <c r="E14" s="6">
        <f>ROUND(sum(E11:E12) * 10%)</f>
      </c>
      <c r="F14" s="6">
        <f>SUM(B14:E14)</f>
      </c>
    </row>
    <row r="15" spans="1:6" s="5" customFormat="1" x14ac:dyDescent="0.25">
      <c r="A15" s="7" t="s">
        <v>13</v>
      </c>
      <c r="B15" s="6">
        <f>ROUND((min(G33, F33) * (B$73/8)) * 40)</f>
      </c>
      <c r="C15" s="6">
        <f>ROUND((min(G34, F34) * (B$73/8)) * 40)</f>
      </c>
      <c r="D15" s="6">
        <f>ROUND((min(G35, F35) * (B$73/8)) * 40)</f>
      </c>
      <c r="E15" s="6">
        <f>ROUND((min(G36, F36) * (B$73/8)) * 40)</f>
      </c>
      <c r="F15" s="6">
        <f>SUM(B15:E15)</f>
      </c>
    </row>
    <row r="16" spans="1:6" s="5" customFormat="1" x14ac:dyDescent="0.25">
      <c r="A16" s="7" t="s">
        <v>14</v>
      </c>
      <c r="B16" s="6">
        <f>(((min(G33, F33) / 2 ) / 2) * 40)</f>
      </c>
      <c r="C16" s="6">
        <f>(((min(G34, F34) / 2 ) / 2) * 40)</f>
      </c>
      <c r="D16" s="6">
        <f>(((min(G35, F35) / 2 ) / 2) * 40)</f>
      </c>
      <c r="E16" s="6">
        <f>(((min(G36, F36) / 2 ) / 2) * 40)</f>
      </c>
      <c r="F16" s="6">
        <f>SUM(B16:E16)</f>
      </c>
    </row>
    <row r="17" spans="1:6" s="5" customFormat="1" x14ac:dyDescent="0.25">
      <c r="A17" s="7" t="s">
        <v>15</v>
      </c>
      <c r="B17" s="6">
        <v>0</v>
      </c>
      <c r="C17" s="6">
        <v>0</v>
      </c>
      <c r="D17" s="6">
        <v>0</v>
      </c>
      <c r="E17" s="6">
        <v>0</v>
      </c>
      <c r="F17" s="6">
        <f>SUM(B17:E17)</f>
      </c>
    </row>
    <row r="18" spans="1:6" s="5" customFormat="1" x14ac:dyDescent="0.25">
      <c r="A18" s="7" t="s">
        <v>502</v>
      </c>
      <c r="B18" s="6">
        <f>ifNA(sum(filter(INDIRECT("'"&amp;A4&amp;"'!V2:V1001"), regexmatch(INDIRECT("'"&amp;A4&amp;"'!L2:L1001"), B$10))) + sum(filter(INDIRECT("'"&amp;A4&amp;"'!X2:X1001"), regexmatch(INDIRECT("'"&amp;A4&amp;"'!L2:L1001"), B$10))), 0)</f>
      </c>
      <c r="C18" s="6">
        <f>ifNA(sum(filter(INDIRECT("'"&amp;A4&amp;"'!V2:V1001"), regexmatch(INDIRECT("'"&amp;A4&amp;"'!L2:L1001"), C$10))) + sum(filter(INDIRECT("'"&amp;A4&amp;"'!X2:X1001"), regexmatch(INDIRECT("'"&amp;A4&amp;"'!L2:L1001"), C$10))), 0)</f>
      </c>
      <c r="D18" s="6">
        <f>ifNA(sum(filter(INDIRECT("'"&amp;A4&amp;"'!V2:V1001"), regexmatch(INDIRECT("'"&amp;A4&amp;"'!L2:L1001"), D$10))) + sum(filter(INDIRECT("'"&amp;A4&amp;"'!X2:X1001"), regexmatch(INDIRECT("'"&amp;A4&amp;"'!L2:L1001"), D$10))), 0)</f>
      </c>
      <c r="E18" s="6">
        <f>ifNA(sum(filter(INDIRECT("'"&amp;A4&amp;"'!V2:V1001"), regexmatch(INDIRECT("'"&amp;A4&amp;"'!L2:L1001"), E$10))) + sum(filter(INDIRECT("'"&amp;A4&amp;"'!X2:X1001"), regexmatch(INDIRECT("'"&amp;A4&amp;"'!L2:L1001"), E$10))), 0)</f>
      </c>
      <c r="F18" s="6">
        <f>SUM(B18:E18)</f>
      </c>
    </row>
    <row r="19" spans="1:6" s="5" customFormat="1" x14ac:dyDescent="0.25">
      <c r="A19" s="7" t="s">
        <v>3</v>
      </c>
      <c r="B19" s="6">
        <f>ifNA(sum(filter(INDIRECT("'"&amp;A4&amp;"'!Z2:Z1001"), regexmatch(INDIRECT("'"&amp;A4&amp;"'!L2:L1001"), B$10))), 0)</f>
      </c>
      <c r="C19" s="6">
        <f>ifNA(sum(filter(INDIRECT("'"&amp;A4&amp;"'!Z2:Z1001"), regexmatch(INDIRECT("'"&amp;A4&amp;"'!L2:L1001"), C$10))), 0)</f>
      </c>
      <c r="D19" s="6">
        <f>ifNA(sum(filter(INDIRECT("'"&amp;A4&amp;"'!Z2:Z1001"), regexmatch(INDIRECT("'"&amp;A4&amp;"'!L2:L1001"), D$10))), 0)</f>
      </c>
      <c r="E19" s="6">
        <f>ifNA(sum(filter(INDIRECT("'"&amp;A4&amp;"'!Z2:Z1001"), regexmatch(INDIRECT("'"&amp;A4&amp;"'!L2:L1001"), E$10))), 0)</f>
      </c>
      <c r="F19" s="6">
        <f>SUM(B19:E19)</f>
      </c>
    </row>
    <row r="20" spans="1:6" s="5" customFormat="1" x14ac:dyDescent="0.25">
      <c r="A20" s="7" t="s">
        <v>20</v>
      </c>
      <c r="B20" s="6">
        <f>ROUND((min(C33, B33) * (B$68/8)) * 40)</f>
      </c>
      <c r="C20" s="6">
        <f>ROUND((min(C34, B34) * (B$68/8)) * 40)</f>
      </c>
      <c r="D20" s="6">
        <f>ROUND((min(C35, B35) * (B$68/8)) * 40)</f>
      </c>
      <c r="E20" s="6">
        <f>ROUND((min(C36, B36) * (B$68/8)) * 40)</f>
      </c>
      <c r="F20" s="6">
        <f>SUM(B20:E20)</f>
      </c>
    </row>
    <row r="21" spans="1:6" s="5" customFormat="1" x14ac:dyDescent="0.25">
      <c r="A21" s="7" t="s">
        <v>503</v>
      </c>
      <c r="B21" s="6">
        <f>ROUND((min(C33, B33) * (B$67/8)) * 40)</f>
      </c>
      <c r="C21" s="6">
        <f>ROUND((min(C34, B34) * (B$67/8)) * 40)</f>
      </c>
      <c r="D21" s="6">
        <f>ROUND((min(C35, B35) * (B$67/8)) * 40)</f>
      </c>
      <c r="E21" s="6">
        <f>ROUND((min(C36, B36) * (B$67/8)) * 40)</f>
      </c>
      <c r="F21" s="6">
        <f>SUM(B21:E21)</f>
      </c>
    </row>
    <row r="22" spans="1:6" s="5" customFormat="1" x14ac:dyDescent="0.25">
      <c r="A22" s="7" t="s">
        <v>504</v>
      </c>
      <c r="B22" s="6">
        <f>ROUND((min(C33, B33) * (B$66/8)) * 40)</f>
      </c>
      <c r="C22" s="6">
        <f>ROUND((min(C34, B34) * (B$66/8)) * 40)</f>
      </c>
      <c r="D22" s="6">
        <f>ROUND((min(C35, B35) * (B$66/8)) * 40)</f>
      </c>
      <c r="E22" s="6">
        <f>ROUND((min(C36, B36) * (B$66/8)) * 40)</f>
      </c>
      <c r="F22" s="6">
        <f>SUM(B22:E22)</f>
      </c>
    </row>
    <row r="23" spans="1:6" s="5" customFormat="1" x14ac:dyDescent="0.25">
      <c r="A23" s="7" t="s">
        <v>19</v>
      </c>
      <c r="B23" s="6">
        <f>(((min(C33, B33) / 2 ) / 2) * 40)</f>
      </c>
      <c r="C23" s="6">
        <f>(((min(C34, B34) / 2 ) / 2) * 40)</f>
      </c>
      <c r="D23" s="6">
        <f>(((min(C35, B35) / 2 ) / 2) * 40)</f>
      </c>
      <c r="E23" s="6">
        <f>(((min(C36, B36) / 2 ) / 2) * 40)</f>
      </c>
      <c r="F23" s="6">
        <f>SUM(B23:E23)</f>
      </c>
    </row>
    <row r="24" spans="1:6" s="5" customFormat="1" x14ac:dyDescent="0.25">
      <c r="A24" s="7" t="s">
        <v>22</v>
      </c>
      <c r="B24" s="6">
        <v>40</v>
      </c>
      <c r="C24" s="6">
        <v>0</v>
      </c>
      <c r="D24" s="6">
        <v>0</v>
      </c>
      <c r="E24" s="6">
        <v>0</v>
      </c>
      <c r="F24" s="6">
        <f>SUM(B24:E24)</f>
      </c>
    </row>
    <row r="25" spans="1:6" s="5" customFormat="1" x14ac:dyDescent="0.25">
      <c r="A25" s="7" t="s">
        <v>21</v>
      </c>
      <c r="B25" s="6">
        <v>40</v>
      </c>
      <c r="C25" s="6">
        <v>0</v>
      </c>
      <c r="D25" s="6">
        <v>0</v>
      </c>
      <c r="E25" s="6">
        <v>0</v>
      </c>
      <c r="F25" s="6">
        <f>SUM(B25:E25)</f>
      </c>
    </row>
    <row r="26" spans="1:6" s="5" customFormat="1" x14ac:dyDescent="0.25">
      <c r="A26" s="8" t="s">
        <v>505</v>
      </c>
      <c r="B26" s="9">
        <f>SUM(B11:B25)</f>
      </c>
      <c r="C26" s="9">
        <f>SUM(C11:C25)</f>
      </c>
      <c r="D26" s="9">
        <f>SUM(D11:D25)</f>
      </c>
      <c r="E26" s="9">
        <f>SUM(E11:E25)</f>
      </c>
      <c r="F26" s="9">
        <f>SUM(B26:E26)</f>
      </c>
    </row>
    <row r="31" spans="1:7" s="1" customFormat="1" x14ac:dyDescent="0.25">
      <c r="A31" s="2" t="s">
        <v>506</v>
      </c>
      <c r="B31" s="2"/>
      <c r="C31" s="2"/>
      <c r="D31" s="2"/>
      <c r="E31" s="2"/>
      <c r="F31" s="2"/>
      <c r="G31" s="2"/>
    </row>
    <row r="32" spans="1:7" s="3" customFormat="1" x14ac:dyDescent="0.25">
      <c r="A32" s="4" t="s">
        <v>40</v>
      </c>
      <c r="B32" s="4" t="s">
        <v>41</v>
      </c>
      <c r="C32" s="4" t="s">
        <v>42</v>
      </c>
      <c r="D32" s="4" t="s">
        <v>43</v>
      </c>
      <c r="E32" s="4" t="s">
        <v>44</v>
      </c>
      <c r="F32" s="4" t="s">
        <v>45</v>
      </c>
      <c r="G32" s="4" t="s">
        <v>46</v>
      </c>
    </row>
    <row r="33" spans="1:7" s="5" customFormat="1" x14ac:dyDescent="0.25">
      <c r="A33" s="7" t="s">
        <v>85</v>
      </c>
      <c r="B33" s="6">
        <f>Round(IFERROR((sum(B$18)/ (sum(C$55:C$56) * 40))), 0)</f>
      </c>
      <c r="C33" s="6">
        <f>Round(IFERROR((sum(B$18)/ (sum(C$55:C$56) * 35))), 0)</f>
      </c>
      <c r="D33" s="6">
        <f>Round(IFERROR((sum(B$19)/ (sum(C$57:C$58) * 40))), 0)</f>
      </c>
      <c r="E33" s="6">
        <f>Round(IFERROR((sum(B$19)/ (sum(C$57:C$58) * 35))), 0)</f>
      </c>
      <c r="F33" s="6">
        <f>Round(IFERROR((sum(B$11:B$12)/ (sum($C$59) * 40))), 0)</f>
      </c>
      <c r="G33" s="6">
        <f>Round(IFERROR((sum(B$11:B$12)/ (sum($C$59) * 35))), 0)</f>
      </c>
    </row>
    <row r="34" spans="1:7" s="5" customFormat="1" x14ac:dyDescent="0.25">
      <c r="A34" s="7" t="s">
        <v>468</v>
      </c>
      <c r="B34" s="6">
        <f>Round(IFERROR((sum(C$18)/ (sum(C$55:C$56) * 40))), 0)</f>
      </c>
      <c r="C34" s="6">
        <f>Round(IFERROR((sum(C$18)/ (sum(C$55:C$56) * 35))), 0)</f>
      </c>
      <c r="D34" s="6">
        <f>Round(IFERROR((sum(C$19)/ (sum(C$57:C$58) * 40))), 0)</f>
      </c>
      <c r="E34" s="6">
        <f>Round(IFERROR((sum(C$19)/ (sum(C$57:C$58) * 35))), 0)</f>
      </c>
      <c r="F34" s="6">
        <f>Round(IFERROR((sum(C$11:C$12)/ (sum($C$59) * 40))), 0)</f>
      </c>
      <c r="G34" s="6">
        <f>Round(IFERROR((sum(C$11:C$12)/ (sum($C$59) * 35))), 0)</f>
      </c>
    </row>
    <row r="35" spans="1:7" s="5" customFormat="1" x14ac:dyDescent="0.25">
      <c r="A35" s="7" t="s">
        <v>272</v>
      </c>
      <c r="B35" s="6">
        <f>Round(IFERROR((sum(D$18)/ (sum(C$55:C$56) * 40))), 0)</f>
      </c>
      <c r="C35" s="6">
        <f>Round(IFERROR((sum(D$18)/ (sum(C$55:C$56) * 35))), 0)</f>
      </c>
      <c r="D35" s="6">
        <f>Round(IFERROR((sum(D$19)/ (sum(C$57:C$58) * 40))), 0)</f>
      </c>
      <c r="E35" s="6">
        <f>Round(IFERROR((sum(D$19)/ (sum(C$57:C$58) * 35))), 0)</f>
      </c>
      <c r="F35" s="6">
        <f>Round(IFERROR((sum(D$11:D$12)/ (sum($C$59) * 40))), 0)</f>
      </c>
      <c r="G35" s="6">
        <f>Round(IFERROR((sum(D$11:D$12)/ (sum($C$59) * 35))), 0)</f>
      </c>
    </row>
    <row r="36" spans="1:7" s="5" customFormat="1" x14ac:dyDescent="0.25">
      <c r="A36" s="7" t="s">
        <v>507</v>
      </c>
      <c r="B36" s="6">
        <f>Round(IFERROR((sum(E$18)/ (sum(C$55:C$56) * 40))), 0)</f>
      </c>
      <c r="C36" s="6">
        <f>Round(IFERROR((sum(E$18)/ (sum(C$55:C$56) * 35))), 0)</f>
      </c>
      <c r="D36" s="6">
        <f>Round(IFERROR((sum(E$19)/ (sum(C$57:C$58) * 40))), 0)</f>
      </c>
      <c r="E36" s="6">
        <f>Round(IFERROR((sum(E$19)/ (sum(C$57:C$58) * 35))), 0)</f>
      </c>
      <c r="F36" s="6">
        <f>Round(IFERROR((sum(E$11:E$12)/ (sum($C$59) * 40))), 0)</f>
      </c>
      <c r="G36" s="6">
        <f>Round(IFERROR((sum(E$11:E$12)/ (sum($C$59) * 35))), 0)</f>
      </c>
    </row>
    <row r="37" spans="1:7" s="5" customFormat="1" x14ac:dyDescent="0.25">
      <c r="A37" s="7" t="s">
        <v>9</v>
      </c>
      <c r="B37" s="6">
        <f>Round(IFERROR((sum(F$18)/ (sum(C$55:C$56) * 40))), 0)</f>
      </c>
      <c r="C37" s="6">
        <f>Round(IFERROR((sum(F$18)/ (sum(C$55:C$56) * 35))), 0)</f>
      </c>
      <c r="D37" s="6">
        <f>Round(IFERROR((sum(F$19)/ (sum(C$57:C$58) * 40))), 0)</f>
      </c>
      <c r="E37" s="6">
        <f>Round(IFERROR((sum(F$19)/ (sum(C$57:C$58) * 35))), 0)</f>
      </c>
      <c r="F37" s="6">
        <f>Round(IFERROR((sum(F$11:F$12)/ (sum($C$59) * 40))), 0)</f>
      </c>
      <c r="G37" s="6">
        <f>Round(IFERROR((sum(F$11:F$12)/ (sum($C$59) * 35))), 0)</f>
      </c>
    </row>
    <row r="42" spans="1:7" s="1" customFormat="1" x14ac:dyDescent="0.25">
      <c r="A42" s="2" t="s">
        <v>508</v>
      </c>
      <c r="B42" s="2"/>
      <c r="C42" s="2"/>
      <c r="D42" s="2"/>
      <c r="E42" s="2"/>
      <c r="F42" s="2"/>
      <c r="G42" s="2"/>
    </row>
    <row r="43" spans="1:7" s="3" customFormat="1" x14ac:dyDescent="0.25">
      <c r="A43" s="4" t="s">
        <v>40</v>
      </c>
      <c r="B43" s="4" t="s">
        <v>41</v>
      </c>
      <c r="C43" s="4" t="s">
        <v>42</v>
      </c>
      <c r="D43" s="4" t="s">
        <v>43</v>
      </c>
      <c r="E43" s="4" t="s">
        <v>44</v>
      </c>
      <c r="F43" s="4" t="s">
        <v>45</v>
      </c>
      <c r="G43" s="4" t="s">
        <v>46</v>
      </c>
    </row>
    <row r="44" spans="1:7" s="5" customFormat="1" x14ac:dyDescent="0.25">
      <c r="A44" s="7" t="s">
        <v>85</v>
      </c>
      <c r="B44" s="6">
        <f>ROUNDUP(B33 / 4)</f>
      </c>
      <c r="C44" s="6">
        <f>ROUNDUP(C33 / 4)</f>
      </c>
      <c r="D44" s="6">
        <f>ROUNDUP(D33 / 4)</f>
      </c>
      <c r="E44" s="6">
        <f>ROUNDUP(E33 / 4)</f>
      </c>
      <c r="F44" s="6">
        <f>ROUNDUP(F33 / 4)</f>
      </c>
      <c r="G44" s="6">
        <f>ROUNDUP(G33 / 4)</f>
      </c>
    </row>
    <row r="45" spans="1:7" s="5" customFormat="1" x14ac:dyDescent="0.25">
      <c r="A45" s="7" t="s">
        <v>468</v>
      </c>
      <c r="B45" s="6">
        <f>ROUNDUP(B34 / 4)</f>
      </c>
      <c r="C45" s="6">
        <f>ROUNDUP(C34 / 4)</f>
      </c>
      <c r="D45" s="6">
        <f>ROUNDUP(D34 / 4)</f>
      </c>
      <c r="E45" s="6">
        <f>ROUNDUP(E34 / 4)</f>
      </c>
      <c r="F45" s="6">
        <f>ROUNDUP(F34 / 4)</f>
      </c>
      <c r="G45" s="6">
        <f>ROUNDUP(G34 / 4)</f>
      </c>
    </row>
    <row r="46" spans="1:7" s="5" customFormat="1" x14ac:dyDescent="0.25">
      <c r="A46" s="7" t="s">
        <v>272</v>
      </c>
      <c r="B46" s="6">
        <f>ROUNDUP(B35 / 4)</f>
      </c>
      <c r="C46" s="6">
        <f>ROUNDUP(C35 / 4)</f>
      </c>
      <c r="D46" s="6">
        <f>ROUNDUP(D35 / 4)</f>
      </c>
      <c r="E46" s="6">
        <f>ROUNDUP(E35 / 4)</f>
      </c>
      <c r="F46" s="6">
        <f>ROUNDUP(F35 / 4)</f>
      </c>
      <c r="G46" s="6">
        <f>ROUNDUP(G35 / 4)</f>
      </c>
    </row>
    <row r="47" spans="1:7" s="5" customFormat="1" x14ac:dyDescent="0.25">
      <c r="A47" s="7" t="s">
        <v>507</v>
      </c>
      <c r="B47" s="6">
        <f>ROUNDUP(B36 / 4)</f>
      </c>
      <c r="C47" s="6">
        <f>ROUNDUP(C36 / 4)</f>
      </c>
      <c r="D47" s="6">
        <f>ROUNDUP(D36 / 4)</f>
      </c>
      <c r="E47" s="6">
        <f>ROUNDUP(E36 / 4)</f>
      </c>
      <c r="F47" s="6">
        <f>ROUNDUP(F36 / 4)</f>
      </c>
      <c r="G47" s="6">
        <f>ROUNDUP(G36 / 4)</f>
      </c>
    </row>
    <row r="48" spans="1:7" s="5" customFormat="1" x14ac:dyDescent="0.25">
      <c r="A48" s="7" t="s">
        <v>9</v>
      </c>
      <c r="B48" s="6">
        <f>ROUNDUP(B37 / 4)</f>
      </c>
      <c r="C48" s="6">
        <f>ROUNDUP(C37 / 4)</f>
      </c>
      <c r="D48" s="6">
        <f>ROUNDUP(D37 / 4)</f>
      </c>
      <c r="E48" s="6">
        <f>ROUNDUP(E37 / 4)</f>
      </c>
      <c r="F48" s="6">
        <f>ROUNDUP(F37 / 4)</f>
      </c>
      <c r="G48" s="6">
        <f>ROUNDUP(G37 / 4)</f>
      </c>
    </row>
    <row r="53" spans="1:4" s="1" customFormat="1" x14ac:dyDescent="0.25">
      <c r="A53" s="2" t="s">
        <v>509</v>
      </c>
      <c r="B53" s="2"/>
      <c r="C53" s="2"/>
      <c r="D53" s="2"/>
    </row>
    <row r="54" spans="1:4" s="3" customFormat="1" x14ac:dyDescent="0.25">
      <c r="A54" s="4" t="s">
        <v>490</v>
      </c>
      <c r="B54" s="4" t="s">
        <v>3</v>
      </c>
      <c r="C54" s="4" t="s">
        <v>22</v>
      </c>
      <c r="D54" s="4" t="s">
        <v>491</v>
      </c>
    </row>
    <row r="55" spans="1:4" s="5" customFormat="1" x14ac:dyDescent="0.25">
      <c r="A55" s="6" t="s">
        <v>515</v>
      </c>
      <c r="B55" s="6" t="s">
        <v>511</v>
      </c>
      <c r="C55" s="6" t="s">
        <v>512</v>
      </c>
      <c r="D55" s="6" t="s">
        <v>513</v>
      </c>
    </row>
  </sheetData>
  <mergeCells count="4">
    <mergeCell ref="A9:F9"/>
    <mergeCell ref="A31:G31"/>
    <mergeCell ref="A42:G42"/>
    <mergeCell ref="A53:D53"/>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
  <sheetFormatPr defaultRowHeight="25" outlineLevelRow="0" outlineLevelCol="0" x14ac:dyDescent="55" defaultColWidth="20" customHeight="1"/>
  <cols>
    <col min="1" max="1" width="20" customWidth="1"/>
  </cols>
  <sheetData>
    <row r="1" hidden="1" spans="1:7" x14ac:dyDescent="0.25">
      <c r="A1" t="s">
        <v>516</v>
      </c>
      <c r="B1" t="s">
        <v>517</v>
      </c>
      <c r="C1" t="s">
        <v>518</v>
      </c>
      <c r="D1" t="s">
        <v>519</v>
      </c>
      <c r="E1" t="s">
        <v>520</v>
      </c>
      <c r="F1" t="s">
        <v>521</v>
      </c>
      <c r="G1" t="s">
        <v>522</v>
      </c>
    </row>
    <row r="2" spans="1:7" s="1" customFormat="1" x14ac:dyDescent="0.25">
      <c r="A2" s="2" t="s">
        <v>523</v>
      </c>
      <c r="B2" s="2"/>
      <c r="C2" s="2"/>
      <c r="D2" s="2"/>
      <c r="E2" s="2"/>
      <c r="F2" s="2"/>
      <c r="G2" s="2"/>
    </row>
    <row r="3" spans="1:7" s="3" customFormat="1" x14ac:dyDescent="0.25">
      <c r="A3" s="4" t="s">
        <v>524</v>
      </c>
      <c r="B3" s="4" t="s">
        <v>525</v>
      </c>
      <c r="C3" s="4" t="s">
        <v>526</v>
      </c>
      <c r="D3" s="4" t="s">
        <v>519</v>
      </c>
      <c r="E3" s="4" t="s">
        <v>520</v>
      </c>
      <c r="F3" s="4" t="s">
        <v>521</v>
      </c>
      <c r="G3" s="4" t="s">
        <v>522</v>
      </c>
    </row>
    <row r="4" spans="1:7" s="5" customFormat="1" x14ac:dyDescent="0.25">
      <c r="A4" s="6">
        <v>1</v>
      </c>
      <c r="B4" s="6" t="s">
        <v>527</v>
      </c>
      <c r="C4" s="6">
        <v>0.5</v>
      </c>
      <c r="D4" s="6">
        <v>0.5</v>
      </c>
      <c r="E4" s="6">
        <v>1</v>
      </c>
      <c r="F4" s="6">
        <v>100</v>
      </c>
      <c r="G4" s="6">
        <v>100</v>
      </c>
    </row>
    <row r="5" spans="1:7" s="5" customFormat="1" x14ac:dyDescent="0.25">
      <c r="A5" s="6">
        <v>2</v>
      </c>
      <c r="B5" s="6" t="s">
        <v>528</v>
      </c>
      <c r="C5" s="6">
        <v>1</v>
      </c>
      <c r="D5" s="6">
        <v>0.5</v>
      </c>
      <c r="E5" s="6">
        <v>1</v>
      </c>
      <c r="F5" s="6">
        <v>50</v>
      </c>
      <c r="G5" s="6">
        <v>50</v>
      </c>
    </row>
    <row r="6" spans="1:7" s="5" customFormat="1" x14ac:dyDescent="0.25">
      <c r="A6" s="6">
        <v>3</v>
      </c>
      <c r="B6" s="6" t="s">
        <v>529</v>
      </c>
      <c r="C6" s="6">
        <v>2</v>
      </c>
      <c r="D6" s="6">
        <v>1</v>
      </c>
      <c r="E6" s="6">
        <v>1</v>
      </c>
      <c r="F6" s="6">
        <v>50</v>
      </c>
      <c r="G6" s="6">
        <v>33.34</v>
      </c>
    </row>
    <row r="7" spans="1:7" s="5" customFormat="1" x14ac:dyDescent="0.25">
      <c r="A7" s="6">
        <v>5</v>
      </c>
      <c r="B7" s="6" t="s">
        <v>530</v>
      </c>
      <c r="C7" s="6">
        <v>4</v>
      </c>
      <c r="D7" s="6">
        <v>2</v>
      </c>
      <c r="E7" s="6">
        <v>2</v>
      </c>
      <c r="F7" s="6">
        <v>50</v>
      </c>
      <c r="G7" s="6">
        <v>40</v>
      </c>
    </row>
    <row r="8" spans="1:7" s="5" customFormat="1" x14ac:dyDescent="0.25">
      <c r="A8" s="6">
        <v>8</v>
      </c>
      <c r="B8" s="6" t="s">
        <v>531</v>
      </c>
      <c r="C8" s="6">
        <v>7</v>
      </c>
      <c r="D8" s="6">
        <v>3</v>
      </c>
      <c r="E8" s="6">
        <v>3</v>
      </c>
      <c r="F8" s="6">
        <v>42.86</v>
      </c>
      <c r="G8" s="6">
        <v>37.5</v>
      </c>
    </row>
    <row r="9" spans="1:7" s="5" customFormat="1" x14ac:dyDescent="0.25">
      <c r="A9" s="6">
        <v>13</v>
      </c>
      <c r="B9" s="6" t="s">
        <v>532</v>
      </c>
      <c r="C9" s="6">
        <v>11</v>
      </c>
      <c r="D9" s="6">
        <v>4</v>
      </c>
      <c r="E9" s="6">
        <v>5</v>
      </c>
      <c r="F9" s="6">
        <v>36.37</v>
      </c>
      <c r="G9" s="6">
        <v>38.47</v>
      </c>
    </row>
    <row r="10" spans="1:7" s="5" customFormat="1" x14ac:dyDescent="0.25">
      <c r="A10" s="6">
        <v>21</v>
      </c>
      <c r="B10" s="6" t="s">
        <v>533</v>
      </c>
      <c r="C10" s="6">
        <v>16</v>
      </c>
      <c r="D10" s="6">
        <v>5</v>
      </c>
      <c r="E10" s="6">
        <v>8</v>
      </c>
      <c r="F10" s="6">
        <v>31.25</v>
      </c>
      <c r="G10" s="6">
        <v>38.1</v>
      </c>
    </row>
    <row r="11" spans="1:7" s="5" customFormat="1" x14ac:dyDescent="0.25">
      <c r="A11" s="6">
        <v>34</v>
      </c>
      <c r="B11" s="6" t="s">
        <v>534</v>
      </c>
      <c r="C11" s="6">
        <v>24</v>
      </c>
      <c r="D11" s="6">
        <v>8</v>
      </c>
      <c r="E11" s="6">
        <v>13</v>
      </c>
      <c r="F11" s="6">
        <v>33.34</v>
      </c>
      <c r="G11" s="6">
        <v>38.24</v>
      </c>
    </row>
    <row r="12" spans="1:7" s="5" customFormat="1" x14ac:dyDescent="0.25">
      <c r="A12" s="6">
        <v>55</v>
      </c>
      <c r="B12" s="6" t="s">
        <v>535</v>
      </c>
      <c r="C12" s="6">
        <v>40</v>
      </c>
      <c r="D12" s="6">
        <v>16</v>
      </c>
      <c r="E12" s="6">
        <v>21</v>
      </c>
      <c r="F12" s="6">
        <v>40</v>
      </c>
      <c r="G12" s="6">
        <v>38.19</v>
      </c>
    </row>
    <row r="13" spans="1:7" s="5" customFormat="1" x14ac:dyDescent="0.25">
      <c r="A13" s="6">
        <v>89</v>
      </c>
      <c r="B13" s="6" t="s">
        <v>536</v>
      </c>
      <c r="C13" s="6">
        <v>60</v>
      </c>
      <c r="D13" s="6">
        <v>20</v>
      </c>
      <c r="E13" s="6">
        <v>34</v>
      </c>
      <c r="F13" s="6">
        <v>33.34</v>
      </c>
      <c r="G13" s="6">
        <v>38.21</v>
      </c>
    </row>
    <row r="18" spans="1:3" s="1" customFormat="1" x14ac:dyDescent="0.25">
      <c r="A18" s="2" t="s">
        <v>537</v>
      </c>
      <c r="B18" s="2"/>
      <c r="C18" s="2"/>
    </row>
    <row r="19" spans="1:3" s="3" customFormat="1" x14ac:dyDescent="0.25">
      <c r="A19" s="4" t="s">
        <v>538</v>
      </c>
      <c r="B19" s="4" t="s">
        <v>517</v>
      </c>
      <c r="C19" s="4" t="s">
        <v>518</v>
      </c>
    </row>
    <row r="20" spans="1:3" s="5" customFormat="1" x14ac:dyDescent="0.25">
      <c r="A20" s="6" t="s">
        <v>539</v>
      </c>
      <c r="B20" s="6" t="s">
        <v>540</v>
      </c>
      <c r="C20" s="6">
        <v>32</v>
      </c>
    </row>
    <row r="21" spans="1:3" s="5" customFormat="1" x14ac:dyDescent="0.25">
      <c r="A21" s="6" t="s">
        <v>541</v>
      </c>
      <c r="B21" s="6" t="s">
        <v>542</v>
      </c>
      <c r="C21" s="6">
        <v>72</v>
      </c>
    </row>
    <row r="22" spans="1:3" s="5" customFormat="1" x14ac:dyDescent="0.25">
      <c r="A22" s="6" t="s">
        <v>543</v>
      </c>
      <c r="B22" s="6" t="s">
        <v>544</v>
      </c>
      <c r="C22" s="6">
        <v>73</v>
      </c>
    </row>
    <row r="27" spans="1:1" s="1" customFormat="1" x14ac:dyDescent="0.25">
      <c r="A27" s="2" t="s">
        <v>545</v>
      </c>
    </row>
    <row r="28" spans="1:1" s="3" customFormat="1" x14ac:dyDescent="0.25">
      <c r="A28" s="4" t="s">
        <v>516</v>
      </c>
    </row>
    <row r="29" spans="1:1" s="5" customFormat="1" x14ac:dyDescent="0.25">
      <c r="A29" s="6" t="s">
        <v>85</v>
      </c>
    </row>
    <row r="30" spans="1:1" s="5" customFormat="1" x14ac:dyDescent="0.25">
      <c r="A30" s="6" t="s">
        <v>272</v>
      </c>
    </row>
    <row r="31" spans="1:1" s="5" customFormat="1" x14ac:dyDescent="0.25">
      <c r="A31" s="6" t="s">
        <v>468</v>
      </c>
    </row>
    <row r="32" spans="1:1" s="5" customFormat="1" x14ac:dyDescent="0.25">
      <c r="A32" s="6" t="s">
        <v>497</v>
      </c>
    </row>
  </sheetData>
  <mergeCells count="2">
    <mergeCell ref="A2:G2"/>
    <mergeCell ref="A18:C18"/>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Master Summary</vt:lpstr>
      <vt:lpstr>Web App - Dev</vt:lpstr>
      <vt:lpstr>Admin Panel - Dev</vt:lpstr>
      <vt:lpstr>Web App - Summary</vt:lpstr>
      <vt:lpstr>Admin Panel - Summary</vt:lpstr>
      <vt:lpstr>Points-Table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2026-02-20T10:15:28Z</dcterms:created>
  <dcterms:modified xsi:type="dcterms:W3CDTF">2026-02-20T10:15:28Z</dcterms:modified>
</cp:coreProperties>
</file>