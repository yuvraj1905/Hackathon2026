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User Application - Dev" state="visible" r:id="rId5"/>
    <sheet sheetId="3" name="Admin - Dev" state="visible" r:id="rId6"/>
    <sheet sheetId="4" name="User Application - Summary" state="visible" r:id="rId7"/>
    <sheet sheetId="5" name="Admin - Summary" state="visible" r:id="rId8"/>
    <sheet sheetId="6" name="Points-Table" state="visible" r:id="rId9"/>
  </sheets>
  <calcPr calcId="171027"/>
</workbook>
</file>

<file path=xl/sharedStrings.xml><?xml version="1.0" encoding="utf-8"?>
<sst xmlns="http://schemas.openxmlformats.org/spreadsheetml/2006/main" count="1016" uniqueCount="251">
  <si>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</si>
  <si>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</si>
  <si>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</si>
  <si>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</si>
  <si>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</si>
  <si>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</si>
  <si>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</si>
  <si>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</si>
  <si>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</si>
  <si>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</si>
  <si>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</si>
  <si>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</si>
  <si>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</si>
  <si>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</si>
  <si>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</si>
  <si>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</si>
  <si>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</si>
  <si>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</si>
  <si>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</si>
  <si>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</si>
  <si>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</si>
  <si>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</si>
  <si>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</si>
  <si>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</si>
  <si>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</si>
  <si>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</si>
  <si>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</si>
  <si>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SSE</t>
  </si>
  <si>
    <t>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</si>
  <si>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</si>
  <si>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</si>
  <si>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</si>
  <si>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</si>
  <si>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</si>
  <si>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</si>
  <si>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</si>
  <si>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</si>
  <si>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</si>
  <si>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</si>
  <si>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</si>
  <si>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</si>
  <si>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</si>
  <si>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</si>
  <si>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</si>
  <si>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</si>
  <si>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</si>
  <si>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</si>
  <si>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</si>
  <si>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</si>
  <si>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</si>
  <si>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</si>
  <si>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User Application</t>
  </si>
  <si>
    <t>User Application - Summary</t>
  </si>
  <si>
    <t>Admin</t>
  </si>
  <si>
    <t>Admin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</si>
  <si>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</si>
  <si>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</si>
  <si>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</si>
  <si>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</si>
  <si>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</si>
  <si>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</si>
  <si>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</si>
  <si>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</si>
  <si>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</si>
  <si>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</si>
  <si>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</si>
  <si>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</si>
  <si>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</si>
  <si>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</si>
  <si>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</si>
  <si>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</si>
  <si>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</si>
  <si>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</si>
  <si>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</si>
  <si>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</si>
  <si>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</si>
  <si>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</si>
  <si>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</si>
  <si>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</si>
  <si>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</si>
  <si>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</si>
  <si>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</si>
  <si>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Landing Page</t>
  </si>
  <si>
    <t>Simple</t>
  </si>
  <si>
    <t>Must Have</t>
  </si>
  <si>
    <t>Registration</t>
  </si>
  <si>
    <t>Basic Details | Email Id | Username</t>
  </si>
  <si>
    <t>OTP Verification (O-auth)</t>
  </si>
  <si>
    <t>T&amp;C | Privacy Policy confirmation</t>
  </si>
  <si>
    <t>Social Sign In</t>
  </si>
  <si>
    <t>Google</t>
  </si>
  <si>
    <t>Facebook</t>
  </si>
  <si>
    <t>Linkedin</t>
  </si>
  <si>
    <t>Login</t>
  </si>
  <si>
    <t>Email | OTP Verification</t>
  </si>
  <si>
    <t>Social Login</t>
  </si>
  <si>
    <t>LinkedIn</t>
  </si>
  <si>
    <t>Forget | Reset Password</t>
  </si>
  <si>
    <t>User Onboarding</t>
  </si>
  <si>
    <t>Create Profile (Form)</t>
  </si>
  <si>
    <t>Basic Details</t>
  </si>
  <si>
    <t>Add video Intro</t>
  </si>
  <si>
    <t>YT/Vimeo Link (Embed Code from YT/Vimeo)</t>
  </si>
  <si>
    <t>Website URL</t>
  </si>
  <si>
    <t>Education Level</t>
  </si>
  <si>
    <t>Social Links</t>
  </si>
  <si>
    <t>Bio - Short &amp; Long Bio (Text)</t>
  </si>
  <si>
    <t>Upload Profile | Cover Pic</t>
  </si>
  <si>
    <t>Choose Interest</t>
  </si>
  <si>
    <t>Multi Category Selection - Tree structure</t>
  </si>
  <si>
    <t>Define Tolerance - Information &amp; Intensity</t>
  </si>
  <si>
    <t>Broadcast Feed</t>
  </si>
  <si>
    <t>Search | Sort | Filter</t>
  </si>
  <si>
    <t>Discover Previous Debates/Discussions</t>
  </si>
  <si>
    <t>Create Broadcast Call</t>
  </si>
  <si>
    <t>Broadcast Topic (Multi Category - tree like structure)</t>
  </si>
  <si>
    <t>Broadcast Type (Debate | Discussion | Soapbox)</t>
  </si>
  <si>
    <t>Broadcast Description (Form - Text input)</t>
  </si>
  <si>
    <t>100ms Integration</t>
  </si>
  <si>
    <t xml:space="preserve">Room Code Generation </t>
  </si>
  <si>
    <t xml:space="preserve">Storing the call info with room code </t>
  </si>
  <si>
    <t xml:space="preserve">1. Chat between multiple people (available in the call)
2. Emoji reaction</t>
  </si>
  <si>
    <t>Send Email Notification</t>
  </si>
  <si>
    <t>Select other broadcaster</t>
  </si>
  <si>
    <t>Invite Another Broadcaster</t>
  </si>
  <si>
    <t>View Broadcast (100ms Integration)</t>
  </si>
  <si>
    <t>Broadcaster Panels</t>
  </si>
  <si>
    <t>Live Scoring (Viewers)</t>
  </si>
  <si>
    <t>Information (Colour coded - Slider)</t>
  </si>
  <si>
    <t>Intensity (Colour coded - Slider)</t>
  </si>
  <si>
    <t>Broadcaster Live Score Board (View)</t>
  </si>
  <si>
    <t>Information (Colour coded)</t>
  </si>
  <si>
    <t>Intensity (Colour coded)</t>
  </si>
  <si>
    <t>Broadcaster's Short Bio (View)</t>
  </si>
  <si>
    <t>Aggregated Live Score Board (View)</t>
  </si>
  <si>
    <t>Information</t>
  </si>
  <si>
    <t>Intensity</t>
  </si>
  <si>
    <t>Chat</t>
  </si>
  <si>
    <t>Viewers List</t>
  </si>
  <si>
    <t>Call Duration (Live)</t>
  </si>
  <si>
    <t>Evidence Board</t>
  </si>
  <si>
    <t>Post Evidence</t>
  </si>
  <si>
    <t>Delete Evidence</t>
  </si>
  <si>
    <t>View Evidence</t>
  </si>
  <si>
    <t>Report Evidence</t>
  </si>
  <si>
    <t>Follow | Unfollow | Block | Report Other Users</t>
  </si>
  <si>
    <t>Mute | Un-Mute Microphone (Broadcaster)</t>
  </si>
  <si>
    <t>Hide | Un-Hide Video (Broadcaster)</t>
  </si>
  <si>
    <t>Remove from Call (Broadcaster)</t>
  </si>
  <si>
    <t>Approve/Reject - Remove from Call (Broadcaster)</t>
  </si>
  <si>
    <t>Google Ads Integration</t>
  </si>
  <si>
    <t>Profile</t>
  </si>
  <si>
    <t>Add Details</t>
  </si>
  <si>
    <t>View | Edit Details</t>
  </si>
  <si>
    <t>Set | Edit Viewing Preference</t>
  </si>
  <si>
    <t>View Followers | Following</t>
  </si>
  <si>
    <t>View Access to other User Profiles</t>
  </si>
  <si>
    <t>Static Pages</t>
  </si>
  <si>
    <t>About Us</t>
  </si>
  <si>
    <t>Privacy Policy</t>
  </si>
  <si>
    <t>Terms of Service</t>
  </si>
  <si>
    <t>404 Error Page</t>
  </si>
  <si>
    <t>A.R.M.O.R. Policy</t>
  </si>
  <si>
    <t>Data Deletion Requests</t>
  </si>
  <si>
    <t>Decentralized Arbitration of Truth</t>
  </si>
  <si>
    <t>Header &amp; Footer</t>
  </si>
  <si>
    <t>UX Process</t>
  </si>
  <si>
    <t>Prototype</t>
  </si>
  <si>
    <t>Style Guide</t>
  </si>
  <si>
    <t>Mobile Responsive</t>
  </si>
  <si>
    <t>Email | Password</t>
  </si>
  <si>
    <t>User Management</t>
  </si>
  <si>
    <t>View Existing User list | Details</t>
  </si>
  <si>
    <t>Block | Unblock Users</t>
  </si>
  <si>
    <t>Search | Filter</t>
  </si>
  <si>
    <t>Broadcast Management</t>
  </si>
  <si>
    <t>View Active Broadcast List | Details</t>
  </si>
  <si>
    <t>View Previous Broadcast List | Details</t>
  </si>
  <si>
    <t>Remove Live Broadcast</t>
  </si>
  <si>
    <t>Remove existing Broadcast</t>
  </si>
  <si>
    <t>Content Moderation</t>
  </si>
  <si>
    <t>Review | Remove Evidence Board Content</t>
  </si>
  <si>
    <t>Review | Remove Reported Content</t>
  </si>
  <si>
    <t>Topic Category Management</t>
  </si>
  <si>
    <t>Add New Category</t>
  </si>
  <si>
    <t>View | Edit Existing Category</t>
  </si>
  <si>
    <t>Enable | Disable Category</t>
  </si>
  <si>
    <t>Remove Category</t>
  </si>
  <si>
    <t>Analytics</t>
  </si>
  <si>
    <t>User Activity</t>
  </si>
  <si>
    <t>All Registered Users</t>
  </si>
  <si>
    <t>Active Users - Viewers &amp; Broadcasters</t>
  </si>
  <si>
    <t>Active Viewers</t>
  </si>
  <si>
    <t>Voting Data Insights</t>
  </si>
  <si>
    <t>Intensity, Information Filter</t>
  </si>
  <si>
    <t>Broadcast Performance</t>
  </si>
  <si>
    <t>Avg Viewers | Vote Stats | Failed Broadcast</t>
  </si>
  <si>
    <t>Frontend</t>
  </si>
  <si>
    <t>General Assumption</t>
  </si>
  <si>
    <t>Fe Max</t>
  </si>
  <si>
    <t>Fe Min</t>
  </si>
  <si>
    <t>Development  Sheet</t>
  </si>
  <si>
    <t>User Application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</si>
  <si>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</si>
  <si>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</si>
  <si>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</si>
  <si>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</si>
  <si>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</si>
  <si>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</si>
  <si>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</si>
  <si>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</si>
  <si>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</si>
  <si>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</si>
  <si>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</si>
  <si>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</si>
  <si>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</si>
  <si>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</si>
  <si>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</si>
  <si>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</si>
  <si>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Not added yet</t>
  </si>
  <si>
    <t>Admin - Dev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</si>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</sst>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  <fill>
      <patternFill patternType="solid">
        <fgColor rgb="#f3cccb"/>
        <bgColor rgb="#f3cccb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ROUND(SUM(E55,F55))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ROUND(SUM(C55,D55))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40</v>
      </c>
    </row>
    <row r="16" spans="1:2" s="5" customFormat="1" x14ac:dyDescent="0.25">
      <c r="A16" s="6" t="s">
        <v>22</v>
      </c>
      <c r="B16" s="6">
        <v>100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1</v>
      </c>
    </row>
    <row r="25" spans="1:3" s="5" customFormat="1" x14ac:dyDescent="0.25">
      <c r="A25" s="7" t="s">
        <v>26</v>
      </c>
      <c r="B25" s="6" t="s">
        <v>28</v>
      </c>
      <c r="C25" s="6">
        <v>1</v>
      </c>
    </row>
    <row r="26" spans="1:3" s="5" customFormat="1" x14ac:dyDescent="0.25">
      <c r="A26" s="7" t="s">
        <v>29</v>
      </c>
      <c r="B26" s="6" t="s">
        <v>27</v>
      </c>
      <c r="C26" s="6">
        <v>1</v>
      </c>
    </row>
    <row r="27" spans="1:3" s="5" customFormat="1" x14ac:dyDescent="0.25">
      <c r="A27" s="7" t="s">
        <v>29</v>
      </c>
      <c r="B27" s="6" t="s">
        <v>28</v>
      </c>
      <c r="C27" s="6">
        <v>1</v>
      </c>
    </row>
    <row r="28" spans="1:3" s="5" customFormat="1" x14ac:dyDescent="0.25">
      <c r="A28" s="7" t="s">
        <v>30</v>
      </c>
      <c r="B28" s="6" t="s">
        <v>31</v>
      </c>
      <c r="C28" s="6">
        <v>2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4</v>
      </c>
    </row>
    <row r="36" spans="1:2" s="5" customFormat="1" x14ac:dyDescent="0.25">
      <c r="A36" s="7" t="s">
        <v>35</v>
      </c>
      <c r="B36" s="6">
        <v>2</v>
      </c>
    </row>
    <row r="37" spans="1:2" s="5" customFormat="1" x14ac:dyDescent="0.25">
      <c r="A37" s="7" t="s">
        <v>36</v>
      </c>
      <c r="B37" s="6">
        <v>4</v>
      </c>
    </row>
    <row r="38" spans="1:2" s="5" customFormat="1" x14ac:dyDescent="0.25">
      <c r="A38" s="7" t="s">
        <v>37</v>
      </c>
      <c r="B38" s="6">
        <v>2</v>
      </c>
    </row>
    <row r="39" spans="1:2" s="5" customFormat="1" x14ac:dyDescent="0.25">
      <c r="A39" s="7" t="s">
        <v>38</v>
      </c>
      <c r="B39" s="6">
        <v>2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Round(IFERROR((SUM(C55)/ (SUM(C$24:C25) * 40))), 0)</f>
      </c>
      <c r="C46" s="6">
        <f>Round(IFERROR((SUM(C55)/ (SUM(C$24:C25) * 35))), 0)</f>
      </c>
      <c r="D46" s="6">
        <f>Round(IFERROR((SUM(D55)/ (SUM(C26:C27) * 40))), 0)</f>
      </c>
      <c r="E46" s="6">
        <f>Round(IFERROR((SUM(D55)/ (SUM(C26:C27) * 35))), 0)</f>
      </c>
      <c r="F46" s="6">
        <f>Round(IFERROR((SUM(E55:F55)/ (SUM(C28) * 40))), 0)</f>
      </c>
      <c r="G46" s="6">
        <f>Round(IFERROR((SUM(E55:F55)/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7" t="s">
        <v>53</v>
      </c>
      <c r="B54" s="6" t="s">
        <v>54</v>
      </c>
      <c r="C54" s="6">
        <f>INDIRECT("'"&amp;B54&amp;"'!F18")</f>
      </c>
      <c r="D54" s="6">
        <f>INDIRECT("'"&amp;B54&amp;"'!F19")</f>
      </c>
      <c r="E54" s="6">
        <f>INDIRECT("'"&amp;B54&amp;"'!F12")</f>
      </c>
      <c r="F54" s="6">
        <f>INDIRECT("'"&amp;B54&amp;"'!F11")</f>
      </c>
      <c r="G54" s="6">
        <f>sum(C54:F54)</f>
      </c>
    </row>
    <row r="55" spans="1:7" s="5" customFormat="1" x14ac:dyDescent="0.25">
      <c r="A55" s="8" t="s">
        <v>55</v>
      </c>
      <c r="B55" s="9" t="s">
        <v>56</v>
      </c>
      <c r="C55" s="9">
        <f>SUM(C48:C54)</f>
      </c>
      <c r="D55" s="9">
        <f>SUM(D48:D54)</f>
      </c>
      <c r="E55" s="9">
        <f>SUM(E48:E54)</f>
      </c>
      <c r="F55" s="9">
        <f>SUM(F48:F54)</f>
      </c>
      <c r="G55" s="9">
        <f>sum(C55:F55)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48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6" customFormat="1" x14ac:dyDescent="0.25">
      <c r="A2" s="6" t="s">
        <v>82</v>
      </c>
      <c r="D2" s="6"/>
      <c r="E2" s="6"/>
      <c r="F2" s="6"/>
      <c r="G2" s="6"/>
      <c r="H2" s="6"/>
      <c r="I2" s="6"/>
      <c r="J2" s="6"/>
      <c r="K2" s="6" t="s">
        <v>83</v>
      </c>
      <c r="L2" s="6" t="s">
        <v>84</v>
      </c>
      <c r="M2" s="6"/>
      <c r="N2" s="6"/>
      <c r="O2" s="6"/>
      <c r="P2" s="6"/>
      <c r="Q2" s="11">
        <v>21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21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3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/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/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56</v>
      </c>
      <c r="AD2" s="6" t="s">
        <v>56</v>
      </c>
      <c r="AE2" s="6" t="s">
        <v>56</v>
      </c>
    </row>
    <row r="3" spans="1:31" s="6" customFormat="1" x14ac:dyDescent="0.25">
      <c r="A3" s="6" t="s">
        <v>85</v>
      </c>
      <c r="B3" s="6" t="s">
        <v>86</v>
      </c>
      <c r="D3" s="6"/>
      <c r="E3" s="6"/>
      <c r="F3" s="6"/>
      <c r="G3" s="6"/>
      <c r="H3" s="6"/>
      <c r="I3" s="6"/>
      <c r="J3" s="6"/>
      <c r="K3" s="6" t="s">
        <v>83</v>
      </c>
      <c r="L3" s="6" t="s">
        <v>84</v>
      </c>
      <c r="M3" s="6"/>
      <c r="N3" s="6"/>
      <c r="O3" s="6"/>
      <c r="P3" s="6"/>
      <c r="Q3" s="11">
        <v>2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2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5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5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/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56</v>
      </c>
      <c r="AD3" s="6" t="s">
        <v>56</v>
      </c>
      <c r="AE3" s="6" t="s">
        <v>56</v>
      </c>
    </row>
    <row r="4" spans="1:31" s="6" customFormat="1" x14ac:dyDescent="0.25">
      <c r="A4" s="6" t="s">
        <v>85</v>
      </c>
      <c r="B4" s="6" t="s">
        <v>87</v>
      </c>
      <c r="D4" s="6"/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/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/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3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5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8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85</v>
      </c>
      <c r="B5" s="6" t="s">
        <v>88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/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/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2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/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/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6" customFormat="1" x14ac:dyDescent="0.25">
      <c r="A6" s="6" t="s">
        <v>85</v>
      </c>
      <c r="B6" s="6" t="s">
        <v>89</v>
      </c>
      <c r="C6" s="6" t="s">
        <v>90</v>
      </c>
      <c r="D6" s="6"/>
      <c r="E6" s="6"/>
      <c r="F6" s="6"/>
      <c r="G6" s="6"/>
      <c r="H6" s="6"/>
      <c r="I6" s="6"/>
      <c r="J6" s="6"/>
      <c r="K6" s="6" t="s">
        <v>83</v>
      </c>
      <c r="L6" s="6" t="s">
        <v>84</v>
      </c>
      <c r="M6" s="6"/>
      <c r="N6" s="6"/>
      <c r="O6" s="6"/>
      <c r="P6" s="6"/>
      <c r="Q6" s="11"/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/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3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8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8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56</v>
      </c>
      <c r="AD6" s="6" t="s">
        <v>56</v>
      </c>
      <c r="AE6" s="6" t="s">
        <v>56</v>
      </c>
    </row>
    <row r="7" spans="1:31" s="6" customFormat="1" x14ac:dyDescent="0.25">
      <c r="A7" s="6" t="s">
        <v>85</v>
      </c>
      <c r="B7" s="6" t="s">
        <v>89</v>
      </c>
      <c r="C7" s="6" t="s">
        <v>91</v>
      </c>
      <c r="D7" s="6"/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/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/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3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13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/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85</v>
      </c>
      <c r="B8" s="6" t="s">
        <v>89</v>
      </c>
      <c r="C8" s="6" t="s">
        <v>92</v>
      </c>
      <c r="D8" s="6"/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/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/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3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13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/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6" customFormat="1" x14ac:dyDescent="0.25">
      <c r="A9" s="6" t="s">
        <v>93</v>
      </c>
      <c r="B9" s="6" t="s">
        <v>94</v>
      </c>
      <c r="D9" s="6"/>
      <c r="E9" s="6"/>
      <c r="F9" s="6"/>
      <c r="G9" s="6"/>
      <c r="H9" s="6"/>
      <c r="I9" s="6"/>
      <c r="J9" s="6"/>
      <c r="K9" s="6" t="s">
        <v>83</v>
      </c>
      <c r="L9" s="6" t="s">
        <v>84</v>
      </c>
      <c r="M9" s="6"/>
      <c r="N9" s="6"/>
      <c r="O9" s="6"/>
      <c r="P9" s="6"/>
      <c r="Q9" s="11">
        <v>2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2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5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8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5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56</v>
      </c>
      <c r="AD9" s="6" t="s">
        <v>56</v>
      </c>
      <c r="AE9" s="6" t="s">
        <v>56</v>
      </c>
    </row>
    <row r="10" spans="1:31" s="6" customFormat="1" x14ac:dyDescent="0.25">
      <c r="A10" s="6" t="s">
        <v>93</v>
      </c>
      <c r="B10" s="6" t="s">
        <v>95</v>
      </c>
      <c r="C10" s="6" t="s">
        <v>90</v>
      </c>
      <c r="D10" s="6"/>
      <c r="E10" s="6"/>
      <c r="F10" s="6"/>
      <c r="G10" s="6"/>
      <c r="H10" s="6"/>
      <c r="I10" s="6"/>
      <c r="J10" s="6"/>
      <c r="K10" s="6" t="s">
        <v>83</v>
      </c>
      <c r="L10" s="6" t="s">
        <v>84</v>
      </c>
      <c r="M10" s="6"/>
      <c r="N10" s="6"/>
      <c r="O10" s="6"/>
      <c r="P10" s="6"/>
      <c r="Q10" s="11"/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/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3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8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/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56</v>
      </c>
      <c r="AD10" s="6" t="s">
        <v>56</v>
      </c>
      <c r="AE10" s="6" t="s">
        <v>56</v>
      </c>
    </row>
    <row r="11" spans="1:31" s="6" customFormat="1" x14ac:dyDescent="0.25">
      <c r="A11" s="6" t="s">
        <v>93</v>
      </c>
      <c r="B11" s="6" t="s">
        <v>95</v>
      </c>
      <c r="C11" s="6" t="s">
        <v>91</v>
      </c>
      <c r="D11" s="6"/>
      <c r="E11" s="6"/>
      <c r="F11" s="6"/>
      <c r="G11" s="6"/>
      <c r="H11" s="6"/>
      <c r="I11" s="6"/>
      <c r="J11" s="6"/>
      <c r="K11" s="6" t="s">
        <v>83</v>
      </c>
      <c r="L11" s="6" t="s">
        <v>84</v>
      </c>
      <c r="M11" s="6"/>
      <c r="N11" s="6"/>
      <c r="O11" s="6"/>
      <c r="P11" s="6"/>
      <c r="Q11" s="11"/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/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3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13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/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56</v>
      </c>
      <c r="AD11" s="6" t="s">
        <v>56</v>
      </c>
      <c r="AE11" s="6" t="s">
        <v>56</v>
      </c>
    </row>
    <row r="12" spans="1:31" s="6" customFormat="1" x14ac:dyDescent="0.25">
      <c r="A12" s="6" t="s">
        <v>93</v>
      </c>
      <c r="B12" s="6" t="s">
        <v>95</v>
      </c>
      <c r="C12" s="6" t="s">
        <v>96</v>
      </c>
      <c r="D12" s="6"/>
      <c r="E12" s="6"/>
      <c r="F12" s="6"/>
      <c r="G12" s="6"/>
      <c r="H12" s="6"/>
      <c r="I12" s="6"/>
      <c r="J12" s="6"/>
      <c r="K12" s="6" t="s">
        <v>83</v>
      </c>
      <c r="L12" s="6" t="s">
        <v>84</v>
      </c>
      <c r="M12" s="6"/>
      <c r="N12" s="6"/>
      <c r="O12" s="6"/>
      <c r="P12" s="6"/>
      <c r="Q12" s="11"/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/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3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13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/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56</v>
      </c>
      <c r="AD12" s="6" t="s">
        <v>56</v>
      </c>
      <c r="AE12" s="6" t="s">
        <v>56</v>
      </c>
    </row>
    <row r="13" spans="1:31" s="6" customFormat="1" x14ac:dyDescent="0.25">
      <c r="A13" s="6" t="s">
        <v>93</v>
      </c>
      <c r="B13" s="6" t="s">
        <v>97</v>
      </c>
      <c r="D13" s="6"/>
      <c r="E13" s="6"/>
      <c r="F13" s="6"/>
      <c r="G13" s="6"/>
      <c r="H13" s="6"/>
      <c r="I13" s="6"/>
      <c r="J13" s="6"/>
      <c r="K13" s="6" t="s">
        <v>83</v>
      </c>
      <c r="L13" s="6" t="s">
        <v>84</v>
      </c>
      <c r="M13" s="6"/>
      <c r="N13" s="6"/>
      <c r="O13" s="6"/>
      <c r="P13" s="6"/>
      <c r="Q13" s="11"/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/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5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13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5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56</v>
      </c>
      <c r="AD13" s="6" t="s">
        <v>56</v>
      </c>
      <c r="AE13" s="6" t="s">
        <v>56</v>
      </c>
    </row>
    <row r="14" spans="1:31" s="6" customFormat="1" x14ac:dyDescent="0.25">
      <c r="A14" s="6" t="s">
        <v>98</v>
      </c>
      <c r="B14" s="6" t="s">
        <v>99</v>
      </c>
      <c r="C14" s="6" t="s">
        <v>100</v>
      </c>
      <c r="D14" s="6"/>
      <c r="E14" s="6"/>
      <c r="F14" s="6"/>
      <c r="G14" s="6"/>
      <c r="H14" s="6"/>
      <c r="I14" s="6"/>
      <c r="J14" s="6"/>
      <c r="K14" s="6" t="s">
        <v>83</v>
      </c>
      <c r="L14" s="6" t="s">
        <v>84</v>
      </c>
      <c r="M14" s="6"/>
      <c r="N14" s="6"/>
      <c r="O14" s="6"/>
      <c r="P14" s="6"/>
      <c r="Q14" s="11">
        <v>2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2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2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2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8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56</v>
      </c>
      <c r="AD14" s="6" t="s">
        <v>56</v>
      </c>
      <c r="AE14" s="6" t="s">
        <v>56</v>
      </c>
    </row>
    <row r="15" spans="1:31" s="6" customFormat="1" x14ac:dyDescent="0.25">
      <c r="A15" s="6" t="s">
        <v>98</v>
      </c>
      <c r="B15" s="6" t="s">
        <v>99</v>
      </c>
      <c r="C15" s="6" t="s">
        <v>101</v>
      </c>
      <c r="D15" s="6" t="s">
        <v>102</v>
      </c>
      <c r="E15" s="6"/>
      <c r="F15" s="6"/>
      <c r="G15" s="6"/>
      <c r="H15" s="6"/>
      <c r="I15" s="6"/>
      <c r="J15" s="6"/>
      <c r="K15" s="6" t="s">
        <v>83</v>
      </c>
      <c r="L15" s="6" t="s">
        <v>84</v>
      </c>
      <c r="M15" s="6"/>
      <c r="N15" s="6"/>
      <c r="O15" s="6"/>
      <c r="P15" s="6"/>
      <c r="Q15" s="11">
        <v>2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2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2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2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/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56</v>
      </c>
      <c r="AD15" s="6" t="s">
        <v>56</v>
      </c>
      <c r="AE15" s="6" t="s">
        <v>56</v>
      </c>
    </row>
    <row r="16" spans="1:31" s="6" customFormat="1" x14ac:dyDescent="0.25">
      <c r="A16" s="6" t="s">
        <v>98</v>
      </c>
      <c r="B16" s="6" t="s">
        <v>99</v>
      </c>
      <c r="C16" s="6" t="s">
        <v>103</v>
      </c>
      <c r="D16" s="6"/>
      <c r="E16" s="6"/>
      <c r="F16" s="6"/>
      <c r="G16" s="6"/>
      <c r="H16" s="6"/>
      <c r="I16" s="6"/>
      <c r="J16" s="6"/>
      <c r="K16" s="6" t="s">
        <v>83</v>
      </c>
      <c r="L16" s="6" t="s">
        <v>84</v>
      </c>
      <c r="M16" s="6"/>
      <c r="N16" s="6"/>
      <c r="O16" s="6"/>
      <c r="P16" s="6"/>
      <c r="Q16" s="11">
        <v>2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2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2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2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/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56</v>
      </c>
      <c r="AD16" s="6" t="s">
        <v>56</v>
      </c>
      <c r="AE16" s="6" t="s">
        <v>56</v>
      </c>
    </row>
    <row r="17" spans="1:31" s="6" customFormat="1" x14ac:dyDescent="0.25">
      <c r="A17" s="6" t="s">
        <v>98</v>
      </c>
      <c r="B17" s="6" t="s">
        <v>99</v>
      </c>
      <c r="C17" s="6" t="s">
        <v>104</v>
      </c>
      <c r="D17" s="6"/>
      <c r="E17" s="6"/>
      <c r="F17" s="6"/>
      <c r="G17" s="6"/>
      <c r="H17" s="6"/>
      <c r="I17" s="6"/>
      <c r="J17" s="6"/>
      <c r="K17" s="6" t="s">
        <v>83</v>
      </c>
      <c r="L17" s="6" t="s">
        <v>84</v>
      </c>
      <c r="M17" s="6"/>
      <c r="N17" s="6"/>
      <c r="O17" s="6"/>
      <c r="P17" s="6"/>
      <c r="Q17" s="11">
        <v>0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0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2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2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/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56</v>
      </c>
      <c r="AD17" s="6" t="s">
        <v>56</v>
      </c>
      <c r="AE17" s="6" t="s">
        <v>56</v>
      </c>
    </row>
    <row r="18" spans="1:31" s="6" customFormat="1" x14ac:dyDescent="0.25">
      <c r="A18" s="6" t="s">
        <v>98</v>
      </c>
      <c r="B18" s="6" t="s">
        <v>99</v>
      </c>
      <c r="C18" s="6" t="s">
        <v>105</v>
      </c>
      <c r="D18" s="6"/>
      <c r="E18" s="6"/>
      <c r="F18" s="6"/>
      <c r="G18" s="6"/>
      <c r="H18" s="6"/>
      <c r="I18" s="6"/>
      <c r="J18" s="6"/>
      <c r="K18" s="6" t="s">
        <v>83</v>
      </c>
      <c r="L18" s="6" t="s">
        <v>84</v>
      </c>
      <c r="M18" s="6"/>
      <c r="N18" s="6"/>
      <c r="O18" s="6"/>
      <c r="P18" s="6"/>
      <c r="Q18" s="11"/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/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2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2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/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56</v>
      </c>
      <c r="AD18" s="6" t="s">
        <v>56</v>
      </c>
      <c r="AE18" s="6" t="s">
        <v>56</v>
      </c>
    </row>
    <row r="19" spans="1:31" s="6" customFormat="1" x14ac:dyDescent="0.25">
      <c r="A19" s="6" t="s">
        <v>98</v>
      </c>
      <c r="B19" s="6" t="s">
        <v>99</v>
      </c>
      <c r="C19" s="6" t="s">
        <v>106</v>
      </c>
      <c r="D19" s="6"/>
      <c r="E19" s="6"/>
      <c r="F19" s="6"/>
      <c r="G19" s="6"/>
      <c r="H19" s="6"/>
      <c r="I19" s="6"/>
      <c r="J19" s="6"/>
      <c r="K19" s="6" t="s">
        <v>83</v>
      </c>
      <c r="L19" s="6" t="s">
        <v>84</v>
      </c>
      <c r="M19" s="6"/>
      <c r="N19" s="6"/>
      <c r="O19" s="6"/>
      <c r="P19" s="6"/>
      <c r="Q19" s="11"/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/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2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2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/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56</v>
      </c>
      <c r="AD19" s="6" t="s">
        <v>56</v>
      </c>
      <c r="AE19" s="6" t="s">
        <v>56</v>
      </c>
    </row>
    <row r="20" spans="1:31" s="6" customFormat="1" x14ac:dyDescent="0.25">
      <c r="A20" s="6" t="s">
        <v>98</v>
      </c>
      <c r="B20" s="6" t="s">
        <v>99</v>
      </c>
      <c r="C20" s="6" t="s">
        <v>107</v>
      </c>
      <c r="D20" s="6"/>
      <c r="E20" s="6"/>
      <c r="F20" s="6"/>
      <c r="G20" s="6"/>
      <c r="H20" s="6"/>
      <c r="I20" s="6"/>
      <c r="J20" s="6"/>
      <c r="K20" s="6" t="s">
        <v>83</v>
      </c>
      <c r="L20" s="6" t="s">
        <v>84</v>
      </c>
      <c r="M20" s="6"/>
      <c r="N20" s="6"/>
      <c r="O20" s="6"/>
      <c r="P20" s="6"/>
      <c r="Q20" s="11"/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/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2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2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/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56</v>
      </c>
      <c r="AD20" s="6" t="s">
        <v>56</v>
      </c>
      <c r="AE20" s="6" t="s">
        <v>56</v>
      </c>
    </row>
    <row r="21" spans="1:31" s="6" customFormat="1" x14ac:dyDescent="0.25">
      <c r="A21" s="6" t="s">
        <v>98</v>
      </c>
      <c r="B21" s="6" t="s">
        <v>108</v>
      </c>
      <c r="C21" s="6" t="s">
        <v>109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>
        <v>2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2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8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2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8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98</v>
      </c>
      <c r="B22" s="6" t="s">
        <v>108</v>
      </c>
      <c r="C22" s="6" t="s">
        <v>110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/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/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3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2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5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111</v>
      </c>
      <c r="B23" s="6" t="s">
        <v>112</v>
      </c>
      <c r="D23" s="6"/>
      <c r="E23" s="6"/>
      <c r="F23" s="6" t="s">
        <v>56</v>
      </c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>
        <v>3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3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21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34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/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111</v>
      </c>
      <c r="B24" s="6" t="s">
        <v>113</v>
      </c>
      <c r="D24" s="6"/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>
        <v>5</v>
      </c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5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21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55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8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114</v>
      </c>
      <c r="B25" s="6" t="s">
        <v>115</v>
      </c>
      <c r="D25" s="6"/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>
        <v>2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2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8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2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13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31" s="6" customFormat="1" x14ac:dyDescent="0.25">
      <c r="A26" s="6" t="s">
        <v>114</v>
      </c>
      <c r="B26" s="6" t="s">
        <v>116</v>
      </c>
      <c r="D26" s="6"/>
      <c r="E26" s="6"/>
      <c r="F26" s="6"/>
      <c r="G26" s="6"/>
      <c r="H26" s="6"/>
      <c r="I26" s="6"/>
      <c r="J26" s="6"/>
      <c r="K26" s="6" t="s">
        <v>83</v>
      </c>
      <c r="L26" s="6" t="s">
        <v>84</v>
      </c>
      <c r="M26" s="6"/>
      <c r="N26" s="6"/>
      <c r="O26" s="6"/>
      <c r="P26" s="6"/>
      <c r="Q26" s="11">
        <v>2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2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2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2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5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56</v>
      </c>
      <c r="AD26" s="6" t="s">
        <v>56</v>
      </c>
      <c r="AE26" s="6" t="s">
        <v>56</v>
      </c>
    </row>
    <row r="27" spans="1:31" s="6" customFormat="1" x14ac:dyDescent="0.25">
      <c r="A27" s="6" t="s">
        <v>114</v>
      </c>
      <c r="B27" s="6" t="s">
        <v>117</v>
      </c>
      <c r="D27" s="6"/>
      <c r="E27" s="6"/>
      <c r="F27" s="6"/>
      <c r="G27" s="6"/>
      <c r="H27" s="6"/>
      <c r="I27" s="6"/>
      <c r="J27" s="6"/>
      <c r="K27" s="6" t="s">
        <v>83</v>
      </c>
      <c r="L27" s="6" t="s">
        <v>84</v>
      </c>
      <c r="M27" s="6"/>
      <c r="N27" s="6"/>
      <c r="O27" s="6"/>
      <c r="P27" s="6"/>
      <c r="Q27" s="11">
        <v>2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2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2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2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/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56</v>
      </c>
      <c r="AD27" s="6" t="s">
        <v>56</v>
      </c>
      <c r="AE27" s="6" t="s">
        <v>56</v>
      </c>
    </row>
    <row r="28" spans="1:31" s="6" customFormat="1" x14ac:dyDescent="0.25">
      <c r="A28" s="6" t="s">
        <v>114</v>
      </c>
      <c r="B28" s="6" t="s">
        <v>118</v>
      </c>
      <c r="C28" s="6" t="s">
        <v>119</v>
      </c>
      <c r="D28" s="6"/>
      <c r="E28" s="6"/>
      <c r="F28" s="6"/>
      <c r="G28" s="6"/>
      <c r="H28" s="6"/>
      <c r="I28" s="6"/>
      <c r="J28" s="6"/>
      <c r="K28" s="6" t="s">
        <v>83</v>
      </c>
      <c r="L28" s="6" t="s">
        <v>84</v>
      </c>
      <c r="M28" s="6"/>
      <c r="N28" s="6"/>
      <c r="O28" s="6"/>
      <c r="P28" s="6"/>
      <c r="Q28" s="11">
        <v>2</v>
      </c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>
        <v>2</v>
      </c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3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13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5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56</v>
      </c>
      <c r="AD28" s="6" t="s">
        <v>56</v>
      </c>
      <c r="AE28" s="6" t="s">
        <v>56</v>
      </c>
    </row>
    <row r="29" spans="1:31" s="6" customFormat="1" x14ac:dyDescent="0.25">
      <c r="A29" s="6" t="s">
        <v>114</v>
      </c>
      <c r="B29" s="6" t="s">
        <v>118</v>
      </c>
      <c r="C29" s="6" t="s">
        <v>120</v>
      </c>
      <c r="D29" s="6" t="s">
        <v>121</v>
      </c>
      <c r="E29" s="6"/>
      <c r="F29" s="6"/>
      <c r="G29" s="6"/>
      <c r="H29" s="6"/>
      <c r="I29" s="6"/>
      <c r="J29" s="6"/>
      <c r="K29" s="6" t="s">
        <v>83</v>
      </c>
      <c r="L29" s="6" t="s">
        <v>84</v>
      </c>
      <c r="M29" s="6"/>
      <c r="N29" s="6"/>
      <c r="O29" s="6"/>
      <c r="P29" s="6"/>
      <c r="Q29" s="11">
        <v>2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2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3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13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5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56</v>
      </c>
      <c r="AD29" s="6" t="s">
        <v>56</v>
      </c>
      <c r="AE29" s="6" t="s">
        <v>56</v>
      </c>
    </row>
    <row r="30" spans="1:31" s="6" customFormat="1" x14ac:dyDescent="0.25">
      <c r="A30" s="6" t="s">
        <v>114</v>
      </c>
      <c r="B30" s="6" t="s">
        <v>118</v>
      </c>
      <c r="C30" s="6" t="s">
        <v>122</v>
      </c>
      <c r="D30" s="6"/>
      <c r="E30" s="6"/>
      <c r="F30" s="6"/>
      <c r="G30" s="6"/>
      <c r="H30" s="6"/>
      <c r="I30" s="6"/>
      <c r="J30" s="6"/>
      <c r="K30" s="6" t="s">
        <v>83</v>
      </c>
      <c r="L30" s="6" t="s">
        <v>84</v>
      </c>
      <c r="M30" s="6"/>
      <c r="N30" s="6"/>
      <c r="O30" s="6"/>
      <c r="P30" s="6"/>
      <c r="Q30" s="11"/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/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5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13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5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56</v>
      </c>
      <c r="AD30" s="6" t="s">
        <v>56</v>
      </c>
      <c r="AE30" s="6" t="s">
        <v>56</v>
      </c>
    </row>
    <row r="31" spans="1:31" s="6" customFormat="1" x14ac:dyDescent="0.25">
      <c r="A31" s="6" t="s">
        <v>114</v>
      </c>
      <c r="B31" s="6" t="s">
        <v>118</v>
      </c>
      <c r="C31" s="6" t="s">
        <v>123</v>
      </c>
      <c r="D31" s="6"/>
      <c r="E31" s="6"/>
      <c r="F31" s="6"/>
      <c r="G31" s="6"/>
      <c r="H31" s="6"/>
      <c r="I31" s="6"/>
      <c r="J31" s="6"/>
      <c r="K31" s="6" t="s">
        <v>83</v>
      </c>
      <c r="L31" s="6" t="s">
        <v>84</v>
      </c>
      <c r="M31" s="6"/>
      <c r="N31" s="6"/>
      <c r="O31" s="6"/>
      <c r="P31" s="6"/>
      <c r="Q31" s="11"/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/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3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5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56</v>
      </c>
      <c r="AD31" s="6" t="s">
        <v>56</v>
      </c>
      <c r="AE31" s="6" t="s">
        <v>56</v>
      </c>
    </row>
    <row r="32" spans="1:31" s="13" customFormat="1" x14ac:dyDescent="0.25">
      <c r="A32" s="13" t="s">
        <v>114</v>
      </c>
      <c r="B32" s="13" t="s">
        <v>118</v>
      </c>
      <c r="C32" s="13" t="s">
        <v>123</v>
      </c>
      <c r="D32" s="13"/>
      <c r="E32" s="13"/>
      <c r="F32" s="13"/>
      <c r="G32" s="13"/>
      <c r="H32" s="13"/>
      <c r="I32" s="13"/>
      <c r="J32" s="13"/>
      <c r="K32" s="13" t="s">
        <v>83</v>
      </c>
      <c r="L32" s="13" t="s">
        <v>84</v>
      </c>
      <c r="M32" s="13"/>
      <c r="N32" s="13"/>
      <c r="O32" s="13"/>
      <c r="P32" s="13"/>
      <c r="Q32" s="13"/>
      <c r="R32" s="13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3"/>
      <c r="T32" s="13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3"/>
      <c r="V32" s="13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3"/>
      <c r="X32" s="13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3"/>
      <c r="Z32" s="13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13">
        <f>SUM(V32,X32,Z32)</f>
      </c>
      <c r="AB32" s="13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13" t="s">
        <v>56</v>
      </c>
      <c r="AD32" s="13" t="s">
        <v>56</v>
      </c>
      <c r="AE32" s="13" t="s">
        <v>56</v>
      </c>
    </row>
    <row r="33" spans="1:31" s="13" customFormat="1" x14ac:dyDescent="0.25">
      <c r="A33" s="13" t="s">
        <v>114</v>
      </c>
      <c r="B33" s="13" t="s">
        <v>118</v>
      </c>
      <c r="C33" s="13" t="s">
        <v>123</v>
      </c>
      <c r="D33" s="13"/>
      <c r="E33" s="13"/>
      <c r="F33" s="13"/>
      <c r="G33" s="13"/>
      <c r="H33" s="13"/>
      <c r="I33" s="13"/>
      <c r="J33" s="13"/>
      <c r="K33" s="13" t="s">
        <v>83</v>
      </c>
      <c r="L33" s="13" t="s">
        <v>84</v>
      </c>
      <c r="M33" s="13"/>
      <c r="N33" s="13"/>
      <c r="O33" s="13"/>
      <c r="P33" s="13"/>
      <c r="Q33" s="13"/>
      <c r="R33" s="13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3"/>
      <c r="T33" s="13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3"/>
      <c r="V33" s="13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3"/>
      <c r="X33" s="13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3"/>
      <c r="Z33" s="13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13">
        <f>SUM(V33,X33,Z33)</f>
      </c>
      <c r="AB33" s="13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13" t="s">
        <v>56</v>
      </c>
      <c r="AD33" s="13" t="s">
        <v>56</v>
      </c>
      <c r="AE33" s="13" t="s">
        <v>56</v>
      </c>
    </row>
    <row r="34" spans="1:31" s="13" customFormat="1" x14ac:dyDescent="0.25">
      <c r="A34" s="13" t="s">
        <v>114</v>
      </c>
      <c r="B34" s="13" t="s">
        <v>118</v>
      </c>
      <c r="C34" s="13" t="s">
        <v>123</v>
      </c>
      <c r="D34" s="13"/>
      <c r="E34" s="13"/>
      <c r="F34" s="13"/>
      <c r="G34" s="13"/>
      <c r="H34" s="13"/>
      <c r="I34" s="13"/>
      <c r="J34" s="13"/>
      <c r="K34" s="13" t="s">
        <v>83</v>
      </c>
      <c r="L34" s="13" t="s">
        <v>84</v>
      </c>
      <c r="M34" s="13"/>
      <c r="N34" s="13"/>
      <c r="O34" s="13"/>
      <c r="P34" s="13"/>
      <c r="Q34" s="13"/>
      <c r="R34" s="13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3"/>
      <c r="T34" s="13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3"/>
      <c r="V34" s="13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3"/>
      <c r="X34" s="13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3"/>
      <c r="Z34" s="13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13">
        <f>SUM(V34,X34,Z34)</f>
      </c>
      <c r="AB34" s="13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13" t="s">
        <v>56</v>
      </c>
      <c r="AD34" s="13" t="s">
        <v>56</v>
      </c>
      <c r="AE34" s="13" t="s">
        <v>56</v>
      </c>
    </row>
    <row r="35" spans="1:31" s="13" customFormat="1" x14ac:dyDescent="0.25">
      <c r="A35" s="13" t="s">
        <v>114</v>
      </c>
      <c r="B35" s="13" t="s">
        <v>118</v>
      </c>
      <c r="C35" s="13" t="s">
        <v>123</v>
      </c>
      <c r="D35" s="13"/>
      <c r="E35" s="13"/>
      <c r="F35" s="13"/>
      <c r="G35" s="13"/>
      <c r="H35" s="13"/>
      <c r="I35" s="13"/>
      <c r="J35" s="13"/>
      <c r="K35" s="13" t="s">
        <v>83</v>
      </c>
      <c r="L35" s="13" t="s">
        <v>84</v>
      </c>
      <c r="M35" s="13"/>
      <c r="N35" s="13"/>
      <c r="O35" s="13"/>
      <c r="P35" s="13"/>
      <c r="Q35" s="13"/>
      <c r="R35" s="13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3"/>
      <c r="T35" s="13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3"/>
      <c r="V35" s="13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3"/>
      <c r="X35" s="13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3"/>
      <c r="Z35" s="13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13">
        <f>SUM(V35,X35,Z35)</f>
      </c>
      <c r="AB35" s="13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13" t="s">
        <v>56</v>
      </c>
      <c r="AD35" s="13" t="s">
        <v>56</v>
      </c>
      <c r="AE35" s="13" t="s">
        <v>56</v>
      </c>
    </row>
    <row r="36" spans="1:31" s="6" customFormat="1" x14ac:dyDescent="0.25">
      <c r="A36" s="6" t="s">
        <v>114</v>
      </c>
      <c r="B36" s="6" t="s">
        <v>124</v>
      </c>
      <c r="D36" s="6"/>
      <c r="E36" s="6"/>
      <c r="F36" s="6"/>
      <c r="G36" s="6"/>
      <c r="H36" s="6"/>
      <c r="I36" s="6"/>
      <c r="J36" s="6"/>
      <c r="K36" s="6" t="s">
        <v>83</v>
      </c>
      <c r="L36" s="6" t="s">
        <v>84</v>
      </c>
      <c r="M36" s="6"/>
      <c r="N36" s="6"/>
      <c r="O36" s="6"/>
      <c r="P36" s="6"/>
      <c r="Q36" s="11">
        <v>2</v>
      </c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>
        <v>2</v>
      </c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2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2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/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56</v>
      </c>
      <c r="AD36" s="6" t="s">
        <v>56</v>
      </c>
      <c r="AE36" s="6" t="s">
        <v>56</v>
      </c>
    </row>
    <row r="37" spans="1:31" s="6" customFormat="1" x14ac:dyDescent="0.25">
      <c r="A37" s="6" t="s">
        <v>125</v>
      </c>
      <c r="B37" s="6" t="s">
        <v>126</v>
      </c>
      <c r="D37" s="6"/>
      <c r="E37" s="6"/>
      <c r="F37" s="6"/>
      <c r="G37" s="6"/>
      <c r="H37" s="6"/>
      <c r="I37" s="6"/>
      <c r="J37" s="6"/>
      <c r="K37" s="6" t="s">
        <v>83</v>
      </c>
      <c r="L37" s="6" t="s">
        <v>84</v>
      </c>
      <c r="M37" s="6"/>
      <c r="N37" s="6"/>
      <c r="O37" s="6"/>
      <c r="P37" s="6"/>
      <c r="Q37" s="11">
        <v>2</v>
      </c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>
        <v>2</v>
      </c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13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13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8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56</v>
      </c>
      <c r="AD37" s="6" t="s">
        <v>56</v>
      </c>
      <c r="AE37" s="6" t="s">
        <v>56</v>
      </c>
    </row>
    <row r="38" spans="1:31" s="6" customFormat="1" x14ac:dyDescent="0.25">
      <c r="A38" s="6" t="s">
        <v>125</v>
      </c>
      <c r="B38" s="6" t="s">
        <v>127</v>
      </c>
      <c r="C38" s="6" t="s">
        <v>128</v>
      </c>
      <c r="D38" s="6"/>
      <c r="E38" s="6"/>
      <c r="F38" s="6"/>
      <c r="G38" s="6"/>
      <c r="H38" s="6"/>
      <c r="I38" s="6"/>
      <c r="J38" s="6"/>
      <c r="K38" s="6" t="s">
        <v>83</v>
      </c>
      <c r="L38" s="6" t="s">
        <v>84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3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8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8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56</v>
      </c>
      <c r="AD38" s="6" t="s">
        <v>56</v>
      </c>
      <c r="AE38" s="6" t="s">
        <v>56</v>
      </c>
    </row>
    <row r="39" spans="1:31" s="6" customFormat="1" x14ac:dyDescent="0.25">
      <c r="A39" s="6" t="s">
        <v>125</v>
      </c>
      <c r="B39" s="6" t="s">
        <v>127</v>
      </c>
      <c r="C39" s="6" t="s">
        <v>129</v>
      </c>
      <c r="D39" s="6"/>
      <c r="E39" s="6"/>
      <c r="F39" s="6"/>
      <c r="G39" s="6"/>
      <c r="H39" s="6"/>
      <c r="I39" s="6"/>
      <c r="J39" s="6"/>
      <c r="K39" s="6" t="s">
        <v>83</v>
      </c>
      <c r="L39" s="6" t="s">
        <v>84</v>
      </c>
      <c r="M39" s="6"/>
      <c r="N39" s="6"/>
      <c r="O39" s="6"/>
      <c r="P39" s="6"/>
      <c r="Q39" s="11">
        <v>2</v>
      </c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>
        <v>2</v>
      </c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8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8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56</v>
      </c>
      <c r="AD39" s="6" t="s">
        <v>56</v>
      </c>
      <c r="AE39" s="6" t="s">
        <v>56</v>
      </c>
    </row>
    <row r="40" spans="1:31" s="6" customFormat="1" x14ac:dyDescent="0.25">
      <c r="A40" s="6" t="s">
        <v>125</v>
      </c>
      <c r="B40" s="6" t="s">
        <v>130</v>
      </c>
      <c r="C40" s="6" t="s">
        <v>131</v>
      </c>
      <c r="D40" s="6"/>
      <c r="E40" s="6"/>
      <c r="F40" s="6"/>
      <c r="G40" s="6"/>
      <c r="H40" s="6"/>
      <c r="I40" s="6"/>
      <c r="J40" s="6"/>
      <c r="K40" s="6" t="s">
        <v>83</v>
      </c>
      <c r="L40" s="6" t="s">
        <v>84</v>
      </c>
      <c r="M40" s="6"/>
      <c r="N40" s="6"/>
      <c r="O40" s="6"/>
      <c r="P40" s="6"/>
      <c r="Q40" s="11">
        <v>2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2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3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8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5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56</v>
      </c>
      <c r="AD40" s="6" t="s">
        <v>56</v>
      </c>
      <c r="AE40" s="6" t="s">
        <v>56</v>
      </c>
    </row>
    <row r="41" spans="1:31" s="6" customFormat="1" x14ac:dyDescent="0.25">
      <c r="A41" s="6" t="s">
        <v>125</v>
      </c>
      <c r="B41" s="6" t="s">
        <v>130</v>
      </c>
      <c r="C41" s="6" t="s">
        <v>132</v>
      </c>
      <c r="D41" s="6"/>
      <c r="E41" s="6"/>
      <c r="F41" s="6"/>
      <c r="G41" s="6"/>
      <c r="H41" s="6"/>
      <c r="I41" s="6"/>
      <c r="J41" s="6"/>
      <c r="K41" s="6" t="s">
        <v>83</v>
      </c>
      <c r="L41" s="6" t="s">
        <v>84</v>
      </c>
      <c r="M41" s="6"/>
      <c r="N41" s="6"/>
      <c r="O41" s="6"/>
      <c r="P41" s="6"/>
      <c r="Q41" s="11"/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/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3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8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5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56</v>
      </c>
      <c r="AD41" s="6" t="s">
        <v>56</v>
      </c>
      <c r="AE41" s="6" t="s">
        <v>56</v>
      </c>
    </row>
    <row r="42" spans="1:31" s="6" customFormat="1" x14ac:dyDescent="0.25">
      <c r="A42" s="6" t="s">
        <v>125</v>
      </c>
      <c r="B42" s="6" t="s">
        <v>133</v>
      </c>
      <c r="D42" s="6"/>
      <c r="E42" s="6"/>
      <c r="F42" s="6"/>
      <c r="G42" s="6"/>
      <c r="H42" s="6"/>
      <c r="I42" s="6"/>
      <c r="J42" s="6"/>
      <c r="K42" s="6" t="s">
        <v>83</v>
      </c>
      <c r="L42" s="6" t="s">
        <v>84</v>
      </c>
      <c r="M42" s="6"/>
      <c r="N42" s="6"/>
      <c r="O42" s="6"/>
      <c r="P42" s="6"/>
      <c r="Q42" s="11">
        <v>2</v>
      </c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>
        <v>2</v>
      </c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2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2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2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56</v>
      </c>
      <c r="AD42" s="6" t="s">
        <v>56</v>
      </c>
      <c r="AE42" s="6" t="s">
        <v>56</v>
      </c>
    </row>
    <row r="43" spans="1:31" s="6" customFormat="1" x14ac:dyDescent="0.25">
      <c r="A43" s="6" t="s">
        <v>125</v>
      </c>
      <c r="B43" s="6" t="s">
        <v>134</v>
      </c>
      <c r="C43" s="6" t="s">
        <v>135</v>
      </c>
      <c r="D43" s="6"/>
      <c r="E43" s="6"/>
      <c r="F43" s="6"/>
      <c r="G43" s="6"/>
      <c r="H43" s="6"/>
      <c r="I43" s="6"/>
      <c r="J43" s="6"/>
      <c r="K43" s="6" t="s">
        <v>83</v>
      </c>
      <c r="L43" s="6" t="s">
        <v>84</v>
      </c>
      <c r="M43" s="6"/>
      <c r="N43" s="6"/>
      <c r="O43" s="6"/>
      <c r="P43" s="6"/>
      <c r="Q43" s="11">
        <v>2</v>
      </c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>
        <v>2</v>
      </c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1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3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5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56</v>
      </c>
      <c r="AD43" s="6" t="s">
        <v>56</v>
      </c>
      <c r="AE43" s="6" t="s">
        <v>56</v>
      </c>
    </row>
    <row r="44" spans="1:31" s="6" customFormat="1" x14ac:dyDescent="0.25">
      <c r="A44" s="6" t="s">
        <v>125</v>
      </c>
      <c r="B44" s="6" t="s">
        <v>134</v>
      </c>
      <c r="C44" s="6" t="s">
        <v>136</v>
      </c>
      <c r="D44" s="6"/>
      <c r="E44" s="6"/>
      <c r="F44" s="6"/>
      <c r="G44" s="6"/>
      <c r="H44" s="6"/>
      <c r="I44" s="6"/>
      <c r="J44" s="6"/>
      <c r="K44" s="6" t="s">
        <v>83</v>
      </c>
      <c r="L44" s="6" t="s">
        <v>84</v>
      </c>
      <c r="M44" s="6"/>
      <c r="N44" s="6"/>
      <c r="O44" s="6"/>
      <c r="P44" s="6"/>
      <c r="Q44" s="11"/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/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1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3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5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56</v>
      </c>
      <c r="AD44" s="6" t="s">
        <v>56</v>
      </c>
      <c r="AE44" s="6" t="s">
        <v>56</v>
      </c>
    </row>
    <row r="45" spans="1:31" s="6" customFormat="1" x14ac:dyDescent="0.25">
      <c r="A45" s="6" t="s">
        <v>125</v>
      </c>
      <c r="B45" s="6" t="s">
        <v>137</v>
      </c>
      <c r="D45" s="6"/>
      <c r="E45" s="6"/>
      <c r="F45" s="6"/>
      <c r="G45" s="6"/>
      <c r="H45" s="6"/>
      <c r="I45" s="6"/>
      <c r="J45" s="6"/>
      <c r="K45" s="6" t="s">
        <v>83</v>
      </c>
      <c r="L45" s="6" t="s">
        <v>84</v>
      </c>
      <c r="M45" s="6"/>
      <c r="N45" s="6"/>
      <c r="O45" s="6"/>
      <c r="P45" s="6"/>
      <c r="Q45" s="11"/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/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3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8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/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56</v>
      </c>
      <c r="AD45" s="6" t="s">
        <v>56</v>
      </c>
      <c r="AE45" s="6" t="s">
        <v>56</v>
      </c>
    </row>
    <row r="46" spans="1:31" s="6" customFormat="1" x14ac:dyDescent="0.25">
      <c r="A46" s="6" t="s">
        <v>125</v>
      </c>
      <c r="B46" s="6" t="s">
        <v>138</v>
      </c>
      <c r="D46" s="6"/>
      <c r="E46" s="6"/>
      <c r="F46" s="6"/>
      <c r="G46" s="6"/>
      <c r="H46" s="6"/>
      <c r="I46" s="6"/>
      <c r="J46" s="6"/>
      <c r="K46" s="6" t="s">
        <v>83</v>
      </c>
      <c r="L46" s="6" t="s">
        <v>84</v>
      </c>
      <c r="M46" s="6"/>
      <c r="N46" s="6"/>
      <c r="O46" s="6"/>
      <c r="P46" s="6"/>
      <c r="Q46" s="11">
        <v>2</v>
      </c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>
        <v>2</v>
      </c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5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5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>
        <v>5</v>
      </c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56</v>
      </c>
      <c r="AD46" s="6" t="s">
        <v>56</v>
      </c>
      <c r="AE46" s="6" t="s">
        <v>56</v>
      </c>
    </row>
    <row r="47" spans="1:31" s="6" customFormat="1" x14ac:dyDescent="0.25">
      <c r="A47" s="6" t="s">
        <v>125</v>
      </c>
      <c r="B47" s="6" t="s">
        <v>139</v>
      </c>
      <c r="D47" s="6"/>
      <c r="E47" s="6"/>
      <c r="F47" s="6"/>
      <c r="G47" s="6"/>
      <c r="H47" s="6"/>
      <c r="I47" s="6"/>
      <c r="J47" s="6"/>
      <c r="K47" s="6" t="s">
        <v>83</v>
      </c>
      <c r="L47" s="6" t="s">
        <v>84</v>
      </c>
      <c r="M47" s="6"/>
      <c r="N47" s="6"/>
      <c r="O47" s="6"/>
      <c r="P47" s="6"/>
      <c r="Q47" s="11"/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/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13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8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5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56</v>
      </c>
      <c r="AD47" s="6" t="s">
        <v>56</v>
      </c>
      <c r="AE47" s="6" t="s">
        <v>56</v>
      </c>
    </row>
    <row r="48" spans="1:31" s="6" customFormat="1" x14ac:dyDescent="0.25">
      <c r="A48" s="6" t="s">
        <v>125</v>
      </c>
      <c r="B48" s="6" t="s">
        <v>140</v>
      </c>
      <c r="C48" s="6" t="s">
        <v>141</v>
      </c>
      <c r="D48" s="6"/>
      <c r="E48" s="6"/>
      <c r="F48" s="6"/>
      <c r="G48" s="6"/>
      <c r="H48" s="6"/>
      <c r="I48" s="6"/>
      <c r="J48" s="6"/>
      <c r="K48" s="6" t="s">
        <v>83</v>
      </c>
      <c r="L48" s="6" t="s">
        <v>84</v>
      </c>
      <c r="M48" s="6"/>
      <c r="N48" s="6"/>
      <c r="O48" s="6"/>
      <c r="P48" s="6"/>
      <c r="Q48" s="11"/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/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5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5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/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56</v>
      </c>
      <c r="AD48" s="6" t="s">
        <v>56</v>
      </c>
      <c r="AE48" s="6" t="s">
        <v>56</v>
      </c>
    </row>
    <row r="49" spans="1:31" s="6" customFormat="1" x14ac:dyDescent="0.25">
      <c r="A49" s="6" t="s">
        <v>125</v>
      </c>
      <c r="B49" s="6" t="s">
        <v>140</v>
      </c>
      <c r="C49" s="6" t="s">
        <v>142</v>
      </c>
      <c r="D49" s="6"/>
      <c r="E49" s="6"/>
      <c r="F49" s="6"/>
      <c r="G49" s="6"/>
      <c r="H49" s="6"/>
      <c r="I49" s="6"/>
      <c r="J49" s="6"/>
      <c r="K49" s="6" t="s">
        <v>83</v>
      </c>
      <c r="L49" s="6" t="s">
        <v>84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2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5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/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56</v>
      </c>
      <c r="AD49" s="6" t="s">
        <v>56</v>
      </c>
      <c r="AE49" s="6" t="s">
        <v>56</v>
      </c>
    </row>
    <row r="50" spans="1:31" s="6" customFormat="1" x14ac:dyDescent="0.25">
      <c r="A50" s="6" t="s">
        <v>125</v>
      </c>
      <c r="B50" s="6" t="s">
        <v>140</v>
      </c>
      <c r="C50" s="6" t="s">
        <v>143</v>
      </c>
      <c r="D50" s="6"/>
      <c r="E50" s="6"/>
      <c r="F50" s="6"/>
      <c r="G50" s="6"/>
      <c r="H50" s="6"/>
      <c r="I50" s="6"/>
      <c r="J50" s="6"/>
      <c r="K50" s="6" t="s">
        <v>83</v>
      </c>
      <c r="L50" s="6" t="s">
        <v>84</v>
      </c>
      <c r="M50" s="6"/>
      <c r="N50" s="6"/>
      <c r="O50" s="6"/>
      <c r="P50" s="6"/>
      <c r="Q50" s="11"/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/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8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5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/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56</v>
      </c>
      <c r="AD50" s="6" t="s">
        <v>56</v>
      </c>
      <c r="AE50" s="6" t="s">
        <v>56</v>
      </c>
    </row>
    <row r="51" spans="1:31" s="6" customFormat="1" x14ac:dyDescent="0.25">
      <c r="A51" s="6" t="s">
        <v>125</v>
      </c>
      <c r="B51" s="6" t="s">
        <v>140</v>
      </c>
      <c r="C51" s="6" t="s">
        <v>144</v>
      </c>
      <c r="D51" s="6"/>
      <c r="E51" s="6"/>
      <c r="F51" s="6"/>
      <c r="G51" s="6"/>
      <c r="H51" s="6"/>
      <c r="I51" s="6"/>
      <c r="J51" s="6"/>
      <c r="K51" s="6" t="s">
        <v>83</v>
      </c>
      <c r="L51" s="6" t="s">
        <v>84</v>
      </c>
      <c r="M51" s="6"/>
      <c r="N51" s="6"/>
      <c r="O51" s="6"/>
      <c r="P51" s="6"/>
      <c r="Q51" s="11"/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/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2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5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/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56</v>
      </c>
      <c r="AD51" s="6" t="s">
        <v>56</v>
      </c>
      <c r="AE51" s="6" t="s">
        <v>56</v>
      </c>
    </row>
    <row r="52" spans="1:31" s="6" customFormat="1" x14ac:dyDescent="0.25">
      <c r="A52" s="6" t="s">
        <v>125</v>
      </c>
      <c r="B52" s="6" t="s">
        <v>145</v>
      </c>
      <c r="D52" s="6"/>
      <c r="E52" s="6"/>
      <c r="F52" s="6"/>
      <c r="G52" s="6"/>
      <c r="H52" s="6"/>
      <c r="I52" s="6"/>
      <c r="J52" s="6"/>
      <c r="K52" s="6" t="s">
        <v>83</v>
      </c>
      <c r="L52" s="6" t="s">
        <v>84</v>
      </c>
      <c r="M52" s="6"/>
      <c r="N52" s="6"/>
      <c r="O52" s="6"/>
      <c r="P52" s="6"/>
      <c r="Q52" s="11"/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/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2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2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>
        <v>5</v>
      </c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56</v>
      </c>
      <c r="AD52" s="6" t="s">
        <v>56</v>
      </c>
      <c r="AE52" s="6" t="s">
        <v>56</v>
      </c>
    </row>
    <row r="53" spans="1:31" s="6" customFormat="1" x14ac:dyDescent="0.25">
      <c r="A53" s="6" t="s">
        <v>125</v>
      </c>
      <c r="B53" s="6" t="s">
        <v>146</v>
      </c>
      <c r="D53" s="6"/>
      <c r="E53" s="6"/>
      <c r="F53" s="6"/>
      <c r="G53" s="6"/>
      <c r="H53" s="6"/>
      <c r="I53" s="6"/>
      <c r="J53" s="6"/>
      <c r="K53" s="6" t="s">
        <v>83</v>
      </c>
      <c r="L53" s="6" t="s">
        <v>84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2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2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/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56</v>
      </c>
      <c r="AD53" s="6" t="s">
        <v>56</v>
      </c>
      <c r="AE53" s="6" t="s">
        <v>56</v>
      </c>
    </row>
    <row r="54" spans="1:31" s="6" customFormat="1" x14ac:dyDescent="0.25">
      <c r="A54" s="6" t="s">
        <v>125</v>
      </c>
      <c r="B54" s="6" t="s">
        <v>147</v>
      </c>
      <c r="D54" s="6"/>
      <c r="E54" s="6"/>
      <c r="F54" s="6"/>
      <c r="G54" s="6"/>
      <c r="H54" s="6"/>
      <c r="I54" s="6"/>
      <c r="J54" s="6"/>
      <c r="K54" s="6" t="s">
        <v>83</v>
      </c>
      <c r="L54" s="6" t="s">
        <v>84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2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2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/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56</v>
      </c>
      <c r="AD54" s="6" t="s">
        <v>56</v>
      </c>
      <c r="AE54" s="6" t="s">
        <v>56</v>
      </c>
    </row>
    <row r="55" spans="1:31" s="6" customFormat="1" x14ac:dyDescent="0.25">
      <c r="A55" s="6" t="s">
        <v>125</v>
      </c>
      <c r="B55" s="6" t="s">
        <v>148</v>
      </c>
      <c r="D55" s="6"/>
      <c r="E55" s="6"/>
      <c r="F55" s="6"/>
      <c r="G55" s="6"/>
      <c r="H55" s="6"/>
      <c r="I55" s="6"/>
      <c r="J55" s="6"/>
      <c r="K55" s="6" t="s">
        <v>83</v>
      </c>
      <c r="L55" s="6" t="s">
        <v>84</v>
      </c>
      <c r="M55" s="6"/>
      <c r="N55" s="6"/>
      <c r="O55" s="6"/>
      <c r="P55" s="6"/>
      <c r="Q55" s="11"/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/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5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2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>
        <v>5</v>
      </c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56</v>
      </c>
      <c r="AD55" s="6" t="s">
        <v>56</v>
      </c>
      <c r="AE55" s="6" t="s">
        <v>56</v>
      </c>
    </row>
    <row r="56" spans="1:31" s="6" customFormat="1" x14ac:dyDescent="0.25">
      <c r="A56" s="6" t="s">
        <v>125</v>
      </c>
      <c r="B56" s="6" t="s">
        <v>149</v>
      </c>
      <c r="D56" s="6"/>
      <c r="E56" s="6"/>
      <c r="F56" s="6"/>
      <c r="G56" s="6"/>
      <c r="H56" s="6"/>
      <c r="I56" s="6"/>
      <c r="J56" s="6"/>
      <c r="K56" s="6" t="s">
        <v>83</v>
      </c>
      <c r="L56" s="6" t="s">
        <v>84</v>
      </c>
      <c r="M56" s="6"/>
      <c r="N56" s="6"/>
      <c r="O56" s="6"/>
      <c r="P56" s="6"/>
      <c r="Q56" s="11"/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/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>
        <v>5</v>
      </c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>
        <v>5</v>
      </c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>
        <v>5</v>
      </c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56</v>
      </c>
      <c r="AD56" s="6" t="s">
        <v>56</v>
      </c>
      <c r="AE56" s="6" t="s">
        <v>56</v>
      </c>
    </row>
    <row r="57" spans="1:31" s="6" customFormat="1" x14ac:dyDescent="0.25">
      <c r="A57" s="6" t="s">
        <v>125</v>
      </c>
      <c r="B57" s="6" t="s">
        <v>150</v>
      </c>
      <c r="D57" s="6"/>
      <c r="E57" s="6"/>
      <c r="F57" s="6"/>
      <c r="G57" s="6"/>
      <c r="H57" s="6"/>
      <c r="I57" s="6"/>
      <c r="J57" s="6"/>
      <c r="K57" s="6" t="s">
        <v>83</v>
      </c>
      <c r="L57" s="6" t="s">
        <v>84</v>
      </c>
      <c r="M57" s="6"/>
      <c r="N57" s="6"/>
      <c r="O57" s="6"/>
      <c r="P57" s="6"/>
      <c r="Q57" s="11"/>
      <c r="R57" s="12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1"/>
      <c r="T57" s="12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1">
        <v>13</v>
      </c>
      <c r="V57" s="12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1">
        <v>34</v>
      </c>
      <c r="X57" s="12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1">
        <v>21</v>
      </c>
      <c r="Z57" s="12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6">
        <f>SUM(V57,X57,Z57)</f>
      </c>
      <c r="AB57" s="6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6" t="s">
        <v>56</v>
      </c>
      <c r="AD57" s="6" t="s">
        <v>56</v>
      </c>
      <c r="AE57" s="6" t="s">
        <v>56</v>
      </c>
    </row>
    <row r="58" spans="1:31" s="6" customFormat="1" x14ac:dyDescent="0.25">
      <c r="A58" s="6" t="s">
        <v>151</v>
      </c>
      <c r="B58" s="6" t="s">
        <v>152</v>
      </c>
      <c r="D58" s="6"/>
      <c r="E58" s="6"/>
      <c r="F58" s="6"/>
      <c r="G58" s="6"/>
      <c r="H58" s="6"/>
      <c r="I58" s="6"/>
      <c r="J58" s="6"/>
      <c r="K58" s="6" t="s">
        <v>83</v>
      </c>
      <c r="L58" s="6" t="s">
        <v>84</v>
      </c>
      <c r="M58" s="6"/>
      <c r="N58" s="6"/>
      <c r="O58" s="6"/>
      <c r="P58" s="6"/>
      <c r="Q58" s="11">
        <v>2</v>
      </c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>
        <v>2</v>
      </c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>
        <v>3</v>
      </c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>
        <v>5</v>
      </c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>
        <v>8</v>
      </c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56</v>
      </c>
      <c r="AD58" s="6" t="s">
        <v>56</v>
      </c>
      <c r="AE58" s="6" t="s">
        <v>56</v>
      </c>
    </row>
    <row r="59" spans="1:31" s="6" customFormat="1" x14ac:dyDescent="0.25">
      <c r="A59" s="6" t="s">
        <v>151</v>
      </c>
      <c r="B59" s="6" t="s">
        <v>153</v>
      </c>
      <c r="D59" s="6"/>
      <c r="E59" s="6"/>
      <c r="F59" s="6"/>
      <c r="G59" s="6"/>
      <c r="H59" s="6"/>
      <c r="I59" s="6"/>
      <c r="J59" s="6"/>
      <c r="K59" s="6" t="s">
        <v>83</v>
      </c>
      <c r="L59" s="6" t="s">
        <v>84</v>
      </c>
      <c r="M59" s="6"/>
      <c r="N59" s="6"/>
      <c r="O59" s="6"/>
      <c r="P59" s="6"/>
      <c r="Q59" s="11">
        <v>2</v>
      </c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>
        <v>2</v>
      </c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>
        <v>2</v>
      </c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>
        <v>5</v>
      </c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/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56</v>
      </c>
      <c r="AD59" s="6" t="s">
        <v>56</v>
      </c>
      <c r="AE59" s="6" t="s">
        <v>56</v>
      </c>
    </row>
    <row r="60" spans="1:31" s="6" customFormat="1" x14ac:dyDescent="0.25">
      <c r="A60" s="6" t="s">
        <v>151</v>
      </c>
      <c r="B60" s="6" t="s">
        <v>154</v>
      </c>
      <c r="D60" s="6"/>
      <c r="E60" s="6"/>
      <c r="F60" s="6"/>
      <c r="G60" s="6"/>
      <c r="H60" s="6"/>
      <c r="I60" s="6"/>
      <c r="J60" s="6"/>
      <c r="K60" s="6" t="s">
        <v>83</v>
      </c>
      <c r="L60" s="6" t="s">
        <v>84</v>
      </c>
      <c r="M60" s="6"/>
      <c r="N60" s="6"/>
      <c r="O60" s="6"/>
      <c r="P60" s="6"/>
      <c r="Q60" s="11"/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/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>
        <v>3</v>
      </c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>
        <v>5</v>
      </c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>
        <v>5</v>
      </c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56</v>
      </c>
      <c r="AD60" s="6" t="s">
        <v>56</v>
      </c>
      <c r="AE60" s="6" t="s">
        <v>56</v>
      </c>
    </row>
    <row r="61" spans="1:31" s="6" customFormat="1" x14ac:dyDescent="0.25">
      <c r="A61" s="6" t="s">
        <v>151</v>
      </c>
      <c r="B61" s="6" t="s">
        <v>155</v>
      </c>
      <c r="D61" s="6"/>
      <c r="E61" s="6"/>
      <c r="F61" s="6"/>
      <c r="G61" s="6"/>
      <c r="H61" s="6"/>
      <c r="I61" s="6"/>
      <c r="J61" s="6"/>
      <c r="K61" s="6" t="s">
        <v>83</v>
      </c>
      <c r="L61" s="6" t="s">
        <v>84</v>
      </c>
      <c r="M61" s="6"/>
      <c r="N61" s="6"/>
      <c r="O61" s="6"/>
      <c r="P61" s="6"/>
      <c r="Q61" s="11"/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/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13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5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>
        <v>5</v>
      </c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56</v>
      </c>
      <c r="AD61" s="6" t="s">
        <v>56</v>
      </c>
      <c r="AE61" s="6" t="s">
        <v>56</v>
      </c>
    </row>
    <row r="62" spans="1:31" s="6" customFormat="1" x14ac:dyDescent="0.25">
      <c r="A62" s="6" t="s">
        <v>151</v>
      </c>
      <c r="B62" s="6" t="s">
        <v>145</v>
      </c>
      <c r="D62" s="6"/>
      <c r="E62" s="6"/>
      <c r="F62" s="6"/>
      <c r="G62" s="6"/>
      <c r="H62" s="6"/>
      <c r="I62" s="6"/>
      <c r="J62" s="6"/>
      <c r="K62" s="6" t="s">
        <v>83</v>
      </c>
      <c r="L62" s="6" t="s">
        <v>84</v>
      </c>
      <c r="M62" s="6"/>
      <c r="N62" s="6"/>
      <c r="O62" s="6"/>
      <c r="P62" s="6"/>
      <c r="Q62" s="11"/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/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5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13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>
        <v>8</v>
      </c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56</v>
      </c>
      <c r="AD62" s="6" t="s">
        <v>56</v>
      </c>
      <c r="AE62" s="6" t="s">
        <v>56</v>
      </c>
    </row>
    <row r="63" spans="1:31" s="6" customFormat="1" x14ac:dyDescent="0.25">
      <c r="A63" s="6" t="s">
        <v>151</v>
      </c>
      <c r="B63" s="6" t="s">
        <v>156</v>
      </c>
      <c r="D63" s="6"/>
      <c r="E63" s="6"/>
      <c r="F63" s="6"/>
      <c r="G63" s="6"/>
      <c r="H63" s="6"/>
      <c r="I63" s="6"/>
      <c r="J63" s="6"/>
      <c r="K63" s="6" t="s">
        <v>83</v>
      </c>
      <c r="L63" s="6" t="s">
        <v>84</v>
      </c>
      <c r="M63" s="6"/>
      <c r="N63" s="6"/>
      <c r="O63" s="6"/>
      <c r="P63" s="6"/>
      <c r="Q63" s="11"/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/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13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5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>
        <v>5</v>
      </c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56</v>
      </c>
      <c r="AD63" s="6" t="s">
        <v>56</v>
      </c>
      <c r="AE63" s="6" t="s">
        <v>56</v>
      </c>
    </row>
    <row r="64" spans="1:31" s="6" customFormat="1" x14ac:dyDescent="0.25">
      <c r="A64" s="6" t="s">
        <v>157</v>
      </c>
      <c r="B64" s="6" t="s">
        <v>158</v>
      </c>
      <c r="D64" s="6"/>
      <c r="E64" s="6"/>
      <c r="F64" s="6"/>
      <c r="G64" s="6"/>
      <c r="H64" s="6"/>
      <c r="I64" s="6"/>
      <c r="J64" s="6"/>
      <c r="K64" s="6" t="s">
        <v>83</v>
      </c>
      <c r="L64" s="6" t="s">
        <v>84</v>
      </c>
      <c r="M64" s="6"/>
      <c r="N64" s="6"/>
      <c r="O64" s="6"/>
      <c r="P64" s="6"/>
      <c r="Q64" s="11">
        <v>2</v>
      </c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>
        <v>2</v>
      </c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5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/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/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56</v>
      </c>
      <c r="AD64" s="6" t="s">
        <v>56</v>
      </c>
      <c r="AE64" s="6" t="s">
        <v>56</v>
      </c>
    </row>
    <row r="65" spans="1:31" s="6" customFormat="1" x14ac:dyDescent="0.25">
      <c r="A65" s="6" t="s">
        <v>157</v>
      </c>
      <c r="B65" s="6" t="s">
        <v>159</v>
      </c>
      <c r="D65" s="6"/>
      <c r="E65" s="6"/>
      <c r="F65" s="6"/>
      <c r="G65" s="6"/>
      <c r="H65" s="6"/>
      <c r="I65" s="6"/>
      <c r="J65" s="6"/>
      <c r="K65" s="6" t="s">
        <v>83</v>
      </c>
      <c r="L65" s="6" t="s">
        <v>84</v>
      </c>
      <c r="M65" s="6"/>
      <c r="N65" s="6"/>
      <c r="O65" s="6"/>
      <c r="P65" s="6"/>
      <c r="Q65" s="11">
        <v>2</v>
      </c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>
        <v>2</v>
      </c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5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/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/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56</v>
      </c>
      <c r="AD65" s="6" t="s">
        <v>56</v>
      </c>
      <c r="AE65" s="6" t="s">
        <v>56</v>
      </c>
    </row>
    <row r="66" spans="1:31" s="6" customFormat="1" x14ac:dyDescent="0.25">
      <c r="A66" s="6" t="s">
        <v>157</v>
      </c>
      <c r="B66" s="6" t="s">
        <v>160</v>
      </c>
      <c r="D66" s="6"/>
      <c r="E66" s="6"/>
      <c r="F66" s="6"/>
      <c r="G66" s="6"/>
      <c r="H66" s="6"/>
      <c r="I66" s="6"/>
      <c r="J66" s="6"/>
      <c r="K66" s="6" t="s">
        <v>83</v>
      </c>
      <c r="L66" s="6" t="s">
        <v>84</v>
      </c>
      <c r="M66" s="6"/>
      <c r="N66" s="6"/>
      <c r="O66" s="6"/>
      <c r="P66" s="6"/>
      <c r="Q66" s="11">
        <v>2</v>
      </c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>
        <v>2</v>
      </c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5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/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/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56</v>
      </c>
      <c r="AD66" s="6" t="s">
        <v>56</v>
      </c>
      <c r="AE66" s="6" t="s">
        <v>56</v>
      </c>
    </row>
    <row r="67" spans="1:31" s="6" customFormat="1" x14ac:dyDescent="0.25">
      <c r="A67" s="6" t="s">
        <v>157</v>
      </c>
      <c r="B67" s="6" t="s">
        <v>161</v>
      </c>
      <c r="D67" s="6"/>
      <c r="E67" s="6"/>
      <c r="F67" s="6"/>
      <c r="G67" s="6"/>
      <c r="H67" s="6"/>
      <c r="I67" s="6"/>
      <c r="J67" s="6"/>
      <c r="K67" s="6" t="s">
        <v>83</v>
      </c>
      <c r="L67" s="6" t="s">
        <v>84</v>
      </c>
      <c r="M67" s="6"/>
      <c r="N67" s="6"/>
      <c r="O67" s="6"/>
      <c r="P67" s="6"/>
      <c r="Q67" s="11"/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/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5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/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/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56</v>
      </c>
      <c r="AD67" s="6" t="s">
        <v>56</v>
      </c>
      <c r="AE67" s="6" t="s">
        <v>56</v>
      </c>
    </row>
    <row r="68" spans="1:31" s="6" customFormat="1" x14ac:dyDescent="0.25">
      <c r="A68" s="6" t="s">
        <v>157</v>
      </c>
      <c r="B68" s="6" t="s">
        <v>162</v>
      </c>
      <c r="D68" s="6"/>
      <c r="E68" s="6"/>
      <c r="F68" s="6"/>
      <c r="G68" s="6"/>
      <c r="H68" s="6"/>
      <c r="I68" s="6"/>
      <c r="J68" s="6"/>
      <c r="K68" s="6" t="s">
        <v>83</v>
      </c>
      <c r="L68" s="6" t="s">
        <v>84</v>
      </c>
      <c r="M68" s="6"/>
      <c r="N68" s="6"/>
      <c r="O68" s="6"/>
      <c r="P68" s="6"/>
      <c r="Q68" s="11"/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/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5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/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/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56</v>
      </c>
      <c r="AD68" s="6" t="s">
        <v>56</v>
      </c>
      <c r="AE68" s="6" t="s">
        <v>56</v>
      </c>
    </row>
    <row r="69" spans="1:31" s="6" customFormat="1" x14ac:dyDescent="0.25">
      <c r="A69" s="6" t="s">
        <v>157</v>
      </c>
      <c r="B69" s="6" t="s">
        <v>163</v>
      </c>
      <c r="D69" s="6"/>
      <c r="E69" s="6"/>
      <c r="F69" s="6"/>
      <c r="G69" s="6"/>
      <c r="H69" s="6"/>
      <c r="I69" s="6"/>
      <c r="J69" s="6"/>
      <c r="K69" s="6" t="s">
        <v>83</v>
      </c>
      <c r="L69" s="6" t="s">
        <v>84</v>
      </c>
      <c r="M69" s="6"/>
      <c r="N69" s="6"/>
      <c r="O69" s="6"/>
      <c r="P69" s="6"/>
      <c r="Q69" s="11"/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/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5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/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/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56</v>
      </c>
      <c r="AD69" s="6" t="s">
        <v>56</v>
      </c>
      <c r="AE69" s="6" t="s">
        <v>56</v>
      </c>
    </row>
    <row r="70" spans="1:31" s="6" customFormat="1" x14ac:dyDescent="0.25">
      <c r="A70" s="6" t="s">
        <v>157</v>
      </c>
      <c r="B70" s="6" t="s">
        <v>164</v>
      </c>
      <c r="D70" s="6"/>
      <c r="E70" s="6"/>
      <c r="F70" s="6"/>
      <c r="G70" s="6"/>
      <c r="H70" s="6"/>
      <c r="I70" s="6"/>
      <c r="J70" s="6"/>
      <c r="K70" s="6" t="s">
        <v>83</v>
      </c>
      <c r="L70" s="6" t="s">
        <v>84</v>
      </c>
      <c r="M70" s="6"/>
      <c r="N70" s="6"/>
      <c r="O70" s="6"/>
      <c r="P70" s="6"/>
      <c r="Q70" s="11"/>
      <c r="R70" s="12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1"/>
      <c r="T70" s="12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1">
        <v>5</v>
      </c>
      <c r="V70" s="12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1"/>
      <c r="X70" s="12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1"/>
      <c r="Z70" s="12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6">
        <f>SUM(V70,X70,Z70)</f>
      </c>
      <c r="AB70" s="6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6" t="s">
        <v>56</v>
      </c>
      <c r="AD70" s="6" t="s">
        <v>56</v>
      </c>
      <c r="AE70" s="6" t="s">
        <v>56</v>
      </c>
    </row>
    <row r="71" spans="1:31" s="6" customFormat="1" x14ac:dyDescent="0.25">
      <c r="A71" s="6" t="s">
        <v>157</v>
      </c>
      <c r="B71" s="6" t="s">
        <v>165</v>
      </c>
      <c r="D71" s="6"/>
      <c r="E71" s="6"/>
      <c r="F71" s="6"/>
      <c r="G71" s="6"/>
      <c r="H71" s="6"/>
      <c r="I71" s="6"/>
      <c r="J71" s="6"/>
      <c r="K71" s="6" t="s">
        <v>83</v>
      </c>
      <c r="L71" s="6" t="s">
        <v>84</v>
      </c>
      <c r="M71" s="6"/>
      <c r="N71" s="6"/>
      <c r="O71" s="6"/>
      <c r="P71" s="6"/>
      <c r="Q71" s="11"/>
      <c r="R71" s="12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1"/>
      <c r="T71" s="12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1">
        <v>5</v>
      </c>
      <c r="V71" s="12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1"/>
      <c r="X71" s="12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1"/>
      <c r="Z71" s="12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6">
        <f>SUM(V71,X71,Z71)</f>
      </c>
      <c r="AB71" s="6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6" t="s">
        <v>56</v>
      </c>
      <c r="AD71" s="6" t="s">
        <v>56</v>
      </c>
      <c r="AE71" s="6" t="s">
        <v>56</v>
      </c>
    </row>
    <row r="72" spans="1:31" s="6" customFormat="1" x14ac:dyDescent="0.25">
      <c r="A72" s="6" t="s">
        <v>166</v>
      </c>
      <c r="D72" s="6"/>
      <c r="E72" s="6"/>
      <c r="F72" s="6"/>
      <c r="G72" s="6"/>
      <c r="H72" s="6"/>
      <c r="I72" s="6"/>
      <c r="J72" s="6"/>
      <c r="K72" s="6" t="s">
        <v>83</v>
      </c>
      <c r="L72" s="6" t="s">
        <v>84</v>
      </c>
      <c r="M72" s="6"/>
      <c r="N72" s="6"/>
      <c r="O72" s="6"/>
      <c r="P72" s="6"/>
      <c r="Q72" s="11">
        <v>55</v>
      </c>
      <c r="R72" s="12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1">
        <v>0</v>
      </c>
      <c r="T72" s="12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1"/>
      <c r="V72" s="12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1"/>
      <c r="X72" s="12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1"/>
      <c r="Z72" s="12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6">
        <f>SUM(V72,X72,Z72)</f>
      </c>
      <c r="AB72" s="6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6" t="s">
        <v>56</v>
      </c>
      <c r="AD72" s="6" t="s">
        <v>56</v>
      </c>
      <c r="AE72" s="6" t="s">
        <v>56</v>
      </c>
    </row>
    <row r="73" spans="1:31" s="6" customFormat="1" x14ac:dyDescent="0.25">
      <c r="A73" s="6" t="s">
        <v>167</v>
      </c>
      <c r="D73" s="6"/>
      <c r="E73" s="6"/>
      <c r="F73" s="6"/>
      <c r="G73" s="6"/>
      <c r="H73" s="6"/>
      <c r="I73" s="6"/>
      <c r="J73" s="6"/>
      <c r="K73" s="6" t="s">
        <v>83</v>
      </c>
      <c r="L73" s="6" t="s">
        <v>84</v>
      </c>
      <c r="M73" s="6"/>
      <c r="N73" s="6"/>
      <c r="O73" s="6"/>
      <c r="P73" s="6"/>
      <c r="Q73" s="11"/>
      <c r="R73" s="12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1">
        <v>8</v>
      </c>
      <c r="T73" s="12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1"/>
      <c r="V73" s="12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1"/>
      <c r="X73" s="12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1"/>
      <c r="Z73" s="12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6">
        <f>SUM(V73,X73,Z73)</f>
      </c>
      <c r="AB73" s="6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6" t="s">
        <v>56</v>
      </c>
      <c r="AD73" s="6" t="s">
        <v>56</v>
      </c>
      <c r="AE73" s="6" t="s">
        <v>56</v>
      </c>
    </row>
    <row r="74" spans="1:31" s="6" customFormat="1" x14ac:dyDescent="0.25">
      <c r="A74" s="6" t="s">
        <v>168</v>
      </c>
      <c r="D74" s="6"/>
      <c r="E74" s="6"/>
      <c r="F74" s="6"/>
      <c r="G74" s="6"/>
      <c r="H74" s="6"/>
      <c r="I74" s="6"/>
      <c r="J74" s="6"/>
      <c r="K74" s="6" t="s">
        <v>83</v>
      </c>
      <c r="L74" s="6" t="s">
        <v>84</v>
      </c>
      <c r="M74" s="6"/>
      <c r="N74" s="6"/>
      <c r="O74" s="6"/>
      <c r="P74" s="6"/>
      <c r="Q74" s="11"/>
      <c r="R74" s="12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1">
        <v>8</v>
      </c>
      <c r="T74" s="12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1"/>
      <c r="V74" s="12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1"/>
      <c r="X74" s="12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1"/>
      <c r="Z74" s="12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6">
        <f>SUM(V74,X74,Z74)</f>
      </c>
      <c r="AB74" s="6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6" t="s">
        <v>56</v>
      </c>
      <c r="AD74" s="6" t="s">
        <v>56</v>
      </c>
      <c r="AE74" s="6" t="s">
        <v>56</v>
      </c>
    </row>
    <row r="75" spans="1:31" s="6" customFormat="1" x14ac:dyDescent="0.25">
      <c r="A75" s="6" t="s">
        <v>169</v>
      </c>
      <c r="D75" s="6"/>
      <c r="E75" s="6"/>
      <c r="F75" s="6"/>
      <c r="G75" s="6"/>
      <c r="H75" s="6"/>
      <c r="I75" s="6"/>
      <c r="J75" s="6"/>
      <c r="K75" s="6" t="s">
        <v>83</v>
      </c>
      <c r="L75" s="6" t="s">
        <v>84</v>
      </c>
      <c r="M75" s="6"/>
      <c r="N75" s="6"/>
      <c r="O75" s="6"/>
      <c r="P75" s="6"/>
      <c r="Q75" s="11"/>
      <c r="R75" s="12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1">
        <v>8</v>
      </c>
      <c r="T75" s="12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1">
        <v>55</v>
      </c>
      <c r="V75" s="12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1"/>
      <c r="X75" s="12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1"/>
      <c r="Z75" s="12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6">
        <f>SUM(V75,X75,Z75)</f>
      </c>
      <c r="AB75" s="6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6" t="s">
        <v>56</v>
      </c>
      <c r="AD75" s="6" t="s">
        <v>56</v>
      </c>
      <c r="AE75" s="6" t="s">
        <v>56</v>
      </c>
    </row>
    <row r="76" spans="1:26" x14ac:dyDescent="0.25">
      <c r="Q76" s="14"/>
      <c r="R76" s="15"/>
      <c r="S76" s="14"/>
      <c r="T76" s="15"/>
      <c r="U76" s="14"/>
      <c r="V76" s="15"/>
      <c r="W76" s="14"/>
      <c r="X76" s="15"/>
      <c r="Y76" s="14"/>
      <c r="Z76" s="15"/>
    </row>
    <row r="77" spans="1:26" x14ac:dyDescent="0.25">
      <c r="Q77" s="14"/>
      <c r="R77" s="15"/>
      <c r="S77" s="14"/>
      <c r="T77" s="15"/>
      <c r="U77" s="14"/>
      <c r="V77" s="15"/>
      <c r="W77" s="14"/>
      <c r="X77" s="15"/>
      <c r="Y77" s="14"/>
      <c r="Z77" s="15"/>
    </row>
    <row r="78" spans="1:26" x14ac:dyDescent="0.25">
      <c r="Q78" s="14"/>
      <c r="R78" s="15"/>
      <c r="S78" s="14"/>
      <c r="T78" s="15"/>
      <c r="U78" s="14"/>
      <c r="V78" s="15"/>
      <c r="W78" s="14"/>
      <c r="X78" s="15"/>
      <c r="Y78" s="14"/>
      <c r="Z78" s="15"/>
    </row>
    <row r="79" spans="1:26" x14ac:dyDescent="0.25">
      <c r="Q79" s="14"/>
      <c r="R79" s="15"/>
      <c r="S79" s="14"/>
      <c r="T79" s="15"/>
      <c r="U79" s="14"/>
      <c r="V79" s="15"/>
      <c r="W79" s="14"/>
      <c r="X79" s="15"/>
      <c r="Y79" s="14"/>
      <c r="Z79" s="15"/>
    </row>
    <row r="80" spans="1:26" x14ac:dyDescent="0.25">
      <c r="Q80" s="14"/>
      <c r="R80" s="15"/>
      <c r="S80" s="14"/>
      <c r="T80" s="15"/>
      <c r="U80" s="14"/>
      <c r="V80" s="15"/>
      <c r="W80" s="14"/>
      <c r="X80" s="15"/>
      <c r="Y80" s="14"/>
      <c r="Z80" s="15"/>
    </row>
    <row r="81" spans="1:26" x14ac:dyDescent="0.25">
      <c r="Q81" s="14"/>
      <c r="R81" s="15"/>
      <c r="S81" s="14"/>
      <c r="T81" s="15"/>
      <c r="U81" s="14"/>
      <c r="V81" s="15"/>
      <c r="W81" s="14"/>
      <c r="X81" s="15"/>
      <c r="Y81" s="14"/>
      <c r="Z81" s="15"/>
    </row>
    <row r="82" spans="1:26" x14ac:dyDescent="0.25">
      <c r="Q82" s="14"/>
      <c r="R82" s="15"/>
      <c r="S82" s="14"/>
      <c r="T82" s="15"/>
      <c r="U82" s="14"/>
      <c r="V82" s="15"/>
      <c r="W82" s="14"/>
      <c r="X82" s="15"/>
      <c r="Y82" s="14"/>
      <c r="Z82" s="15"/>
    </row>
    <row r="83" spans="1:26" x14ac:dyDescent="0.25">
      <c r="Q83" s="14"/>
      <c r="R83" s="15"/>
      <c r="S83" s="14"/>
      <c r="T83" s="15"/>
      <c r="U83" s="14"/>
      <c r="V83" s="15"/>
      <c r="W83" s="14"/>
      <c r="X83" s="15"/>
      <c r="Y83" s="14"/>
      <c r="Z83" s="15"/>
    </row>
    <row r="84" spans="1:26" x14ac:dyDescent="0.25">
      <c r="Q84" s="14"/>
      <c r="R84" s="15"/>
      <c r="S84" s="14"/>
      <c r="T84" s="15"/>
      <c r="U84" s="14"/>
      <c r="V84" s="15"/>
      <c r="W84" s="14"/>
      <c r="X84" s="15"/>
      <c r="Y84" s="14"/>
      <c r="Z84" s="15"/>
    </row>
    <row r="85" spans="1:26" x14ac:dyDescent="0.25">
      <c r="Q85" s="14"/>
      <c r="R85" s="15"/>
      <c r="S85" s="14"/>
      <c r="T85" s="15"/>
      <c r="U85" s="14"/>
      <c r="V85" s="15"/>
      <c r="W85" s="14"/>
      <c r="X85" s="15"/>
      <c r="Y85" s="14"/>
      <c r="Z85" s="15"/>
    </row>
    <row r="86" spans="1:26" x14ac:dyDescent="0.25">
      <c r="Q86" s="14"/>
      <c r="R86" s="15"/>
      <c r="S86" s="14"/>
      <c r="T86" s="15"/>
      <c r="U86" s="14"/>
      <c r="V86" s="15"/>
      <c r="W86" s="14"/>
      <c r="X86" s="15"/>
      <c r="Y86" s="14"/>
      <c r="Z86" s="15"/>
    </row>
    <row r="87" spans="1:26" x14ac:dyDescent="0.25">
      <c r="Q87" s="14"/>
      <c r="R87" s="15"/>
      <c r="S87" s="14"/>
      <c r="T87" s="15"/>
      <c r="U87" s="14"/>
      <c r="V87" s="15"/>
      <c r="W87" s="14"/>
      <c r="X87" s="15"/>
      <c r="Y87" s="14"/>
      <c r="Z87" s="15"/>
    </row>
    <row r="88" spans="1:26" x14ac:dyDescent="0.25">
      <c r="Q88" s="14"/>
      <c r="R88" s="15"/>
      <c r="S88" s="14"/>
      <c r="T88" s="15"/>
      <c r="U88" s="14"/>
      <c r="V88" s="15"/>
      <c r="W88" s="14"/>
      <c r="X88" s="15"/>
      <c r="Y88" s="14"/>
      <c r="Z88" s="15"/>
    </row>
    <row r="89" spans="1:26" x14ac:dyDescent="0.25">
      <c r="Q89" s="14"/>
      <c r="R89" s="15"/>
      <c r="S89" s="14"/>
      <c r="T89" s="15"/>
      <c r="U89" s="14"/>
      <c r="V89" s="15"/>
      <c r="W89" s="14"/>
      <c r="X89" s="15"/>
      <c r="Y89" s="14"/>
      <c r="Z89" s="15"/>
    </row>
    <row r="90" spans="1:26" x14ac:dyDescent="0.25">
      <c r="Q90" s="14"/>
      <c r="R90" s="15"/>
      <c r="S90" s="14"/>
      <c r="T90" s="15"/>
      <c r="U90" s="14"/>
      <c r="V90" s="15"/>
      <c r="W90" s="14"/>
      <c r="X90" s="15"/>
      <c r="Y90" s="14"/>
      <c r="Z90" s="15"/>
    </row>
    <row r="91" spans="1:26" x14ac:dyDescent="0.25">
      <c r="Q91" s="14"/>
      <c r="R91" s="15"/>
      <c r="S91" s="14"/>
      <c r="T91" s="15"/>
      <c r="U91" s="14"/>
      <c r="V91" s="15"/>
      <c r="W91" s="14"/>
      <c r="X91" s="15"/>
      <c r="Y91" s="14"/>
      <c r="Z91" s="15"/>
    </row>
    <row r="92" spans="1:26" x14ac:dyDescent="0.25">
      <c r="Q92" s="14"/>
      <c r="R92" s="15"/>
      <c r="S92" s="14"/>
      <c r="T92" s="15"/>
      <c r="U92" s="14"/>
      <c r="V92" s="15"/>
      <c r="W92" s="14"/>
      <c r="X92" s="15"/>
      <c r="Y92" s="14"/>
      <c r="Z92" s="15"/>
    </row>
    <row r="93" spans="1:26" x14ac:dyDescent="0.25">
      <c r="Q93" s="14"/>
      <c r="R93" s="15"/>
      <c r="S93" s="14"/>
      <c r="T93" s="15"/>
      <c r="U93" s="14"/>
      <c r="V93" s="15"/>
      <c r="W93" s="14"/>
      <c r="X93" s="15"/>
      <c r="Y93" s="14"/>
      <c r="Z93" s="15"/>
    </row>
    <row r="94" spans="1:26" x14ac:dyDescent="0.25">
      <c r="Q94" s="14"/>
      <c r="R94" s="15"/>
      <c r="S94" s="14"/>
      <c r="T94" s="15"/>
      <c r="U94" s="14"/>
      <c r="V94" s="15"/>
      <c r="W94" s="14"/>
      <c r="X94" s="15"/>
      <c r="Y94" s="14"/>
      <c r="Z94" s="15"/>
    </row>
    <row r="95" spans="1:26" x14ac:dyDescent="0.25">
      <c r="Q95" s="14"/>
      <c r="R95" s="15"/>
      <c r="S95" s="14"/>
      <c r="T95" s="15"/>
      <c r="U95" s="14"/>
      <c r="V95" s="15"/>
      <c r="W95" s="14"/>
      <c r="X95" s="15"/>
      <c r="Y95" s="14"/>
      <c r="Z95" s="15"/>
    </row>
    <row r="96" spans="1:26" x14ac:dyDescent="0.25">
      <c r="Q96" s="14"/>
      <c r="R96" s="15"/>
      <c r="S96" s="14"/>
      <c r="T96" s="15"/>
      <c r="U96" s="14"/>
      <c r="V96" s="15"/>
      <c r="W96" s="14"/>
      <c r="X96" s="15"/>
      <c r="Y96" s="14"/>
      <c r="Z96" s="15"/>
    </row>
    <row r="97" spans="1:26" x14ac:dyDescent="0.25">
      <c r="Q97" s="14"/>
      <c r="R97" s="15"/>
      <c r="S97" s="14"/>
      <c r="T97" s="15"/>
      <c r="U97" s="14"/>
      <c r="V97" s="15"/>
      <c r="W97" s="14"/>
      <c r="X97" s="15"/>
      <c r="Y97" s="14"/>
      <c r="Z97" s="15"/>
    </row>
    <row r="98" spans="1:26" x14ac:dyDescent="0.25">
      <c r="Q98" s="14"/>
      <c r="R98" s="15"/>
      <c r="S98" s="14"/>
      <c r="T98" s="15"/>
      <c r="U98" s="14"/>
      <c r="V98" s="15"/>
      <c r="W98" s="14"/>
      <c r="X98" s="15"/>
      <c r="Y98" s="14"/>
      <c r="Z98" s="15"/>
    </row>
    <row r="99" spans="1:26" x14ac:dyDescent="0.25">
      <c r="Q99" s="14"/>
      <c r="R99" s="15"/>
      <c r="S99" s="14"/>
      <c r="T99" s="15"/>
      <c r="U99" s="14"/>
      <c r="V99" s="15"/>
      <c r="W99" s="14"/>
      <c r="X99" s="15"/>
      <c r="Y99" s="14"/>
      <c r="Z99" s="15"/>
    </row>
    <row r="100" spans="1:26" x14ac:dyDescent="0.25">
      <c r="Q100" s="14"/>
      <c r="R100" s="15"/>
      <c r="S100" s="14"/>
      <c r="T100" s="15"/>
      <c r="U100" s="14"/>
      <c r="V100" s="15"/>
      <c r="W100" s="14"/>
      <c r="X100" s="15"/>
      <c r="Y100" s="14"/>
      <c r="Z100" s="15"/>
    </row>
    <row r="101" spans="1:26" x14ac:dyDescent="0.25">
      <c r="Q101" s="14"/>
      <c r="R101" s="15"/>
      <c r="S101" s="14"/>
      <c r="T101" s="15"/>
      <c r="U101" s="14"/>
      <c r="V101" s="15"/>
      <c r="W101" s="14"/>
      <c r="X101" s="15"/>
      <c r="Y101" s="14"/>
      <c r="Z101" s="15"/>
    </row>
    <row r="102" spans="1:26" x14ac:dyDescent="0.25">
      <c r="Q102" s="14"/>
      <c r="R102" s="15"/>
      <c r="S102" s="14"/>
      <c r="T102" s="15"/>
      <c r="U102" s="14"/>
      <c r="V102" s="15"/>
      <c r="W102" s="14"/>
      <c r="X102" s="15"/>
      <c r="Y102" s="14"/>
      <c r="Z102" s="15"/>
    </row>
    <row r="103" spans="1:26" x14ac:dyDescent="0.25">
      <c r="Q103" s="14"/>
      <c r="R103" s="15"/>
      <c r="S103" s="14"/>
      <c r="T103" s="15"/>
      <c r="U103" s="14"/>
      <c r="V103" s="15"/>
      <c r="W103" s="14"/>
      <c r="X103" s="15"/>
      <c r="Y103" s="14"/>
      <c r="Z103" s="15"/>
    </row>
    <row r="104" spans="1:26" x14ac:dyDescent="0.25">
      <c r="Q104" s="14"/>
      <c r="R104" s="15"/>
      <c r="S104" s="14"/>
      <c r="T104" s="15"/>
      <c r="U104" s="14"/>
      <c r="V104" s="15"/>
      <c r="W104" s="14"/>
      <c r="X104" s="15"/>
      <c r="Y104" s="14"/>
      <c r="Z104" s="15"/>
    </row>
    <row r="105" spans="1:26" x14ac:dyDescent="0.25">
      <c r="Q105" s="14"/>
      <c r="R105" s="15"/>
      <c r="S105" s="14"/>
      <c r="T105" s="15"/>
      <c r="U105" s="14"/>
      <c r="V105" s="15"/>
      <c r="W105" s="14"/>
      <c r="X105" s="15"/>
      <c r="Y105" s="14"/>
      <c r="Z105" s="15"/>
    </row>
    <row r="106" spans="1:26" x14ac:dyDescent="0.25">
      <c r="Q106" s="14"/>
      <c r="R106" s="15"/>
      <c r="S106" s="14"/>
      <c r="T106" s="15"/>
      <c r="U106" s="14"/>
      <c r="V106" s="15"/>
      <c r="W106" s="14"/>
      <c r="X106" s="15"/>
      <c r="Y106" s="14"/>
      <c r="Z106" s="15"/>
    </row>
    <row r="107" spans="1:26" x14ac:dyDescent="0.25">
      <c r="Q107" s="14"/>
      <c r="R107" s="15"/>
      <c r="S107" s="14"/>
      <c r="T107" s="15"/>
      <c r="U107" s="14"/>
      <c r="V107" s="15"/>
      <c r="W107" s="14"/>
      <c r="X107" s="15"/>
      <c r="Y107" s="14"/>
      <c r="Z107" s="15"/>
    </row>
    <row r="108" spans="1:26" x14ac:dyDescent="0.25">
      <c r="Q108" s="14"/>
      <c r="R108" s="15"/>
      <c r="S108" s="14"/>
      <c r="T108" s="15"/>
      <c r="U108" s="14"/>
      <c r="V108" s="15"/>
      <c r="W108" s="14"/>
      <c r="X108" s="15"/>
      <c r="Y108" s="14"/>
      <c r="Z108" s="15"/>
    </row>
    <row r="109" spans="1:26" x14ac:dyDescent="0.25">
      <c r="Q109" s="14"/>
      <c r="R109" s="15"/>
      <c r="S109" s="14"/>
      <c r="T109" s="15"/>
      <c r="U109" s="14"/>
      <c r="V109" s="15"/>
      <c r="W109" s="14"/>
      <c r="X109" s="15"/>
      <c r="Y109" s="14"/>
      <c r="Z109" s="15"/>
    </row>
    <row r="110" spans="1:26" x14ac:dyDescent="0.25">
      <c r="Q110" s="14"/>
      <c r="R110" s="15"/>
      <c r="S110" s="14"/>
      <c r="T110" s="15"/>
      <c r="U110" s="14"/>
      <c r="V110" s="15"/>
      <c r="W110" s="14"/>
      <c r="X110" s="15"/>
      <c r="Y110" s="14"/>
      <c r="Z110" s="15"/>
    </row>
    <row r="111" spans="1:26" x14ac:dyDescent="0.25">
      <c r="Q111" s="14"/>
      <c r="R111" s="15"/>
      <c r="S111" s="14"/>
      <c r="T111" s="15"/>
      <c r="U111" s="14"/>
      <c r="V111" s="15"/>
      <c r="W111" s="14"/>
      <c r="X111" s="15"/>
      <c r="Y111" s="14"/>
      <c r="Z111" s="15"/>
    </row>
    <row r="112" spans="1:26" x14ac:dyDescent="0.25">
      <c r="Q112" s="14"/>
      <c r="R112" s="15"/>
      <c r="S112" s="14"/>
      <c r="T112" s="15"/>
      <c r="U112" s="14"/>
      <c r="V112" s="15"/>
      <c r="W112" s="14"/>
      <c r="X112" s="15"/>
      <c r="Y112" s="14"/>
      <c r="Z112" s="15"/>
    </row>
    <row r="113" spans="1:26" x14ac:dyDescent="0.25">
      <c r="Q113" s="14"/>
      <c r="R113" s="15"/>
      <c r="S113" s="14"/>
      <c r="T113" s="15"/>
      <c r="U113" s="14"/>
      <c r="V113" s="15"/>
      <c r="W113" s="14"/>
      <c r="X113" s="15"/>
      <c r="Y113" s="14"/>
      <c r="Z113" s="15"/>
    </row>
    <row r="114" spans="1:26" x14ac:dyDescent="0.25">
      <c r="Q114" s="14"/>
      <c r="R114" s="15"/>
      <c r="S114" s="14"/>
      <c r="T114" s="15"/>
      <c r="U114" s="14"/>
      <c r="V114" s="15"/>
      <c r="W114" s="14"/>
      <c r="X114" s="15"/>
      <c r="Y114" s="14"/>
      <c r="Z114" s="15"/>
    </row>
    <row r="115" spans="1:26" x14ac:dyDescent="0.25">
      <c r="Q115" s="14"/>
      <c r="R115" s="15"/>
      <c r="S115" s="14"/>
      <c r="T115" s="15"/>
      <c r="U115" s="14"/>
      <c r="V115" s="15"/>
      <c r="W115" s="14"/>
      <c r="X115" s="15"/>
      <c r="Y115" s="14"/>
      <c r="Z115" s="15"/>
    </row>
    <row r="116" spans="1:26" x14ac:dyDescent="0.25">
      <c r="Q116" s="14"/>
      <c r="R116" s="15"/>
      <c r="S116" s="14"/>
      <c r="T116" s="15"/>
      <c r="U116" s="14"/>
      <c r="V116" s="15"/>
      <c r="W116" s="14"/>
      <c r="X116" s="15"/>
      <c r="Y116" s="14"/>
      <c r="Z116" s="15"/>
    </row>
    <row r="117" spans="1:26" x14ac:dyDescent="0.25">
      <c r="Q117" s="14"/>
      <c r="R117" s="15"/>
      <c r="S117" s="14"/>
      <c r="T117" s="15"/>
      <c r="U117" s="14"/>
      <c r="V117" s="15"/>
      <c r="W117" s="14"/>
      <c r="X117" s="15"/>
      <c r="Y117" s="14"/>
      <c r="Z117" s="15"/>
    </row>
    <row r="118" spans="1:26" x14ac:dyDescent="0.25">
      <c r="Q118" s="14"/>
      <c r="R118" s="15"/>
      <c r="S118" s="14"/>
      <c r="T118" s="15"/>
      <c r="U118" s="14"/>
      <c r="V118" s="15"/>
      <c r="W118" s="14"/>
      <c r="X118" s="15"/>
      <c r="Y118" s="14"/>
      <c r="Z118" s="15"/>
    </row>
    <row r="119" spans="1:26" x14ac:dyDescent="0.25">
      <c r="Q119" s="14"/>
      <c r="R119" s="15"/>
      <c r="S119" s="14"/>
      <c r="T119" s="15"/>
      <c r="U119" s="14"/>
      <c r="V119" s="15"/>
      <c r="W119" s="14"/>
      <c r="X119" s="15"/>
      <c r="Y119" s="14"/>
      <c r="Z119" s="15"/>
    </row>
    <row r="120" spans="1:26" x14ac:dyDescent="0.25">
      <c r="Q120" s="14"/>
      <c r="R120" s="15"/>
      <c r="S120" s="14"/>
      <c r="T120" s="15"/>
      <c r="U120" s="14"/>
      <c r="V120" s="15"/>
      <c r="W120" s="14"/>
      <c r="X120" s="15"/>
      <c r="Y120" s="14"/>
      <c r="Z120" s="15"/>
    </row>
    <row r="121" spans="1:26" x14ac:dyDescent="0.25">
      <c r="Q121" s="14"/>
      <c r="R121" s="15"/>
      <c r="S121" s="14"/>
      <c r="T121" s="15"/>
      <c r="U121" s="14"/>
      <c r="V121" s="15"/>
      <c r="W121" s="14"/>
      <c r="X121" s="15"/>
      <c r="Y121" s="14"/>
      <c r="Z121" s="15"/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  <row r="1125" spans="1:26" x14ac:dyDescent="0.25">
      <c r="Q1125" s="14"/>
      <c r="R1125" s="15"/>
      <c r="S1125" s="14"/>
      <c r="T1125" s="15"/>
      <c r="U1125" s="14"/>
      <c r="V1125" s="15"/>
      <c r="W1125" s="14"/>
      <c r="X1125" s="15"/>
      <c r="Y1125" s="14"/>
      <c r="Z1125" s="15"/>
    </row>
    <row r="1126" spans="1:26" x14ac:dyDescent="0.25">
      <c r="Q1126" s="14"/>
      <c r="R1126" s="15"/>
      <c r="S1126" s="14"/>
      <c r="T1126" s="15"/>
      <c r="U1126" s="14"/>
      <c r="V1126" s="15"/>
      <c r="W1126" s="14"/>
      <c r="X1126" s="15"/>
      <c r="Y1126" s="14"/>
      <c r="Z1126" s="15"/>
    </row>
    <row r="1127" spans="1:26" x14ac:dyDescent="0.25">
      <c r="Q1127" s="14"/>
      <c r="R1127" s="15"/>
      <c r="S1127" s="14"/>
      <c r="T1127" s="15"/>
      <c r="U1127" s="14"/>
      <c r="V1127" s="15"/>
      <c r="W1127" s="14"/>
      <c r="X1127" s="15"/>
      <c r="Y1127" s="14"/>
      <c r="Z1127" s="15"/>
    </row>
    <row r="1128" spans="1:26" x14ac:dyDescent="0.25">
      <c r="Q1128" s="14"/>
      <c r="R1128" s="15"/>
      <c r="S1128" s="14"/>
      <c r="T1128" s="15"/>
      <c r="U1128" s="14"/>
      <c r="V1128" s="15"/>
      <c r="W1128" s="14"/>
      <c r="X1128" s="15"/>
      <c r="Y1128" s="14"/>
      <c r="Z1128" s="15"/>
    </row>
    <row r="1129" spans="1:26" x14ac:dyDescent="0.25">
      <c r="Q1129" s="14"/>
      <c r="R1129" s="15"/>
      <c r="S1129" s="14"/>
      <c r="T1129" s="15"/>
      <c r="U1129" s="14"/>
      <c r="V1129" s="15"/>
      <c r="W1129" s="14"/>
      <c r="X1129" s="15"/>
      <c r="Y1129" s="14"/>
      <c r="Z1129" s="15"/>
    </row>
    <row r="1130" spans="1:26" x14ac:dyDescent="0.25">
      <c r="Q1130" s="14"/>
      <c r="R1130" s="15"/>
      <c r="S1130" s="14"/>
      <c r="T1130" s="15"/>
      <c r="U1130" s="14"/>
      <c r="V1130" s="15"/>
      <c r="W1130" s="14"/>
      <c r="X1130" s="15"/>
      <c r="Y1130" s="14"/>
      <c r="Z1130" s="15"/>
    </row>
    <row r="1131" spans="1:26" x14ac:dyDescent="0.25">
      <c r="Q1131" s="14"/>
      <c r="R1131" s="15"/>
      <c r="S1131" s="14"/>
      <c r="T1131" s="15"/>
      <c r="U1131" s="14"/>
      <c r="V1131" s="15"/>
      <c r="W1131" s="14"/>
      <c r="X1131" s="15"/>
      <c r="Y1131" s="14"/>
      <c r="Z1131" s="15"/>
    </row>
    <row r="1132" spans="1:26" x14ac:dyDescent="0.25">
      <c r="Q1132" s="14"/>
      <c r="R1132" s="15"/>
      <c r="S1132" s="14"/>
      <c r="T1132" s="15"/>
      <c r="U1132" s="14"/>
      <c r="V1132" s="15"/>
      <c r="W1132" s="14"/>
      <c r="X1132" s="15"/>
      <c r="Y1132" s="14"/>
      <c r="Z1132" s="15"/>
    </row>
    <row r="1133" spans="1:26" x14ac:dyDescent="0.25">
      <c r="Q1133" s="14"/>
      <c r="R1133" s="15"/>
      <c r="S1133" s="14"/>
      <c r="T1133" s="15"/>
      <c r="U1133" s="14"/>
      <c r="V1133" s="15"/>
      <c r="W1133" s="14"/>
      <c r="X1133" s="15"/>
      <c r="Y1133" s="14"/>
      <c r="Z1133" s="15"/>
    </row>
    <row r="1134" spans="1:26" x14ac:dyDescent="0.25">
      <c r="Q1134" s="14"/>
      <c r="R1134" s="15"/>
      <c r="S1134" s="14"/>
      <c r="T1134" s="15"/>
      <c r="U1134" s="14"/>
      <c r="V1134" s="15"/>
      <c r="W1134" s="14"/>
      <c r="X1134" s="15"/>
      <c r="Y1134" s="14"/>
      <c r="Z1134" s="15"/>
    </row>
    <row r="1135" spans="1:26" x14ac:dyDescent="0.25">
      <c r="Q1135" s="14"/>
      <c r="R1135" s="15"/>
      <c r="S1135" s="14"/>
      <c r="T1135" s="15"/>
      <c r="U1135" s="14"/>
      <c r="V1135" s="15"/>
      <c r="W1135" s="14"/>
      <c r="X1135" s="15"/>
      <c r="Y1135" s="14"/>
      <c r="Z1135" s="15"/>
    </row>
    <row r="1136" spans="1:26" x14ac:dyDescent="0.25">
      <c r="Q1136" s="14"/>
      <c r="R1136" s="15"/>
      <c r="S1136" s="14"/>
      <c r="T1136" s="15"/>
      <c r="U1136" s="14"/>
      <c r="V1136" s="15"/>
      <c r="W1136" s="14"/>
      <c r="X1136" s="15"/>
      <c r="Y1136" s="14"/>
      <c r="Z1136" s="15"/>
    </row>
    <row r="1137" spans="1:26" x14ac:dyDescent="0.25">
      <c r="Q1137" s="14"/>
      <c r="R1137" s="15"/>
      <c r="S1137" s="14"/>
      <c r="T1137" s="15"/>
      <c r="U1137" s="14"/>
      <c r="V1137" s="15"/>
      <c r="W1137" s="14"/>
      <c r="X1137" s="15"/>
      <c r="Y1137" s="14"/>
      <c r="Z1137" s="15"/>
    </row>
    <row r="1138" spans="1:26" x14ac:dyDescent="0.25">
      <c r="Q1138" s="14"/>
      <c r="R1138" s="15"/>
      <c r="S1138" s="14"/>
      <c r="T1138" s="15"/>
      <c r="U1138" s="14"/>
      <c r="V1138" s="15"/>
      <c r="W1138" s="14"/>
      <c r="X1138" s="15"/>
      <c r="Y1138" s="14"/>
      <c r="Z1138" s="15"/>
    </row>
    <row r="1139" spans="1:26" x14ac:dyDescent="0.25">
      <c r="Q1139" s="14"/>
      <c r="R1139" s="15"/>
      <c r="S1139" s="14"/>
      <c r="T1139" s="15"/>
      <c r="U1139" s="14"/>
      <c r="V1139" s="15"/>
      <c r="W1139" s="14"/>
      <c r="X1139" s="15"/>
      <c r="Y1139" s="14"/>
      <c r="Z1139" s="15"/>
    </row>
    <row r="1140" spans="1:26" x14ac:dyDescent="0.25">
      <c r="Q1140" s="14"/>
      <c r="R1140" s="15"/>
      <c r="S1140" s="14"/>
      <c r="T1140" s="15"/>
      <c r="U1140" s="14"/>
      <c r="V1140" s="15"/>
      <c r="W1140" s="14"/>
      <c r="X1140" s="15"/>
      <c r="Y1140" s="14"/>
      <c r="Z1140" s="15"/>
    </row>
    <row r="1141" spans="1:26" x14ac:dyDescent="0.25">
      <c r="Q1141" s="14"/>
      <c r="R1141" s="15"/>
      <c r="S1141" s="14"/>
      <c r="T1141" s="15"/>
      <c r="U1141" s="14"/>
      <c r="V1141" s="15"/>
      <c r="W1141" s="14"/>
      <c r="X1141" s="15"/>
      <c r="Y1141" s="14"/>
      <c r="Z1141" s="15"/>
    </row>
    <row r="1142" spans="1:26" x14ac:dyDescent="0.25">
      <c r="Q1142" s="14"/>
      <c r="R1142" s="15"/>
      <c r="S1142" s="14"/>
      <c r="T1142" s="15"/>
      <c r="U1142" s="14"/>
      <c r="V1142" s="15"/>
      <c r="W1142" s="14"/>
      <c r="X1142" s="15"/>
      <c r="Y1142" s="14"/>
      <c r="Z1142" s="15"/>
    </row>
    <row r="1143" spans="1:26" x14ac:dyDescent="0.25">
      <c r="Q1143" s="14"/>
      <c r="R1143" s="15"/>
      <c r="S1143" s="14"/>
      <c r="T1143" s="15"/>
      <c r="U1143" s="14"/>
      <c r="V1143" s="15"/>
      <c r="W1143" s="14"/>
      <c r="X1143" s="15"/>
      <c r="Y1143" s="14"/>
      <c r="Z1143" s="15"/>
    </row>
    <row r="1144" spans="1:26" x14ac:dyDescent="0.25">
      <c r="Q1144" s="14"/>
      <c r="R1144" s="15"/>
      <c r="S1144" s="14"/>
      <c r="T1144" s="15"/>
      <c r="U1144" s="14"/>
      <c r="V1144" s="15"/>
      <c r="W1144" s="14"/>
      <c r="X1144" s="15"/>
      <c r="Y1144" s="14"/>
      <c r="Z1144" s="15"/>
    </row>
    <row r="1145" spans="1:26" x14ac:dyDescent="0.25">
      <c r="Q1145" s="14"/>
      <c r="R1145" s="15"/>
      <c r="S1145" s="14"/>
      <c r="T1145" s="15"/>
      <c r="U1145" s="14"/>
      <c r="V1145" s="15"/>
      <c r="W1145" s="14"/>
      <c r="X1145" s="15"/>
      <c r="Y1145" s="14"/>
      <c r="Z1145" s="15"/>
    </row>
    <row r="1146" spans="1:26" x14ac:dyDescent="0.25">
      <c r="Q1146" s="14"/>
      <c r="R1146" s="15"/>
      <c r="S1146" s="14"/>
      <c r="T1146" s="15"/>
      <c r="U1146" s="14"/>
      <c r="V1146" s="15"/>
      <c r="W1146" s="14"/>
      <c r="X1146" s="15"/>
      <c r="Y1146" s="14"/>
      <c r="Z1146" s="15"/>
    </row>
    <row r="1147" spans="1:26" x14ac:dyDescent="0.25">
      <c r="Q1147" s="14"/>
      <c r="R1147" s="15"/>
      <c r="S1147" s="14"/>
      <c r="T1147" s="15"/>
      <c r="U1147" s="14"/>
      <c r="V1147" s="15"/>
      <c r="W1147" s="14"/>
      <c r="X1147" s="15"/>
      <c r="Y1147" s="14"/>
      <c r="Z1147" s="15"/>
    </row>
    <row r="1148" spans="1:26" x14ac:dyDescent="0.25">
      <c r="Q1148" s="14"/>
      <c r="R1148" s="15"/>
      <c r="S1148" s="14"/>
      <c r="T1148" s="15"/>
      <c r="U1148" s="14"/>
      <c r="V1148" s="15"/>
      <c r="W1148" s="14"/>
      <c r="X1148" s="15"/>
      <c r="Y1148" s="14"/>
      <c r="Z1148" s="15"/>
    </row>
  </sheetData>
  <dataValidations count="54">
    <dataValidation type="list" allowBlank="1" sqref="L10:L1074">
      <formula1>"Must Have,Should Have,Could Have,Will not Have"</formula1>
    </dataValidation>
    <dataValidation type="list" allowBlank="1" sqref="L2:L1074">
      <formula1>"Must Have,Should Have,Could Have,Will not Have"</formula1>
    </dataValidation>
    <dataValidation type="list" allowBlank="1" sqref="Q100:Q1074">
      <formula1>"0,1,2,3,5,8,13,21,34,55,89"</formula1>
    </dataValidation>
    <dataValidation type="list" allowBlank="1" sqref="Q14:Q17">
      <formula1>"0,1,2,3,5,8,13,21,34,55,89"</formula1>
    </dataValidation>
    <dataValidation type="list" allowBlank="1" sqref="Q2:Q3">
      <formula1>"0,1,2,3,5,8,13,21,34,55,89"</formula1>
    </dataValidation>
    <dataValidation type="list" allowBlank="1" sqref="Q21">
      <formula1>"0,1,2,3,5,8,13,21,34,55,89"</formula1>
    </dataValidation>
    <dataValidation type="list" allowBlank="1" sqref="Q23:Q29">
      <formula1>"0,1,2,3,5,8,13,21,34,55,89"</formula1>
    </dataValidation>
    <dataValidation type="list" allowBlank="1" sqref="Q36:Q37">
      <formula1>"0,1,2,3,5,8,13,21,34,55,89"</formula1>
    </dataValidation>
    <dataValidation type="list" allowBlank="1" sqref="Q39:Q40">
      <formula1>"0,1,2,3,5,8,13,21,34,55,89"</formula1>
    </dataValidation>
    <dataValidation type="list" allowBlank="1" sqref="Q42:Q43">
      <formula1>"0,1,2,3,5,8,13,21,34,55,89"</formula1>
    </dataValidation>
    <dataValidation type="list" allowBlank="1" sqref="Q46">
      <formula1>"0,1,2,3,5,8,13,21,34,55,89"</formula1>
    </dataValidation>
    <dataValidation type="list" allowBlank="1" sqref="Q58:Q59">
      <formula1>"0,1,2,3,5,8,13,21,34,55,89"</formula1>
    </dataValidation>
    <dataValidation type="list" allowBlank="1" sqref="Q64:Q66">
      <formula1>"0,1,2,3,5,8,13,21,34,55,89"</formula1>
    </dataValidation>
    <dataValidation type="list" allowBlank="1" sqref="Q72">
      <formula1>"0,1,2,3,5,8,13,21,34,55,89"</formula1>
    </dataValidation>
    <dataValidation type="list" allowBlank="1" sqref="Q75:Q1074">
      <formula1>"0,1,2,3,5,8,13,21,34,55,89"</formula1>
    </dataValidation>
    <dataValidation type="list" allowBlank="1" sqref="Q9">
      <formula1>"0,1,2,3,5,8,13,21,34,55,89"</formula1>
    </dataValidation>
    <dataValidation type="list" allowBlank="1" sqref="S100:S1074">
      <formula1>"0,1,2,3,5,8,13,21,34,55,89"</formula1>
    </dataValidation>
    <dataValidation type="list" allowBlank="1" sqref="S14:S17">
      <formula1>"0,1,2,3,5,8,13,21,34,55,89"</formula1>
    </dataValidation>
    <dataValidation type="list" allowBlank="1" sqref="S2:S3">
      <formula1>"0,1,2,3,5,8,13,21,34,55,89"</formula1>
    </dataValidation>
    <dataValidation type="list" allowBlank="1" sqref="S21">
      <formula1>"0,1,2,3,5,8,13,21,34,55,89"</formula1>
    </dataValidation>
    <dataValidation type="list" allowBlank="1" sqref="S23:S29">
      <formula1>"0,1,2,3,5,8,13,21,34,55,89"</formula1>
    </dataValidation>
    <dataValidation type="list" allowBlank="1" sqref="S36:S37">
      <formula1>"0,1,2,3,5,8,13,21,34,55,89"</formula1>
    </dataValidation>
    <dataValidation type="list" allowBlank="1" sqref="S39:S40">
      <formula1>"0,1,2,3,5,8,13,21,34,55,89"</formula1>
    </dataValidation>
    <dataValidation type="list" allowBlank="1" sqref="S42:S43">
      <formula1>"0,1,2,3,5,8,13,21,34,55,89"</formula1>
    </dataValidation>
    <dataValidation type="list" allowBlank="1" sqref="S46">
      <formula1>"0,1,2,3,5,8,13,21,34,55,89"</formula1>
    </dataValidation>
    <dataValidation type="list" allowBlank="1" sqref="S58:S59">
      <formula1>"0,1,2,3,5,8,13,21,34,55,89"</formula1>
    </dataValidation>
    <dataValidation type="list" allowBlank="1" sqref="S64:S66">
      <formula1>"0,1,2,3,5,8,13,21,34,55,89"</formula1>
    </dataValidation>
    <dataValidation type="list" allowBlank="1" sqref="S72:S1074">
      <formula1>"0,1,2,3,5,8,13,21,34,55,89"</formula1>
    </dataValidation>
    <dataValidation type="list" allowBlank="1" sqref="S9">
      <formula1>"0,1,2,3,5,8,13,21,34,55,89"</formula1>
    </dataValidation>
    <dataValidation type="list" allowBlank="1" sqref="U10:U31">
      <formula1>"0,1,2,3,5,8,13,21,34,55,89"</formula1>
    </dataValidation>
    <dataValidation type="list" allowBlank="1" sqref="U100:U1074">
      <formula1>"0,1,2,3,5,8,13,21,34,55,89"</formula1>
    </dataValidation>
    <dataValidation type="list" allowBlank="1" sqref="U2:U31">
      <formula1>"0,1,2,3,5,8,13,21,34,55,89"</formula1>
    </dataValidation>
    <dataValidation type="list" allowBlank="1" sqref="U36:U71">
      <formula1>"0,1,2,3,5,8,13,21,34,55,89"</formula1>
    </dataValidation>
    <dataValidation type="list" allowBlank="1" sqref="U75:U1074">
      <formula1>"0,1,2,3,5,8,13,21,34,55,89"</formula1>
    </dataValidation>
    <dataValidation type="list" allowBlank="1" sqref="W10:W31">
      <formula1>"0,1,2,3,5,8,13,21,34,55,89"</formula1>
    </dataValidation>
    <dataValidation type="list" allowBlank="1" sqref="W100:W1074">
      <formula1>"0,1,2,3,5,8,13,21,34,55,89"</formula1>
    </dataValidation>
    <dataValidation type="list" allowBlank="1" sqref="W3:W4">
      <formula1>"0,1,2,3,5,8,13,21,34,55,89"</formula1>
    </dataValidation>
    <dataValidation type="list" allowBlank="1" sqref="W36:W63">
      <formula1>"0,1,2,3,5,8,13,21,34,55,89"</formula1>
    </dataValidation>
    <dataValidation type="list" allowBlank="1" sqref="W6:W31">
      <formula1>"0,1,2,3,5,8,13,21,34,55,89"</formula1>
    </dataValidation>
    <dataValidation type="list" allowBlank="1" sqref="W75:W1074">
      <formula1>"0,1,2,3,5,8,13,21,34,55,89"</formula1>
    </dataValidation>
    <dataValidation type="list" allowBlank="1" sqref="Y100:Y1074">
      <formula1>"0,1,2,3,5,8,13,21,34,55,89"</formula1>
    </dataValidation>
    <dataValidation type="list" allowBlank="1" sqref="Y13:Y14">
      <formula1>"0,1,2,3,5,8,13,21,34,55,89"</formula1>
    </dataValidation>
    <dataValidation type="list" allowBlank="1" sqref="Y21:Y22">
      <formula1>"0,1,2,3,5,8,13,21,34,55,89"</formula1>
    </dataValidation>
    <dataValidation type="list" allowBlank="1" sqref="Y24:Y26">
      <formula1>"0,1,2,3,5,8,13,21,34,55,89"</formula1>
    </dataValidation>
    <dataValidation type="list" allowBlank="1" sqref="Y28:Y31">
      <formula1>"0,1,2,3,5,8,13,21,34,55,89"</formula1>
    </dataValidation>
    <dataValidation type="list" allowBlank="1" sqref="Y37:Y44">
      <formula1>"0,1,2,3,5,8,13,21,34,55,89"</formula1>
    </dataValidation>
    <dataValidation type="list" allowBlank="1" sqref="Y4">
      <formula1>"0,1,2,3,5,8,13,21,34,55,89"</formula1>
    </dataValidation>
    <dataValidation type="list" allowBlank="1" sqref="Y46:Y47">
      <formula1>"0,1,2,3,5,8,13,21,34,55,89"</formula1>
    </dataValidation>
    <dataValidation type="list" allowBlank="1" sqref="Y52">
      <formula1>"0,1,2,3,5,8,13,21,34,55,89"</formula1>
    </dataValidation>
    <dataValidation type="list" allowBlank="1" sqref="Y55:Y58">
      <formula1>"0,1,2,3,5,8,13,21,34,55,89"</formula1>
    </dataValidation>
    <dataValidation type="list" allowBlank="1" sqref="Y6">
      <formula1>"0,1,2,3,5,8,13,21,34,55,89"</formula1>
    </dataValidation>
    <dataValidation type="list" allowBlank="1" sqref="Y60:Y63">
      <formula1>"0,1,2,3,5,8,13,21,34,55,89"</formula1>
    </dataValidation>
    <dataValidation type="list" allowBlank="1" sqref="Y75:Y1074">
      <formula1>"0,1,2,3,5,8,13,21,34,55,89"</formula1>
    </dataValidation>
    <dataValidation type="list" allowBlank="1" sqref="Y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8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10">
        <f>SUM(R2:R1006)</f>
      </c>
      <c r="S1" s="2" t="s">
        <v>74</v>
      </c>
      <c r="T1" s="10">
        <f>SUM(T2:T1006)</f>
      </c>
      <c r="U1" s="2" t="s">
        <v>75</v>
      </c>
      <c r="V1" s="10">
        <f>SUM(V2:V1006)</f>
      </c>
      <c r="W1" s="2" t="s">
        <v>76</v>
      </c>
      <c r="X1" s="10">
        <f>SUM(X2:X1006)</f>
      </c>
      <c r="Y1" s="2" t="s">
        <v>77</v>
      </c>
      <c r="Z1" s="10">
        <f>SUM(Z2:Z1006)</f>
      </c>
      <c r="AA1" s="10">
        <f>SUM(AA2:AA1006)</f>
      </c>
      <c r="AB1" s="2" t="s">
        <v>78</v>
      </c>
      <c r="AC1" s="2" t="s">
        <v>79</v>
      </c>
      <c r="AD1" s="2" t="s">
        <v>80</v>
      </c>
      <c r="AE1" s="2" t="s">
        <v>81</v>
      </c>
    </row>
    <row r="2" spans="1:31" s="6" customFormat="1" x14ac:dyDescent="0.25">
      <c r="A2" s="6" t="s">
        <v>93</v>
      </c>
      <c r="B2" s="6" t="s">
        <v>170</v>
      </c>
      <c r="D2" s="6"/>
      <c r="E2" s="6"/>
      <c r="F2" s="6"/>
      <c r="G2" s="6"/>
      <c r="H2" s="6"/>
      <c r="I2" s="6"/>
      <c r="J2" s="6"/>
      <c r="K2" s="6" t="s">
        <v>83</v>
      </c>
      <c r="L2" s="6" t="s">
        <v>84</v>
      </c>
      <c r="M2" s="6"/>
      <c r="N2" s="6"/>
      <c r="O2" s="6"/>
      <c r="P2" s="6"/>
      <c r="Q2" s="11">
        <v>2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2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3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5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8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56</v>
      </c>
      <c r="AD2" s="6" t="s">
        <v>56</v>
      </c>
      <c r="AE2" s="6" t="s">
        <v>56</v>
      </c>
    </row>
    <row r="3" spans="1:31" s="6" customFormat="1" x14ac:dyDescent="0.25">
      <c r="A3" s="6" t="s">
        <v>93</v>
      </c>
      <c r="B3" s="6" t="s">
        <v>97</v>
      </c>
      <c r="D3" s="6"/>
      <c r="E3" s="6"/>
      <c r="F3" s="6"/>
      <c r="G3" s="6"/>
      <c r="H3" s="6"/>
      <c r="I3" s="6"/>
      <c r="J3" s="6"/>
      <c r="K3" s="6" t="s">
        <v>83</v>
      </c>
      <c r="L3" s="6" t="s">
        <v>84</v>
      </c>
      <c r="M3" s="6"/>
      <c r="N3" s="6"/>
      <c r="O3" s="6"/>
      <c r="P3" s="6"/>
      <c r="Q3" s="11"/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/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3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5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5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56</v>
      </c>
      <c r="AD3" s="6" t="s">
        <v>56</v>
      </c>
      <c r="AE3" s="6" t="s">
        <v>56</v>
      </c>
    </row>
    <row r="4" spans="1:31" s="6" customFormat="1" x14ac:dyDescent="0.25">
      <c r="A4" s="6" t="s">
        <v>171</v>
      </c>
      <c r="B4" s="6" t="s">
        <v>172</v>
      </c>
      <c r="D4" s="6"/>
      <c r="E4" s="6"/>
      <c r="F4" s="6"/>
      <c r="G4" s="6"/>
      <c r="H4" s="6"/>
      <c r="I4" s="6"/>
      <c r="J4" s="6"/>
      <c r="K4" s="6" t="s">
        <v>83</v>
      </c>
      <c r="L4" s="6" t="s">
        <v>84</v>
      </c>
      <c r="M4" s="6"/>
      <c r="N4" s="6"/>
      <c r="O4" s="6"/>
      <c r="P4" s="6"/>
      <c r="Q4" s="11">
        <v>2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2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5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5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56</v>
      </c>
      <c r="AD4" s="6" t="s">
        <v>56</v>
      </c>
      <c r="AE4" s="6" t="s">
        <v>56</v>
      </c>
    </row>
    <row r="5" spans="1:31" s="6" customFormat="1" x14ac:dyDescent="0.25">
      <c r="A5" s="6" t="s">
        <v>171</v>
      </c>
      <c r="B5" s="6" t="s">
        <v>173</v>
      </c>
      <c r="D5" s="6"/>
      <c r="E5" s="6"/>
      <c r="F5" s="6"/>
      <c r="G5" s="6"/>
      <c r="H5" s="6"/>
      <c r="I5" s="6"/>
      <c r="J5" s="6"/>
      <c r="K5" s="6" t="s">
        <v>83</v>
      </c>
      <c r="L5" s="6" t="s">
        <v>84</v>
      </c>
      <c r="M5" s="6"/>
      <c r="N5" s="6"/>
      <c r="O5" s="6"/>
      <c r="P5" s="6"/>
      <c r="Q5" s="11">
        <v>2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2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8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3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5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56</v>
      </c>
      <c r="AD5" s="6" t="s">
        <v>56</v>
      </c>
      <c r="AE5" s="6" t="s">
        <v>56</v>
      </c>
    </row>
    <row r="6" spans="1:31" s="6" customFormat="1" x14ac:dyDescent="0.25">
      <c r="A6" s="6" t="s">
        <v>171</v>
      </c>
      <c r="B6" s="6" t="s">
        <v>174</v>
      </c>
      <c r="D6" s="6"/>
      <c r="E6" s="6"/>
      <c r="F6" s="6"/>
      <c r="G6" s="6"/>
      <c r="H6" s="6"/>
      <c r="I6" s="6"/>
      <c r="J6" s="6"/>
      <c r="K6" s="6" t="s">
        <v>83</v>
      </c>
      <c r="L6" s="6" t="s">
        <v>84</v>
      </c>
      <c r="M6" s="6"/>
      <c r="N6" s="6"/>
      <c r="O6" s="6"/>
      <c r="P6" s="6"/>
      <c r="Q6" s="11"/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/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2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5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/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56</v>
      </c>
      <c r="AD6" s="6" t="s">
        <v>56</v>
      </c>
      <c r="AE6" s="6" t="s">
        <v>56</v>
      </c>
    </row>
    <row r="7" spans="1:31" s="6" customFormat="1" x14ac:dyDescent="0.25">
      <c r="A7" s="6" t="s">
        <v>175</v>
      </c>
      <c r="B7" s="6" t="s">
        <v>176</v>
      </c>
      <c r="D7" s="6"/>
      <c r="E7" s="6"/>
      <c r="F7" s="6"/>
      <c r="G7" s="6"/>
      <c r="H7" s="6"/>
      <c r="I7" s="6"/>
      <c r="J7" s="6"/>
      <c r="K7" s="6" t="s">
        <v>83</v>
      </c>
      <c r="L7" s="6" t="s">
        <v>84</v>
      </c>
      <c r="M7" s="6"/>
      <c r="N7" s="6"/>
      <c r="O7" s="6"/>
      <c r="P7" s="6"/>
      <c r="Q7" s="11">
        <v>2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2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5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2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5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56</v>
      </c>
      <c r="AD7" s="6" t="s">
        <v>56</v>
      </c>
      <c r="AE7" s="6" t="s">
        <v>56</v>
      </c>
    </row>
    <row r="8" spans="1:31" s="6" customFormat="1" x14ac:dyDescent="0.25">
      <c r="A8" s="6" t="s">
        <v>175</v>
      </c>
      <c r="B8" s="6" t="s">
        <v>177</v>
      </c>
      <c r="D8" s="6"/>
      <c r="E8" s="6"/>
      <c r="F8" s="6"/>
      <c r="G8" s="6"/>
      <c r="H8" s="6"/>
      <c r="I8" s="6"/>
      <c r="J8" s="6"/>
      <c r="K8" s="6" t="s">
        <v>83</v>
      </c>
      <c r="L8" s="6" t="s">
        <v>84</v>
      </c>
      <c r="M8" s="6"/>
      <c r="N8" s="6"/>
      <c r="O8" s="6"/>
      <c r="P8" s="6"/>
      <c r="Q8" s="11">
        <v>2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2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5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2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/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56</v>
      </c>
      <c r="AD8" s="6" t="s">
        <v>56</v>
      </c>
      <c r="AE8" s="6" t="s">
        <v>56</v>
      </c>
    </row>
    <row r="9" spans="1:31" s="6" customFormat="1" x14ac:dyDescent="0.25">
      <c r="A9" s="6" t="s">
        <v>175</v>
      </c>
      <c r="B9" s="6" t="s">
        <v>178</v>
      </c>
      <c r="D9" s="6"/>
      <c r="E9" s="6"/>
      <c r="F9" s="6"/>
      <c r="G9" s="6"/>
      <c r="H9" s="6"/>
      <c r="I9" s="6"/>
      <c r="J9" s="6"/>
      <c r="K9" s="6" t="s">
        <v>83</v>
      </c>
      <c r="L9" s="6" t="s">
        <v>84</v>
      </c>
      <c r="M9" s="6"/>
      <c r="N9" s="6"/>
      <c r="O9" s="6"/>
      <c r="P9" s="6"/>
      <c r="Q9" s="11">
        <v>2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2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2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2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5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56</v>
      </c>
      <c r="AD9" s="6" t="s">
        <v>56</v>
      </c>
      <c r="AE9" s="6" t="s">
        <v>56</v>
      </c>
    </row>
    <row r="10" spans="1:31" s="6" customFormat="1" x14ac:dyDescent="0.25">
      <c r="A10" s="6" t="s">
        <v>175</v>
      </c>
      <c r="B10" s="6" t="s">
        <v>179</v>
      </c>
      <c r="D10" s="6"/>
      <c r="E10" s="6"/>
      <c r="F10" s="6"/>
      <c r="G10" s="6"/>
      <c r="H10" s="6"/>
      <c r="I10" s="6"/>
      <c r="J10" s="6"/>
      <c r="K10" s="6" t="s">
        <v>83</v>
      </c>
      <c r="L10" s="6" t="s">
        <v>84</v>
      </c>
      <c r="M10" s="6"/>
      <c r="N10" s="6"/>
      <c r="O10" s="6"/>
      <c r="P10" s="6"/>
      <c r="Q10" s="11">
        <v>2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2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2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2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/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56</v>
      </c>
      <c r="AD10" s="6" t="s">
        <v>56</v>
      </c>
      <c r="AE10" s="6" t="s">
        <v>56</v>
      </c>
    </row>
    <row r="11" spans="1:31" s="6" customFormat="1" x14ac:dyDescent="0.25">
      <c r="A11" s="6" t="s">
        <v>175</v>
      </c>
      <c r="B11" s="6" t="s">
        <v>174</v>
      </c>
      <c r="D11" s="6"/>
      <c r="E11" s="6"/>
      <c r="F11" s="6"/>
      <c r="G11" s="6"/>
      <c r="H11" s="6"/>
      <c r="I11" s="6"/>
      <c r="J11" s="6"/>
      <c r="K11" s="6" t="s">
        <v>83</v>
      </c>
      <c r="L11" s="6" t="s">
        <v>84</v>
      </c>
      <c r="M11" s="6"/>
      <c r="N11" s="6"/>
      <c r="O11" s="6"/>
      <c r="P11" s="6"/>
      <c r="Q11" s="11">
        <v>2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2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2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5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/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56</v>
      </c>
      <c r="AD11" s="6" t="s">
        <v>56</v>
      </c>
      <c r="AE11" s="6" t="s">
        <v>56</v>
      </c>
    </row>
    <row r="12" spans="1:31" s="6" customFormat="1" x14ac:dyDescent="0.25">
      <c r="A12" s="6" t="s">
        <v>180</v>
      </c>
      <c r="B12" s="6" t="s">
        <v>181</v>
      </c>
      <c r="D12" s="6"/>
      <c r="E12" s="6"/>
      <c r="F12" s="6"/>
      <c r="G12" s="6"/>
      <c r="H12" s="6"/>
      <c r="I12" s="6"/>
      <c r="J12" s="6"/>
      <c r="K12" s="6" t="s">
        <v>83</v>
      </c>
      <c r="L12" s="6" t="s">
        <v>84</v>
      </c>
      <c r="M12" s="6"/>
      <c r="N12" s="6"/>
      <c r="O12" s="6"/>
      <c r="P12" s="6"/>
      <c r="Q12" s="11">
        <v>3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3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5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2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8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56</v>
      </c>
      <c r="AD12" s="6" t="s">
        <v>56</v>
      </c>
      <c r="AE12" s="6" t="s">
        <v>56</v>
      </c>
    </row>
    <row r="13" spans="1:31" s="6" customFormat="1" x14ac:dyDescent="0.25">
      <c r="A13" s="6" t="s">
        <v>180</v>
      </c>
      <c r="B13" s="6" t="s">
        <v>182</v>
      </c>
      <c r="D13" s="6"/>
      <c r="E13" s="6"/>
      <c r="F13" s="6"/>
      <c r="G13" s="6"/>
      <c r="H13" s="6"/>
      <c r="I13" s="6"/>
      <c r="J13" s="6"/>
      <c r="K13" s="6" t="s">
        <v>83</v>
      </c>
      <c r="L13" s="6" t="s">
        <v>84</v>
      </c>
      <c r="M13" s="6"/>
      <c r="N13" s="6"/>
      <c r="O13" s="6"/>
      <c r="P13" s="6"/>
      <c r="Q13" s="11">
        <v>3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3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3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2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13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56</v>
      </c>
      <c r="AD13" s="6" t="s">
        <v>56</v>
      </c>
      <c r="AE13" s="6" t="s">
        <v>56</v>
      </c>
    </row>
    <row r="14" spans="1:31" s="6" customFormat="1" x14ac:dyDescent="0.25">
      <c r="A14" s="6" t="s">
        <v>183</v>
      </c>
      <c r="B14" s="6" t="s">
        <v>184</v>
      </c>
      <c r="D14" s="6"/>
      <c r="E14" s="6"/>
      <c r="F14" s="6"/>
      <c r="G14" s="6"/>
      <c r="H14" s="6"/>
      <c r="I14" s="6"/>
      <c r="J14" s="6"/>
      <c r="K14" s="6" t="s">
        <v>83</v>
      </c>
      <c r="L14" s="6" t="s">
        <v>84</v>
      </c>
      <c r="M14" s="6"/>
      <c r="N14" s="6"/>
      <c r="O14" s="6"/>
      <c r="P14" s="6"/>
      <c r="Q14" s="11">
        <v>3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3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2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2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3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56</v>
      </c>
      <c r="AD14" s="6" t="s">
        <v>56</v>
      </c>
      <c r="AE14" s="6" t="s">
        <v>56</v>
      </c>
    </row>
    <row r="15" spans="1:31" s="6" customFormat="1" x14ac:dyDescent="0.25">
      <c r="A15" s="6" t="s">
        <v>183</v>
      </c>
      <c r="B15" s="6" t="s">
        <v>185</v>
      </c>
      <c r="D15" s="6"/>
      <c r="E15" s="6"/>
      <c r="F15" s="6"/>
      <c r="G15" s="6"/>
      <c r="H15" s="6"/>
      <c r="I15" s="6"/>
      <c r="J15" s="6"/>
      <c r="K15" s="6" t="s">
        <v>83</v>
      </c>
      <c r="L15" s="6" t="s">
        <v>84</v>
      </c>
      <c r="M15" s="6"/>
      <c r="N15" s="6"/>
      <c r="O15" s="6"/>
      <c r="P15" s="6"/>
      <c r="Q15" s="11">
        <v>2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2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5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5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5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56</v>
      </c>
      <c r="AD15" s="6" t="s">
        <v>56</v>
      </c>
      <c r="AE15" s="6" t="s">
        <v>56</v>
      </c>
    </row>
    <row r="16" spans="1:31" s="6" customFormat="1" x14ac:dyDescent="0.25">
      <c r="A16" s="6" t="s">
        <v>183</v>
      </c>
      <c r="B16" s="6" t="s">
        <v>186</v>
      </c>
      <c r="D16" s="6"/>
      <c r="E16" s="6"/>
      <c r="F16" s="6"/>
      <c r="G16" s="6"/>
      <c r="H16" s="6"/>
      <c r="I16" s="6"/>
      <c r="J16" s="6"/>
      <c r="K16" s="6" t="s">
        <v>83</v>
      </c>
      <c r="L16" s="6" t="s">
        <v>84</v>
      </c>
      <c r="M16" s="6"/>
      <c r="N16" s="6"/>
      <c r="O16" s="6"/>
      <c r="P16" s="6"/>
      <c r="Q16" s="11">
        <v>2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2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2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2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5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56</v>
      </c>
      <c r="AD16" s="6" t="s">
        <v>56</v>
      </c>
      <c r="AE16" s="6" t="s">
        <v>56</v>
      </c>
    </row>
    <row r="17" spans="1:31" s="6" customFormat="1" x14ac:dyDescent="0.25">
      <c r="A17" s="6" t="s">
        <v>183</v>
      </c>
      <c r="B17" s="6" t="s">
        <v>187</v>
      </c>
      <c r="D17" s="6"/>
      <c r="E17" s="6"/>
      <c r="F17" s="6"/>
      <c r="G17" s="6"/>
      <c r="H17" s="6"/>
      <c r="I17" s="6"/>
      <c r="J17" s="6"/>
      <c r="K17" s="6" t="s">
        <v>83</v>
      </c>
      <c r="L17" s="6" t="s">
        <v>84</v>
      </c>
      <c r="M17" s="6"/>
      <c r="N17" s="6"/>
      <c r="O17" s="6"/>
      <c r="P17" s="6"/>
      <c r="Q17" s="11"/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/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2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2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3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56</v>
      </c>
      <c r="AD17" s="6" t="s">
        <v>56</v>
      </c>
      <c r="AE17" s="6" t="s">
        <v>56</v>
      </c>
    </row>
    <row r="18" spans="1:31" s="6" customFormat="1" x14ac:dyDescent="0.25">
      <c r="A18" s="6" t="s">
        <v>183</v>
      </c>
      <c r="B18" s="6" t="s">
        <v>187</v>
      </c>
      <c r="D18" s="6"/>
      <c r="E18" s="6"/>
      <c r="F18" s="6"/>
      <c r="G18" s="6"/>
      <c r="H18" s="6"/>
      <c r="I18" s="6"/>
      <c r="J18" s="6"/>
      <c r="K18" s="6" t="s">
        <v>83</v>
      </c>
      <c r="L18" s="6" t="s">
        <v>84</v>
      </c>
      <c r="M18" s="6"/>
      <c r="N18" s="6"/>
      <c r="O18" s="6"/>
      <c r="P18" s="6"/>
      <c r="Q18" s="11"/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/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2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2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/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56</v>
      </c>
      <c r="AD18" s="6" t="s">
        <v>56</v>
      </c>
      <c r="AE18" s="6" t="s">
        <v>56</v>
      </c>
    </row>
    <row r="19" spans="1:31" s="6" customFormat="1" x14ac:dyDescent="0.25">
      <c r="A19" s="6" t="s">
        <v>188</v>
      </c>
      <c r="B19" s="6" t="s">
        <v>189</v>
      </c>
      <c r="C19" s="6" t="s">
        <v>190</v>
      </c>
      <c r="D19" s="6"/>
      <c r="E19" s="6"/>
      <c r="F19" s="6"/>
      <c r="G19" s="6"/>
      <c r="H19" s="6"/>
      <c r="I19" s="6"/>
      <c r="J19" s="6"/>
      <c r="K19" s="6" t="s">
        <v>83</v>
      </c>
      <c r="L19" s="6" t="s">
        <v>84</v>
      </c>
      <c r="M19" s="6"/>
      <c r="N19" s="6"/>
      <c r="O19" s="6"/>
      <c r="P19" s="6"/>
      <c r="Q19" s="11">
        <v>2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2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8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5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5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56</v>
      </c>
      <c r="AD19" s="6" t="s">
        <v>56</v>
      </c>
      <c r="AE19" s="6" t="s">
        <v>56</v>
      </c>
    </row>
    <row r="20" spans="1:31" s="6" customFormat="1" x14ac:dyDescent="0.25">
      <c r="A20" s="6" t="s">
        <v>188</v>
      </c>
      <c r="B20" s="6" t="s">
        <v>189</v>
      </c>
      <c r="C20" s="6" t="s">
        <v>191</v>
      </c>
      <c r="D20" s="6"/>
      <c r="E20" s="6"/>
      <c r="F20" s="6"/>
      <c r="G20" s="6"/>
      <c r="H20" s="6"/>
      <c r="I20" s="6"/>
      <c r="J20" s="6"/>
      <c r="K20" s="6" t="s">
        <v>83</v>
      </c>
      <c r="L20" s="6" t="s">
        <v>84</v>
      </c>
      <c r="M20" s="6"/>
      <c r="N20" s="6"/>
      <c r="O20" s="6"/>
      <c r="P20" s="6"/>
      <c r="Q20" s="11">
        <v>2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2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5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/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5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56</v>
      </c>
      <c r="AD20" s="6" t="s">
        <v>56</v>
      </c>
      <c r="AE20" s="6" t="s">
        <v>56</v>
      </c>
    </row>
    <row r="21" spans="1:31" s="6" customFormat="1" x14ac:dyDescent="0.25">
      <c r="A21" s="6" t="s">
        <v>188</v>
      </c>
      <c r="B21" s="6" t="s">
        <v>189</v>
      </c>
      <c r="C21" s="6" t="s">
        <v>192</v>
      </c>
      <c r="D21" s="6"/>
      <c r="E21" s="6"/>
      <c r="F21" s="6"/>
      <c r="G21" s="6"/>
      <c r="H21" s="6"/>
      <c r="I21" s="6"/>
      <c r="J21" s="6"/>
      <c r="K21" s="6" t="s">
        <v>83</v>
      </c>
      <c r="L21" s="6" t="s">
        <v>84</v>
      </c>
      <c r="M21" s="6"/>
      <c r="N21" s="6"/>
      <c r="O21" s="6"/>
      <c r="P21" s="6"/>
      <c r="Q21" s="11"/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/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5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/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/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56</v>
      </c>
      <c r="AD21" s="6" t="s">
        <v>56</v>
      </c>
      <c r="AE21" s="6" t="s">
        <v>56</v>
      </c>
    </row>
    <row r="22" spans="1:31" s="6" customFormat="1" x14ac:dyDescent="0.25">
      <c r="A22" s="6" t="s">
        <v>188</v>
      </c>
      <c r="B22" s="6" t="s">
        <v>193</v>
      </c>
      <c r="C22" s="6" t="s">
        <v>194</v>
      </c>
      <c r="D22" s="6"/>
      <c r="E22" s="6"/>
      <c r="F22" s="6"/>
      <c r="G22" s="6"/>
      <c r="H22" s="6"/>
      <c r="I22" s="6"/>
      <c r="J22" s="6"/>
      <c r="K22" s="6" t="s">
        <v>83</v>
      </c>
      <c r="L22" s="6" t="s">
        <v>84</v>
      </c>
      <c r="M22" s="6"/>
      <c r="N22" s="6"/>
      <c r="O22" s="6"/>
      <c r="P22" s="6"/>
      <c r="Q22" s="11">
        <v>2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2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8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5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8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56</v>
      </c>
      <c r="AD22" s="6" t="s">
        <v>56</v>
      </c>
      <c r="AE22" s="6" t="s">
        <v>56</v>
      </c>
    </row>
    <row r="23" spans="1:31" s="6" customFormat="1" x14ac:dyDescent="0.25">
      <c r="A23" s="6" t="s">
        <v>188</v>
      </c>
      <c r="B23" s="6" t="s">
        <v>195</v>
      </c>
      <c r="C23" s="6" t="s">
        <v>196</v>
      </c>
      <c r="D23" s="6"/>
      <c r="E23" s="6"/>
      <c r="F23" s="6"/>
      <c r="G23" s="6"/>
      <c r="H23" s="6"/>
      <c r="I23" s="6"/>
      <c r="J23" s="6"/>
      <c r="K23" s="6" t="s">
        <v>83</v>
      </c>
      <c r="L23" s="6" t="s">
        <v>84</v>
      </c>
      <c r="M23" s="6"/>
      <c r="N23" s="6"/>
      <c r="O23" s="6"/>
      <c r="P23" s="6"/>
      <c r="Q23" s="11">
        <v>5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5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8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8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8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56</v>
      </c>
      <c r="AD23" s="6" t="s">
        <v>56</v>
      </c>
      <c r="AE23" s="6" t="s">
        <v>56</v>
      </c>
    </row>
    <row r="24" spans="1:31" s="6" customFormat="1" x14ac:dyDescent="0.25">
      <c r="A24" s="6" t="s">
        <v>167</v>
      </c>
      <c r="D24" s="6"/>
      <c r="E24" s="6"/>
      <c r="F24" s="6"/>
      <c r="G24" s="6"/>
      <c r="H24" s="6"/>
      <c r="I24" s="6"/>
      <c r="J24" s="6"/>
      <c r="K24" s="6" t="s">
        <v>83</v>
      </c>
      <c r="L24" s="6" t="s">
        <v>84</v>
      </c>
      <c r="M24" s="6"/>
      <c r="N24" s="6"/>
      <c r="O24" s="6"/>
      <c r="P24" s="6"/>
      <c r="Q24" s="11"/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8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/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/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/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56</v>
      </c>
      <c r="AD24" s="6" t="s">
        <v>56</v>
      </c>
      <c r="AE24" s="6" t="s">
        <v>56</v>
      </c>
    </row>
    <row r="25" spans="1:31" s="6" customFormat="1" x14ac:dyDescent="0.25">
      <c r="A25" s="6" t="s">
        <v>169</v>
      </c>
      <c r="D25" s="6"/>
      <c r="E25" s="6"/>
      <c r="F25" s="6"/>
      <c r="G25" s="6"/>
      <c r="H25" s="6"/>
      <c r="I25" s="6"/>
      <c r="J25" s="6"/>
      <c r="K25" s="6" t="s">
        <v>83</v>
      </c>
      <c r="L25" s="6" t="s">
        <v>84</v>
      </c>
      <c r="M25" s="6"/>
      <c r="N25" s="6"/>
      <c r="O25" s="6"/>
      <c r="P25" s="6"/>
      <c r="Q25" s="11"/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8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/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/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/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56</v>
      </c>
      <c r="AD25" s="6" t="s">
        <v>56</v>
      </c>
      <c r="AE25" s="6" t="s">
        <v>56</v>
      </c>
    </row>
    <row r="26" spans="1:26" x14ac:dyDescent="0.25">
      <c r="Q26" s="14"/>
      <c r="R26" s="15"/>
      <c r="S26" s="14"/>
      <c r="T26" s="15"/>
      <c r="U26" s="14"/>
      <c r="V26" s="15"/>
      <c r="W26" s="14"/>
      <c r="X26" s="15"/>
      <c r="Y26" s="14"/>
      <c r="Z26" s="15"/>
    </row>
    <row r="27" spans="1:26" x14ac:dyDescent="0.25">
      <c r="Q27" s="14"/>
      <c r="R27" s="15"/>
      <c r="S27" s="14"/>
      <c r="T27" s="15"/>
      <c r="U27" s="14"/>
      <c r="V27" s="15"/>
      <c r="W27" s="14"/>
      <c r="X27" s="15"/>
      <c r="Y27" s="14"/>
      <c r="Z27" s="15"/>
    </row>
    <row r="28" spans="1:26" x14ac:dyDescent="0.25">
      <c r="Q28" s="14"/>
      <c r="R28" s="15"/>
      <c r="S28" s="14"/>
      <c r="T28" s="15"/>
      <c r="U28" s="14"/>
      <c r="V28" s="15"/>
      <c r="W28" s="14"/>
      <c r="X28" s="15"/>
      <c r="Y28" s="14"/>
      <c r="Z28" s="15"/>
    </row>
    <row r="29" spans="1:26" x14ac:dyDescent="0.25">
      <c r="Q29" s="14"/>
      <c r="R29" s="15"/>
      <c r="S29" s="14"/>
      <c r="T29" s="15"/>
      <c r="U29" s="14"/>
      <c r="V29" s="15"/>
      <c r="W29" s="14"/>
      <c r="X29" s="15"/>
      <c r="Y29" s="14"/>
      <c r="Z29" s="15"/>
    </row>
    <row r="30" spans="1:26" x14ac:dyDescent="0.25">
      <c r="Q30" s="14"/>
      <c r="R30" s="15"/>
      <c r="S30" s="14"/>
      <c r="T30" s="15"/>
      <c r="U30" s="14"/>
      <c r="V30" s="15"/>
      <c r="W30" s="14"/>
      <c r="X30" s="15"/>
      <c r="Y30" s="14"/>
      <c r="Z30" s="15"/>
    </row>
    <row r="31" spans="1:26" x14ac:dyDescent="0.25">
      <c r="Q31" s="14"/>
      <c r="R31" s="15"/>
      <c r="S31" s="14"/>
      <c r="T31" s="15"/>
      <c r="U31" s="14"/>
      <c r="V31" s="15"/>
      <c r="W31" s="14"/>
      <c r="X31" s="15"/>
      <c r="Y31" s="14"/>
      <c r="Z31" s="15"/>
    </row>
    <row r="32" spans="1:26" x14ac:dyDescent="0.25">
      <c r="Q32" s="14"/>
      <c r="R32" s="15"/>
      <c r="S32" s="14"/>
      <c r="T32" s="15"/>
      <c r="U32" s="14"/>
      <c r="V32" s="15"/>
      <c r="W32" s="14"/>
      <c r="X32" s="15"/>
      <c r="Y32" s="14"/>
      <c r="Z32" s="15"/>
    </row>
    <row r="33" spans="1:26" x14ac:dyDescent="0.25">
      <c r="Q33" s="14"/>
      <c r="R33" s="15"/>
      <c r="S33" s="14"/>
      <c r="T33" s="15"/>
      <c r="U33" s="14"/>
      <c r="V33" s="15"/>
      <c r="W33" s="14"/>
      <c r="X33" s="15"/>
      <c r="Y33" s="14"/>
      <c r="Z33" s="15"/>
    </row>
    <row r="34" spans="1:26" x14ac:dyDescent="0.25">
      <c r="Q34" s="14"/>
      <c r="R34" s="15"/>
      <c r="S34" s="14"/>
      <c r="T34" s="15"/>
      <c r="U34" s="14"/>
      <c r="V34" s="15"/>
      <c r="W34" s="14"/>
      <c r="X34" s="15"/>
      <c r="Y34" s="14"/>
      <c r="Z34" s="15"/>
    </row>
    <row r="35" spans="1:26" x14ac:dyDescent="0.25">
      <c r="Q35" s="14"/>
      <c r="R35" s="15"/>
      <c r="S35" s="14"/>
      <c r="T35" s="15"/>
      <c r="U35" s="14"/>
      <c r="V35" s="15"/>
      <c r="W35" s="14"/>
      <c r="X35" s="15"/>
      <c r="Y35" s="14"/>
      <c r="Z35" s="15"/>
    </row>
    <row r="36" spans="1:26" x14ac:dyDescent="0.25">
      <c r="Q36" s="14"/>
      <c r="R36" s="15"/>
      <c r="S36" s="14"/>
      <c r="T36" s="15"/>
      <c r="U36" s="14"/>
      <c r="V36" s="15"/>
      <c r="W36" s="14"/>
      <c r="X36" s="15"/>
      <c r="Y36" s="14"/>
      <c r="Z36" s="15"/>
    </row>
    <row r="37" spans="1:26" x14ac:dyDescent="0.25">
      <c r="Q37" s="14"/>
      <c r="R37" s="15"/>
      <c r="S37" s="14"/>
      <c r="T37" s="15"/>
      <c r="U37" s="14"/>
      <c r="V37" s="15"/>
      <c r="W37" s="14"/>
      <c r="X37" s="15"/>
      <c r="Y37" s="14"/>
      <c r="Z37" s="15"/>
    </row>
    <row r="38" spans="1:26" x14ac:dyDescent="0.25">
      <c r="Q38" s="14"/>
      <c r="R38" s="15"/>
      <c r="S38" s="14"/>
      <c r="T38" s="15"/>
      <c r="U38" s="14"/>
      <c r="V38" s="15"/>
      <c r="W38" s="14"/>
      <c r="X38" s="15"/>
      <c r="Y38" s="14"/>
      <c r="Z38" s="15"/>
    </row>
    <row r="39" spans="1:26" x14ac:dyDescent="0.25">
      <c r="Q39" s="14"/>
      <c r="R39" s="15"/>
      <c r="S39" s="14"/>
      <c r="T39" s="15"/>
      <c r="U39" s="14"/>
      <c r="V39" s="15"/>
      <c r="W39" s="14"/>
      <c r="X39" s="15"/>
      <c r="Y39" s="14"/>
      <c r="Z39" s="15"/>
    </row>
    <row r="40" spans="1:26" x14ac:dyDescent="0.25">
      <c r="Q40" s="14"/>
      <c r="R40" s="15"/>
      <c r="S40" s="14"/>
      <c r="T40" s="15"/>
      <c r="U40" s="14"/>
      <c r="V40" s="15"/>
      <c r="W40" s="14"/>
      <c r="X40" s="15"/>
      <c r="Y40" s="14"/>
      <c r="Z40" s="15"/>
    </row>
    <row r="41" spans="1:26" x14ac:dyDescent="0.25">
      <c r="Q41" s="14"/>
      <c r="R41" s="15"/>
      <c r="S41" s="14"/>
      <c r="T41" s="15"/>
      <c r="U41" s="14"/>
      <c r="V41" s="15"/>
      <c r="W41" s="14"/>
      <c r="X41" s="15"/>
      <c r="Y41" s="14"/>
      <c r="Z41" s="15"/>
    </row>
    <row r="42" spans="1:26" x14ac:dyDescent="0.25">
      <c r="Q42" s="14"/>
      <c r="R42" s="15"/>
      <c r="S42" s="14"/>
      <c r="T42" s="15"/>
      <c r="U42" s="14"/>
      <c r="V42" s="15"/>
      <c r="W42" s="14"/>
      <c r="X42" s="15"/>
      <c r="Y42" s="14"/>
      <c r="Z42" s="15"/>
    </row>
    <row r="43" spans="1:26" x14ac:dyDescent="0.25">
      <c r="Q43" s="14"/>
      <c r="R43" s="15"/>
      <c r="S43" s="14"/>
      <c r="T43" s="15"/>
      <c r="U43" s="14"/>
      <c r="V43" s="15"/>
      <c r="W43" s="14"/>
      <c r="X43" s="15"/>
      <c r="Y43" s="14"/>
      <c r="Z43" s="15"/>
    </row>
    <row r="44" spans="1:26" x14ac:dyDescent="0.25">
      <c r="Q44" s="14"/>
      <c r="R44" s="15"/>
      <c r="S44" s="14"/>
      <c r="T44" s="15"/>
      <c r="U44" s="14"/>
      <c r="V44" s="15"/>
      <c r="W44" s="14"/>
      <c r="X44" s="15"/>
      <c r="Y44" s="14"/>
      <c r="Z44" s="15"/>
    </row>
    <row r="45" spans="1:26" x14ac:dyDescent="0.25">
      <c r="Q45" s="14"/>
      <c r="R45" s="15"/>
      <c r="S45" s="14"/>
      <c r="T45" s="15"/>
      <c r="U45" s="14"/>
      <c r="V45" s="15"/>
      <c r="W45" s="14"/>
      <c r="X45" s="15"/>
      <c r="Y45" s="14"/>
      <c r="Z45" s="15"/>
    </row>
    <row r="46" spans="1:26" x14ac:dyDescent="0.25">
      <c r="Q46" s="14"/>
      <c r="R46" s="15"/>
      <c r="S46" s="14"/>
      <c r="T46" s="15"/>
      <c r="U46" s="14"/>
      <c r="V46" s="15"/>
      <c r="W46" s="14"/>
      <c r="X46" s="15"/>
      <c r="Y46" s="14"/>
      <c r="Z46" s="15"/>
    </row>
    <row r="47" spans="1:26" x14ac:dyDescent="0.25">
      <c r="Q47" s="14"/>
      <c r="R47" s="15"/>
      <c r="S47" s="14"/>
      <c r="T47" s="15"/>
      <c r="U47" s="14"/>
      <c r="V47" s="15"/>
      <c r="W47" s="14"/>
      <c r="X47" s="15"/>
      <c r="Y47" s="14"/>
      <c r="Z47" s="15"/>
    </row>
    <row r="48" spans="1:26" x14ac:dyDescent="0.25">
      <c r="Q48" s="14"/>
      <c r="R48" s="15"/>
      <c r="S48" s="14"/>
      <c r="T48" s="15"/>
      <c r="U48" s="14"/>
      <c r="V48" s="15"/>
      <c r="W48" s="14"/>
      <c r="X48" s="15"/>
      <c r="Y48" s="14"/>
      <c r="Z48" s="15"/>
    </row>
    <row r="49" spans="1:26" x14ac:dyDescent="0.25">
      <c r="Q49" s="14"/>
      <c r="R49" s="15"/>
      <c r="S49" s="14"/>
      <c r="T49" s="15"/>
      <c r="U49" s="14"/>
      <c r="V49" s="15"/>
      <c r="W49" s="14"/>
      <c r="X49" s="15"/>
      <c r="Y49" s="14"/>
      <c r="Z49" s="15"/>
    </row>
    <row r="50" spans="1:26" x14ac:dyDescent="0.25">
      <c r="Q50" s="14"/>
      <c r="R50" s="15"/>
      <c r="S50" s="14"/>
      <c r="T50" s="15"/>
      <c r="U50" s="14"/>
      <c r="V50" s="15"/>
      <c r="W50" s="14"/>
      <c r="X50" s="15"/>
      <c r="Y50" s="14"/>
      <c r="Z50" s="15"/>
    </row>
    <row r="51" spans="1:26" x14ac:dyDescent="0.25">
      <c r="Q51" s="14"/>
      <c r="R51" s="15"/>
      <c r="S51" s="14"/>
      <c r="T51" s="15"/>
      <c r="U51" s="14"/>
      <c r="V51" s="15"/>
      <c r="W51" s="14"/>
      <c r="X51" s="15"/>
      <c r="Y51" s="14"/>
      <c r="Z51" s="15"/>
    </row>
    <row r="52" spans="1:26" x14ac:dyDescent="0.25">
      <c r="Q52" s="14"/>
      <c r="R52" s="15"/>
      <c r="S52" s="14"/>
      <c r="T52" s="15"/>
      <c r="U52" s="14"/>
      <c r="V52" s="15"/>
      <c r="W52" s="14"/>
      <c r="X52" s="15"/>
      <c r="Y52" s="14"/>
      <c r="Z52" s="15"/>
    </row>
    <row r="53" spans="1:26" x14ac:dyDescent="0.25">
      <c r="Q53" s="14"/>
      <c r="R53" s="15"/>
      <c r="S53" s="14"/>
      <c r="T53" s="15"/>
      <c r="U53" s="14"/>
      <c r="V53" s="15"/>
      <c r="W53" s="14"/>
      <c r="X53" s="15"/>
      <c r="Y53" s="14"/>
      <c r="Z53" s="15"/>
    </row>
    <row r="54" spans="1:26" x14ac:dyDescent="0.25">
      <c r="Q54" s="14"/>
      <c r="R54" s="15"/>
      <c r="S54" s="14"/>
      <c r="T54" s="15"/>
      <c r="U54" s="14"/>
      <c r="V54" s="15"/>
      <c r="W54" s="14"/>
      <c r="X54" s="15"/>
      <c r="Y54" s="14"/>
      <c r="Z54" s="15"/>
    </row>
    <row r="55" spans="1:26" x14ac:dyDescent="0.25">
      <c r="Q55" s="14"/>
      <c r="R55" s="15"/>
      <c r="S55" s="14"/>
      <c r="T55" s="15"/>
      <c r="U55" s="14"/>
      <c r="V55" s="15"/>
      <c r="W55" s="14"/>
      <c r="X55" s="15"/>
      <c r="Y55" s="14"/>
      <c r="Z55" s="15"/>
    </row>
    <row r="56" spans="1:26" x14ac:dyDescent="0.25">
      <c r="Q56" s="14"/>
      <c r="R56" s="15"/>
      <c r="S56" s="14"/>
      <c r="T56" s="15"/>
      <c r="U56" s="14"/>
      <c r="V56" s="15"/>
      <c r="W56" s="14"/>
      <c r="X56" s="15"/>
      <c r="Y56" s="14"/>
      <c r="Z56" s="15"/>
    </row>
    <row r="57" spans="1:26" x14ac:dyDescent="0.25">
      <c r="Q57" s="14"/>
      <c r="R57" s="15"/>
      <c r="S57" s="14"/>
      <c r="T57" s="15"/>
      <c r="U57" s="14"/>
      <c r="V57" s="15"/>
      <c r="W57" s="14"/>
      <c r="X57" s="15"/>
      <c r="Y57" s="14"/>
      <c r="Z57" s="15"/>
    </row>
    <row r="58" spans="1:26" x14ac:dyDescent="0.25">
      <c r="Q58" s="14"/>
      <c r="R58" s="15"/>
      <c r="S58" s="14"/>
      <c r="T58" s="15"/>
      <c r="U58" s="14"/>
      <c r="V58" s="15"/>
      <c r="W58" s="14"/>
      <c r="X58" s="15"/>
      <c r="Y58" s="14"/>
      <c r="Z58" s="15"/>
    </row>
    <row r="59" spans="1:26" x14ac:dyDescent="0.25">
      <c r="Q59" s="14"/>
      <c r="R59" s="15"/>
      <c r="S59" s="14"/>
      <c r="T59" s="15"/>
      <c r="U59" s="14"/>
      <c r="V59" s="15"/>
      <c r="W59" s="14"/>
      <c r="X59" s="15"/>
      <c r="Y59" s="14"/>
      <c r="Z59" s="15"/>
    </row>
    <row r="60" spans="1:26" x14ac:dyDescent="0.25">
      <c r="Q60" s="14"/>
      <c r="R60" s="15"/>
      <c r="S60" s="14"/>
      <c r="T60" s="15"/>
      <c r="U60" s="14"/>
      <c r="V60" s="15"/>
      <c r="W60" s="14"/>
      <c r="X60" s="15"/>
      <c r="Y60" s="14"/>
      <c r="Z60" s="15"/>
    </row>
    <row r="61" spans="1:26" x14ac:dyDescent="0.25">
      <c r="Q61" s="14"/>
      <c r="R61" s="15"/>
      <c r="S61" s="14"/>
      <c r="T61" s="15"/>
      <c r="U61" s="14"/>
      <c r="V61" s="15"/>
      <c r="W61" s="14"/>
      <c r="X61" s="15"/>
      <c r="Y61" s="14"/>
      <c r="Z61" s="15"/>
    </row>
    <row r="62" spans="1:26" x14ac:dyDescent="0.25">
      <c r="Q62" s="14"/>
      <c r="R62" s="15"/>
      <c r="S62" s="14"/>
      <c r="T62" s="15"/>
      <c r="U62" s="14"/>
      <c r="V62" s="15"/>
      <c r="W62" s="14"/>
      <c r="X62" s="15"/>
      <c r="Y62" s="14"/>
      <c r="Z62" s="15"/>
    </row>
    <row r="63" spans="1:26" x14ac:dyDescent="0.25">
      <c r="Q63" s="14"/>
      <c r="R63" s="15"/>
      <c r="S63" s="14"/>
      <c r="T63" s="15"/>
      <c r="U63" s="14"/>
      <c r="V63" s="15"/>
      <c r="W63" s="14"/>
      <c r="X63" s="15"/>
      <c r="Y63" s="14"/>
      <c r="Z63" s="15"/>
    </row>
    <row r="64" spans="1:26" x14ac:dyDescent="0.25">
      <c r="Q64" s="14"/>
      <c r="R64" s="15"/>
      <c r="S64" s="14"/>
      <c r="T64" s="15"/>
      <c r="U64" s="14"/>
      <c r="V64" s="15"/>
      <c r="W64" s="14"/>
      <c r="X64" s="15"/>
      <c r="Y64" s="14"/>
      <c r="Z64" s="15"/>
    </row>
    <row r="65" spans="1:26" x14ac:dyDescent="0.25">
      <c r="Q65" s="14"/>
      <c r="R65" s="15"/>
      <c r="S65" s="14"/>
      <c r="T65" s="15"/>
      <c r="U65" s="14"/>
      <c r="V65" s="15"/>
      <c r="W65" s="14"/>
      <c r="X65" s="15"/>
      <c r="Y65" s="14"/>
      <c r="Z65" s="15"/>
    </row>
    <row r="66" spans="1:26" x14ac:dyDescent="0.25">
      <c r="Q66" s="14"/>
      <c r="R66" s="15"/>
      <c r="S66" s="14"/>
      <c r="T66" s="15"/>
      <c r="U66" s="14"/>
      <c r="V66" s="15"/>
      <c r="W66" s="14"/>
      <c r="X66" s="15"/>
      <c r="Y66" s="14"/>
      <c r="Z66" s="15"/>
    </row>
    <row r="67" spans="1:26" x14ac:dyDescent="0.25">
      <c r="Q67" s="14"/>
      <c r="R67" s="15"/>
      <c r="S67" s="14"/>
      <c r="T67" s="15"/>
      <c r="U67" s="14"/>
      <c r="V67" s="15"/>
      <c r="W67" s="14"/>
      <c r="X67" s="15"/>
      <c r="Y67" s="14"/>
      <c r="Z67" s="15"/>
    </row>
    <row r="68" spans="1:26" x14ac:dyDescent="0.25">
      <c r="Q68" s="14"/>
      <c r="R68" s="15"/>
      <c r="S68" s="14"/>
      <c r="T68" s="15"/>
      <c r="U68" s="14"/>
      <c r="V68" s="15"/>
      <c r="W68" s="14"/>
      <c r="X68" s="15"/>
      <c r="Y68" s="14"/>
      <c r="Z68" s="15"/>
    </row>
    <row r="69" spans="1:26" x14ac:dyDescent="0.25">
      <c r="Q69" s="14"/>
      <c r="R69" s="15"/>
      <c r="S69" s="14"/>
      <c r="T69" s="15"/>
      <c r="U69" s="14"/>
      <c r="V69" s="15"/>
      <c r="W69" s="14"/>
      <c r="X69" s="15"/>
      <c r="Y69" s="14"/>
      <c r="Z69" s="15"/>
    </row>
    <row r="70" spans="1:26" x14ac:dyDescent="0.25">
      <c r="Q70" s="14"/>
      <c r="R70" s="15"/>
      <c r="S70" s="14"/>
      <c r="T70" s="15"/>
      <c r="U70" s="14"/>
      <c r="V70" s="15"/>
      <c r="W70" s="14"/>
      <c r="X70" s="15"/>
      <c r="Y70" s="14"/>
      <c r="Z70" s="15"/>
    </row>
    <row r="71" spans="1:26" x14ac:dyDescent="0.25">
      <c r="Q71" s="14"/>
      <c r="R71" s="15"/>
      <c r="S71" s="14"/>
      <c r="T71" s="15"/>
      <c r="U71" s="14"/>
      <c r="V71" s="15"/>
      <c r="W71" s="14"/>
      <c r="X71" s="15"/>
      <c r="Y71" s="14"/>
      <c r="Z71" s="15"/>
    </row>
    <row r="72" spans="1:26" x14ac:dyDescent="0.25">
      <c r="Q72" s="14"/>
      <c r="R72" s="15"/>
      <c r="S72" s="14"/>
      <c r="T72" s="15"/>
      <c r="U72" s="14"/>
      <c r="V72" s="15"/>
      <c r="W72" s="14"/>
      <c r="X72" s="15"/>
      <c r="Y72" s="14"/>
      <c r="Z72" s="15"/>
    </row>
    <row r="73" spans="1:26" x14ac:dyDescent="0.25">
      <c r="Q73" s="14"/>
      <c r="R73" s="15"/>
      <c r="S73" s="14"/>
      <c r="T73" s="15"/>
      <c r="U73" s="14"/>
      <c r="V73" s="15"/>
      <c r="W73" s="14"/>
      <c r="X73" s="15"/>
      <c r="Y73" s="14"/>
      <c r="Z73" s="15"/>
    </row>
    <row r="74" spans="1:26" x14ac:dyDescent="0.25">
      <c r="Q74" s="14"/>
      <c r="R74" s="15"/>
      <c r="S74" s="14"/>
      <c r="T74" s="15"/>
      <c r="U74" s="14"/>
      <c r="V74" s="15"/>
      <c r="W74" s="14"/>
      <c r="X74" s="15"/>
      <c r="Y74" s="14"/>
      <c r="Z74" s="15"/>
    </row>
    <row r="75" spans="1:26" x14ac:dyDescent="0.25">
      <c r="Q75" s="14"/>
      <c r="R75" s="15"/>
      <c r="S75" s="14"/>
      <c r="T75" s="15"/>
      <c r="U75" s="14"/>
      <c r="V75" s="15"/>
      <c r="W75" s="14"/>
      <c r="X75" s="15"/>
      <c r="Y75" s="14"/>
      <c r="Z75" s="15"/>
    </row>
    <row r="76" spans="1:26" x14ac:dyDescent="0.25">
      <c r="Q76" s="14"/>
      <c r="R76" s="15"/>
      <c r="S76" s="14"/>
      <c r="T76" s="15"/>
      <c r="U76" s="14"/>
      <c r="V76" s="15"/>
      <c r="W76" s="14"/>
      <c r="X76" s="15"/>
      <c r="Y76" s="14"/>
      <c r="Z76" s="15"/>
    </row>
    <row r="77" spans="1:26" x14ac:dyDescent="0.25">
      <c r="Q77" s="14"/>
      <c r="R77" s="15"/>
      <c r="S77" s="14"/>
      <c r="T77" s="15"/>
      <c r="U77" s="14"/>
      <c r="V77" s="15"/>
      <c r="W77" s="14"/>
      <c r="X77" s="15"/>
      <c r="Y77" s="14"/>
      <c r="Z77" s="15"/>
    </row>
    <row r="78" spans="1:26" x14ac:dyDescent="0.25">
      <c r="Q78" s="14"/>
      <c r="R78" s="15"/>
      <c r="S78" s="14"/>
      <c r="T78" s="15"/>
      <c r="U78" s="14"/>
      <c r="V78" s="15"/>
      <c r="W78" s="14"/>
      <c r="X78" s="15"/>
      <c r="Y78" s="14"/>
      <c r="Z78" s="15"/>
    </row>
    <row r="79" spans="1:26" x14ac:dyDescent="0.25">
      <c r="Q79" s="14"/>
      <c r="R79" s="15"/>
      <c r="S79" s="14"/>
      <c r="T79" s="15"/>
      <c r="U79" s="14"/>
      <c r="V79" s="15"/>
      <c r="W79" s="14"/>
      <c r="X79" s="15"/>
      <c r="Y79" s="14"/>
      <c r="Z79" s="15"/>
    </row>
    <row r="80" spans="1:26" x14ac:dyDescent="0.25">
      <c r="Q80" s="14"/>
      <c r="R80" s="15"/>
      <c r="S80" s="14"/>
      <c r="T80" s="15"/>
      <c r="U80" s="14"/>
      <c r="V80" s="15"/>
      <c r="W80" s="14"/>
      <c r="X80" s="15"/>
      <c r="Y80" s="14"/>
      <c r="Z80" s="15"/>
    </row>
    <row r="81" spans="1:26" x14ac:dyDescent="0.25">
      <c r="Q81" s="14"/>
      <c r="R81" s="15"/>
      <c r="S81" s="14"/>
      <c r="T81" s="15"/>
      <c r="U81" s="14"/>
      <c r="V81" s="15"/>
      <c r="W81" s="14"/>
      <c r="X81" s="15"/>
      <c r="Y81" s="14"/>
      <c r="Z81" s="15"/>
    </row>
    <row r="82" spans="1:26" x14ac:dyDescent="0.25">
      <c r="Q82" s="14"/>
      <c r="R82" s="15"/>
      <c r="S82" s="14"/>
      <c r="T82" s="15"/>
      <c r="U82" s="14"/>
      <c r="V82" s="15"/>
      <c r="W82" s="14"/>
      <c r="X82" s="15"/>
      <c r="Y82" s="14"/>
      <c r="Z82" s="15"/>
    </row>
    <row r="83" spans="1:26" x14ac:dyDescent="0.25">
      <c r="Q83" s="14"/>
      <c r="R83" s="15"/>
      <c r="S83" s="14"/>
      <c r="T83" s="15"/>
      <c r="U83" s="14"/>
      <c r="V83" s="15"/>
      <c r="W83" s="14"/>
      <c r="X83" s="15"/>
      <c r="Y83" s="14"/>
      <c r="Z83" s="15"/>
    </row>
    <row r="84" spans="1:26" x14ac:dyDescent="0.25">
      <c r="Q84" s="14"/>
      <c r="R84" s="15"/>
      <c r="S84" s="14"/>
      <c r="T84" s="15"/>
      <c r="U84" s="14"/>
      <c r="V84" s="15"/>
      <c r="W84" s="14"/>
      <c r="X84" s="15"/>
      <c r="Y84" s="14"/>
      <c r="Z84" s="15"/>
    </row>
    <row r="85" spans="1:26" x14ac:dyDescent="0.25">
      <c r="Q85" s="14"/>
      <c r="R85" s="15"/>
      <c r="S85" s="14"/>
      <c r="T85" s="15"/>
      <c r="U85" s="14"/>
      <c r="V85" s="15"/>
      <c r="W85" s="14"/>
      <c r="X85" s="15"/>
      <c r="Y85" s="14"/>
      <c r="Z85" s="15"/>
    </row>
    <row r="86" spans="1:26" x14ac:dyDescent="0.25">
      <c r="Q86" s="14"/>
      <c r="R86" s="15"/>
      <c r="S86" s="14"/>
      <c r="T86" s="15"/>
      <c r="U86" s="14"/>
      <c r="V86" s="15"/>
      <c r="W86" s="14"/>
      <c r="X86" s="15"/>
      <c r="Y86" s="14"/>
      <c r="Z86" s="15"/>
    </row>
    <row r="87" spans="1:26" x14ac:dyDescent="0.25">
      <c r="Q87" s="14"/>
      <c r="R87" s="15"/>
      <c r="S87" s="14"/>
      <c r="T87" s="15"/>
      <c r="U87" s="14"/>
      <c r="V87" s="15"/>
      <c r="W87" s="14"/>
      <c r="X87" s="15"/>
      <c r="Y87" s="14"/>
      <c r="Z87" s="15"/>
    </row>
    <row r="88" spans="1:26" x14ac:dyDescent="0.25">
      <c r="Q88" s="14"/>
      <c r="R88" s="15"/>
      <c r="S88" s="14"/>
      <c r="T88" s="15"/>
      <c r="U88" s="14"/>
      <c r="V88" s="15"/>
      <c r="W88" s="14"/>
      <c r="X88" s="15"/>
      <c r="Y88" s="14"/>
      <c r="Z88" s="15"/>
    </row>
    <row r="89" spans="1:26" x14ac:dyDescent="0.25">
      <c r="Q89" s="14"/>
      <c r="R89" s="15"/>
      <c r="S89" s="14"/>
      <c r="T89" s="15"/>
      <c r="U89" s="14"/>
      <c r="V89" s="15"/>
      <c r="W89" s="14"/>
      <c r="X89" s="15"/>
      <c r="Y89" s="14"/>
      <c r="Z89" s="15"/>
    </row>
    <row r="90" spans="1:26" x14ac:dyDescent="0.25">
      <c r="Q90" s="14"/>
      <c r="R90" s="15"/>
      <c r="S90" s="14"/>
      <c r="T90" s="15"/>
      <c r="U90" s="14"/>
      <c r="V90" s="15"/>
      <c r="W90" s="14"/>
      <c r="X90" s="15"/>
      <c r="Y90" s="14"/>
      <c r="Z90" s="15"/>
    </row>
    <row r="91" spans="1:26" x14ac:dyDescent="0.25">
      <c r="Q91" s="14"/>
      <c r="R91" s="15"/>
      <c r="S91" s="14"/>
      <c r="T91" s="15"/>
      <c r="U91" s="14"/>
      <c r="V91" s="15"/>
      <c r="W91" s="14"/>
      <c r="X91" s="15"/>
      <c r="Y91" s="14"/>
      <c r="Z91" s="15"/>
    </row>
    <row r="92" spans="1:26" x14ac:dyDescent="0.25">
      <c r="Q92" s="14"/>
      <c r="R92" s="15"/>
      <c r="S92" s="14"/>
      <c r="T92" s="15"/>
      <c r="U92" s="14"/>
      <c r="V92" s="15"/>
      <c r="W92" s="14"/>
      <c r="X92" s="15"/>
      <c r="Y92" s="14"/>
      <c r="Z92" s="15"/>
    </row>
    <row r="93" spans="1:26" x14ac:dyDescent="0.25">
      <c r="Q93" s="14"/>
      <c r="R93" s="15"/>
      <c r="S93" s="14"/>
      <c r="T93" s="15"/>
      <c r="U93" s="14"/>
      <c r="V93" s="15"/>
      <c r="W93" s="14"/>
      <c r="X93" s="15"/>
      <c r="Y93" s="14"/>
      <c r="Z93" s="15"/>
    </row>
    <row r="94" spans="1:26" x14ac:dyDescent="0.25">
      <c r="Q94" s="14"/>
      <c r="R94" s="15"/>
      <c r="S94" s="14"/>
      <c r="T94" s="15"/>
      <c r="U94" s="14"/>
      <c r="V94" s="15"/>
      <c r="W94" s="14"/>
      <c r="X94" s="15"/>
      <c r="Y94" s="14"/>
      <c r="Z94" s="15"/>
    </row>
    <row r="95" spans="1:26" x14ac:dyDescent="0.25">
      <c r="Q95" s="14"/>
      <c r="R95" s="15"/>
      <c r="S95" s="14"/>
      <c r="T95" s="15"/>
      <c r="U95" s="14"/>
      <c r="V95" s="15"/>
      <c r="W95" s="14"/>
      <c r="X95" s="15"/>
      <c r="Y95" s="14"/>
      <c r="Z95" s="15"/>
    </row>
    <row r="96" spans="1:26" x14ac:dyDescent="0.25">
      <c r="Q96" s="14"/>
      <c r="R96" s="15"/>
      <c r="S96" s="14"/>
      <c r="T96" s="15"/>
      <c r="U96" s="14"/>
      <c r="V96" s="15"/>
      <c r="W96" s="14"/>
      <c r="X96" s="15"/>
      <c r="Y96" s="14"/>
      <c r="Z96" s="15"/>
    </row>
    <row r="97" spans="1:26" x14ac:dyDescent="0.25">
      <c r="Q97" s="14"/>
      <c r="R97" s="15"/>
      <c r="S97" s="14"/>
      <c r="T97" s="15"/>
      <c r="U97" s="14"/>
      <c r="V97" s="15"/>
      <c r="W97" s="14"/>
      <c r="X97" s="15"/>
      <c r="Y97" s="14"/>
      <c r="Z97" s="15"/>
    </row>
    <row r="98" spans="1:26" x14ac:dyDescent="0.25">
      <c r="Q98" s="14"/>
      <c r="R98" s="15"/>
      <c r="S98" s="14"/>
      <c r="T98" s="15"/>
      <c r="U98" s="14"/>
      <c r="V98" s="15"/>
      <c r="W98" s="14"/>
      <c r="X98" s="15"/>
      <c r="Y98" s="14"/>
      <c r="Z98" s="15"/>
    </row>
    <row r="99" spans="1:26" x14ac:dyDescent="0.25">
      <c r="Q99" s="14"/>
      <c r="R99" s="15"/>
      <c r="S99" s="14"/>
      <c r="T99" s="15"/>
      <c r="U99" s="14"/>
      <c r="V99" s="15"/>
      <c r="W99" s="14"/>
      <c r="X99" s="15"/>
      <c r="Y99" s="14"/>
      <c r="Z99" s="15"/>
    </row>
    <row r="100" spans="1:26" x14ac:dyDescent="0.25">
      <c r="Q100" s="14"/>
      <c r="R100" s="15"/>
      <c r="S100" s="14"/>
      <c r="T100" s="15"/>
      <c r="U100" s="14"/>
      <c r="V100" s="15"/>
      <c r="W100" s="14"/>
      <c r="X100" s="15"/>
      <c r="Y100" s="14"/>
      <c r="Z100" s="15"/>
    </row>
    <row r="101" spans="1:26" x14ac:dyDescent="0.25">
      <c r="Q101" s="14"/>
      <c r="R101" s="15"/>
      <c r="S101" s="14"/>
      <c r="T101" s="15"/>
      <c r="U101" s="14"/>
      <c r="V101" s="15"/>
      <c r="W101" s="14"/>
      <c r="X101" s="15"/>
      <c r="Y101" s="14"/>
      <c r="Z101" s="15"/>
    </row>
    <row r="102" spans="1:26" x14ac:dyDescent="0.25">
      <c r="Q102" s="14"/>
      <c r="R102" s="15"/>
      <c r="S102" s="14"/>
      <c r="T102" s="15"/>
      <c r="U102" s="14"/>
      <c r="V102" s="15"/>
      <c r="W102" s="14"/>
      <c r="X102" s="15"/>
      <c r="Y102" s="14"/>
      <c r="Z102" s="15"/>
    </row>
    <row r="103" spans="1:26" x14ac:dyDescent="0.25">
      <c r="Q103" s="14"/>
      <c r="R103" s="15"/>
      <c r="S103" s="14"/>
      <c r="T103" s="15"/>
      <c r="U103" s="14"/>
      <c r="V103" s="15"/>
      <c r="W103" s="14"/>
      <c r="X103" s="15"/>
      <c r="Y103" s="14"/>
      <c r="Z103" s="15"/>
    </row>
    <row r="104" spans="1:26" x14ac:dyDescent="0.25">
      <c r="Q104" s="14"/>
      <c r="R104" s="15"/>
      <c r="S104" s="14"/>
      <c r="T104" s="15"/>
      <c r="U104" s="14"/>
      <c r="V104" s="15"/>
      <c r="W104" s="14"/>
      <c r="X104" s="15"/>
      <c r="Y104" s="14"/>
      <c r="Z104" s="15"/>
    </row>
    <row r="105" spans="1:26" x14ac:dyDescent="0.25">
      <c r="Q105" s="14"/>
      <c r="R105" s="15"/>
      <c r="S105" s="14"/>
      <c r="T105" s="15"/>
      <c r="U105" s="14"/>
      <c r="V105" s="15"/>
      <c r="W105" s="14"/>
      <c r="X105" s="15"/>
      <c r="Y105" s="14"/>
      <c r="Z105" s="15"/>
    </row>
    <row r="106" spans="1:26" x14ac:dyDescent="0.25">
      <c r="Q106" s="14"/>
      <c r="R106" s="15"/>
      <c r="S106" s="14"/>
      <c r="T106" s="15"/>
      <c r="U106" s="14"/>
      <c r="V106" s="15"/>
      <c r="W106" s="14"/>
      <c r="X106" s="15"/>
      <c r="Y106" s="14"/>
      <c r="Z106" s="15"/>
    </row>
    <row r="107" spans="1:26" x14ac:dyDescent="0.25">
      <c r="Q107" s="14"/>
      <c r="R107" s="15"/>
      <c r="S107" s="14"/>
      <c r="T107" s="15"/>
      <c r="U107" s="14"/>
      <c r="V107" s="15"/>
      <c r="W107" s="14"/>
      <c r="X107" s="15"/>
      <c r="Y107" s="14"/>
      <c r="Z107" s="15"/>
    </row>
    <row r="108" spans="1:26" x14ac:dyDescent="0.25">
      <c r="Q108" s="14"/>
      <c r="R108" s="15"/>
      <c r="S108" s="14"/>
      <c r="T108" s="15"/>
      <c r="U108" s="14"/>
      <c r="V108" s="15"/>
      <c r="W108" s="14"/>
      <c r="X108" s="15"/>
      <c r="Y108" s="14"/>
      <c r="Z108" s="15"/>
    </row>
    <row r="109" spans="1:26" x14ac:dyDescent="0.25">
      <c r="Q109" s="14"/>
      <c r="R109" s="15"/>
      <c r="S109" s="14"/>
      <c r="T109" s="15"/>
      <c r="U109" s="14"/>
      <c r="V109" s="15"/>
      <c r="W109" s="14"/>
      <c r="X109" s="15"/>
      <c r="Y109" s="14"/>
      <c r="Z109" s="15"/>
    </row>
    <row r="110" spans="1:26" x14ac:dyDescent="0.25">
      <c r="Q110" s="14"/>
      <c r="R110" s="15"/>
      <c r="S110" s="14"/>
      <c r="T110" s="15"/>
      <c r="U110" s="14"/>
      <c r="V110" s="15"/>
      <c r="W110" s="14"/>
      <c r="X110" s="15"/>
      <c r="Y110" s="14"/>
      <c r="Z110" s="15"/>
    </row>
    <row r="111" spans="1:26" x14ac:dyDescent="0.25">
      <c r="Q111" s="14"/>
      <c r="R111" s="15"/>
      <c r="S111" s="14"/>
      <c r="T111" s="15"/>
      <c r="U111" s="14"/>
      <c r="V111" s="15"/>
      <c r="W111" s="14"/>
      <c r="X111" s="15"/>
      <c r="Y111" s="14"/>
      <c r="Z111" s="15"/>
    </row>
    <row r="112" spans="1:26" x14ac:dyDescent="0.25">
      <c r="Q112" s="14"/>
      <c r="R112" s="15"/>
      <c r="S112" s="14"/>
      <c r="T112" s="15"/>
      <c r="U112" s="14"/>
      <c r="V112" s="15"/>
      <c r="W112" s="14"/>
      <c r="X112" s="15"/>
      <c r="Y112" s="14"/>
      <c r="Z112" s="15"/>
    </row>
    <row r="113" spans="1:26" x14ac:dyDescent="0.25">
      <c r="Q113" s="14"/>
      <c r="R113" s="15"/>
      <c r="S113" s="14"/>
      <c r="T113" s="15"/>
      <c r="U113" s="14"/>
      <c r="V113" s="15"/>
      <c r="W113" s="14"/>
      <c r="X113" s="15"/>
      <c r="Y113" s="14"/>
      <c r="Z113" s="15"/>
    </row>
    <row r="114" spans="1:26" x14ac:dyDescent="0.25">
      <c r="Q114" s="14"/>
      <c r="R114" s="15"/>
      <c r="S114" s="14"/>
      <c r="T114" s="15"/>
      <c r="U114" s="14"/>
      <c r="V114" s="15"/>
      <c r="W114" s="14"/>
      <c r="X114" s="15"/>
      <c r="Y114" s="14"/>
      <c r="Z114" s="15"/>
    </row>
    <row r="115" spans="1:26" x14ac:dyDescent="0.25">
      <c r="Q115" s="14"/>
      <c r="R115" s="15"/>
      <c r="S115" s="14"/>
      <c r="T115" s="15"/>
      <c r="U115" s="14"/>
      <c r="V115" s="15"/>
      <c r="W115" s="14"/>
      <c r="X115" s="15"/>
      <c r="Y115" s="14"/>
      <c r="Z115" s="15"/>
    </row>
    <row r="116" spans="1:26" x14ac:dyDescent="0.25">
      <c r="Q116" s="14"/>
      <c r="R116" s="15"/>
      <c r="S116" s="14"/>
      <c r="T116" s="15"/>
      <c r="U116" s="14"/>
      <c r="V116" s="15"/>
      <c r="W116" s="14"/>
      <c r="X116" s="15"/>
      <c r="Y116" s="14"/>
      <c r="Z116" s="15"/>
    </row>
    <row r="117" spans="1:26" x14ac:dyDescent="0.25">
      <c r="Q117" s="14"/>
      <c r="R117" s="15"/>
      <c r="S117" s="14"/>
      <c r="T117" s="15"/>
      <c r="U117" s="14"/>
      <c r="V117" s="15"/>
      <c r="W117" s="14"/>
      <c r="X117" s="15"/>
      <c r="Y117" s="14"/>
      <c r="Z117" s="15"/>
    </row>
    <row r="118" spans="1:26" x14ac:dyDescent="0.25">
      <c r="Q118" s="14"/>
      <c r="R118" s="15"/>
      <c r="S118" s="14"/>
      <c r="T118" s="15"/>
      <c r="U118" s="14"/>
      <c r="V118" s="15"/>
      <c r="W118" s="14"/>
      <c r="X118" s="15"/>
      <c r="Y118" s="14"/>
      <c r="Z118" s="15"/>
    </row>
    <row r="119" spans="1:26" x14ac:dyDescent="0.25">
      <c r="Q119" s="14"/>
      <c r="R119" s="15"/>
      <c r="S119" s="14"/>
      <c r="T119" s="15"/>
      <c r="U119" s="14"/>
      <c r="V119" s="15"/>
      <c r="W119" s="14"/>
      <c r="X119" s="15"/>
      <c r="Y119" s="14"/>
      <c r="Z119" s="15"/>
    </row>
    <row r="120" spans="1:26" x14ac:dyDescent="0.25">
      <c r="Q120" s="14"/>
      <c r="R120" s="15"/>
      <c r="S120" s="14"/>
      <c r="T120" s="15"/>
      <c r="U120" s="14"/>
      <c r="V120" s="15"/>
      <c r="W120" s="14"/>
      <c r="X120" s="15"/>
      <c r="Y120" s="14"/>
      <c r="Z120" s="15"/>
    </row>
    <row r="121" spans="1:26" x14ac:dyDescent="0.25">
      <c r="Q121" s="14"/>
      <c r="R121" s="15"/>
      <c r="S121" s="14"/>
      <c r="T121" s="15"/>
      <c r="U121" s="14"/>
      <c r="V121" s="15"/>
      <c r="W121" s="14"/>
      <c r="X121" s="15"/>
      <c r="Y121" s="14"/>
      <c r="Z121" s="15"/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</sheetData>
  <dataValidations count="34">
    <dataValidation type="list" allowBlank="1" sqref="L10:L1024">
      <formula1>"Must Have,Should Have,Could Have,Will not Have"</formula1>
    </dataValidation>
    <dataValidation type="list" allowBlank="1" sqref="L2:L1024">
      <formula1>"Must Have,Should Have,Could Have,Will not Have"</formula1>
    </dataValidation>
    <dataValidation type="list" allowBlank="1" sqref="Q10:Q16">
      <formula1>"0,1,2,3,5,8,13,21,34,55,89"</formula1>
    </dataValidation>
    <dataValidation type="list" allowBlank="1" sqref="Q100:Q1024">
      <formula1>"0,1,2,3,5,8,13,21,34,55,89"</formula1>
    </dataValidation>
    <dataValidation type="list" allowBlank="1" sqref="Q19:Q20">
      <formula1>"0,1,2,3,5,8,13,21,34,55,89"</formula1>
    </dataValidation>
    <dataValidation type="list" allowBlank="1" sqref="Q2">
      <formula1>"0,1,2,3,5,8,13,21,34,55,89"</formula1>
    </dataValidation>
    <dataValidation type="list" allowBlank="1" sqref="Q22:Q23">
      <formula1>"0,1,2,3,5,8,13,21,34,55,89"</formula1>
    </dataValidation>
    <dataValidation type="list" allowBlank="1" sqref="Q25:Q1024">
      <formula1>"0,1,2,3,5,8,13,21,34,55,89"</formula1>
    </dataValidation>
    <dataValidation type="list" allowBlank="1" sqref="Q4:Q5">
      <formula1>"0,1,2,3,5,8,13,21,34,55,89"</formula1>
    </dataValidation>
    <dataValidation type="list" allowBlank="1" sqref="Q7:Q16">
      <formula1>"0,1,2,3,5,8,13,21,34,55,89"</formula1>
    </dataValidation>
    <dataValidation type="list" allowBlank="1" sqref="S10:S16">
      <formula1>"0,1,2,3,5,8,13,21,34,55,89"</formula1>
    </dataValidation>
    <dataValidation type="list" allowBlank="1" sqref="S100:S1024">
      <formula1>"0,1,2,3,5,8,13,21,34,55,89"</formula1>
    </dataValidation>
    <dataValidation type="list" allowBlank="1" sqref="S19:S20">
      <formula1>"0,1,2,3,5,8,13,21,34,55,89"</formula1>
    </dataValidation>
    <dataValidation type="list" allowBlank="1" sqref="S2">
      <formula1>"0,1,2,3,5,8,13,21,34,55,89"</formula1>
    </dataValidation>
    <dataValidation type="list" allowBlank="1" sqref="S22:S1024">
      <formula1>"0,1,2,3,5,8,13,21,34,55,89"</formula1>
    </dataValidation>
    <dataValidation type="list" allowBlank="1" sqref="S4:S5">
      <formula1>"0,1,2,3,5,8,13,21,34,55,89"</formula1>
    </dataValidation>
    <dataValidation type="list" allowBlank="1" sqref="S7:S16">
      <formula1>"0,1,2,3,5,8,13,21,34,55,89"</formula1>
    </dataValidation>
    <dataValidation type="list" allowBlank="1" sqref="U10:U23">
      <formula1>"0,1,2,3,5,8,13,21,34,55,89"</formula1>
    </dataValidation>
    <dataValidation type="list" allowBlank="1" sqref="U100:U1024">
      <formula1>"0,1,2,3,5,8,13,21,34,55,89"</formula1>
    </dataValidation>
    <dataValidation type="list" allowBlank="1" sqref="U2:U23">
      <formula1>"0,1,2,3,5,8,13,21,34,55,89"</formula1>
    </dataValidation>
    <dataValidation type="list" allowBlank="1" sqref="U25:U1024">
      <formula1>"0,1,2,3,5,8,13,21,34,55,89"</formula1>
    </dataValidation>
    <dataValidation type="list" allowBlank="1" sqref="W10:W19">
      <formula1>"0,1,2,3,5,8,13,21,34,55,89"</formula1>
    </dataValidation>
    <dataValidation type="list" allowBlank="1" sqref="W100:W1024">
      <formula1>"0,1,2,3,5,8,13,21,34,55,89"</formula1>
    </dataValidation>
    <dataValidation type="list" allowBlank="1" sqref="W2:W19">
      <formula1>"0,1,2,3,5,8,13,21,34,55,89"</formula1>
    </dataValidation>
    <dataValidation type="list" allowBlank="1" sqref="W22:W23">
      <formula1>"0,1,2,3,5,8,13,21,34,55,89"</formula1>
    </dataValidation>
    <dataValidation type="list" allowBlank="1" sqref="W25:W1024">
      <formula1>"0,1,2,3,5,8,13,21,34,55,89"</formula1>
    </dataValidation>
    <dataValidation type="list" allowBlank="1" sqref="Y100:Y1024">
      <formula1>"0,1,2,3,5,8,13,21,34,55,89"</formula1>
    </dataValidation>
    <dataValidation type="list" allowBlank="1" sqref="Y12:Y17">
      <formula1>"0,1,2,3,5,8,13,21,34,55,89"</formula1>
    </dataValidation>
    <dataValidation type="list" allowBlank="1" sqref="Y19:Y20">
      <formula1>"0,1,2,3,5,8,13,21,34,55,89"</formula1>
    </dataValidation>
    <dataValidation type="list" allowBlank="1" sqref="Y2:Y5">
      <formula1>"0,1,2,3,5,8,13,21,34,55,89"</formula1>
    </dataValidation>
    <dataValidation type="list" allowBlank="1" sqref="Y22:Y23">
      <formula1>"0,1,2,3,5,8,13,21,34,55,89"</formula1>
    </dataValidation>
    <dataValidation type="list" allowBlank="1" sqref="Y25:Y1024">
      <formula1>"0,1,2,3,5,8,13,21,34,55,89"</formula1>
    </dataValidation>
    <dataValidation type="list" allowBlank="1" sqref="Y7">
      <formula1>"0,1,2,3,5,8,13,21,34,55,89"</formula1>
    </dataValidation>
    <dataValidation type="list" allowBlank="1" sqref="Y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197</v>
      </c>
      <c r="B1" t="s">
        <v>3</v>
      </c>
      <c r="C1" t="s">
        <v>22</v>
      </c>
      <c r="D1" t="s">
        <v>198</v>
      </c>
      <c r="E1" t="s">
        <v>45</v>
      </c>
      <c r="F1" t="s">
        <v>199</v>
      </c>
      <c r="G1" t="s">
        <v>200</v>
      </c>
    </row>
    <row r="2" spans="1:1" s="1" customFormat="1" x14ac:dyDescent="0.25">
      <c r="A2" s="2" t="s">
        <v>201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202</v>
      </c>
    </row>
    <row r="9" spans="1:6" s="1" customFormat="1" x14ac:dyDescent="0.25">
      <c r="A9" s="2" t="s">
        <v>203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204</v>
      </c>
      <c r="D10" s="4" t="s">
        <v>205</v>
      </c>
      <c r="E10" s="4" t="s">
        <v>206</v>
      </c>
      <c r="F10" s="4" t="s">
        <v>9</v>
      </c>
    </row>
    <row r="11" spans="1:6" s="5" customFormat="1" x14ac:dyDescent="0.25">
      <c r="A11" s="7" t="s">
        <v>207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208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209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210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211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212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213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214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215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204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205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216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217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204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205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216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218</v>
      </c>
      <c r="B53" s="2"/>
      <c r="C53" s="2"/>
      <c r="D53" s="2"/>
    </row>
    <row r="54" spans="1:4" s="3" customFormat="1" x14ac:dyDescent="0.25">
      <c r="A54" s="4" t="s">
        <v>197</v>
      </c>
      <c r="B54" s="4" t="s">
        <v>3</v>
      </c>
      <c r="C54" s="4" t="s">
        <v>22</v>
      </c>
      <c r="D54" s="4" t="s">
        <v>198</v>
      </c>
    </row>
    <row r="55" spans="1:4" s="5" customFormat="1" x14ac:dyDescent="0.25">
      <c r="A55" s="6" t="s">
        <v>219</v>
      </c>
      <c r="B55" s="6" t="s">
        <v>219</v>
      </c>
      <c r="C55" s="6" t="s">
        <v>219</v>
      </c>
      <c r="D55" s="6" t="s">
        <v>219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197</v>
      </c>
      <c r="B1" t="s">
        <v>3</v>
      </c>
      <c r="C1" t="s">
        <v>22</v>
      </c>
      <c r="D1" t="s">
        <v>198</v>
      </c>
      <c r="E1" t="s">
        <v>45</v>
      </c>
      <c r="F1" t="s">
        <v>199</v>
      </c>
      <c r="G1" t="s">
        <v>200</v>
      </c>
    </row>
    <row r="2" spans="1:1" s="1" customFormat="1" x14ac:dyDescent="0.25">
      <c r="A2" s="2" t="s">
        <v>201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220</v>
      </c>
    </row>
    <row r="9" spans="1:6" s="1" customFormat="1" x14ac:dyDescent="0.25">
      <c r="A9" s="2" t="s">
        <v>203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84</v>
      </c>
      <c r="C10" s="4" t="s">
        <v>204</v>
      </c>
      <c r="D10" s="4" t="s">
        <v>205</v>
      </c>
      <c r="E10" s="4" t="s">
        <v>206</v>
      </c>
      <c r="F10" s="4" t="s">
        <v>9</v>
      </c>
    </row>
    <row r="11" spans="1:6" s="5" customFormat="1" x14ac:dyDescent="0.25">
      <c r="A11" s="7" t="s">
        <v>207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208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209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210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211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212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213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214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215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84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204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205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216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217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84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204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205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216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218</v>
      </c>
      <c r="B53" s="2"/>
      <c r="C53" s="2"/>
      <c r="D53" s="2"/>
    </row>
    <row r="54" spans="1:4" s="3" customFormat="1" x14ac:dyDescent="0.25">
      <c r="A54" s="4" t="s">
        <v>197</v>
      </c>
      <c r="B54" s="4" t="s">
        <v>3</v>
      </c>
      <c r="C54" s="4" t="s">
        <v>22</v>
      </c>
      <c r="D54" s="4" t="s">
        <v>198</v>
      </c>
    </row>
    <row r="55" spans="1:4" s="5" customFormat="1" x14ac:dyDescent="0.25">
      <c r="A55" s="6" t="s">
        <v>219</v>
      </c>
      <c r="B55" s="6" t="s">
        <v>219</v>
      </c>
      <c r="C55" s="6" t="s">
        <v>219</v>
      </c>
      <c r="D55" s="6" t="s">
        <v>219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</row>
    <row r="2" spans="1:7" s="1" customFormat="1" x14ac:dyDescent="0.25">
      <c r="A2" s="2" t="s">
        <v>228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229</v>
      </c>
      <c r="B3" s="4" t="s">
        <v>230</v>
      </c>
      <c r="C3" s="4" t="s">
        <v>231</v>
      </c>
      <c r="D3" s="4" t="s">
        <v>224</v>
      </c>
      <c r="E3" s="4" t="s">
        <v>225</v>
      </c>
      <c r="F3" s="4" t="s">
        <v>226</v>
      </c>
      <c r="G3" s="4" t="s">
        <v>227</v>
      </c>
    </row>
    <row r="4" spans="1:7" s="5" customFormat="1" x14ac:dyDescent="0.25">
      <c r="A4" s="6">
        <v>1</v>
      </c>
      <c r="B4" s="6" t="s">
        <v>232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233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234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235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236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237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238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239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240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241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242</v>
      </c>
      <c r="B18" s="2"/>
      <c r="C18" s="2"/>
    </row>
    <row r="19" spans="1:3" s="3" customFormat="1" x14ac:dyDescent="0.25">
      <c r="A19" s="4" t="s">
        <v>243</v>
      </c>
      <c r="B19" s="4" t="s">
        <v>222</v>
      </c>
      <c r="C19" s="4" t="s">
        <v>223</v>
      </c>
    </row>
    <row r="20" spans="1:3" s="5" customFormat="1" x14ac:dyDescent="0.25">
      <c r="A20" s="6" t="s">
        <v>244</v>
      </c>
      <c r="B20" s="6" t="s">
        <v>245</v>
      </c>
      <c r="C20" s="6">
        <v>32</v>
      </c>
    </row>
    <row r="21" spans="1:3" s="5" customFormat="1" x14ac:dyDescent="0.25">
      <c r="A21" s="6" t="s">
        <v>246</v>
      </c>
      <c r="B21" s="6" t="s">
        <v>247</v>
      </c>
      <c r="C21" s="6">
        <v>72</v>
      </c>
    </row>
    <row r="22" spans="1:3" s="5" customFormat="1" x14ac:dyDescent="0.25">
      <c r="A22" s="6" t="s">
        <v>248</v>
      </c>
      <c r="B22" s="6" t="s">
        <v>249</v>
      </c>
      <c r="C22" s="6">
        <v>73</v>
      </c>
    </row>
    <row r="27" spans="1:1" s="1" customFormat="1" x14ac:dyDescent="0.25">
      <c r="A27" s="2" t="s">
        <v>250</v>
      </c>
    </row>
    <row r="28" spans="1:1" s="3" customFormat="1" x14ac:dyDescent="0.25">
      <c r="A28" s="4" t="s">
        <v>221</v>
      </c>
    </row>
    <row r="29" spans="1:1" s="5" customFormat="1" x14ac:dyDescent="0.25">
      <c r="A29" s="6" t="s">
        <v>84</v>
      </c>
    </row>
    <row r="30" spans="1:1" s="5" customFormat="1" x14ac:dyDescent="0.25">
      <c r="A30" s="6" t="s">
        <v>205</v>
      </c>
    </row>
    <row r="31" spans="1:1" s="5" customFormat="1" x14ac:dyDescent="0.25">
      <c r="A31" s="6" t="s">
        <v>204</v>
      </c>
    </row>
    <row r="32" spans="1:1" s="5" customFormat="1" x14ac:dyDescent="0.25">
      <c r="A32" s="6" t="s">
        <v>206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Summary</vt:lpstr>
      <vt:lpstr>User Application - Dev</vt:lpstr>
      <vt:lpstr>Admin - Dev</vt:lpstr>
      <vt:lpstr>User Application - Summary</vt:lpstr>
      <vt:lpstr>Admin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2026-02-20T07:44:45Z</dcterms:created>
  <dcterms:modified xsi:type="dcterms:W3CDTF">2026-02-20T07:44:45Z</dcterms:modified>
</cp:coreProperties>
</file>